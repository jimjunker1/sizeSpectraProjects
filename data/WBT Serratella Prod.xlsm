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6180" yWindow="30" windowWidth="14340" windowHeight="7995"/>
  </bookViews>
  <sheets>
    <sheet name="Cobble Gravel" sheetId="1" r:id="rId1"/>
    <sheet name="Notes" sheetId="4" r:id="rId2"/>
  </sheets>
  <calcPr calcId="125725"/>
</workbook>
</file>

<file path=xl/calcChain.xml><?xml version="1.0" encoding="utf-8"?>
<calcChain xmlns="http://schemas.openxmlformats.org/spreadsheetml/2006/main">
  <c r="H422" i="1"/>
  <c r="I422"/>
  <c r="J422"/>
  <c r="K422"/>
  <c r="L422"/>
  <c r="M422"/>
  <c r="N422"/>
  <c r="O422"/>
  <c r="P422"/>
  <c r="Q422"/>
  <c r="R422"/>
  <c r="S422"/>
  <c r="T422"/>
  <c r="U422"/>
  <c r="V422"/>
  <c r="W422"/>
  <c r="X422"/>
  <c r="Y422"/>
  <c r="Z422"/>
  <c r="AA422"/>
  <c r="AB422"/>
  <c r="AC422"/>
  <c r="AD422"/>
  <c r="AE422"/>
  <c r="AF422"/>
  <c r="AG422"/>
  <c r="AH422"/>
  <c r="AI422"/>
  <c r="AJ422"/>
  <c r="AK422"/>
  <c r="G422"/>
  <c r="FM16"/>
  <c r="FM15"/>
  <c r="FM14"/>
  <c r="FM13"/>
  <c r="FM12"/>
  <c r="FM11"/>
  <c r="FM10"/>
  <c r="FM9"/>
  <c r="FM8"/>
  <c r="FM7"/>
  <c r="FK16"/>
  <c r="FK15"/>
  <c r="FK14"/>
  <c r="FK13"/>
  <c r="FK12"/>
  <c r="FK11"/>
  <c r="FK10"/>
  <c r="FK9"/>
  <c r="FK8"/>
  <c r="FK7"/>
  <c r="FI8"/>
  <c r="FI9"/>
  <c r="FI10"/>
  <c r="FI11"/>
  <c r="FI12"/>
  <c r="FI13"/>
  <c r="FI14"/>
  <c r="FI15"/>
  <c r="FI16"/>
  <c r="FI7"/>
  <c r="FH16"/>
  <c r="FH15"/>
  <c r="FH14"/>
  <c r="FH13"/>
  <c r="FH12"/>
  <c r="FH11"/>
  <c r="FH10"/>
  <c r="FH9"/>
  <c r="FH8"/>
  <c r="FH7"/>
  <c r="GI4"/>
  <c r="GH4"/>
  <c r="GG4"/>
  <c r="GF4"/>
  <c r="GE4"/>
  <c r="GD4"/>
  <c r="GC4"/>
  <c r="GB4"/>
  <c r="GA4"/>
  <c r="FZ4"/>
  <c r="CX117" l="1"/>
  <c r="CX108"/>
  <c r="CX155"/>
  <c r="CX110"/>
  <c r="CX116"/>
  <c r="DE234"/>
  <c r="DE233"/>
  <c r="DE232"/>
  <c r="DE230"/>
  <c r="DE229"/>
  <c r="DE228"/>
  <c r="DE227"/>
  <c r="DE226"/>
  <c r="DE221" l="1"/>
  <c r="DE220"/>
  <c r="DE219"/>
  <c r="DE218"/>
  <c r="DE217"/>
  <c r="DE216"/>
  <c r="DE215"/>
  <c r="DE214"/>
  <c r="DE213"/>
  <c r="DE212"/>
  <c r="D450" l="1"/>
  <c r="D449"/>
  <c r="D448"/>
  <c r="D447"/>
  <c r="D446"/>
  <c r="D445"/>
  <c r="D444"/>
  <c r="D443"/>
  <c r="D442"/>
  <c r="D441"/>
  <c r="D432"/>
  <c r="D431"/>
  <c r="D430"/>
  <c r="D429"/>
  <c r="D428"/>
  <c r="D427"/>
  <c r="D426"/>
  <c r="D425"/>
  <c r="D424"/>
  <c r="D423"/>
  <c r="G70"/>
  <c r="H70"/>
  <c r="I70"/>
  <c r="J70"/>
  <c r="K70"/>
  <c r="L70"/>
  <c r="M70"/>
  <c r="N70"/>
  <c r="O70"/>
  <c r="P70"/>
  <c r="Q70"/>
  <c r="R70"/>
  <c r="S70"/>
  <c r="T70"/>
  <c r="U70"/>
  <c r="V70"/>
  <c r="W70"/>
  <c r="X70"/>
  <c r="Y70"/>
  <c r="Z70"/>
  <c r="AA70"/>
  <c r="AB70"/>
  <c r="AC70"/>
  <c r="AD70"/>
  <c r="AE70"/>
  <c r="AF70"/>
  <c r="AG70"/>
  <c r="AH70"/>
  <c r="AI70"/>
  <c r="AJ70"/>
  <c r="AK70"/>
  <c r="G71"/>
  <c r="H71"/>
  <c r="I71"/>
  <c r="J71"/>
  <c r="K71"/>
  <c r="L71"/>
  <c r="M71"/>
  <c r="N71"/>
  <c r="O71"/>
  <c r="P71"/>
  <c r="Q71"/>
  <c r="R71"/>
  <c r="S71"/>
  <c r="T71"/>
  <c r="U71"/>
  <c r="V71"/>
  <c r="W71"/>
  <c r="X71"/>
  <c r="Y71"/>
  <c r="Z71"/>
  <c r="AA71"/>
  <c r="AB71"/>
  <c r="AC71"/>
  <c r="AD71"/>
  <c r="AE71"/>
  <c r="AF71"/>
  <c r="AG71"/>
  <c r="AH71"/>
  <c r="AI71"/>
  <c r="AJ71"/>
  <c r="AK71"/>
  <c r="G72"/>
  <c r="H72"/>
  <c r="I72"/>
  <c r="J72"/>
  <c r="K72"/>
  <c r="L72"/>
  <c r="M72"/>
  <c r="N72"/>
  <c r="O72"/>
  <c r="P72"/>
  <c r="Q72"/>
  <c r="R72"/>
  <c r="S72"/>
  <c r="T72"/>
  <c r="U72"/>
  <c r="V72"/>
  <c r="W72"/>
  <c r="X72"/>
  <c r="Y72"/>
  <c r="Z72"/>
  <c r="AA72"/>
  <c r="AB72"/>
  <c r="AC72"/>
  <c r="AD72"/>
  <c r="AE72"/>
  <c r="AF72"/>
  <c r="AG72"/>
  <c r="AH72"/>
  <c r="AI72"/>
  <c r="AJ72"/>
  <c r="AK72"/>
  <c r="G73"/>
  <c r="H73"/>
  <c r="I73"/>
  <c r="J73"/>
  <c r="K73"/>
  <c r="L73"/>
  <c r="M73"/>
  <c r="N73"/>
  <c r="O73"/>
  <c r="P73"/>
  <c r="Q73"/>
  <c r="R73"/>
  <c r="S73"/>
  <c r="T73"/>
  <c r="U73"/>
  <c r="V73"/>
  <c r="W73"/>
  <c r="X73"/>
  <c r="Y73"/>
  <c r="Z73"/>
  <c r="AA73"/>
  <c r="AB73"/>
  <c r="AC73"/>
  <c r="AD73"/>
  <c r="AE73"/>
  <c r="AF73"/>
  <c r="AG73"/>
  <c r="AH73"/>
  <c r="AI73"/>
  <c r="AJ73"/>
  <c r="AK73"/>
  <c r="G74"/>
  <c r="H74"/>
  <c r="I74"/>
  <c r="J74"/>
  <c r="K74"/>
  <c r="L74"/>
  <c r="M74"/>
  <c r="N74"/>
  <c r="O74"/>
  <c r="P74"/>
  <c r="Q74"/>
  <c r="R74"/>
  <c r="S74"/>
  <c r="T74"/>
  <c r="U74"/>
  <c r="V74"/>
  <c r="W74"/>
  <c r="X74"/>
  <c r="Y74"/>
  <c r="Z74"/>
  <c r="AA74"/>
  <c r="AB74"/>
  <c r="AC74"/>
  <c r="AD74"/>
  <c r="AE74"/>
  <c r="AF74"/>
  <c r="AG74"/>
  <c r="AH74"/>
  <c r="AI74"/>
  <c r="AJ74"/>
  <c r="AK74"/>
  <c r="G75"/>
  <c r="H75"/>
  <c r="I75"/>
  <c r="J75"/>
  <c r="K75"/>
  <c r="L75"/>
  <c r="M75"/>
  <c r="N75"/>
  <c r="O75"/>
  <c r="P75"/>
  <c r="Q75"/>
  <c r="R75"/>
  <c r="S75"/>
  <c r="T75"/>
  <c r="U75"/>
  <c r="V75"/>
  <c r="W75"/>
  <c r="X75"/>
  <c r="Y75"/>
  <c r="Z75"/>
  <c r="AA75"/>
  <c r="AB75"/>
  <c r="AC75"/>
  <c r="AD75"/>
  <c r="AE75"/>
  <c r="AF75"/>
  <c r="AG75"/>
  <c r="AH75"/>
  <c r="AI75"/>
  <c r="AJ75"/>
  <c r="AK75"/>
  <c r="G76"/>
  <c r="H76"/>
  <c r="I76"/>
  <c r="J76"/>
  <c r="K76"/>
  <c r="L76"/>
  <c r="M76"/>
  <c r="N76"/>
  <c r="O76"/>
  <c r="P76"/>
  <c r="Q76"/>
  <c r="R76"/>
  <c r="S76"/>
  <c r="T76"/>
  <c r="U76"/>
  <c r="V76"/>
  <c r="W76"/>
  <c r="X76"/>
  <c r="Y76"/>
  <c r="Z76"/>
  <c r="AA76"/>
  <c r="AB76"/>
  <c r="AC76"/>
  <c r="AD76"/>
  <c r="AE76"/>
  <c r="AF76"/>
  <c r="AG76"/>
  <c r="AH76"/>
  <c r="AI76"/>
  <c r="AJ76"/>
  <c r="AK76"/>
  <c r="G77"/>
  <c r="H77"/>
  <c r="I77"/>
  <c r="J77"/>
  <c r="K77"/>
  <c r="L77"/>
  <c r="M77"/>
  <c r="N77"/>
  <c r="O77"/>
  <c r="P77"/>
  <c r="Q77"/>
  <c r="R77"/>
  <c r="S77"/>
  <c r="T77"/>
  <c r="U77"/>
  <c r="V77"/>
  <c r="W77"/>
  <c r="X77"/>
  <c r="Y77"/>
  <c r="Z77"/>
  <c r="AA77"/>
  <c r="AB77"/>
  <c r="AC77"/>
  <c r="AD77"/>
  <c r="AE77"/>
  <c r="AF77"/>
  <c r="AG77"/>
  <c r="AH77"/>
  <c r="AI77"/>
  <c r="AJ77"/>
  <c r="AK77"/>
  <c r="G78"/>
  <c r="H78"/>
  <c r="I78"/>
  <c r="J78"/>
  <c r="K78"/>
  <c r="L78"/>
  <c r="M78"/>
  <c r="N78"/>
  <c r="O78"/>
  <c r="P78"/>
  <c r="Q78"/>
  <c r="R78"/>
  <c r="S78"/>
  <c r="T78"/>
  <c r="U78"/>
  <c r="V78"/>
  <c r="W78"/>
  <c r="X78"/>
  <c r="Y78"/>
  <c r="Z78"/>
  <c r="AA78"/>
  <c r="AB78"/>
  <c r="AC78"/>
  <c r="AD78"/>
  <c r="AE78"/>
  <c r="AF78"/>
  <c r="AG78"/>
  <c r="AH78"/>
  <c r="AI78"/>
  <c r="AJ78"/>
  <c r="AK78"/>
  <c r="G79"/>
  <c r="H79"/>
  <c r="I79"/>
  <c r="J79"/>
  <c r="K79"/>
  <c r="L79"/>
  <c r="M79"/>
  <c r="N79"/>
  <c r="O79"/>
  <c r="P79"/>
  <c r="Q79"/>
  <c r="R79"/>
  <c r="S79"/>
  <c r="T79"/>
  <c r="U79"/>
  <c r="V79"/>
  <c r="W79"/>
  <c r="X79"/>
  <c r="Y79"/>
  <c r="Z79"/>
  <c r="AA79"/>
  <c r="AB79"/>
  <c r="AC79"/>
  <c r="AD79"/>
  <c r="AE79"/>
  <c r="AF79"/>
  <c r="AG79"/>
  <c r="AH79"/>
  <c r="AI79"/>
  <c r="AJ79"/>
  <c r="AK79"/>
  <c r="D551"/>
  <c r="E551"/>
  <c r="E553"/>
  <c r="H552" s="1"/>
  <c r="D553"/>
  <c r="C553"/>
  <c r="I552"/>
  <c r="C551"/>
  <c r="C549"/>
  <c r="C547"/>
  <c r="C545"/>
  <c r="C543"/>
  <c r="C541"/>
  <c r="C539"/>
  <c r="C537"/>
  <c r="C535"/>
  <c r="C533"/>
  <c r="C531"/>
  <c r="G36"/>
  <c r="H36"/>
  <c r="H372" s="1"/>
  <c r="A438"/>
  <c r="I36"/>
  <c r="I372" s="1"/>
  <c r="J36"/>
  <c r="E463" s="1"/>
  <c r="K36"/>
  <c r="E465" s="1"/>
  <c r="L36"/>
  <c r="E467" s="1"/>
  <c r="M36"/>
  <c r="E469" s="1"/>
  <c r="N36"/>
  <c r="E471"/>
  <c r="O36"/>
  <c r="P36"/>
  <c r="E475" s="1"/>
  <c r="Q36"/>
  <c r="R36"/>
  <c r="E479" s="1"/>
  <c r="S36"/>
  <c r="E481" s="1"/>
  <c r="T36"/>
  <c r="U36"/>
  <c r="E485" s="1"/>
  <c r="V36"/>
  <c r="W36"/>
  <c r="E489" s="1"/>
  <c r="X36"/>
  <c r="Y36"/>
  <c r="E493" s="1"/>
  <c r="Z36"/>
  <c r="E495" s="1"/>
  <c r="AA36"/>
  <c r="AB36"/>
  <c r="E499" s="1"/>
  <c r="AC36"/>
  <c r="AD36"/>
  <c r="E503" s="1"/>
  <c r="AE36"/>
  <c r="AF36"/>
  <c r="E507" s="1"/>
  <c r="AG36"/>
  <c r="AH36"/>
  <c r="AI36"/>
  <c r="E513" s="1"/>
  <c r="AJ36"/>
  <c r="E515" s="1"/>
  <c r="AK36"/>
  <c r="E517" s="1"/>
  <c r="H518" s="1"/>
  <c r="E21"/>
  <c r="E22"/>
  <c r="E23"/>
  <c r="E24"/>
  <c r="E25"/>
  <c r="E26"/>
  <c r="E27"/>
  <c r="E28"/>
  <c r="E29"/>
  <c r="B405"/>
  <c r="B414"/>
  <c r="C414"/>
  <c r="B413"/>
  <c r="C413" s="1"/>
  <c r="B412"/>
  <c r="C412" s="1"/>
  <c r="B411"/>
  <c r="C411" s="1"/>
  <c r="B410"/>
  <c r="C410"/>
  <c r="B409"/>
  <c r="C409" s="1"/>
  <c r="B408"/>
  <c r="C408" s="1"/>
  <c r="B407"/>
  <c r="C407" s="1"/>
  <c r="B406"/>
  <c r="C406"/>
  <c r="H398"/>
  <c r="F398"/>
  <c r="H397"/>
  <c r="F397"/>
  <c r="J372"/>
  <c r="J376" s="1"/>
  <c r="N372"/>
  <c r="N382" s="1"/>
  <c r="O372"/>
  <c r="O381" s="1"/>
  <c r="P372"/>
  <c r="U372"/>
  <c r="U379" s="1"/>
  <c r="W372"/>
  <c r="W379" s="1"/>
  <c r="AF372"/>
  <c r="AF379" s="1"/>
  <c r="W381"/>
  <c r="W380"/>
  <c r="J378"/>
  <c r="P374"/>
  <c r="J373"/>
  <c r="B382"/>
  <c r="B381"/>
  <c r="B380"/>
  <c r="B379"/>
  <c r="B378"/>
  <c r="B377"/>
  <c r="B376"/>
  <c r="B375"/>
  <c r="B374"/>
  <c r="B373"/>
  <c r="BA178"/>
  <c r="CM178"/>
  <c r="BA168"/>
  <c r="CM168" s="1"/>
  <c r="BA159"/>
  <c r="CM159"/>
  <c r="BA148"/>
  <c r="CM148" s="1"/>
  <c r="BA158"/>
  <c r="BA138"/>
  <c r="CM138" s="1"/>
  <c r="BA149"/>
  <c r="BA128"/>
  <c r="BA118"/>
  <c r="CM118"/>
  <c r="BA108"/>
  <c r="CM108"/>
  <c r="BA98"/>
  <c r="CM98"/>
  <c r="BA88"/>
  <c r="DF207"/>
  <c r="EJ207"/>
  <c r="FT207" s="1"/>
  <c r="EI207"/>
  <c r="FS207" s="1"/>
  <c r="EH207"/>
  <c r="FR207" s="1"/>
  <c r="EG207"/>
  <c r="FQ207" s="1"/>
  <c r="EF207"/>
  <c r="FP207"/>
  <c r="EE207"/>
  <c r="FO207" s="1"/>
  <c r="ED207"/>
  <c r="FN207"/>
  <c r="EC207"/>
  <c r="FM207" s="1"/>
  <c r="EB207"/>
  <c r="FL207" s="1"/>
  <c r="EA207"/>
  <c r="FK207" s="1"/>
  <c r="DZ207"/>
  <c r="FJ207"/>
  <c r="DY207"/>
  <c r="FI207" s="1"/>
  <c r="DX207"/>
  <c r="FH207"/>
  <c r="DW207"/>
  <c r="FG207" s="1"/>
  <c r="DV207"/>
  <c r="FF207"/>
  <c r="DU207"/>
  <c r="FE207" s="1"/>
  <c r="DT207"/>
  <c r="FD207" s="1"/>
  <c r="DS207"/>
  <c r="FC207" s="1"/>
  <c r="DR207"/>
  <c r="FB207"/>
  <c r="DQ207"/>
  <c r="FA207" s="1"/>
  <c r="DP207"/>
  <c r="EZ207" s="1"/>
  <c r="DO207"/>
  <c r="EY207" s="1"/>
  <c r="DN207"/>
  <c r="EX207"/>
  <c r="DM207"/>
  <c r="EW207" s="1"/>
  <c r="DL207"/>
  <c r="EV207" s="1"/>
  <c r="DK207"/>
  <c r="EU207" s="1"/>
  <c r="DJ207"/>
  <c r="ET207" s="1"/>
  <c r="DI207"/>
  <c r="ES207" s="1"/>
  <c r="DH207"/>
  <c r="ER207"/>
  <c r="DG207"/>
  <c r="EQ207" s="1"/>
  <c r="DD207"/>
  <c r="DC207" s="1"/>
  <c r="CZ207"/>
  <c r="CM207"/>
  <c r="CL207"/>
  <c r="CK207"/>
  <c r="AY207"/>
  <c r="B207"/>
  <c r="DF206"/>
  <c r="EJ206"/>
  <c r="FT206" s="1"/>
  <c r="EI206"/>
  <c r="FS206"/>
  <c r="EH206"/>
  <c r="FR206" s="1"/>
  <c r="EG206"/>
  <c r="FQ206"/>
  <c r="EF206"/>
  <c r="FP206" s="1"/>
  <c r="EE206"/>
  <c r="FO206"/>
  <c r="ED206"/>
  <c r="FN206" s="1"/>
  <c r="EC206"/>
  <c r="FM206"/>
  <c r="EB206"/>
  <c r="FL206" s="1"/>
  <c r="EA206"/>
  <c r="FK206"/>
  <c r="DZ206"/>
  <c r="FJ206" s="1"/>
  <c r="DY206"/>
  <c r="FI206"/>
  <c r="DX206"/>
  <c r="FH206" s="1"/>
  <c r="DW206"/>
  <c r="FG206"/>
  <c r="DV206"/>
  <c r="FF206" s="1"/>
  <c r="DU206"/>
  <c r="FE206"/>
  <c r="DT206"/>
  <c r="FD206" s="1"/>
  <c r="DS206"/>
  <c r="FC206"/>
  <c r="DR206"/>
  <c r="FB206" s="1"/>
  <c r="DQ206"/>
  <c r="FA206"/>
  <c r="DP206"/>
  <c r="EZ206" s="1"/>
  <c r="DO206"/>
  <c r="EY206"/>
  <c r="DN206"/>
  <c r="EX206" s="1"/>
  <c r="DM206"/>
  <c r="EW206"/>
  <c r="DL206"/>
  <c r="EV206" s="1"/>
  <c r="DK206"/>
  <c r="EU206"/>
  <c r="DJ206"/>
  <c r="ET206" s="1"/>
  <c r="DI206"/>
  <c r="ES206"/>
  <c r="DH206"/>
  <c r="ER206" s="1"/>
  <c r="DG206"/>
  <c r="EQ206"/>
  <c r="DD206"/>
  <c r="DE206" s="1"/>
  <c r="DC206"/>
  <c r="CZ206"/>
  <c r="CM206"/>
  <c r="CL206"/>
  <c r="CK206"/>
  <c r="AY206"/>
  <c r="B206"/>
  <c r="DF205"/>
  <c r="EP205"/>
  <c r="FU205" s="1"/>
  <c r="EJ205"/>
  <c r="FT205" s="1"/>
  <c r="EI205"/>
  <c r="FS205"/>
  <c r="EH205"/>
  <c r="FR205" s="1"/>
  <c r="EG205"/>
  <c r="FQ205" s="1"/>
  <c r="EF205"/>
  <c r="FP205" s="1"/>
  <c r="EE205"/>
  <c r="FO205" s="1"/>
  <c r="ED205"/>
  <c r="FN205" s="1"/>
  <c r="EC205"/>
  <c r="FM205" s="1"/>
  <c r="EB205"/>
  <c r="FL205" s="1"/>
  <c r="EA205"/>
  <c r="FK205"/>
  <c r="DZ205"/>
  <c r="FJ205" s="1"/>
  <c r="DY205"/>
  <c r="FI205" s="1"/>
  <c r="DX205"/>
  <c r="FH205" s="1"/>
  <c r="DW205"/>
  <c r="FG205" s="1"/>
  <c r="DV205"/>
  <c r="FF205" s="1"/>
  <c r="DU205"/>
  <c r="FE205"/>
  <c r="DT205"/>
  <c r="FD205" s="1"/>
  <c r="DS205"/>
  <c r="FC205"/>
  <c r="DR205"/>
  <c r="FB205" s="1"/>
  <c r="DQ205"/>
  <c r="FA205" s="1"/>
  <c r="DP205"/>
  <c r="EZ205" s="1"/>
  <c r="DO205"/>
  <c r="EY205"/>
  <c r="DN205"/>
  <c r="EX205" s="1"/>
  <c r="DM205"/>
  <c r="EW205" s="1"/>
  <c r="DL205"/>
  <c r="EV205" s="1"/>
  <c r="DK205"/>
  <c r="EU205"/>
  <c r="DJ205"/>
  <c r="ET205" s="1"/>
  <c r="DI205"/>
  <c r="ES205" s="1"/>
  <c r="DH205"/>
  <c r="ER205" s="1"/>
  <c r="DG205"/>
  <c r="EQ205" s="1"/>
  <c r="EK205"/>
  <c r="DD205"/>
  <c r="CZ205"/>
  <c r="CM205"/>
  <c r="CL205"/>
  <c r="CK205"/>
  <c r="AY205"/>
  <c r="B205"/>
  <c r="DF204"/>
  <c r="EJ204"/>
  <c r="FT204"/>
  <c r="EI204"/>
  <c r="FS204"/>
  <c r="EH204"/>
  <c r="FR204"/>
  <c r="EG204"/>
  <c r="FQ204"/>
  <c r="EF204"/>
  <c r="FP204"/>
  <c r="EE204"/>
  <c r="FO204"/>
  <c r="ED204"/>
  <c r="FN204"/>
  <c r="EC204"/>
  <c r="FM204"/>
  <c r="EB204"/>
  <c r="FL204"/>
  <c r="EA204"/>
  <c r="FK204"/>
  <c r="DZ204"/>
  <c r="FJ204"/>
  <c r="DY204"/>
  <c r="FI204"/>
  <c r="DX204"/>
  <c r="FH204"/>
  <c r="DW204"/>
  <c r="FG204"/>
  <c r="DV204"/>
  <c r="FF204"/>
  <c r="DU204"/>
  <c r="FE204"/>
  <c r="DT204"/>
  <c r="FD204"/>
  <c r="DS204"/>
  <c r="FC204"/>
  <c r="DR204"/>
  <c r="FB204"/>
  <c r="DQ204"/>
  <c r="FA204"/>
  <c r="DP204"/>
  <c r="EZ204"/>
  <c r="DO204"/>
  <c r="EY204"/>
  <c r="DN204"/>
  <c r="EX204"/>
  <c r="DM204"/>
  <c r="EW204"/>
  <c r="DL204"/>
  <c r="EV204"/>
  <c r="DK204"/>
  <c r="EU204"/>
  <c r="DJ204"/>
  <c r="ET204"/>
  <c r="DI204"/>
  <c r="ES204"/>
  <c r="DH204"/>
  <c r="ER204"/>
  <c r="DG204"/>
  <c r="EQ204"/>
  <c r="DD204"/>
  <c r="DE204" s="1"/>
  <c r="DC204"/>
  <c r="CZ204"/>
  <c r="CM204"/>
  <c r="CL204"/>
  <c r="CK204"/>
  <c r="AY204"/>
  <c r="B204"/>
  <c r="DF203"/>
  <c r="EP203"/>
  <c r="FU203" s="1"/>
  <c r="EJ203"/>
  <c r="FT203" s="1"/>
  <c r="EI203"/>
  <c r="FS203"/>
  <c r="EH203"/>
  <c r="FR203" s="1"/>
  <c r="EG203"/>
  <c r="FQ203"/>
  <c r="EF203"/>
  <c r="FP203" s="1"/>
  <c r="EE203"/>
  <c r="FO203" s="1"/>
  <c r="ED203"/>
  <c r="FN203" s="1"/>
  <c r="EC203"/>
  <c r="FM203"/>
  <c r="EB203"/>
  <c r="FL203" s="1"/>
  <c r="EA203"/>
  <c r="FK203" s="1"/>
  <c r="DZ203"/>
  <c r="FJ203" s="1"/>
  <c r="DY203"/>
  <c r="FI203"/>
  <c r="DX203"/>
  <c r="FH203" s="1"/>
  <c r="DW203"/>
  <c r="FG203" s="1"/>
  <c r="DV203"/>
  <c r="FF203" s="1"/>
  <c r="DU203"/>
  <c r="FE203" s="1"/>
  <c r="DT203"/>
  <c r="FD203" s="1"/>
  <c r="DS203"/>
  <c r="FC203" s="1"/>
  <c r="DR203"/>
  <c r="FB203" s="1"/>
  <c r="DQ203"/>
  <c r="FA203"/>
  <c r="DP203"/>
  <c r="EZ203" s="1"/>
  <c r="DO203"/>
  <c r="EY203" s="1"/>
  <c r="DN203"/>
  <c r="EX203" s="1"/>
  <c r="DM203"/>
  <c r="EW203" s="1"/>
  <c r="DL203"/>
  <c r="EV203" s="1"/>
  <c r="DK203"/>
  <c r="EU203"/>
  <c r="DJ203"/>
  <c r="ET203" s="1"/>
  <c r="DI203"/>
  <c r="ES203"/>
  <c r="DH203"/>
  <c r="ER203" s="1"/>
  <c r="DG203"/>
  <c r="EQ203" s="1"/>
  <c r="EK203"/>
  <c r="DD203"/>
  <c r="DE203"/>
  <c r="DC203"/>
  <c r="CZ203"/>
  <c r="CM203"/>
  <c r="CL203"/>
  <c r="CK203"/>
  <c r="AY203"/>
  <c r="B203"/>
  <c r="DF202"/>
  <c r="EJ202"/>
  <c r="FT202"/>
  <c r="EI202"/>
  <c r="FS202"/>
  <c r="EH202"/>
  <c r="FR202"/>
  <c r="EG202"/>
  <c r="FQ202"/>
  <c r="EF202"/>
  <c r="FP202"/>
  <c r="EE202"/>
  <c r="FO202"/>
  <c r="ED202"/>
  <c r="FN202"/>
  <c r="EC202"/>
  <c r="FM202"/>
  <c r="EB202"/>
  <c r="FL202"/>
  <c r="EA202"/>
  <c r="FK202"/>
  <c r="DZ202"/>
  <c r="FJ202"/>
  <c r="DY202"/>
  <c r="FI202"/>
  <c r="DX202"/>
  <c r="FH202"/>
  <c r="DW202"/>
  <c r="FG202"/>
  <c r="DV202"/>
  <c r="FF202"/>
  <c r="DU202"/>
  <c r="FE202"/>
  <c r="DT202"/>
  <c r="FD202"/>
  <c r="DS202"/>
  <c r="FC202"/>
  <c r="DR202"/>
  <c r="FB202"/>
  <c r="DQ202"/>
  <c r="FA202"/>
  <c r="DP202"/>
  <c r="EZ202"/>
  <c r="DO202"/>
  <c r="EY202"/>
  <c r="DN202"/>
  <c r="EX202"/>
  <c r="DM202"/>
  <c r="EW202"/>
  <c r="DL202"/>
  <c r="EV202"/>
  <c r="DK202"/>
  <c r="EU202"/>
  <c r="DJ202"/>
  <c r="ET202"/>
  <c r="DI202"/>
  <c r="ES202"/>
  <c r="DH202"/>
  <c r="ER202"/>
  <c r="DG202"/>
  <c r="EQ202"/>
  <c r="DD202"/>
  <c r="DC202" s="1"/>
  <c r="DE202"/>
  <c r="CZ202"/>
  <c r="CM202"/>
  <c r="CL202"/>
  <c r="CK202"/>
  <c r="AY202"/>
  <c r="B202"/>
  <c r="DF201"/>
  <c r="EP201" s="1"/>
  <c r="FU201" s="1"/>
  <c r="EJ201"/>
  <c r="FT201" s="1"/>
  <c r="EI201"/>
  <c r="FS201" s="1"/>
  <c r="EH201"/>
  <c r="FR201"/>
  <c r="EG201"/>
  <c r="FQ201" s="1"/>
  <c r="EF201"/>
  <c r="FP201" s="1"/>
  <c r="EE201"/>
  <c r="FO201" s="1"/>
  <c r="ED201"/>
  <c r="FN201" s="1"/>
  <c r="EC201"/>
  <c r="FM201" s="1"/>
  <c r="EB201"/>
  <c r="FL201"/>
  <c r="EA201"/>
  <c r="FK201" s="1"/>
  <c r="DZ201"/>
  <c r="FJ201"/>
  <c r="DY201"/>
  <c r="FI201" s="1"/>
  <c r="DX201"/>
  <c r="FH201" s="1"/>
  <c r="DW201"/>
  <c r="FG201" s="1"/>
  <c r="DV201"/>
  <c r="FF201"/>
  <c r="DU201"/>
  <c r="FE201" s="1"/>
  <c r="DT201"/>
  <c r="FD201" s="1"/>
  <c r="DS201"/>
  <c r="FC201" s="1"/>
  <c r="DR201"/>
  <c r="FB201"/>
  <c r="DQ201"/>
  <c r="FA201" s="1"/>
  <c r="DP201"/>
  <c r="EZ201" s="1"/>
  <c r="DO201"/>
  <c r="EY201" s="1"/>
  <c r="DN201"/>
  <c r="EX201" s="1"/>
  <c r="DM201"/>
  <c r="EW201" s="1"/>
  <c r="DL201"/>
  <c r="EV201" s="1"/>
  <c r="DK201"/>
  <c r="EU201" s="1"/>
  <c r="DJ201"/>
  <c r="ET201"/>
  <c r="DI201"/>
  <c r="ES201" s="1"/>
  <c r="DH201"/>
  <c r="ER201" s="1"/>
  <c r="DG201"/>
  <c r="EQ201" s="1"/>
  <c r="DD201"/>
  <c r="CZ201"/>
  <c r="CM201"/>
  <c r="CL201"/>
  <c r="CK201"/>
  <c r="AY201"/>
  <c r="B201"/>
  <c r="DF200"/>
  <c r="EJ200"/>
  <c r="FT200" s="1"/>
  <c r="EI200"/>
  <c r="FS200"/>
  <c r="EH200"/>
  <c r="FR200" s="1"/>
  <c r="EG200"/>
  <c r="FQ200"/>
  <c r="EF200"/>
  <c r="FP200" s="1"/>
  <c r="EE200"/>
  <c r="FO200"/>
  <c r="ED200"/>
  <c r="FN200" s="1"/>
  <c r="EC200"/>
  <c r="FM200"/>
  <c r="EB200"/>
  <c r="FL200" s="1"/>
  <c r="EA200"/>
  <c r="FK200"/>
  <c r="DZ200"/>
  <c r="FJ200" s="1"/>
  <c r="DY200"/>
  <c r="FI200"/>
  <c r="DX200"/>
  <c r="FH200" s="1"/>
  <c r="DW200"/>
  <c r="FG200"/>
  <c r="DV200"/>
  <c r="FF200" s="1"/>
  <c r="DU200"/>
  <c r="FE200"/>
  <c r="DT200"/>
  <c r="FD200" s="1"/>
  <c r="DS200"/>
  <c r="FC200"/>
  <c r="DR200"/>
  <c r="FB200" s="1"/>
  <c r="DQ200"/>
  <c r="FA200"/>
  <c r="DP200"/>
  <c r="EZ200" s="1"/>
  <c r="DO200"/>
  <c r="EY200"/>
  <c r="DN200"/>
  <c r="EX200" s="1"/>
  <c r="DM200"/>
  <c r="EW200"/>
  <c r="DL200"/>
  <c r="EV200" s="1"/>
  <c r="DK200"/>
  <c r="EU200"/>
  <c r="DJ200"/>
  <c r="ET200" s="1"/>
  <c r="DI200"/>
  <c r="ES200"/>
  <c r="DH200"/>
  <c r="ER200" s="1"/>
  <c r="DG200"/>
  <c r="EQ200"/>
  <c r="DD200"/>
  <c r="DE200" s="1"/>
  <c r="DC200"/>
  <c r="CZ200"/>
  <c r="CM200"/>
  <c r="CL200"/>
  <c r="CK200"/>
  <c r="AY200"/>
  <c r="B200"/>
  <c r="DF199"/>
  <c r="EP199"/>
  <c r="FU199" s="1"/>
  <c r="EJ199"/>
  <c r="FT199" s="1"/>
  <c r="EI199"/>
  <c r="FS199" s="1"/>
  <c r="EH199"/>
  <c r="FR199" s="1"/>
  <c r="EG199"/>
  <c r="FQ199" s="1"/>
  <c r="EF199"/>
  <c r="FP199" s="1"/>
  <c r="EE199"/>
  <c r="FO199"/>
  <c r="ED199"/>
  <c r="FN199" s="1"/>
  <c r="EC199"/>
  <c r="FM199" s="1"/>
  <c r="EB199"/>
  <c r="FL199" s="1"/>
  <c r="EA199"/>
  <c r="FK199" s="1"/>
  <c r="DZ199"/>
  <c r="FJ199" s="1"/>
  <c r="DY199"/>
  <c r="FI199"/>
  <c r="DX199"/>
  <c r="FH199" s="1"/>
  <c r="DW199"/>
  <c r="FG199"/>
  <c r="DV199"/>
  <c r="FF199" s="1"/>
  <c r="DU199"/>
  <c r="FE199" s="1"/>
  <c r="DT199"/>
  <c r="FD199" s="1"/>
  <c r="DS199"/>
  <c r="FC199"/>
  <c r="DR199"/>
  <c r="FB199" s="1"/>
  <c r="DQ199"/>
  <c r="FA199"/>
  <c r="DP199"/>
  <c r="EZ199" s="1"/>
  <c r="DO199"/>
  <c r="EY199"/>
  <c r="DN199"/>
  <c r="EX199" s="1"/>
  <c r="DM199"/>
  <c r="EW199" s="1"/>
  <c r="DL199"/>
  <c r="EV199" s="1"/>
  <c r="DK199"/>
  <c r="EU199"/>
  <c r="DJ199"/>
  <c r="ET199" s="1"/>
  <c r="DI199"/>
  <c r="ES199" s="1"/>
  <c r="DH199"/>
  <c r="ER199" s="1"/>
  <c r="DG199"/>
  <c r="EQ199"/>
  <c r="EK199"/>
  <c r="DD199"/>
  <c r="DE199"/>
  <c r="DC199"/>
  <c r="CZ199"/>
  <c r="CM199"/>
  <c r="CL199"/>
  <c r="CK199"/>
  <c r="AY199"/>
  <c r="B199"/>
  <c r="DF198"/>
  <c r="EK198" s="1"/>
  <c r="EJ198"/>
  <c r="FT198"/>
  <c r="EI198"/>
  <c r="FS198" s="1"/>
  <c r="EH198"/>
  <c r="FR198"/>
  <c r="EG198"/>
  <c r="FQ198" s="1"/>
  <c r="EF198"/>
  <c r="FP198"/>
  <c r="EE198"/>
  <c r="FO198" s="1"/>
  <c r="ED198"/>
  <c r="FN198"/>
  <c r="EC198"/>
  <c r="FM198" s="1"/>
  <c r="EB198"/>
  <c r="FL198"/>
  <c r="EA198"/>
  <c r="FK198" s="1"/>
  <c r="DZ198"/>
  <c r="FJ198"/>
  <c r="DY198"/>
  <c r="FI198" s="1"/>
  <c r="DX198"/>
  <c r="FH198"/>
  <c r="DW198"/>
  <c r="FG198" s="1"/>
  <c r="DV198"/>
  <c r="FF198"/>
  <c r="DU198"/>
  <c r="FE198" s="1"/>
  <c r="DT198"/>
  <c r="FD198"/>
  <c r="DS198"/>
  <c r="FC198" s="1"/>
  <c r="DR198"/>
  <c r="FB198"/>
  <c r="DQ198"/>
  <c r="FA198" s="1"/>
  <c r="DP198"/>
  <c r="EZ198"/>
  <c r="DO198"/>
  <c r="EY198" s="1"/>
  <c r="DN198"/>
  <c r="EX198"/>
  <c r="DM198"/>
  <c r="EW198" s="1"/>
  <c r="DL198"/>
  <c r="EV198"/>
  <c r="DK198"/>
  <c r="EU198" s="1"/>
  <c r="DJ198"/>
  <c r="ET198"/>
  <c r="DI198"/>
  <c r="ES198" s="1"/>
  <c r="DH198"/>
  <c r="ER198"/>
  <c r="DG198"/>
  <c r="EQ198" s="1"/>
  <c r="DD198"/>
  <c r="DE198" s="1"/>
  <c r="DC198"/>
  <c r="CZ198"/>
  <c r="CM198"/>
  <c r="CL198"/>
  <c r="CK198"/>
  <c r="AY198"/>
  <c r="B198"/>
  <c r="DF197"/>
  <c r="EP197" s="1"/>
  <c r="FU197" s="1"/>
  <c r="EJ197"/>
  <c r="FT197" s="1"/>
  <c r="EI197"/>
  <c r="FS197" s="1"/>
  <c r="EH197"/>
  <c r="FR197" s="1"/>
  <c r="EG197"/>
  <c r="FQ197" s="1"/>
  <c r="EF197"/>
  <c r="FP197"/>
  <c r="EE197"/>
  <c r="FO197" s="1"/>
  <c r="ED197"/>
  <c r="FN197" s="1"/>
  <c r="EC197"/>
  <c r="FM197" s="1"/>
  <c r="EB197"/>
  <c r="FL197" s="1"/>
  <c r="EA197"/>
  <c r="FK197" s="1"/>
  <c r="DZ197"/>
  <c r="FJ197"/>
  <c r="DY197"/>
  <c r="FI197" s="1"/>
  <c r="DX197"/>
  <c r="FH197"/>
  <c r="DW197"/>
  <c r="FG197" s="1"/>
  <c r="DV197"/>
  <c r="FF197" s="1"/>
  <c r="DU197"/>
  <c r="FE197" s="1"/>
  <c r="DT197"/>
  <c r="FD197"/>
  <c r="DS197"/>
  <c r="FC197" s="1"/>
  <c r="DR197"/>
  <c r="FB197"/>
  <c r="DQ197"/>
  <c r="FA197" s="1"/>
  <c r="DP197"/>
  <c r="EZ197"/>
  <c r="DO197"/>
  <c r="EY197" s="1"/>
  <c r="DN197"/>
  <c r="EX197" s="1"/>
  <c r="DM197"/>
  <c r="EW197" s="1"/>
  <c r="DL197"/>
  <c r="EV197"/>
  <c r="DK197"/>
  <c r="EU197" s="1"/>
  <c r="DJ197"/>
  <c r="ET197" s="1"/>
  <c r="DI197"/>
  <c r="ES197" s="1"/>
  <c r="DH197"/>
  <c r="ER197"/>
  <c r="DG197"/>
  <c r="EQ197" s="1"/>
  <c r="EK197"/>
  <c r="DD197"/>
  <c r="DC197" s="1"/>
  <c r="DE197"/>
  <c r="CZ197"/>
  <c r="CM197"/>
  <c r="CL197"/>
  <c r="CK197"/>
  <c r="AY197"/>
  <c r="B197"/>
  <c r="DF196"/>
  <c r="EP196" s="1"/>
  <c r="FU196" s="1"/>
  <c r="EJ196"/>
  <c r="FT196"/>
  <c r="EI196"/>
  <c r="FS196"/>
  <c r="EH196"/>
  <c r="FR196"/>
  <c r="EG196"/>
  <c r="FQ196"/>
  <c r="EF196"/>
  <c r="FP196"/>
  <c r="EE196"/>
  <c r="FO196"/>
  <c r="ED196"/>
  <c r="FN196"/>
  <c r="EC196"/>
  <c r="FM196"/>
  <c r="EB196"/>
  <c r="FL196"/>
  <c r="EA196"/>
  <c r="FK196"/>
  <c r="DZ196"/>
  <c r="FJ196"/>
  <c r="DY196"/>
  <c r="FI196"/>
  <c r="DX196"/>
  <c r="FH196"/>
  <c r="DW196"/>
  <c r="FG196"/>
  <c r="DV196"/>
  <c r="FF196"/>
  <c r="DU196"/>
  <c r="FE196"/>
  <c r="DT196"/>
  <c r="FD196"/>
  <c r="DS196"/>
  <c r="FC196"/>
  <c r="DR196"/>
  <c r="FB196"/>
  <c r="DQ196"/>
  <c r="FA196"/>
  <c r="DP196"/>
  <c r="EZ196"/>
  <c r="DO196"/>
  <c r="EY196"/>
  <c r="DN196"/>
  <c r="EX196"/>
  <c r="DM196"/>
  <c r="EW196"/>
  <c r="DL196"/>
  <c r="EV196"/>
  <c r="DK196"/>
  <c r="EU196"/>
  <c r="DJ196"/>
  <c r="ET196"/>
  <c r="DI196"/>
  <c r="ES196"/>
  <c r="DH196"/>
  <c r="ER196"/>
  <c r="DG196"/>
  <c r="EQ196"/>
  <c r="DD196"/>
  <c r="CZ196"/>
  <c r="CM196"/>
  <c r="CL196"/>
  <c r="CK196"/>
  <c r="AY196"/>
  <c r="B196"/>
  <c r="DF195"/>
  <c r="EP195"/>
  <c r="FU195" s="1"/>
  <c r="EJ195"/>
  <c r="FT195" s="1"/>
  <c r="EI195"/>
  <c r="FS195" s="1"/>
  <c r="EH195"/>
  <c r="FR195" s="1"/>
  <c r="EG195"/>
  <c r="FQ195" s="1"/>
  <c r="EF195"/>
  <c r="FP195" s="1"/>
  <c r="EE195"/>
  <c r="FO195" s="1"/>
  <c r="ED195"/>
  <c r="FN195" s="1"/>
  <c r="EC195"/>
  <c r="FM195"/>
  <c r="EB195"/>
  <c r="FL195" s="1"/>
  <c r="EA195"/>
  <c r="FK195" s="1"/>
  <c r="DZ195"/>
  <c r="FJ195" s="1"/>
  <c r="DY195"/>
  <c r="FI195" s="1"/>
  <c r="DX195"/>
  <c r="FH195" s="1"/>
  <c r="DW195"/>
  <c r="FG195"/>
  <c r="DV195"/>
  <c r="FF195" s="1"/>
  <c r="DU195"/>
  <c r="FE195"/>
  <c r="DT195"/>
  <c r="FD195" s="1"/>
  <c r="DS195"/>
  <c r="FC195" s="1"/>
  <c r="DR195"/>
  <c r="FB195" s="1"/>
  <c r="DQ195"/>
  <c r="FA195"/>
  <c r="DP195"/>
  <c r="EZ195" s="1"/>
  <c r="DO195"/>
  <c r="EY195" s="1"/>
  <c r="DN195"/>
  <c r="EX195" s="1"/>
  <c r="DM195"/>
  <c r="EW195"/>
  <c r="DL195"/>
  <c r="EV195" s="1"/>
  <c r="DK195"/>
  <c r="EU195" s="1"/>
  <c r="DJ195"/>
  <c r="ET195" s="1"/>
  <c r="DI195"/>
  <c r="ES195" s="1"/>
  <c r="DH195"/>
  <c r="ER195" s="1"/>
  <c r="DG195"/>
  <c r="EQ195" s="1"/>
  <c r="EK195"/>
  <c r="DD195"/>
  <c r="DE195"/>
  <c r="DC195"/>
  <c r="CZ195"/>
  <c r="CM195"/>
  <c r="CL195"/>
  <c r="CK195"/>
  <c r="AY195"/>
  <c r="B195"/>
  <c r="DF194"/>
  <c r="EJ194"/>
  <c r="FT194"/>
  <c r="EI194"/>
  <c r="FS194" s="1"/>
  <c r="EH194"/>
  <c r="FR194"/>
  <c r="EG194"/>
  <c r="FQ194" s="1"/>
  <c r="EF194"/>
  <c r="FP194"/>
  <c r="EE194"/>
  <c r="FO194" s="1"/>
  <c r="ED194"/>
  <c r="FN194"/>
  <c r="EC194"/>
  <c r="FM194" s="1"/>
  <c r="EB194"/>
  <c r="FL194"/>
  <c r="EA194"/>
  <c r="FK194" s="1"/>
  <c r="DZ194"/>
  <c r="FJ194"/>
  <c r="DY194"/>
  <c r="FI194" s="1"/>
  <c r="DX194"/>
  <c r="FH194"/>
  <c r="DW194"/>
  <c r="FG194" s="1"/>
  <c r="DV194"/>
  <c r="FF194"/>
  <c r="DU194"/>
  <c r="FE194" s="1"/>
  <c r="DT194"/>
  <c r="FD194"/>
  <c r="DS194"/>
  <c r="FC194" s="1"/>
  <c r="DR194"/>
  <c r="FB194"/>
  <c r="DQ194"/>
  <c r="FA194" s="1"/>
  <c r="DP194"/>
  <c r="EZ194"/>
  <c r="DO194"/>
  <c r="EY194" s="1"/>
  <c r="DN194"/>
  <c r="EX194"/>
  <c r="DM194"/>
  <c r="EW194" s="1"/>
  <c r="DL194"/>
  <c r="EV194"/>
  <c r="DK194"/>
  <c r="EU194" s="1"/>
  <c r="DJ194"/>
  <c r="ET194"/>
  <c r="DI194"/>
  <c r="ES194" s="1"/>
  <c r="DH194"/>
  <c r="ER194"/>
  <c r="DG194"/>
  <c r="EQ194" s="1"/>
  <c r="DD194"/>
  <c r="DE194"/>
  <c r="DC194"/>
  <c r="CZ194"/>
  <c r="CM194"/>
  <c r="CL194"/>
  <c r="CK194"/>
  <c r="AY194"/>
  <c r="B194"/>
  <c r="DF193"/>
  <c r="EJ193"/>
  <c r="FT193" s="1"/>
  <c r="EI193"/>
  <c r="FS193" s="1"/>
  <c r="EH193"/>
  <c r="FR193" s="1"/>
  <c r="EG193"/>
  <c r="FQ193" s="1"/>
  <c r="EF193"/>
  <c r="FP193"/>
  <c r="EE193"/>
  <c r="FO193" s="1"/>
  <c r="ED193"/>
  <c r="FN193"/>
  <c r="EC193"/>
  <c r="FM193" s="1"/>
  <c r="EB193"/>
  <c r="FL193" s="1"/>
  <c r="EA193"/>
  <c r="FK193" s="1"/>
  <c r="DZ193"/>
  <c r="FJ193"/>
  <c r="DY193"/>
  <c r="FI193" s="1"/>
  <c r="DX193"/>
  <c r="FH193"/>
  <c r="DW193"/>
  <c r="FG193" s="1"/>
  <c r="DV193"/>
  <c r="FF193"/>
  <c r="DU193"/>
  <c r="FE193" s="1"/>
  <c r="DT193"/>
  <c r="FD193" s="1"/>
  <c r="DS193"/>
  <c r="FC193" s="1"/>
  <c r="DR193"/>
  <c r="FB193"/>
  <c r="DQ193"/>
  <c r="FA193" s="1"/>
  <c r="DP193"/>
  <c r="EZ193" s="1"/>
  <c r="DO193"/>
  <c r="EY193" s="1"/>
  <c r="DN193"/>
  <c r="EX193"/>
  <c r="DM193"/>
  <c r="EW193" s="1"/>
  <c r="DL193"/>
  <c r="EV193" s="1"/>
  <c r="DK193"/>
  <c r="EU193" s="1"/>
  <c r="DJ193"/>
  <c r="ET193" s="1"/>
  <c r="DI193"/>
  <c r="ES193" s="1"/>
  <c r="DH193"/>
  <c r="ER193" s="1"/>
  <c r="DG193"/>
  <c r="EQ193" s="1"/>
  <c r="DD193"/>
  <c r="CZ193"/>
  <c r="CM193"/>
  <c r="CL193"/>
  <c r="CK193"/>
  <c r="AY193"/>
  <c r="B193"/>
  <c r="DF192"/>
  <c r="EJ192"/>
  <c r="FT192" s="1"/>
  <c r="EI192"/>
  <c r="FS192"/>
  <c r="EH192"/>
  <c r="FR192" s="1"/>
  <c r="EG192"/>
  <c r="FQ192"/>
  <c r="EF192"/>
  <c r="FP192" s="1"/>
  <c r="EE192"/>
  <c r="FO192"/>
  <c r="ED192"/>
  <c r="FN192" s="1"/>
  <c r="EC192"/>
  <c r="FM192"/>
  <c r="EB192"/>
  <c r="FL192" s="1"/>
  <c r="EA192"/>
  <c r="FK192"/>
  <c r="DZ192"/>
  <c r="FJ192" s="1"/>
  <c r="DY192"/>
  <c r="FI192"/>
  <c r="DX192"/>
  <c r="FH192" s="1"/>
  <c r="DW192"/>
  <c r="FG192"/>
  <c r="DV192"/>
  <c r="FF192" s="1"/>
  <c r="DU192"/>
  <c r="FE192"/>
  <c r="DT192"/>
  <c r="FD192" s="1"/>
  <c r="DS192"/>
  <c r="FC192"/>
  <c r="DR192"/>
  <c r="FB192" s="1"/>
  <c r="DQ192"/>
  <c r="FA192"/>
  <c r="DP192"/>
  <c r="EZ192" s="1"/>
  <c r="DO192"/>
  <c r="EY192"/>
  <c r="DN192"/>
  <c r="EX192" s="1"/>
  <c r="DM192"/>
  <c r="EW192"/>
  <c r="DL192"/>
  <c r="EV192" s="1"/>
  <c r="DK192"/>
  <c r="EU192"/>
  <c r="DJ192"/>
  <c r="ET192" s="1"/>
  <c r="DI192"/>
  <c r="ES192"/>
  <c r="DH192"/>
  <c r="ER192" s="1"/>
  <c r="DG192"/>
  <c r="EQ192"/>
  <c r="DD192"/>
  <c r="DE192" s="1"/>
  <c r="DC192"/>
  <c r="CZ192"/>
  <c r="CM192"/>
  <c r="CL192"/>
  <c r="CK192"/>
  <c r="AY192"/>
  <c r="B192"/>
  <c r="DF191"/>
  <c r="EP191" s="1"/>
  <c r="FU191" s="1"/>
  <c r="EJ191"/>
  <c r="FT191" s="1"/>
  <c r="EI191"/>
  <c r="FS191"/>
  <c r="EH191"/>
  <c r="FR191" s="1"/>
  <c r="EG191"/>
  <c r="FQ191" s="1"/>
  <c r="EF191"/>
  <c r="FP191" s="1"/>
  <c r="EE191"/>
  <c r="FO191" s="1"/>
  <c r="ED191"/>
  <c r="FN191" s="1"/>
  <c r="EC191"/>
  <c r="FM191" s="1"/>
  <c r="EB191"/>
  <c r="FL191" s="1"/>
  <c r="EA191"/>
  <c r="FK191"/>
  <c r="DZ191"/>
  <c r="FJ191" s="1"/>
  <c r="DY191"/>
  <c r="FI191" s="1"/>
  <c r="DX191"/>
  <c r="FH191" s="1"/>
  <c r="DW191"/>
  <c r="FG191" s="1"/>
  <c r="DV191"/>
  <c r="FF191" s="1"/>
  <c r="DU191"/>
  <c r="FE191"/>
  <c r="DT191"/>
  <c r="FD191" s="1"/>
  <c r="DS191"/>
  <c r="FC191"/>
  <c r="DR191"/>
  <c r="FB191" s="1"/>
  <c r="DQ191"/>
  <c r="FA191" s="1"/>
  <c r="DP191"/>
  <c r="EZ191" s="1"/>
  <c r="DO191"/>
  <c r="EY191"/>
  <c r="DN191"/>
  <c r="EX191" s="1"/>
  <c r="DM191"/>
  <c r="EW191" s="1"/>
  <c r="DL191"/>
  <c r="EV191" s="1"/>
  <c r="DK191"/>
  <c r="EU191"/>
  <c r="DJ191"/>
  <c r="ET191" s="1"/>
  <c r="DI191"/>
  <c r="ES191" s="1"/>
  <c r="DH191"/>
  <c r="ER191" s="1"/>
  <c r="DG191"/>
  <c r="EQ191" s="1"/>
  <c r="DD191"/>
  <c r="DE191"/>
  <c r="DC191"/>
  <c r="CZ191"/>
  <c r="CM191"/>
  <c r="CL191"/>
  <c r="CK191"/>
  <c r="AY191"/>
  <c r="B191"/>
  <c r="DF190"/>
  <c r="EK190" s="1"/>
  <c r="EJ190"/>
  <c r="FT190"/>
  <c r="EI190"/>
  <c r="FS190" s="1"/>
  <c r="EH190"/>
  <c r="FR190"/>
  <c r="EG190"/>
  <c r="FQ190" s="1"/>
  <c r="EF190"/>
  <c r="FP190"/>
  <c r="EE190"/>
  <c r="FO190" s="1"/>
  <c r="ED190"/>
  <c r="FN190"/>
  <c r="EC190"/>
  <c r="FM190" s="1"/>
  <c r="EB190"/>
  <c r="FL190"/>
  <c r="EA190"/>
  <c r="FK190" s="1"/>
  <c r="DZ190"/>
  <c r="FJ190"/>
  <c r="DY190"/>
  <c r="FI190" s="1"/>
  <c r="DX190"/>
  <c r="FH190"/>
  <c r="DW190"/>
  <c r="FG190" s="1"/>
  <c r="DV190"/>
  <c r="FF190"/>
  <c r="DU190"/>
  <c r="FE190" s="1"/>
  <c r="DT190"/>
  <c r="FD190"/>
  <c r="DS190"/>
  <c r="FC190" s="1"/>
  <c r="DR190"/>
  <c r="FB190"/>
  <c r="DQ190"/>
  <c r="FA190" s="1"/>
  <c r="DP190"/>
  <c r="EZ190"/>
  <c r="DO190"/>
  <c r="EY190" s="1"/>
  <c r="DN190"/>
  <c r="EX190"/>
  <c r="DM190"/>
  <c r="EW190" s="1"/>
  <c r="DL190"/>
  <c r="EV190"/>
  <c r="DK190"/>
  <c r="EU190" s="1"/>
  <c r="DJ190"/>
  <c r="ET190"/>
  <c r="DI190"/>
  <c r="ES190" s="1"/>
  <c r="DH190"/>
  <c r="ER190"/>
  <c r="DG190"/>
  <c r="EQ190" s="1"/>
  <c r="DD190"/>
  <c r="CZ190"/>
  <c r="CM190"/>
  <c r="CL190"/>
  <c r="CK190"/>
  <c r="AY190"/>
  <c r="B190"/>
  <c r="DF189"/>
  <c r="EP189" s="1"/>
  <c r="FU189" s="1"/>
  <c r="EJ189"/>
  <c r="FT189"/>
  <c r="EI189"/>
  <c r="FS189" s="1"/>
  <c r="EH189"/>
  <c r="FR189" s="1"/>
  <c r="EG189"/>
  <c r="FQ189" s="1"/>
  <c r="EF189"/>
  <c r="FP189" s="1"/>
  <c r="EE189"/>
  <c r="FO189" s="1"/>
  <c r="ED189"/>
  <c r="FN189"/>
  <c r="EC189"/>
  <c r="FM189" s="1"/>
  <c r="EB189"/>
  <c r="FL189" s="1"/>
  <c r="EA189"/>
  <c r="FK189" s="1"/>
  <c r="DZ189"/>
  <c r="FJ189" s="1"/>
  <c r="DY189"/>
  <c r="FI189" s="1"/>
  <c r="DX189"/>
  <c r="FH189"/>
  <c r="DW189"/>
  <c r="FG189" s="1"/>
  <c r="DV189"/>
  <c r="FF189" s="1"/>
  <c r="DU189"/>
  <c r="FE189" s="1"/>
  <c r="DT189"/>
  <c r="FD189" s="1"/>
  <c r="DS189"/>
  <c r="FC189" s="1"/>
  <c r="DR189"/>
  <c r="FB189" s="1"/>
  <c r="DQ189"/>
  <c r="FA189" s="1"/>
  <c r="DP189"/>
  <c r="EZ189" s="1"/>
  <c r="DO189"/>
  <c r="EY189" s="1"/>
  <c r="DN189"/>
  <c r="EX189" s="1"/>
  <c r="DM189"/>
  <c r="EW189" s="1"/>
  <c r="DL189"/>
  <c r="EV189"/>
  <c r="DK189"/>
  <c r="EU189" s="1"/>
  <c r="DJ189"/>
  <c r="ET189" s="1"/>
  <c r="DI189"/>
  <c r="ES189" s="1"/>
  <c r="DH189"/>
  <c r="ER189" s="1"/>
  <c r="DG189"/>
  <c r="EQ189" s="1"/>
  <c r="EK189"/>
  <c r="DD189"/>
  <c r="DC189" s="1"/>
  <c r="CZ189"/>
  <c r="CM189"/>
  <c r="CL189"/>
  <c r="CK189"/>
  <c r="AY189"/>
  <c r="B189"/>
  <c r="DF188"/>
  <c r="EJ188"/>
  <c r="FT188" s="1"/>
  <c r="EI188"/>
  <c r="FS188" s="1"/>
  <c r="EH188"/>
  <c r="FR188" s="1"/>
  <c r="EG188"/>
  <c r="FQ188" s="1"/>
  <c r="EF188"/>
  <c r="FP188" s="1"/>
  <c r="EE188"/>
  <c r="FO188" s="1"/>
  <c r="ED188"/>
  <c r="FN188" s="1"/>
  <c r="EC188"/>
  <c r="FM188" s="1"/>
  <c r="EB188"/>
  <c r="FL188" s="1"/>
  <c r="EA188"/>
  <c r="FK188" s="1"/>
  <c r="DZ188"/>
  <c r="FJ188" s="1"/>
  <c r="DY188"/>
  <c r="FI188" s="1"/>
  <c r="DX188"/>
  <c r="FH188" s="1"/>
  <c r="DW188"/>
  <c r="FG188" s="1"/>
  <c r="DV188"/>
  <c r="FF188" s="1"/>
  <c r="DU188"/>
  <c r="FE188" s="1"/>
  <c r="DT188"/>
  <c r="FD188" s="1"/>
  <c r="DS188"/>
  <c r="FC188" s="1"/>
  <c r="DR188"/>
  <c r="FB188" s="1"/>
  <c r="DQ188"/>
  <c r="FA188" s="1"/>
  <c r="DP188"/>
  <c r="EZ188" s="1"/>
  <c r="DO188"/>
  <c r="EY188" s="1"/>
  <c r="DN188"/>
  <c r="EX188"/>
  <c r="DM188"/>
  <c r="EW188" s="1"/>
  <c r="DL188"/>
  <c r="EV188"/>
  <c r="DK188"/>
  <c r="EU188" s="1"/>
  <c r="DJ188"/>
  <c r="ET188"/>
  <c r="DI188"/>
  <c r="ES188" s="1"/>
  <c r="DH188"/>
  <c r="ER188"/>
  <c r="DG188"/>
  <c r="EQ188" s="1"/>
  <c r="DD188"/>
  <c r="DE188" s="1"/>
  <c r="DC188"/>
  <c r="CZ188"/>
  <c r="CM188"/>
  <c r="CL188"/>
  <c r="CK188"/>
  <c r="AY188"/>
  <c r="B188"/>
  <c r="CX187"/>
  <c r="CZ187"/>
  <c r="DZ187" s="1"/>
  <c r="DH187"/>
  <c r="DP187"/>
  <c r="DV187"/>
  <c r="ED187"/>
  <c r="EH187"/>
  <c r="DD187"/>
  <c r="BA187"/>
  <c r="CM187"/>
  <c r="CL187"/>
  <c r="CK187"/>
  <c r="AY187"/>
  <c r="B178"/>
  <c r="CX186"/>
  <c r="CZ186"/>
  <c r="DJ186"/>
  <c r="DN186"/>
  <c r="EX186" s="1"/>
  <c r="DO186"/>
  <c r="EY186" s="1"/>
  <c r="DP186"/>
  <c r="DQ186"/>
  <c r="DR186"/>
  <c r="FB186" s="1"/>
  <c r="DS186"/>
  <c r="DT186"/>
  <c r="DU186"/>
  <c r="DV186"/>
  <c r="FF186" s="1"/>
  <c r="DW186"/>
  <c r="DX186"/>
  <c r="DY186"/>
  <c r="DZ186"/>
  <c r="EA186"/>
  <c r="EB186"/>
  <c r="EC186"/>
  <c r="ED186"/>
  <c r="EE186"/>
  <c r="EF186"/>
  <c r="EG186"/>
  <c r="EH186"/>
  <c r="FR186" s="1"/>
  <c r="EI186"/>
  <c r="EJ186"/>
  <c r="DD186"/>
  <c r="BA186"/>
  <c r="CM186"/>
  <c r="CL186"/>
  <c r="CK186"/>
  <c r="AY186"/>
  <c r="B184"/>
  <c r="CX185"/>
  <c r="CZ185"/>
  <c r="DK185"/>
  <c r="DO185"/>
  <c r="EY185" s="1"/>
  <c r="DS185"/>
  <c r="DW185"/>
  <c r="EA185"/>
  <c r="EC185"/>
  <c r="FM185" s="1"/>
  <c r="EE185"/>
  <c r="DD185"/>
  <c r="DE185"/>
  <c r="DC185"/>
  <c r="BA185"/>
  <c r="CM185" s="1"/>
  <c r="CL185"/>
  <c r="CK185"/>
  <c r="AY185"/>
  <c r="B181"/>
  <c r="CX184"/>
  <c r="CZ184"/>
  <c r="DF184"/>
  <c r="DL184"/>
  <c r="DT184"/>
  <c r="EA184"/>
  <c r="EI184"/>
  <c r="FS184" s="1"/>
  <c r="DD184"/>
  <c r="BA184"/>
  <c r="CM184"/>
  <c r="CL184"/>
  <c r="CK184"/>
  <c r="AY184"/>
  <c r="B180"/>
  <c r="CX183"/>
  <c r="CZ183"/>
  <c r="DH183"/>
  <c r="DL183"/>
  <c r="DP183"/>
  <c r="EZ183" s="1"/>
  <c r="DR183"/>
  <c r="DT183"/>
  <c r="DZ183"/>
  <c r="FJ183" s="1"/>
  <c r="EF183"/>
  <c r="EH183"/>
  <c r="EJ183"/>
  <c r="DD183"/>
  <c r="DC183" s="1"/>
  <c r="DE183"/>
  <c r="BA183"/>
  <c r="CM183" s="1"/>
  <c r="CL183"/>
  <c r="CK183"/>
  <c r="AY183"/>
  <c r="B185"/>
  <c r="CX182"/>
  <c r="CZ182"/>
  <c r="DF182"/>
  <c r="DG182"/>
  <c r="DH182"/>
  <c r="DI182"/>
  <c r="ES182" s="1"/>
  <c r="DJ182"/>
  <c r="DK182"/>
  <c r="DL182"/>
  <c r="DM182"/>
  <c r="EW182" s="1"/>
  <c r="DN182"/>
  <c r="DO182"/>
  <c r="DP182"/>
  <c r="DQ182"/>
  <c r="DR182"/>
  <c r="FB182" s="1"/>
  <c r="DS182"/>
  <c r="DT182"/>
  <c r="DU182"/>
  <c r="DV182"/>
  <c r="FF182" s="1"/>
  <c r="DW182"/>
  <c r="DX182"/>
  <c r="DY182"/>
  <c r="DZ182"/>
  <c r="EA182"/>
  <c r="EB182"/>
  <c r="EC182"/>
  <c r="ED182"/>
  <c r="EE182"/>
  <c r="EF182"/>
  <c r="EG182"/>
  <c r="EH182"/>
  <c r="EI182"/>
  <c r="EJ182"/>
  <c r="DD182"/>
  <c r="BA182"/>
  <c r="CM182"/>
  <c r="CL182"/>
  <c r="CK182"/>
  <c r="AY182"/>
  <c r="B183"/>
  <c r="CX181"/>
  <c r="CZ181"/>
  <c r="DO181"/>
  <c r="EY181" s="1"/>
  <c r="DQ181"/>
  <c r="DS181"/>
  <c r="FC181" s="1"/>
  <c r="DU181"/>
  <c r="DW181"/>
  <c r="DY181"/>
  <c r="EA181"/>
  <c r="EC181"/>
  <c r="EE181"/>
  <c r="EG181"/>
  <c r="EI181"/>
  <c r="DD181"/>
  <c r="DE181"/>
  <c r="DC181"/>
  <c r="BA181"/>
  <c r="CM181" s="1"/>
  <c r="CL181"/>
  <c r="CK181"/>
  <c r="AY181"/>
  <c r="B186"/>
  <c r="CX180"/>
  <c r="CZ180"/>
  <c r="DF180"/>
  <c r="DH180"/>
  <c r="DJ180"/>
  <c r="DK180"/>
  <c r="DN180"/>
  <c r="DP180"/>
  <c r="DQ180"/>
  <c r="FA180" s="1"/>
  <c r="DR180"/>
  <c r="FB180" s="1"/>
  <c r="DS180"/>
  <c r="DU180"/>
  <c r="DV180"/>
  <c r="FF180" s="1"/>
  <c r="DX180"/>
  <c r="DY180"/>
  <c r="DZ180"/>
  <c r="FJ180" s="1"/>
  <c r="EA180"/>
  <c r="EC180"/>
  <c r="FM180" s="1"/>
  <c r="ED180"/>
  <c r="EF180"/>
  <c r="EG180"/>
  <c r="EH180"/>
  <c r="EI180"/>
  <c r="DD180"/>
  <c r="DE180" s="1"/>
  <c r="DC180"/>
  <c r="BA180"/>
  <c r="CM180" s="1"/>
  <c r="CL180"/>
  <c r="CK180"/>
  <c r="AY180"/>
  <c r="B187"/>
  <c r="CX179"/>
  <c r="CZ179"/>
  <c r="DP179"/>
  <c r="DR179"/>
  <c r="FB179" s="1"/>
  <c r="EF179"/>
  <c r="EH179"/>
  <c r="DD179"/>
  <c r="DC179" s="1"/>
  <c r="BA179"/>
  <c r="CM179"/>
  <c r="CL179"/>
  <c r="CK179"/>
  <c r="AY179"/>
  <c r="B179"/>
  <c r="CX178"/>
  <c r="DH178" s="1"/>
  <c r="CZ178"/>
  <c r="DF178"/>
  <c r="DG178"/>
  <c r="DI178"/>
  <c r="DJ178"/>
  <c r="DK178"/>
  <c r="DL178"/>
  <c r="DN178"/>
  <c r="DO178"/>
  <c r="DP178"/>
  <c r="DQ178"/>
  <c r="DR178"/>
  <c r="DS178"/>
  <c r="DT178"/>
  <c r="DU178"/>
  <c r="DV178"/>
  <c r="DW178"/>
  <c r="DX178"/>
  <c r="DY178"/>
  <c r="DZ178"/>
  <c r="EA178"/>
  <c r="EB178"/>
  <c r="EC178"/>
  <c r="ED178"/>
  <c r="EE178"/>
  <c r="EF178"/>
  <c r="EG178"/>
  <c r="EH178"/>
  <c r="EI178"/>
  <c r="EJ178"/>
  <c r="DD178"/>
  <c r="DC178" s="1"/>
  <c r="DE178"/>
  <c r="CL178"/>
  <c r="CK178"/>
  <c r="AY178"/>
  <c r="B182"/>
  <c r="CX177"/>
  <c r="CZ177"/>
  <c r="DF177"/>
  <c r="DH177"/>
  <c r="DN177"/>
  <c r="EX177" s="1"/>
  <c r="DP177"/>
  <c r="DV177"/>
  <c r="DX177"/>
  <c r="ED177"/>
  <c r="EF177"/>
  <c r="DD177"/>
  <c r="BA177"/>
  <c r="CM177"/>
  <c r="CL177"/>
  <c r="CK177"/>
  <c r="AY177"/>
  <c r="B176"/>
  <c r="CZ176"/>
  <c r="DK176"/>
  <c r="DM176"/>
  <c r="EW176" s="1"/>
  <c r="DS176"/>
  <c r="DU176"/>
  <c r="EA176"/>
  <c r="EC176"/>
  <c r="EI176"/>
  <c r="DD176"/>
  <c r="DE176"/>
  <c r="DC176"/>
  <c r="BA176"/>
  <c r="CM176" s="1"/>
  <c r="CL176"/>
  <c r="CK176"/>
  <c r="AY176"/>
  <c r="B169"/>
  <c r="CZ175"/>
  <c r="DH175"/>
  <c r="DJ175"/>
  <c r="DL175"/>
  <c r="DP175"/>
  <c r="DR175"/>
  <c r="DT175"/>
  <c r="DX175"/>
  <c r="DZ175"/>
  <c r="EB175"/>
  <c r="EF175"/>
  <c r="EH175"/>
  <c r="FR175" s="1"/>
  <c r="EJ175"/>
  <c r="DD175"/>
  <c r="DC175" s="1"/>
  <c r="DE175"/>
  <c r="BA175"/>
  <c r="CM175" s="1"/>
  <c r="CL175"/>
  <c r="CK175"/>
  <c r="AY175"/>
  <c r="B174"/>
  <c r="CZ174"/>
  <c r="DG174"/>
  <c r="DI174"/>
  <c r="ES174" s="1"/>
  <c r="DK174"/>
  <c r="DM174"/>
  <c r="EW174" s="1"/>
  <c r="DO174"/>
  <c r="DQ174"/>
  <c r="DR174"/>
  <c r="FB174" s="1"/>
  <c r="DS174"/>
  <c r="FC174" s="1"/>
  <c r="DT174"/>
  <c r="DU174"/>
  <c r="DV174"/>
  <c r="FF174" s="1"/>
  <c r="DW174"/>
  <c r="DX174"/>
  <c r="DY174"/>
  <c r="DZ174"/>
  <c r="EA174"/>
  <c r="EB174"/>
  <c r="EC174"/>
  <c r="ED174"/>
  <c r="EE174"/>
  <c r="EF174"/>
  <c r="EG174"/>
  <c r="EH174"/>
  <c r="FR174" s="1"/>
  <c r="EI174"/>
  <c r="EJ174"/>
  <c r="DD174"/>
  <c r="DE174" s="1"/>
  <c r="DC174"/>
  <c r="BA174"/>
  <c r="CM174" s="1"/>
  <c r="CL174"/>
  <c r="CK174"/>
  <c r="AY174"/>
  <c r="B172"/>
  <c r="CZ173"/>
  <c r="DF173"/>
  <c r="DG173"/>
  <c r="DH173"/>
  <c r="DI173"/>
  <c r="ES173" s="1"/>
  <c r="DJ173"/>
  <c r="DK173"/>
  <c r="DL173"/>
  <c r="EV173" s="1"/>
  <c r="DM173"/>
  <c r="EW173" s="1"/>
  <c r="DN173"/>
  <c r="DO173"/>
  <c r="DP173"/>
  <c r="DQ173"/>
  <c r="DR173"/>
  <c r="DS173"/>
  <c r="DT173"/>
  <c r="DU173"/>
  <c r="DV173"/>
  <c r="DW173"/>
  <c r="DX173"/>
  <c r="DY173"/>
  <c r="DZ173"/>
  <c r="EA173"/>
  <c r="EB173"/>
  <c r="EC173"/>
  <c r="ED173"/>
  <c r="EE173"/>
  <c r="FO173" s="1"/>
  <c r="EF173"/>
  <c r="EG173"/>
  <c r="EH173"/>
  <c r="EI173"/>
  <c r="EJ173"/>
  <c r="DD173"/>
  <c r="BA173"/>
  <c r="CM173"/>
  <c r="CL173"/>
  <c r="CK173"/>
  <c r="AY173"/>
  <c r="B175"/>
  <c r="CZ172"/>
  <c r="DD172"/>
  <c r="DE172" s="1"/>
  <c r="DC172"/>
  <c r="BA172"/>
  <c r="CM172" s="1"/>
  <c r="CL172"/>
  <c r="CK172"/>
  <c r="AY172"/>
  <c r="B170"/>
  <c r="CX171"/>
  <c r="CZ171"/>
  <c r="DF171"/>
  <c r="DH171"/>
  <c r="DJ171"/>
  <c r="DL171"/>
  <c r="DN171"/>
  <c r="DP171"/>
  <c r="DR171"/>
  <c r="FB171" s="1"/>
  <c r="DT171"/>
  <c r="DV171"/>
  <c r="DX171"/>
  <c r="DZ171"/>
  <c r="FJ171" s="1"/>
  <c r="EB171"/>
  <c r="ED171"/>
  <c r="EF171"/>
  <c r="FP171" s="1"/>
  <c r="EH171"/>
  <c r="EJ171"/>
  <c r="DD171"/>
  <c r="BA171"/>
  <c r="CM171"/>
  <c r="CL171"/>
  <c r="CK171"/>
  <c r="AY171"/>
  <c r="B168"/>
  <c r="CX170"/>
  <c r="CZ170"/>
  <c r="DF170"/>
  <c r="DG170"/>
  <c r="DH170"/>
  <c r="DI170"/>
  <c r="ES170" s="1"/>
  <c r="DJ170"/>
  <c r="DK170"/>
  <c r="DL170"/>
  <c r="DM170"/>
  <c r="EW170" s="1"/>
  <c r="DN170"/>
  <c r="EX170" s="1"/>
  <c r="DO170"/>
  <c r="EY170" s="1"/>
  <c r="DP170"/>
  <c r="DQ170"/>
  <c r="DR170"/>
  <c r="FB170" s="1"/>
  <c r="DS170"/>
  <c r="DT170"/>
  <c r="DU170"/>
  <c r="DV170"/>
  <c r="FF170" s="1"/>
  <c r="DW170"/>
  <c r="DX170"/>
  <c r="DY170"/>
  <c r="DZ170"/>
  <c r="EA170"/>
  <c r="EB170"/>
  <c r="EC170"/>
  <c r="ED170"/>
  <c r="EE170"/>
  <c r="EF170"/>
  <c r="EG170"/>
  <c r="EH170"/>
  <c r="FR170" s="1"/>
  <c r="EI170"/>
  <c r="FS170" s="1"/>
  <c r="EJ170"/>
  <c r="DD170"/>
  <c r="DC170" s="1"/>
  <c r="DE170"/>
  <c r="BA170"/>
  <c r="CM170"/>
  <c r="CL170"/>
  <c r="CK170"/>
  <c r="AY170"/>
  <c r="B171"/>
  <c r="CZ169"/>
  <c r="DI169" s="1"/>
  <c r="ES169" s="1"/>
  <c r="DG169"/>
  <c r="DK169"/>
  <c r="DO169"/>
  <c r="DS169"/>
  <c r="DW169"/>
  <c r="EA169"/>
  <c r="EE169"/>
  <c r="EI169"/>
  <c r="DD169"/>
  <c r="DE169" s="1"/>
  <c r="DC169"/>
  <c r="BA169"/>
  <c r="CM169"/>
  <c r="CL169"/>
  <c r="CK169"/>
  <c r="AY169"/>
  <c r="B177"/>
  <c r="CX168"/>
  <c r="CZ168"/>
  <c r="DZ168" s="1"/>
  <c r="DJ168"/>
  <c r="DP168"/>
  <c r="EF168"/>
  <c r="DD168"/>
  <c r="DC168" s="1"/>
  <c r="DE168"/>
  <c r="CL168"/>
  <c r="CK168"/>
  <c r="AY168"/>
  <c r="B173"/>
  <c r="CX167"/>
  <c r="CZ167"/>
  <c r="DZ167" s="1"/>
  <c r="DJ167"/>
  <c r="DK167"/>
  <c r="DP167"/>
  <c r="DU167"/>
  <c r="EA167"/>
  <c r="EF167"/>
  <c r="DD167"/>
  <c r="DE167" s="1"/>
  <c r="DC167"/>
  <c r="BA167"/>
  <c r="CM167"/>
  <c r="CL167"/>
  <c r="CK167"/>
  <c r="AY167"/>
  <c r="B163"/>
  <c r="CW166"/>
  <c r="CX166"/>
  <c r="CZ166"/>
  <c r="DF166"/>
  <c r="DK166"/>
  <c r="DP166"/>
  <c r="DQ166"/>
  <c r="DV166"/>
  <c r="EA166"/>
  <c r="EF166"/>
  <c r="FP166" s="1"/>
  <c r="EG166"/>
  <c r="DD166"/>
  <c r="BA166"/>
  <c r="CM166"/>
  <c r="CL166"/>
  <c r="CK166"/>
  <c r="AY166"/>
  <c r="B165"/>
  <c r="CZ165"/>
  <c r="DF165"/>
  <c r="DG165"/>
  <c r="DH165"/>
  <c r="DI165"/>
  <c r="ES165" s="1"/>
  <c r="DJ165"/>
  <c r="DK165"/>
  <c r="DL165"/>
  <c r="DM165"/>
  <c r="EW165" s="1"/>
  <c r="DN165"/>
  <c r="DO165"/>
  <c r="EY165" s="1"/>
  <c r="DP165"/>
  <c r="DQ165"/>
  <c r="DR165"/>
  <c r="DS165"/>
  <c r="DT165"/>
  <c r="FD165" s="1"/>
  <c r="DU165"/>
  <c r="DV165"/>
  <c r="DW165"/>
  <c r="DX165"/>
  <c r="DY165"/>
  <c r="FI165" s="1"/>
  <c r="DZ165"/>
  <c r="FJ165" s="1"/>
  <c r="EA165"/>
  <c r="EB165"/>
  <c r="EC165"/>
  <c r="FM165" s="1"/>
  <c r="ED165"/>
  <c r="EE165"/>
  <c r="EF165"/>
  <c r="FP165" s="1"/>
  <c r="EG165"/>
  <c r="FQ165" s="1"/>
  <c r="EH165"/>
  <c r="EI165"/>
  <c r="EJ165"/>
  <c r="DD165"/>
  <c r="DE165"/>
  <c r="DC165"/>
  <c r="BA165"/>
  <c r="CM165"/>
  <c r="CL165"/>
  <c r="CK165"/>
  <c r="AY165"/>
  <c r="B158"/>
  <c r="CZ164"/>
  <c r="DJ164" s="1"/>
  <c r="DF164"/>
  <c r="DG164"/>
  <c r="DH164"/>
  <c r="DI164"/>
  <c r="ES164" s="1"/>
  <c r="DK164"/>
  <c r="DL164"/>
  <c r="EV164" s="1"/>
  <c r="DN164"/>
  <c r="EX164" s="1"/>
  <c r="DO164"/>
  <c r="DP164"/>
  <c r="DQ164"/>
  <c r="FA164" s="1"/>
  <c r="DS164"/>
  <c r="DT164"/>
  <c r="DV164"/>
  <c r="DW164"/>
  <c r="DX164"/>
  <c r="DY164"/>
  <c r="EA164"/>
  <c r="EB164"/>
  <c r="ED164"/>
  <c r="EE164"/>
  <c r="EF164"/>
  <c r="EG164"/>
  <c r="EI164"/>
  <c r="EJ164"/>
  <c r="DD164"/>
  <c r="DE164" s="1"/>
  <c r="DC164"/>
  <c r="BA164"/>
  <c r="CM164"/>
  <c r="CL164"/>
  <c r="CK164"/>
  <c r="AY164"/>
  <c r="B161"/>
  <c r="CZ163"/>
  <c r="DF163"/>
  <c r="DG163"/>
  <c r="DH163"/>
  <c r="DI163"/>
  <c r="ES163" s="1"/>
  <c r="DJ163"/>
  <c r="DK163"/>
  <c r="DL163"/>
  <c r="DM163"/>
  <c r="DN163"/>
  <c r="EX163" s="1"/>
  <c r="DO163"/>
  <c r="EY163" s="1"/>
  <c r="DP163"/>
  <c r="DQ163"/>
  <c r="DR163"/>
  <c r="FB163" s="1"/>
  <c r="DS163"/>
  <c r="DT163"/>
  <c r="DU163"/>
  <c r="DV163"/>
  <c r="FF163" s="1"/>
  <c r="DW163"/>
  <c r="DX163"/>
  <c r="DY163"/>
  <c r="DZ163"/>
  <c r="FJ163" s="1"/>
  <c r="EA163"/>
  <c r="EB163"/>
  <c r="EC163"/>
  <c r="ED163"/>
  <c r="EE163"/>
  <c r="EF163"/>
  <c r="EG163"/>
  <c r="EH163"/>
  <c r="FR163" s="1"/>
  <c r="EI163"/>
  <c r="FS163" s="1"/>
  <c r="EJ163"/>
  <c r="DD163"/>
  <c r="BA163"/>
  <c r="CM163"/>
  <c r="CL163"/>
  <c r="CK163"/>
  <c r="AY163"/>
  <c r="B160"/>
  <c r="CZ162"/>
  <c r="DF162"/>
  <c r="DG162"/>
  <c r="DH162"/>
  <c r="DI162"/>
  <c r="ES162" s="1"/>
  <c r="DJ162"/>
  <c r="DK162"/>
  <c r="DL162"/>
  <c r="DM162"/>
  <c r="EW162" s="1"/>
  <c r="DN162"/>
  <c r="DO162"/>
  <c r="DP162"/>
  <c r="DQ162"/>
  <c r="DR162"/>
  <c r="DS162"/>
  <c r="DT162"/>
  <c r="DU162"/>
  <c r="DV162"/>
  <c r="DW162"/>
  <c r="DX162"/>
  <c r="DY162"/>
  <c r="DZ162"/>
  <c r="EA162"/>
  <c r="EB162"/>
  <c r="EC162"/>
  <c r="ED162"/>
  <c r="EE162"/>
  <c r="FO162" s="1"/>
  <c r="EF162"/>
  <c r="EG162"/>
  <c r="EH162"/>
  <c r="EI162"/>
  <c r="EJ162"/>
  <c r="DD162"/>
  <c r="DE162" s="1"/>
  <c r="DC162"/>
  <c r="BA162"/>
  <c r="CM162" s="1"/>
  <c r="CL162"/>
  <c r="CK162"/>
  <c r="AY162"/>
  <c r="B164"/>
  <c r="CX161"/>
  <c r="CZ161"/>
  <c r="DP161"/>
  <c r="DV161"/>
  <c r="FF161" s="1"/>
  <c r="DD161"/>
  <c r="BA161"/>
  <c r="CM161"/>
  <c r="CL161"/>
  <c r="CK161"/>
  <c r="AY161"/>
  <c r="B162"/>
  <c r="CW160"/>
  <c r="CX160"/>
  <c r="CZ160"/>
  <c r="EB160"/>
  <c r="ED160"/>
  <c r="DD160"/>
  <c r="DC160" s="1"/>
  <c r="DE160"/>
  <c r="BA160"/>
  <c r="CM160"/>
  <c r="CL160"/>
  <c r="CK160"/>
  <c r="AY160"/>
  <c r="B167"/>
  <c r="CX159"/>
  <c r="DH159" s="1"/>
  <c r="CZ159"/>
  <c r="DG159"/>
  <c r="DJ159"/>
  <c r="DN159"/>
  <c r="DO159"/>
  <c r="DP159"/>
  <c r="DQ159"/>
  <c r="FA159" s="1"/>
  <c r="DR159"/>
  <c r="FB159" s="1"/>
  <c r="DS159"/>
  <c r="DT159"/>
  <c r="DU159"/>
  <c r="DV159"/>
  <c r="FF159" s="1"/>
  <c r="DW159"/>
  <c r="DX159"/>
  <c r="DY159"/>
  <c r="DZ159"/>
  <c r="EA159"/>
  <c r="EB159"/>
  <c r="EC159"/>
  <c r="ED159"/>
  <c r="EE159"/>
  <c r="EF159"/>
  <c r="EG159"/>
  <c r="EH159"/>
  <c r="EI159"/>
  <c r="EJ159"/>
  <c r="DD159"/>
  <c r="DE159"/>
  <c r="DC159"/>
  <c r="CL159"/>
  <c r="CK159"/>
  <c r="AY159"/>
  <c r="B159"/>
  <c r="CZ158"/>
  <c r="DF158"/>
  <c r="DG158"/>
  <c r="DH158"/>
  <c r="DI158"/>
  <c r="DJ158"/>
  <c r="DK158"/>
  <c r="DL158"/>
  <c r="DM158"/>
  <c r="EW158" s="1"/>
  <c r="DN158"/>
  <c r="EX158" s="1"/>
  <c r="DO158"/>
  <c r="DP158"/>
  <c r="DQ158"/>
  <c r="DR158"/>
  <c r="DS158"/>
  <c r="DT158"/>
  <c r="DU158"/>
  <c r="DV158"/>
  <c r="DW158"/>
  <c r="DX158"/>
  <c r="DY158"/>
  <c r="DZ158"/>
  <c r="EA158"/>
  <c r="EB158"/>
  <c r="EC158"/>
  <c r="ED158"/>
  <c r="EE158"/>
  <c r="EF158"/>
  <c r="EG158"/>
  <c r="EH158"/>
  <c r="EI158"/>
  <c r="EJ158"/>
  <c r="DD158"/>
  <c r="DE158"/>
  <c r="DC158"/>
  <c r="CM158"/>
  <c r="CL158"/>
  <c r="CK158"/>
  <c r="AY158"/>
  <c r="B166"/>
  <c r="CZ157"/>
  <c r="DF157"/>
  <c r="DH157"/>
  <c r="DJ157"/>
  <c r="DL157"/>
  <c r="DN157"/>
  <c r="DP157"/>
  <c r="DR157"/>
  <c r="DT157"/>
  <c r="DV157"/>
  <c r="FF157" s="1"/>
  <c r="DX157"/>
  <c r="DZ157"/>
  <c r="FJ157" s="1"/>
  <c r="EB157"/>
  <c r="ED157"/>
  <c r="EF157"/>
  <c r="EH157"/>
  <c r="EJ157"/>
  <c r="DD157"/>
  <c r="DC157" s="1"/>
  <c r="DE157"/>
  <c r="BA157"/>
  <c r="CM157" s="1"/>
  <c r="CL157"/>
  <c r="CK157"/>
  <c r="AY157"/>
  <c r="B154"/>
  <c r="CX156"/>
  <c r="DI156" s="1"/>
  <c r="ES156" s="1"/>
  <c r="CZ156"/>
  <c r="DF156"/>
  <c r="DG156"/>
  <c r="DH156"/>
  <c r="DJ156"/>
  <c r="DL156"/>
  <c r="DN156"/>
  <c r="DO156"/>
  <c r="EY156" s="1"/>
  <c r="DP156"/>
  <c r="DQ156"/>
  <c r="DR156"/>
  <c r="DS156"/>
  <c r="DT156"/>
  <c r="FD156" s="1"/>
  <c r="DU156"/>
  <c r="DV156"/>
  <c r="DW156"/>
  <c r="DX156"/>
  <c r="DY156"/>
  <c r="FI156" s="1"/>
  <c r="DZ156"/>
  <c r="FJ156" s="1"/>
  <c r="EA156"/>
  <c r="EB156"/>
  <c r="EC156"/>
  <c r="FM156" s="1"/>
  <c r="ED156"/>
  <c r="EE156"/>
  <c r="EF156"/>
  <c r="FP156" s="1"/>
  <c r="EG156"/>
  <c r="EH156"/>
  <c r="EI156"/>
  <c r="EJ156"/>
  <c r="DD156"/>
  <c r="DC156" s="1"/>
  <c r="DE156"/>
  <c r="BA156"/>
  <c r="CM156"/>
  <c r="CL156"/>
  <c r="CK156"/>
  <c r="AY156"/>
  <c r="B153"/>
  <c r="CZ155"/>
  <c r="DK155" s="1"/>
  <c r="DG155"/>
  <c r="DO155"/>
  <c r="EY155" s="1"/>
  <c r="DW155"/>
  <c r="EE155"/>
  <c r="DD155"/>
  <c r="DE155"/>
  <c r="DC155"/>
  <c r="BA155"/>
  <c r="CM155" s="1"/>
  <c r="CL155"/>
  <c r="CK155"/>
  <c r="AY155"/>
  <c r="B157"/>
  <c r="CZ154"/>
  <c r="DG154" s="1"/>
  <c r="DF154"/>
  <c r="DH154"/>
  <c r="DJ154"/>
  <c r="DL154"/>
  <c r="DN154"/>
  <c r="DP154"/>
  <c r="DR154"/>
  <c r="FB154" s="1"/>
  <c r="DT154"/>
  <c r="DV154"/>
  <c r="DX154"/>
  <c r="DZ154"/>
  <c r="FJ154" s="1"/>
  <c r="EB154"/>
  <c r="ED154"/>
  <c r="EF154"/>
  <c r="EH154"/>
  <c r="EJ154"/>
  <c r="DD154"/>
  <c r="DC154" s="1"/>
  <c r="DE154"/>
  <c r="BA154"/>
  <c r="CM154"/>
  <c r="CL154"/>
  <c r="CK154"/>
  <c r="AY154"/>
  <c r="B150"/>
  <c r="CZ153"/>
  <c r="DG153"/>
  <c r="DI153"/>
  <c r="ES153" s="1"/>
  <c r="DK153"/>
  <c r="DM153"/>
  <c r="EW153" s="1"/>
  <c r="DO153"/>
  <c r="DQ153"/>
  <c r="DS153"/>
  <c r="DU153"/>
  <c r="DW153"/>
  <c r="DY153"/>
  <c r="FI153" s="1"/>
  <c r="EA153"/>
  <c r="EC153"/>
  <c r="EE153"/>
  <c r="FO153" s="1"/>
  <c r="EG153"/>
  <c r="EI153"/>
  <c r="DD153"/>
  <c r="DE153"/>
  <c r="DC153"/>
  <c r="BA153"/>
  <c r="CM153" s="1"/>
  <c r="CL153"/>
  <c r="CK153"/>
  <c r="AY153"/>
  <c r="B151"/>
  <c r="CZ152"/>
  <c r="DG152" s="1"/>
  <c r="DF152"/>
  <c r="DH152"/>
  <c r="DJ152"/>
  <c r="DL152"/>
  <c r="DN152"/>
  <c r="EX152" s="1"/>
  <c r="DP152"/>
  <c r="DR152"/>
  <c r="DT152"/>
  <c r="DV152"/>
  <c r="FF152" s="1"/>
  <c r="DX152"/>
  <c r="DZ152"/>
  <c r="EB152"/>
  <c r="ED152"/>
  <c r="EF152"/>
  <c r="EH152"/>
  <c r="EJ152"/>
  <c r="DD152"/>
  <c r="DC152" s="1"/>
  <c r="DE152"/>
  <c r="BA152"/>
  <c r="CM152"/>
  <c r="CL152"/>
  <c r="CK152"/>
  <c r="AY152"/>
  <c r="B152"/>
  <c r="DK151"/>
  <c r="DG151"/>
  <c r="DO151"/>
  <c r="DW151"/>
  <c r="EE151"/>
  <c r="FO151" s="1"/>
  <c r="DD151"/>
  <c r="DC151" s="1"/>
  <c r="B149"/>
  <c r="DG150"/>
  <c r="DF150"/>
  <c r="DH150"/>
  <c r="DJ150"/>
  <c r="DL150"/>
  <c r="EV150" s="1"/>
  <c r="DN150"/>
  <c r="DP150"/>
  <c r="EZ150" s="1"/>
  <c r="DR150"/>
  <c r="FB150" s="1"/>
  <c r="DT150"/>
  <c r="DV150"/>
  <c r="DX150"/>
  <c r="DZ150"/>
  <c r="EB150"/>
  <c r="ED150"/>
  <c r="EF150"/>
  <c r="EH150"/>
  <c r="FR150" s="1"/>
  <c r="EJ150"/>
  <c r="DD150"/>
  <c r="DC150" s="1"/>
  <c r="DE150"/>
  <c r="B155"/>
  <c r="CW149"/>
  <c r="CX149"/>
  <c r="CZ149"/>
  <c r="DF149"/>
  <c r="DH149"/>
  <c r="DJ149"/>
  <c r="DL149"/>
  <c r="DN149"/>
  <c r="DP149"/>
  <c r="DR149"/>
  <c r="DT149"/>
  <c r="FD149" s="1"/>
  <c r="DV149"/>
  <c r="FF149" s="1"/>
  <c r="DX149"/>
  <c r="DZ149"/>
  <c r="FJ149" s="1"/>
  <c r="EB149"/>
  <c r="ED149"/>
  <c r="EF149"/>
  <c r="EH149"/>
  <c r="EJ149"/>
  <c r="DD149"/>
  <c r="CM149"/>
  <c r="CL149"/>
  <c r="CK149"/>
  <c r="AY149"/>
  <c r="B156"/>
  <c r="CZ148"/>
  <c r="DF148"/>
  <c r="DJ148"/>
  <c r="DN148"/>
  <c r="DR148"/>
  <c r="DV148"/>
  <c r="DZ148"/>
  <c r="ED148"/>
  <c r="EH148"/>
  <c r="DD148"/>
  <c r="CL148"/>
  <c r="CK148"/>
  <c r="AY148"/>
  <c r="B148"/>
  <c r="CZ147"/>
  <c r="DF147"/>
  <c r="DH147"/>
  <c r="DJ147"/>
  <c r="DL147"/>
  <c r="DN147"/>
  <c r="DP147"/>
  <c r="DR147"/>
  <c r="FB147" s="1"/>
  <c r="DT147"/>
  <c r="DV147"/>
  <c r="DX147"/>
  <c r="DZ147"/>
  <c r="EB147"/>
  <c r="ED147"/>
  <c r="EF147"/>
  <c r="EH147"/>
  <c r="FR147" s="1"/>
  <c r="EJ147"/>
  <c r="DD147"/>
  <c r="BA147"/>
  <c r="CM147"/>
  <c r="CL147"/>
  <c r="CK147"/>
  <c r="AY147"/>
  <c r="B142"/>
  <c r="CX146"/>
  <c r="CZ146"/>
  <c r="DG146" s="1"/>
  <c r="DF146"/>
  <c r="DH146"/>
  <c r="DJ146"/>
  <c r="DL146"/>
  <c r="DN146"/>
  <c r="DP146"/>
  <c r="DR146"/>
  <c r="FB146" s="1"/>
  <c r="DT146"/>
  <c r="DV146"/>
  <c r="DX146"/>
  <c r="DZ146"/>
  <c r="FJ146" s="1"/>
  <c r="EB146"/>
  <c r="ED146"/>
  <c r="EF146"/>
  <c r="EH146"/>
  <c r="EJ146"/>
  <c r="DD146"/>
  <c r="DC146" s="1"/>
  <c r="DE146"/>
  <c r="BA146"/>
  <c r="CM146"/>
  <c r="CL146"/>
  <c r="CK146"/>
  <c r="AY146"/>
  <c r="B147"/>
  <c r="CX145"/>
  <c r="CZ145"/>
  <c r="DI145"/>
  <c r="ES145" s="1"/>
  <c r="DM145"/>
  <c r="EW145" s="1"/>
  <c r="DN145"/>
  <c r="DO145"/>
  <c r="DP145"/>
  <c r="DQ145"/>
  <c r="DR145"/>
  <c r="DS145"/>
  <c r="DT145"/>
  <c r="DU145"/>
  <c r="DV145"/>
  <c r="DW145"/>
  <c r="DX145"/>
  <c r="DY145"/>
  <c r="DZ145"/>
  <c r="EA145"/>
  <c r="EB145"/>
  <c r="EC145"/>
  <c r="ED145"/>
  <c r="FN145" s="1"/>
  <c r="EE145"/>
  <c r="FO145" s="1"/>
  <c r="EF145"/>
  <c r="EG145"/>
  <c r="EH145"/>
  <c r="EI145"/>
  <c r="EJ145"/>
  <c r="DD145"/>
  <c r="DE145"/>
  <c r="DC145"/>
  <c r="BA145"/>
  <c r="CM145"/>
  <c r="CL145"/>
  <c r="CK145"/>
  <c r="AY145"/>
  <c r="B146"/>
  <c r="CX144"/>
  <c r="CZ144"/>
  <c r="DG144"/>
  <c r="DK144"/>
  <c r="DO144"/>
  <c r="EY144" s="1"/>
  <c r="DS144"/>
  <c r="DW144"/>
  <c r="EA144"/>
  <c r="EE144"/>
  <c r="EI144"/>
  <c r="DD144"/>
  <c r="DE144"/>
  <c r="DC144"/>
  <c r="BA144"/>
  <c r="CM144" s="1"/>
  <c r="CL144"/>
  <c r="CK144"/>
  <c r="AY144"/>
  <c r="B145"/>
  <c r="CZ143"/>
  <c r="DG143" s="1"/>
  <c r="DF143"/>
  <c r="DH143"/>
  <c r="DJ143"/>
  <c r="DL143"/>
  <c r="EV143" s="1"/>
  <c r="DN143"/>
  <c r="DP143"/>
  <c r="EZ143" s="1"/>
  <c r="DR143"/>
  <c r="FB143" s="1"/>
  <c r="DT143"/>
  <c r="DV143"/>
  <c r="DW143"/>
  <c r="DX143"/>
  <c r="DY143"/>
  <c r="FI143" s="1"/>
  <c r="DZ143"/>
  <c r="EA143"/>
  <c r="EB143"/>
  <c r="EC143"/>
  <c r="FM143" s="1"/>
  <c r="ED143"/>
  <c r="EE143"/>
  <c r="EF143"/>
  <c r="EG143"/>
  <c r="EH143"/>
  <c r="EI143"/>
  <c r="EJ143"/>
  <c r="DD143"/>
  <c r="DC143" s="1"/>
  <c r="DE143"/>
  <c r="BA143"/>
  <c r="CM143"/>
  <c r="CL143"/>
  <c r="CK143"/>
  <c r="AY143"/>
  <c r="B138"/>
  <c r="CX142"/>
  <c r="CZ142"/>
  <c r="DI142"/>
  <c r="ES142" s="1"/>
  <c r="DM142"/>
  <c r="EW142" s="1"/>
  <c r="DN142"/>
  <c r="EX142" s="1"/>
  <c r="DO142"/>
  <c r="DP142"/>
  <c r="EZ142" s="1"/>
  <c r="DQ142"/>
  <c r="FA142" s="1"/>
  <c r="DR142"/>
  <c r="FB142" s="1"/>
  <c r="DS142"/>
  <c r="DT142"/>
  <c r="DU142"/>
  <c r="DV142"/>
  <c r="FF142" s="1"/>
  <c r="DW142"/>
  <c r="DX142"/>
  <c r="DY142"/>
  <c r="DZ142"/>
  <c r="EA142"/>
  <c r="EB142"/>
  <c r="EC142"/>
  <c r="ED142"/>
  <c r="EE142"/>
  <c r="EF142"/>
  <c r="EG142"/>
  <c r="EH142"/>
  <c r="EI142"/>
  <c r="EJ142"/>
  <c r="DD142"/>
  <c r="DE142"/>
  <c r="DC142"/>
  <c r="BA142"/>
  <c r="CM142"/>
  <c r="CL142"/>
  <c r="CK142"/>
  <c r="AY142"/>
  <c r="B140"/>
  <c r="CW141"/>
  <c r="CX141"/>
  <c r="CZ141"/>
  <c r="DI141"/>
  <c r="ES141" s="1"/>
  <c r="DM141"/>
  <c r="EW141" s="1"/>
  <c r="DO141"/>
  <c r="DQ141"/>
  <c r="DS141"/>
  <c r="DU141"/>
  <c r="DW141"/>
  <c r="DY141"/>
  <c r="EA141"/>
  <c r="EC141"/>
  <c r="FM141" s="1"/>
  <c r="EE141"/>
  <c r="EG141"/>
  <c r="EI141"/>
  <c r="DD141"/>
  <c r="DE141"/>
  <c r="DC141"/>
  <c r="BA141"/>
  <c r="CM141"/>
  <c r="CL141"/>
  <c r="CK141"/>
  <c r="AY141"/>
  <c r="B144"/>
  <c r="CW140"/>
  <c r="CX140"/>
  <c r="CZ140"/>
  <c r="DO140"/>
  <c r="EY140" s="1"/>
  <c r="DQ140"/>
  <c r="DS140"/>
  <c r="DU140"/>
  <c r="DW140"/>
  <c r="DY140"/>
  <c r="EA140"/>
  <c r="EC140"/>
  <c r="EE140"/>
  <c r="EG140"/>
  <c r="EI140"/>
  <c r="DD140"/>
  <c r="DE140"/>
  <c r="DC140"/>
  <c r="BA140"/>
  <c r="CM140"/>
  <c r="CL140"/>
  <c r="CK140"/>
  <c r="AY140"/>
  <c r="B141"/>
  <c r="CZ139"/>
  <c r="DJ139" s="1"/>
  <c r="DF139"/>
  <c r="DG139"/>
  <c r="DH139"/>
  <c r="DI139"/>
  <c r="ES139" s="1"/>
  <c r="DK139"/>
  <c r="DL139"/>
  <c r="DN139"/>
  <c r="EX139" s="1"/>
  <c r="DO139"/>
  <c r="EY139" s="1"/>
  <c r="DP139"/>
  <c r="DQ139"/>
  <c r="DS139"/>
  <c r="DT139"/>
  <c r="DV139"/>
  <c r="DW139"/>
  <c r="DX139"/>
  <c r="DY139"/>
  <c r="FI139" s="1"/>
  <c r="EA139"/>
  <c r="EB139"/>
  <c r="ED139"/>
  <c r="EE139"/>
  <c r="EF139"/>
  <c r="EG139"/>
  <c r="EI139"/>
  <c r="EJ139"/>
  <c r="DD139"/>
  <c r="DE139" s="1"/>
  <c r="DC139"/>
  <c r="BA139"/>
  <c r="CM139"/>
  <c r="CL139"/>
  <c r="CK139"/>
  <c r="AY139"/>
  <c r="B139"/>
  <c r="CZ138"/>
  <c r="DF138"/>
  <c r="DG138"/>
  <c r="DH138"/>
  <c r="DI138"/>
  <c r="DJ138"/>
  <c r="DK138"/>
  <c r="DL138"/>
  <c r="DM138"/>
  <c r="EW138" s="1"/>
  <c r="DN138"/>
  <c r="DO138"/>
  <c r="DP138"/>
  <c r="DQ138"/>
  <c r="DR138"/>
  <c r="DS138"/>
  <c r="DT138"/>
  <c r="DU138"/>
  <c r="DV138"/>
  <c r="DW138"/>
  <c r="DX138"/>
  <c r="DY138"/>
  <c r="DZ138"/>
  <c r="EA138"/>
  <c r="EB138"/>
  <c r="EC138"/>
  <c r="ED138"/>
  <c r="EE138"/>
  <c r="EF138"/>
  <c r="EG138"/>
  <c r="EH138"/>
  <c r="EI138"/>
  <c r="EJ138"/>
  <c r="DD138"/>
  <c r="CL138"/>
  <c r="CK138"/>
  <c r="AY138"/>
  <c r="B143"/>
  <c r="CZ137"/>
  <c r="DF137"/>
  <c r="DG137"/>
  <c r="DH137"/>
  <c r="DI137"/>
  <c r="ES137" s="1"/>
  <c r="DJ137"/>
  <c r="DK137"/>
  <c r="DL137"/>
  <c r="DM137"/>
  <c r="EW137" s="1"/>
  <c r="DN137"/>
  <c r="DO137"/>
  <c r="EY137" s="1"/>
  <c r="DP137"/>
  <c r="DQ137"/>
  <c r="DR137"/>
  <c r="FB137" s="1"/>
  <c r="DS137"/>
  <c r="DT137"/>
  <c r="DU137"/>
  <c r="DV137"/>
  <c r="FF137" s="1"/>
  <c r="DW137"/>
  <c r="DX137"/>
  <c r="DY137"/>
  <c r="DZ137"/>
  <c r="EA137"/>
  <c r="EB137"/>
  <c r="EC137"/>
  <c r="ED137"/>
  <c r="EE137"/>
  <c r="EF137"/>
  <c r="EG137"/>
  <c r="EH137"/>
  <c r="FR137" s="1"/>
  <c r="EI137"/>
  <c r="FS137" s="1"/>
  <c r="EJ137"/>
  <c r="DD137"/>
  <c r="DE137"/>
  <c r="DC137"/>
  <c r="BA137"/>
  <c r="CM137" s="1"/>
  <c r="CL137"/>
  <c r="CK137"/>
  <c r="AY137"/>
  <c r="B131"/>
  <c r="CZ136"/>
  <c r="DG136" s="1"/>
  <c r="DF136"/>
  <c r="DH136"/>
  <c r="DJ136"/>
  <c r="DL136"/>
  <c r="DN136"/>
  <c r="EX136" s="1"/>
  <c r="DP136"/>
  <c r="DR136"/>
  <c r="DT136"/>
  <c r="DV136"/>
  <c r="FF136" s="1"/>
  <c r="DX136"/>
  <c r="DZ136"/>
  <c r="EB136"/>
  <c r="ED136"/>
  <c r="EF136"/>
  <c r="EH136"/>
  <c r="EJ136"/>
  <c r="DD136"/>
  <c r="DC136" s="1"/>
  <c r="DE136"/>
  <c r="BA136"/>
  <c r="CM136"/>
  <c r="CL136"/>
  <c r="CK136"/>
  <c r="AY136"/>
  <c r="B129"/>
  <c r="CW135"/>
  <c r="CX135"/>
  <c r="CZ135"/>
  <c r="DF135"/>
  <c r="DH135"/>
  <c r="DJ135"/>
  <c r="DL135"/>
  <c r="DN135"/>
  <c r="DP135"/>
  <c r="DR135"/>
  <c r="FB135" s="1"/>
  <c r="DT135"/>
  <c r="DV135"/>
  <c r="DX135"/>
  <c r="DZ135"/>
  <c r="EB135"/>
  <c r="ED135"/>
  <c r="EF135"/>
  <c r="FP135" s="1"/>
  <c r="EH135"/>
  <c r="EJ135"/>
  <c r="DD135"/>
  <c r="DC135" s="1"/>
  <c r="BA135"/>
  <c r="CM135"/>
  <c r="CL135"/>
  <c r="CK135"/>
  <c r="AY135"/>
  <c r="B133"/>
  <c r="CW134"/>
  <c r="CX134"/>
  <c r="CZ134"/>
  <c r="DF134"/>
  <c r="DJ134"/>
  <c r="DN134"/>
  <c r="DR134"/>
  <c r="FB134" s="1"/>
  <c r="DV134"/>
  <c r="FF134" s="1"/>
  <c r="DZ134"/>
  <c r="ED134"/>
  <c r="FN134" s="1"/>
  <c r="EH134"/>
  <c r="FR134" s="1"/>
  <c r="DD134"/>
  <c r="DC134" s="1"/>
  <c r="BA134"/>
  <c r="CM134"/>
  <c r="CL134"/>
  <c r="CK134"/>
  <c r="AY134"/>
  <c r="B132"/>
  <c r="CZ133"/>
  <c r="DG133" s="1"/>
  <c r="DD133"/>
  <c r="DE133"/>
  <c r="DC133"/>
  <c r="BA133"/>
  <c r="CM133" s="1"/>
  <c r="CL133"/>
  <c r="CK133"/>
  <c r="AY133"/>
  <c r="B128"/>
  <c r="CX132"/>
  <c r="CZ132"/>
  <c r="DF132"/>
  <c r="EP132" s="1"/>
  <c r="DH132"/>
  <c r="DJ132"/>
  <c r="DL132"/>
  <c r="DN132"/>
  <c r="DP132"/>
  <c r="DR132"/>
  <c r="FB132" s="1"/>
  <c r="DT132"/>
  <c r="DV132"/>
  <c r="DX132"/>
  <c r="DZ132"/>
  <c r="EB132"/>
  <c r="ED132"/>
  <c r="FN132" s="1"/>
  <c r="EF132"/>
  <c r="FP132" s="1"/>
  <c r="EH132"/>
  <c r="EJ132"/>
  <c r="DD132"/>
  <c r="BA132"/>
  <c r="CM132" s="1"/>
  <c r="CL132"/>
  <c r="CK132"/>
  <c r="AY132"/>
  <c r="B137"/>
  <c r="CZ131"/>
  <c r="DF131"/>
  <c r="EP131" s="1"/>
  <c r="DG131"/>
  <c r="DH131"/>
  <c r="DI131"/>
  <c r="ES131" s="1"/>
  <c r="DJ131"/>
  <c r="DK131"/>
  <c r="DL131"/>
  <c r="EV131" s="1"/>
  <c r="DM131"/>
  <c r="EW131" s="1"/>
  <c r="DN131"/>
  <c r="DO131"/>
  <c r="EY131" s="1"/>
  <c r="DP131"/>
  <c r="DQ131"/>
  <c r="DR131"/>
  <c r="DS131"/>
  <c r="DT131"/>
  <c r="FD131" s="1"/>
  <c r="DU131"/>
  <c r="DV131"/>
  <c r="DW131"/>
  <c r="DX131"/>
  <c r="DY131"/>
  <c r="FI131" s="1"/>
  <c r="DZ131"/>
  <c r="EA131"/>
  <c r="EB131"/>
  <c r="EC131"/>
  <c r="FM131" s="1"/>
  <c r="ED131"/>
  <c r="EE131"/>
  <c r="EF131"/>
  <c r="EG131"/>
  <c r="EH131"/>
  <c r="EI131"/>
  <c r="EJ131"/>
  <c r="DD131"/>
  <c r="DE131"/>
  <c r="DC131"/>
  <c r="BA131"/>
  <c r="CM131"/>
  <c r="CL131"/>
  <c r="CK131"/>
  <c r="AY131"/>
  <c r="B134"/>
  <c r="CX130"/>
  <c r="DG130" s="1"/>
  <c r="CZ130"/>
  <c r="DI130"/>
  <c r="ES130" s="1"/>
  <c r="DM130"/>
  <c r="EW130" s="1"/>
  <c r="DQ130"/>
  <c r="DU130"/>
  <c r="DY130"/>
  <c r="EC130"/>
  <c r="FM130" s="1"/>
  <c r="EG130"/>
  <c r="DD130"/>
  <c r="DE130"/>
  <c r="DC130"/>
  <c r="BA130"/>
  <c r="CM130" s="1"/>
  <c r="CL130"/>
  <c r="CK130"/>
  <c r="AY130"/>
  <c r="B135"/>
  <c r="CX129"/>
  <c r="CZ129"/>
  <c r="DH129" s="1"/>
  <c r="DF129"/>
  <c r="DJ129"/>
  <c r="DN129"/>
  <c r="DR129"/>
  <c r="FB129" s="1"/>
  <c r="DV129"/>
  <c r="FF129" s="1"/>
  <c r="DZ129"/>
  <c r="ED129"/>
  <c r="EH129"/>
  <c r="FR129" s="1"/>
  <c r="DD129"/>
  <c r="BA129"/>
  <c r="CM129" s="1"/>
  <c r="CL129"/>
  <c r="CK129"/>
  <c r="AY129"/>
  <c r="B136"/>
  <c r="CW128"/>
  <c r="CX128"/>
  <c r="CZ128"/>
  <c r="DH128"/>
  <c r="DL128"/>
  <c r="DP128"/>
  <c r="DT128"/>
  <c r="DX128"/>
  <c r="EB128"/>
  <c r="EF128"/>
  <c r="EJ128"/>
  <c r="DD128"/>
  <c r="CL128"/>
  <c r="CK128"/>
  <c r="AY128"/>
  <c r="B130"/>
  <c r="CX127"/>
  <c r="CZ127"/>
  <c r="DD127"/>
  <c r="DE127"/>
  <c r="DC127"/>
  <c r="BA127"/>
  <c r="CM127" s="1"/>
  <c r="CL127"/>
  <c r="CK127"/>
  <c r="AY127"/>
  <c r="B122"/>
  <c r="CX126"/>
  <c r="CZ126"/>
  <c r="DF126"/>
  <c r="DH126"/>
  <c r="DJ126"/>
  <c r="DL126"/>
  <c r="DN126"/>
  <c r="DP126"/>
  <c r="DR126"/>
  <c r="FB126" s="1"/>
  <c r="DT126"/>
  <c r="DV126"/>
  <c r="DX126"/>
  <c r="DZ126"/>
  <c r="EB126"/>
  <c r="ED126"/>
  <c r="EF126"/>
  <c r="FP126" s="1"/>
  <c r="EH126"/>
  <c r="EJ126"/>
  <c r="DD126"/>
  <c r="BA126"/>
  <c r="CM126" s="1"/>
  <c r="CL126"/>
  <c r="CK126"/>
  <c r="AY126"/>
  <c r="B124"/>
  <c r="CX125"/>
  <c r="CZ125"/>
  <c r="DG125" s="1"/>
  <c r="DF125"/>
  <c r="DH125"/>
  <c r="DJ125"/>
  <c r="DL125"/>
  <c r="DN125"/>
  <c r="DP125"/>
  <c r="DR125"/>
  <c r="FB125" s="1"/>
  <c r="DT125"/>
  <c r="DV125"/>
  <c r="DX125"/>
  <c r="DZ125"/>
  <c r="EB125"/>
  <c r="ED125"/>
  <c r="EF125"/>
  <c r="FP125" s="1"/>
  <c r="EH125"/>
  <c r="EJ125"/>
  <c r="DD125"/>
  <c r="DC125" s="1"/>
  <c r="BA125"/>
  <c r="CM125"/>
  <c r="CL125"/>
  <c r="CK125"/>
  <c r="AY125"/>
  <c r="B121"/>
  <c r="CX124"/>
  <c r="DI124" s="1"/>
  <c r="ES124" s="1"/>
  <c r="CZ124"/>
  <c r="DN124"/>
  <c r="DO124"/>
  <c r="EY124" s="1"/>
  <c r="DP124"/>
  <c r="DQ124"/>
  <c r="DR124"/>
  <c r="FB124" s="1"/>
  <c r="DS124"/>
  <c r="DT124"/>
  <c r="DU124"/>
  <c r="DV124"/>
  <c r="FF124" s="1"/>
  <c r="DW124"/>
  <c r="DX124"/>
  <c r="DY124"/>
  <c r="DZ124"/>
  <c r="FJ124" s="1"/>
  <c r="EA124"/>
  <c r="EB124"/>
  <c r="EC124"/>
  <c r="ED124"/>
  <c r="EE124"/>
  <c r="EF124"/>
  <c r="EG124"/>
  <c r="EH124"/>
  <c r="FR124" s="1"/>
  <c r="EI124"/>
  <c r="FS124" s="1"/>
  <c r="EJ124"/>
  <c r="DD124"/>
  <c r="DE124"/>
  <c r="DC124"/>
  <c r="BA124"/>
  <c r="CM124"/>
  <c r="CL124"/>
  <c r="CK124"/>
  <c r="AY124"/>
  <c r="B120"/>
  <c r="CX123"/>
  <c r="CZ123"/>
  <c r="DD123"/>
  <c r="DE123"/>
  <c r="DC123"/>
  <c r="BA123"/>
  <c r="CM123" s="1"/>
  <c r="CL123"/>
  <c r="CK123"/>
  <c r="AY123"/>
  <c r="B125"/>
  <c r="CX122"/>
  <c r="CZ122"/>
  <c r="DF122"/>
  <c r="EP122" s="1"/>
  <c r="DH122"/>
  <c r="DJ122"/>
  <c r="DL122"/>
  <c r="DN122"/>
  <c r="EX122" s="1"/>
  <c r="DP122"/>
  <c r="DR122"/>
  <c r="DT122"/>
  <c r="DV122"/>
  <c r="FF122" s="1"/>
  <c r="DX122"/>
  <c r="DZ122"/>
  <c r="EB122"/>
  <c r="ED122"/>
  <c r="EF122"/>
  <c r="EH122"/>
  <c r="EJ122"/>
  <c r="DD122"/>
  <c r="BA122"/>
  <c r="CM122" s="1"/>
  <c r="CL122"/>
  <c r="CK122"/>
  <c r="AY122"/>
  <c r="B127"/>
  <c r="CW121"/>
  <c r="CX121"/>
  <c r="CZ121"/>
  <c r="DD121"/>
  <c r="BA121"/>
  <c r="CM121"/>
  <c r="CL121"/>
  <c r="CK121"/>
  <c r="AY121"/>
  <c r="B126"/>
  <c r="CZ120"/>
  <c r="DF120"/>
  <c r="DG120"/>
  <c r="DH120"/>
  <c r="DI120"/>
  <c r="ES120" s="1"/>
  <c r="DJ120"/>
  <c r="DK120"/>
  <c r="DL120"/>
  <c r="DM120"/>
  <c r="EW120" s="1"/>
  <c r="DN120"/>
  <c r="DO120"/>
  <c r="DP120"/>
  <c r="DQ120"/>
  <c r="DR120"/>
  <c r="FB120" s="1"/>
  <c r="DS120"/>
  <c r="DT120"/>
  <c r="DU120"/>
  <c r="DV120"/>
  <c r="FF120" s="1"/>
  <c r="DW120"/>
  <c r="DX120"/>
  <c r="DY120"/>
  <c r="DZ120"/>
  <c r="FJ120" s="1"/>
  <c r="EA120"/>
  <c r="EB120"/>
  <c r="EC120"/>
  <c r="ED120"/>
  <c r="EE120"/>
  <c r="EF120"/>
  <c r="EG120"/>
  <c r="EH120"/>
  <c r="EI120"/>
  <c r="EJ120"/>
  <c r="DD120"/>
  <c r="DE120"/>
  <c r="DC120"/>
  <c r="BA120"/>
  <c r="CM120"/>
  <c r="CL120"/>
  <c r="CK120"/>
  <c r="AY120"/>
  <c r="B118"/>
  <c r="CW119"/>
  <c r="CX119"/>
  <c r="DG119" s="1"/>
  <c r="CZ119"/>
  <c r="DI119"/>
  <c r="ES119" s="1"/>
  <c r="DM119"/>
  <c r="EW119" s="1"/>
  <c r="DO119"/>
  <c r="DQ119"/>
  <c r="DS119"/>
  <c r="DU119"/>
  <c r="DW119"/>
  <c r="DY119"/>
  <c r="EA119"/>
  <c r="EC119"/>
  <c r="FM119" s="1"/>
  <c r="EE119"/>
  <c r="EG119"/>
  <c r="EI119"/>
  <c r="DD119"/>
  <c r="DE119"/>
  <c r="DC119"/>
  <c r="BA119"/>
  <c r="CM119"/>
  <c r="CL119"/>
  <c r="CK119"/>
  <c r="AY119"/>
  <c r="B119"/>
  <c r="CX118"/>
  <c r="CZ118"/>
  <c r="DI118" s="1"/>
  <c r="DG118"/>
  <c r="DK118"/>
  <c r="DO118"/>
  <c r="DS118"/>
  <c r="DW118"/>
  <c r="EA118"/>
  <c r="EE118"/>
  <c r="EI118"/>
  <c r="DD118"/>
  <c r="DE118"/>
  <c r="DC118"/>
  <c r="CL118"/>
  <c r="CK118"/>
  <c r="AY118"/>
  <c r="B123"/>
  <c r="CZ117"/>
  <c r="DI117" s="1"/>
  <c r="ES117" s="1"/>
  <c r="DG117"/>
  <c r="DK117"/>
  <c r="DO117"/>
  <c r="DS117"/>
  <c r="DW117"/>
  <c r="EA117"/>
  <c r="EE117"/>
  <c r="EI117"/>
  <c r="DD117"/>
  <c r="DE117"/>
  <c r="DC117"/>
  <c r="BA117"/>
  <c r="CM117" s="1"/>
  <c r="CL117"/>
  <c r="CK117"/>
  <c r="AY117"/>
  <c r="B113"/>
  <c r="CZ116"/>
  <c r="DG116" s="1"/>
  <c r="DF116"/>
  <c r="DH116"/>
  <c r="DJ116"/>
  <c r="DL116"/>
  <c r="DN116"/>
  <c r="EX116" s="1"/>
  <c r="DP116"/>
  <c r="DR116"/>
  <c r="DT116"/>
  <c r="FD116" s="1"/>
  <c r="DV116"/>
  <c r="FF116" s="1"/>
  <c r="DX116"/>
  <c r="DZ116"/>
  <c r="EB116"/>
  <c r="FL116" s="1"/>
  <c r="ED116"/>
  <c r="EF116"/>
  <c r="EH116"/>
  <c r="EJ116"/>
  <c r="DD116"/>
  <c r="DC116" s="1"/>
  <c r="BA116"/>
  <c r="CM116"/>
  <c r="CL116"/>
  <c r="CK116"/>
  <c r="AY116"/>
  <c r="B117"/>
  <c r="CZ115"/>
  <c r="DI115"/>
  <c r="ES115" s="1"/>
  <c r="DM115"/>
  <c r="EW115" s="1"/>
  <c r="DQ115"/>
  <c r="DU115"/>
  <c r="DY115"/>
  <c r="FI115" s="1"/>
  <c r="EC115"/>
  <c r="EG115"/>
  <c r="DD115"/>
  <c r="DE115"/>
  <c r="DC115"/>
  <c r="BA115"/>
  <c r="CM115" s="1"/>
  <c r="CL115"/>
  <c r="CK115"/>
  <c r="AY115"/>
  <c r="B108"/>
  <c r="CZ114"/>
  <c r="DG114" s="1"/>
  <c r="DF114"/>
  <c r="DH114"/>
  <c r="DJ114"/>
  <c r="DL114"/>
  <c r="EV114" s="1"/>
  <c r="DN114"/>
  <c r="DP114"/>
  <c r="DR114"/>
  <c r="DT114"/>
  <c r="FD114" s="1"/>
  <c r="DV114"/>
  <c r="FF114" s="1"/>
  <c r="DX114"/>
  <c r="DZ114"/>
  <c r="EB114"/>
  <c r="FL114" s="1"/>
  <c r="ED114"/>
  <c r="EF114"/>
  <c r="EH114"/>
  <c r="EJ114"/>
  <c r="DD114"/>
  <c r="DC114" s="1"/>
  <c r="DE114"/>
  <c r="BA114"/>
  <c r="CM114"/>
  <c r="CL114"/>
  <c r="CK114"/>
  <c r="AY114"/>
  <c r="B110"/>
  <c r="CZ113"/>
  <c r="DI113" s="1"/>
  <c r="ES113" s="1"/>
  <c r="DG113"/>
  <c r="DK113"/>
  <c r="DO113"/>
  <c r="DS113"/>
  <c r="DW113"/>
  <c r="EA113"/>
  <c r="EE113"/>
  <c r="FO113" s="1"/>
  <c r="EI113"/>
  <c r="DD113"/>
  <c r="DE113"/>
  <c r="DC113"/>
  <c r="BA113"/>
  <c r="CM113" s="1"/>
  <c r="CL113"/>
  <c r="CK113"/>
  <c r="AY113"/>
  <c r="B115"/>
  <c r="CZ112"/>
  <c r="DG112" s="1"/>
  <c r="DF112"/>
  <c r="DH112"/>
  <c r="DJ112"/>
  <c r="DL112"/>
  <c r="DN112"/>
  <c r="DP112"/>
  <c r="DR112"/>
  <c r="FB112" s="1"/>
  <c r="DT112"/>
  <c r="DV112"/>
  <c r="DX112"/>
  <c r="DZ112"/>
  <c r="FJ112" s="1"/>
  <c r="EB112"/>
  <c r="ED112"/>
  <c r="EF112"/>
  <c r="FP112" s="1"/>
  <c r="EH112"/>
  <c r="EJ112"/>
  <c r="DD112"/>
  <c r="DC112" s="1"/>
  <c r="BA112"/>
  <c r="CM112"/>
  <c r="CL112"/>
  <c r="CK112"/>
  <c r="AY112"/>
  <c r="B114"/>
  <c r="CZ111"/>
  <c r="DI111"/>
  <c r="ES111" s="1"/>
  <c r="DM111"/>
  <c r="EW111" s="1"/>
  <c r="DQ111"/>
  <c r="DU111"/>
  <c r="DY111"/>
  <c r="EC111"/>
  <c r="EG111"/>
  <c r="DD111"/>
  <c r="DE111"/>
  <c r="DC111"/>
  <c r="BA111"/>
  <c r="CM111" s="1"/>
  <c r="CL111"/>
  <c r="CK111"/>
  <c r="AY111"/>
  <c r="B109"/>
  <c r="CZ110"/>
  <c r="DG110" s="1"/>
  <c r="DF110"/>
  <c r="DH110"/>
  <c r="DJ110"/>
  <c r="DL110"/>
  <c r="DN110"/>
  <c r="DP110"/>
  <c r="DR110"/>
  <c r="FB110" s="1"/>
  <c r="DT110"/>
  <c r="DV110"/>
  <c r="DX110"/>
  <c r="DZ110"/>
  <c r="FJ110" s="1"/>
  <c r="EB110"/>
  <c r="ED110"/>
  <c r="EF110"/>
  <c r="FP110" s="1"/>
  <c r="EH110"/>
  <c r="EJ110"/>
  <c r="DD110"/>
  <c r="DC110" s="1"/>
  <c r="DE110"/>
  <c r="BA110"/>
  <c r="CM110"/>
  <c r="CL110"/>
  <c r="CK110"/>
  <c r="AY110"/>
  <c r="B116"/>
  <c r="CZ109"/>
  <c r="DI109" s="1"/>
  <c r="ES109" s="1"/>
  <c r="DG109"/>
  <c r="DK109"/>
  <c r="DO109"/>
  <c r="DS109"/>
  <c r="FC109" s="1"/>
  <c r="DW109"/>
  <c r="EA109"/>
  <c r="EE109"/>
  <c r="EI109"/>
  <c r="DD109"/>
  <c r="DE109"/>
  <c r="DC109"/>
  <c r="BA109"/>
  <c r="CM109" s="1"/>
  <c r="CL109"/>
  <c r="CK109"/>
  <c r="AY109"/>
  <c r="B111"/>
  <c r="CZ108"/>
  <c r="DG108" s="1"/>
  <c r="DF108"/>
  <c r="DH108"/>
  <c r="DJ108"/>
  <c r="DL108"/>
  <c r="EV108" s="1"/>
  <c r="DN108"/>
  <c r="DP108"/>
  <c r="DR108"/>
  <c r="DT108"/>
  <c r="FD108" s="1"/>
  <c r="DV108"/>
  <c r="DX108"/>
  <c r="DZ108"/>
  <c r="EB108"/>
  <c r="ED108"/>
  <c r="EF108"/>
  <c r="EH108"/>
  <c r="EJ108"/>
  <c r="DD108"/>
  <c r="DC108" s="1"/>
  <c r="CL108"/>
  <c r="CK108"/>
  <c r="AY108"/>
  <c r="B112"/>
  <c r="CW107"/>
  <c r="CX107"/>
  <c r="DG107" s="1"/>
  <c r="CZ107"/>
  <c r="DO107" s="1"/>
  <c r="DI107"/>
  <c r="ES107" s="1"/>
  <c r="DM107"/>
  <c r="EW107" s="1"/>
  <c r="DQ107"/>
  <c r="DU107"/>
  <c r="DY107"/>
  <c r="FI107" s="1"/>
  <c r="EC107"/>
  <c r="EG107"/>
  <c r="DD107"/>
  <c r="DE107"/>
  <c r="DC107"/>
  <c r="BA107"/>
  <c r="CM107" s="1"/>
  <c r="CL107"/>
  <c r="CK107"/>
  <c r="AY107"/>
  <c r="B107"/>
  <c r="CZ106"/>
  <c r="DG106" s="1"/>
  <c r="DF106"/>
  <c r="DH106"/>
  <c r="DJ106"/>
  <c r="DL106"/>
  <c r="EV106" s="1"/>
  <c r="DN106"/>
  <c r="EX106" s="1"/>
  <c r="DP106"/>
  <c r="DR106"/>
  <c r="DT106"/>
  <c r="FD106" s="1"/>
  <c r="DV106"/>
  <c r="FF106" s="1"/>
  <c r="DX106"/>
  <c r="DZ106"/>
  <c r="EB106"/>
  <c r="ED106"/>
  <c r="EF106"/>
  <c r="EH106"/>
  <c r="EJ106"/>
  <c r="DD106"/>
  <c r="DC106" s="1"/>
  <c r="DE106"/>
  <c r="BA106"/>
  <c r="CM106"/>
  <c r="CL106"/>
  <c r="CK106"/>
  <c r="AY106"/>
  <c r="B100"/>
  <c r="CZ105"/>
  <c r="DI105" s="1"/>
  <c r="ES105" s="1"/>
  <c r="DG105"/>
  <c r="DK105"/>
  <c r="DO105"/>
  <c r="DS105"/>
  <c r="DW105"/>
  <c r="EA105"/>
  <c r="EE105"/>
  <c r="FO105" s="1"/>
  <c r="EI105"/>
  <c r="FS105" s="1"/>
  <c r="DD105"/>
  <c r="DE105"/>
  <c r="DC105"/>
  <c r="BA105"/>
  <c r="CM105" s="1"/>
  <c r="CL105"/>
  <c r="CK105"/>
  <c r="AY105"/>
  <c r="B103"/>
  <c r="CZ104"/>
  <c r="DG104" s="1"/>
  <c r="DF104"/>
  <c r="DH104"/>
  <c r="DJ104"/>
  <c r="DL104"/>
  <c r="DN104"/>
  <c r="DP104"/>
  <c r="DR104"/>
  <c r="FB104" s="1"/>
  <c r="DT104"/>
  <c r="DV104"/>
  <c r="DX104"/>
  <c r="DZ104"/>
  <c r="FJ104" s="1"/>
  <c r="EB104"/>
  <c r="ED104"/>
  <c r="EF104"/>
  <c r="FP104" s="1"/>
  <c r="EH104"/>
  <c r="EJ104"/>
  <c r="DD104"/>
  <c r="DC104" s="1"/>
  <c r="BA104"/>
  <c r="CM104"/>
  <c r="CL104"/>
  <c r="CK104"/>
  <c r="AY104"/>
  <c r="B105"/>
  <c r="CZ103"/>
  <c r="DI103"/>
  <c r="ES103" s="1"/>
  <c r="DM103"/>
  <c r="EW103" s="1"/>
  <c r="DQ103"/>
  <c r="DU103"/>
  <c r="DY103"/>
  <c r="EC103"/>
  <c r="EG103"/>
  <c r="DD103"/>
  <c r="DE103"/>
  <c r="DC103"/>
  <c r="BA103"/>
  <c r="CM103" s="1"/>
  <c r="CL103"/>
  <c r="CK103"/>
  <c r="AY103"/>
  <c r="B99"/>
  <c r="CZ102"/>
  <c r="DG102" s="1"/>
  <c r="DF102"/>
  <c r="DH102"/>
  <c r="DJ102"/>
  <c r="DL102"/>
  <c r="DN102"/>
  <c r="DP102"/>
  <c r="DR102"/>
  <c r="FB102" s="1"/>
  <c r="DT102"/>
  <c r="DV102"/>
  <c r="DX102"/>
  <c r="DZ102"/>
  <c r="FJ102" s="1"/>
  <c r="EB102"/>
  <c r="ED102"/>
  <c r="EF102"/>
  <c r="FP102" s="1"/>
  <c r="EH102"/>
  <c r="EJ102"/>
  <c r="DD102"/>
  <c r="DC102" s="1"/>
  <c r="DE102"/>
  <c r="BA102"/>
  <c r="CM102"/>
  <c r="CL102"/>
  <c r="CK102"/>
  <c r="AY102"/>
  <c r="B104"/>
  <c r="CX101"/>
  <c r="DG101" s="1"/>
  <c r="CZ101"/>
  <c r="DI101"/>
  <c r="ES101" s="1"/>
  <c r="DM101"/>
  <c r="EW101" s="1"/>
  <c r="DN101"/>
  <c r="DO101"/>
  <c r="DP101"/>
  <c r="EZ101" s="1"/>
  <c r="DQ101"/>
  <c r="DR101"/>
  <c r="DS101"/>
  <c r="DT101"/>
  <c r="DU101"/>
  <c r="DV101"/>
  <c r="DW101"/>
  <c r="DX101"/>
  <c r="DY101"/>
  <c r="DZ101"/>
  <c r="FJ101" s="1"/>
  <c r="EA101"/>
  <c r="EB101"/>
  <c r="EC101"/>
  <c r="ED101"/>
  <c r="EE101"/>
  <c r="FO101" s="1"/>
  <c r="EF101"/>
  <c r="EG101"/>
  <c r="EH101"/>
  <c r="EI101"/>
  <c r="EJ101"/>
  <c r="DD101"/>
  <c r="DE101"/>
  <c r="DC101"/>
  <c r="BA101"/>
  <c r="CM101"/>
  <c r="CL101"/>
  <c r="CK101"/>
  <c r="AY101"/>
  <c r="B98"/>
  <c r="CX100"/>
  <c r="CZ100"/>
  <c r="DI100" s="1"/>
  <c r="ES100" s="1"/>
  <c r="DG100"/>
  <c r="DK100"/>
  <c r="DO100"/>
  <c r="EY100" s="1"/>
  <c r="DS100"/>
  <c r="DW100"/>
  <c r="EA100"/>
  <c r="EE100"/>
  <c r="EI100"/>
  <c r="DD100"/>
  <c r="DE100"/>
  <c r="DC100"/>
  <c r="BA100"/>
  <c r="CM100" s="1"/>
  <c r="CL100"/>
  <c r="CK100"/>
  <c r="AY100"/>
  <c r="B106"/>
  <c r="CZ99"/>
  <c r="DG99" s="1"/>
  <c r="DF99"/>
  <c r="DH99"/>
  <c r="DJ99"/>
  <c r="DL99"/>
  <c r="EV99" s="1"/>
  <c r="DN99"/>
  <c r="DP99"/>
  <c r="EZ99" s="1"/>
  <c r="DR99"/>
  <c r="FB99" s="1"/>
  <c r="DT99"/>
  <c r="DV99"/>
  <c r="DX99"/>
  <c r="DZ99"/>
  <c r="EB99"/>
  <c r="ED99"/>
  <c r="EF99"/>
  <c r="EG99"/>
  <c r="EH99"/>
  <c r="EI99"/>
  <c r="EJ99"/>
  <c r="DD99"/>
  <c r="DC99" s="1"/>
  <c r="BA99"/>
  <c r="CM99"/>
  <c r="CL99"/>
  <c r="CK99"/>
  <c r="AY99"/>
  <c r="B102"/>
  <c r="CZ98"/>
  <c r="DI98"/>
  <c r="DM98"/>
  <c r="DQ98"/>
  <c r="DU98"/>
  <c r="DY98"/>
  <c r="EC98"/>
  <c r="EG98"/>
  <c r="DD98"/>
  <c r="DE98" s="1"/>
  <c r="DC98"/>
  <c r="CL98"/>
  <c r="CK98"/>
  <c r="AY98"/>
  <c r="B101"/>
  <c r="CZ97"/>
  <c r="DG97" s="1"/>
  <c r="DD97"/>
  <c r="DE97" s="1"/>
  <c r="DC97"/>
  <c r="BA97"/>
  <c r="CM97" s="1"/>
  <c r="CL97"/>
  <c r="CK97"/>
  <c r="AY97"/>
  <c r="B96"/>
  <c r="CZ96"/>
  <c r="DF96"/>
  <c r="DG96"/>
  <c r="DH96"/>
  <c r="DI96"/>
  <c r="ES96" s="1"/>
  <c r="DJ96"/>
  <c r="DK96"/>
  <c r="DL96"/>
  <c r="EV96" s="1"/>
  <c r="DM96"/>
  <c r="EW96" s="1"/>
  <c r="DN96"/>
  <c r="DO96"/>
  <c r="EY96" s="1"/>
  <c r="DP96"/>
  <c r="DQ96"/>
  <c r="DR96"/>
  <c r="DS96"/>
  <c r="DT96"/>
  <c r="FD96" s="1"/>
  <c r="DU96"/>
  <c r="DV96"/>
  <c r="DW96"/>
  <c r="DX96"/>
  <c r="DY96"/>
  <c r="FI96" s="1"/>
  <c r="DZ96"/>
  <c r="FJ96" s="1"/>
  <c r="EA96"/>
  <c r="EB96"/>
  <c r="EC96"/>
  <c r="FM96" s="1"/>
  <c r="ED96"/>
  <c r="EE96"/>
  <c r="EF96"/>
  <c r="FP96" s="1"/>
  <c r="EG96"/>
  <c r="EH96"/>
  <c r="EI96"/>
  <c r="EJ96"/>
  <c r="DD96"/>
  <c r="DC96" s="1"/>
  <c r="BA96"/>
  <c r="CM96"/>
  <c r="CL96"/>
  <c r="CK96"/>
  <c r="AY96"/>
  <c r="B94"/>
  <c r="CZ95"/>
  <c r="DD95"/>
  <c r="DE95" s="1"/>
  <c r="DC95"/>
  <c r="BA95"/>
  <c r="CM95" s="1"/>
  <c r="CL95"/>
  <c r="CK95"/>
  <c r="AY95"/>
  <c r="B92"/>
  <c r="CZ94"/>
  <c r="DF94"/>
  <c r="DG94"/>
  <c r="DH94"/>
  <c r="DI94"/>
  <c r="ES94" s="1"/>
  <c r="DJ94"/>
  <c r="DK94"/>
  <c r="DL94"/>
  <c r="DM94"/>
  <c r="EW94" s="1"/>
  <c r="DN94"/>
  <c r="EX94" s="1"/>
  <c r="DO94"/>
  <c r="DP94"/>
  <c r="EZ94" s="1"/>
  <c r="DQ94"/>
  <c r="FA94" s="1"/>
  <c r="DR94"/>
  <c r="FB94" s="1"/>
  <c r="DS94"/>
  <c r="DT94"/>
  <c r="DU94"/>
  <c r="DV94"/>
  <c r="FF94" s="1"/>
  <c r="DW94"/>
  <c r="DX94"/>
  <c r="DY94"/>
  <c r="DZ94"/>
  <c r="EA94"/>
  <c r="EB94"/>
  <c r="EC94"/>
  <c r="ED94"/>
  <c r="EE94"/>
  <c r="EF94"/>
  <c r="EG94"/>
  <c r="EH94"/>
  <c r="EI94"/>
  <c r="EJ94"/>
  <c r="DD94"/>
  <c r="DC94" s="1"/>
  <c r="BA94"/>
  <c r="CM94"/>
  <c r="CL94"/>
  <c r="CK94"/>
  <c r="AY94"/>
  <c r="B91"/>
  <c r="CZ93"/>
  <c r="DD93"/>
  <c r="DE93" s="1"/>
  <c r="DC93"/>
  <c r="BA93"/>
  <c r="CM93" s="1"/>
  <c r="CL93"/>
  <c r="CK93"/>
  <c r="AY93"/>
  <c r="B93"/>
  <c r="CZ92"/>
  <c r="DF92"/>
  <c r="DG92"/>
  <c r="DH92"/>
  <c r="DI92"/>
  <c r="ES92" s="1"/>
  <c r="DJ92"/>
  <c r="DK92"/>
  <c r="DL92"/>
  <c r="DM92"/>
  <c r="EW92" s="1"/>
  <c r="DN92"/>
  <c r="EX92" s="1"/>
  <c r="DO92"/>
  <c r="EY92" s="1"/>
  <c r="DP92"/>
  <c r="DQ92"/>
  <c r="DR92"/>
  <c r="FB92" s="1"/>
  <c r="DS92"/>
  <c r="FC92" s="1"/>
  <c r="DT92"/>
  <c r="DU92"/>
  <c r="DV92"/>
  <c r="FF92" s="1"/>
  <c r="DW92"/>
  <c r="DX92"/>
  <c r="DY92"/>
  <c r="DZ92"/>
  <c r="FJ92" s="1"/>
  <c r="EA92"/>
  <c r="EB92"/>
  <c r="EC92"/>
  <c r="ED92"/>
  <c r="EE92"/>
  <c r="EF92"/>
  <c r="EG92"/>
  <c r="EH92"/>
  <c r="EI92"/>
  <c r="EJ92"/>
  <c r="DD92"/>
  <c r="DC92" s="1"/>
  <c r="BA92"/>
  <c r="CM92"/>
  <c r="CL92"/>
  <c r="CK92"/>
  <c r="AY92"/>
  <c r="B97"/>
  <c r="CZ91"/>
  <c r="DG91" s="1"/>
  <c r="DD91"/>
  <c r="DE91" s="1"/>
  <c r="DC91"/>
  <c r="BA91"/>
  <c r="CM91" s="1"/>
  <c r="CL91"/>
  <c r="CK91"/>
  <c r="AY91"/>
  <c r="B90"/>
  <c r="CZ90"/>
  <c r="DF90"/>
  <c r="DG90"/>
  <c r="DH90"/>
  <c r="DI90"/>
  <c r="ES90" s="1"/>
  <c r="DJ90"/>
  <c r="DK90"/>
  <c r="DL90"/>
  <c r="DM90"/>
  <c r="EW90" s="1"/>
  <c r="DN90"/>
  <c r="EX90" s="1"/>
  <c r="DO90"/>
  <c r="EY90" s="1"/>
  <c r="DP90"/>
  <c r="DQ90"/>
  <c r="DR90"/>
  <c r="FB90" s="1"/>
  <c r="DS90"/>
  <c r="FC90" s="1"/>
  <c r="DT90"/>
  <c r="DU90"/>
  <c r="DV90"/>
  <c r="FF90" s="1"/>
  <c r="DW90"/>
  <c r="DX90"/>
  <c r="DY90"/>
  <c r="DZ90"/>
  <c r="FJ90" s="1"/>
  <c r="EA90"/>
  <c r="EB90"/>
  <c r="EC90"/>
  <c r="ED90"/>
  <c r="EE90"/>
  <c r="EF90"/>
  <c r="EG90"/>
  <c r="EH90"/>
  <c r="FR90" s="1"/>
  <c r="EI90"/>
  <c r="FS90" s="1"/>
  <c r="EJ90"/>
  <c r="DD90"/>
  <c r="DC90" s="1"/>
  <c r="BA90"/>
  <c r="CM90"/>
  <c r="CL90"/>
  <c r="CK90"/>
  <c r="AY90"/>
  <c r="B89"/>
  <c r="CX89"/>
  <c r="CZ89"/>
  <c r="DN89" s="1"/>
  <c r="DO89"/>
  <c r="DQ89"/>
  <c r="DS89"/>
  <c r="DU89"/>
  <c r="DW89"/>
  <c r="DY89"/>
  <c r="FI89" s="1"/>
  <c r="EA89"/>
  <c r="EC89"/>
  <c r="EE89"/>
  <c r="FO89" s="1"/>
  <c r="EG89"/>
  <c r="FQ89" s="1"/>
  <c r="EI89"/>
  <c r="DD89"/>
  <c r="DE89"/>
  <c r="DC89"/>
  <c r="BA89"/>
  <c r="CM89" s="1"/>
  <c r="CL89"/>
  <c r="CK89"/>
  <c r="AY89"/>
  <c r="B95"/>
  <c r="CZ88"/>
  <c r="DF88"/>
  <c r="DH88"/>
  <c r="DJ88"/>
  <c r="DL88"/>
  <c r="DN88"/>
  <c r="DP88"/>
  <c r="DR88"/>
  <c r="DT88"/>
  <c r="DV88"/>
  <c r="DX88"/>
  <c r="DZ88"/>
  <c r="EB88"/>
  <c r="ED88"/>
  <c r="EF88"/>
  <c r="EH88"/>
  <c r="EJ88"/>
  <c r="DD88"/>
  <c r="CL88"/>
  <c r="CK88"/>
  <c r="AY88"/>
  <c r="B88"/>
  <c r="C79"/>
  <c r="C78"/>
  <c r="C77"/>
  <c r="C76"/>
  <c r="C75"/>
  <c r="C74"/>
  <c r="C73"/>
  <c r="C72"/>
  <c r="C71"/>
  <c r="C70"/>
  <c r="W13"/>
  <c r="D13"/>
  <c r="W12"/>
  <c r="D12"/>
  <c r="W11"/>
  <c r="D11"/>
  <c r="W10"/>
  <c r="D10"/>
  <c r="W9"/>
  <c r="D9"/>
  <c r="W8"/>
  <c r="D8"/>
  <c r="W7"/>
  <c r="T7"/>
  <c r="S7"/>
  <c r="R7"/>
  <c r="Q7"/>
  <c r="P7"/>
  <c r="O7"/>
  <c r="N7"/>
  <c r="M7"/>
  <c r="D7"/>
  <c r="W6"/>
  <c r="T6"/>
  <c r="S6"/>
  <c r="R6"/>
  <c r="Q6"/>
  <c r="P6"/>
  <c r="O6"/>
  <c r="N6"/>
  <c r="M6"/>
  <c r="D6"/>
  <c r="W5"/>
  <c r="T5"/>
  <c r="S5"/>
  <c r="R5"/>
  <c r="Q5"/>
  <c r="P5"/>
  <c r="O5"/>
  <c r="N5"/>
  <c r="M5"/>
  <c r="D5"/>
  <c r="W4"/>
  <c r="G4"/>
  <c r="D4"/>
  <c r="EX88" l="1"/>
  <c r="EW98"/>
  <c r="EZ88"/>
  <c r="ES158"/>
  <c r="DH216"/>
  <c r="DE151"/>
  <c r="DE231" s="1"/>
  <c r="FE96"/>
  <c r="FT101"/>
  <c r="ET102"/>
  <c r="ET112"/>
  <c r="FH122"/>
  <c r="FP136"/>
  <c r="FP138"/>
  <c r="FT139"/>
  <c r="FH145"/>
  <c r="ET146"/>
  <c r="FT147"/>
  <c r="ET148"/>
  <c r="FT150"/>
  <c r="ET154"/>
  <c r="FH157"/>
  <c r="FT162"/>
  <c r="FH164"/>
  <c r="ET167"/>
  <c r="FT173"/>
  <c r="FH173"/>
  <c r="FT175"/>
  <c r="FH178"/>
  <c r="FP183"/>
  <c r="FP90"/>
  <c r="FF96"/>
  <c r="FB96"/>
  <c r="FF99"/>
  <c r="FP106"/>
  <c r="FP108"/>
  <c r="FB122"/>
  <c r="FP124"/>
  <c r="FF131"/>
  <c r="FB131"/>
  <c r="FB136"/>
  <c r="FP139"/>
  <c r="FF139"/>
  <c r="FF143"/>
  <c r="FF147"/>
  <c r="FP149"/>
  <c r="FF150"/>
  <c r="FB152"/>
  <c r="FF156"/>
  <c r="FB156"/>
  <c r="FB157"/>
  <c r="FP163"/>
  <c r="FF165"/>
  <c r="FB165"/>
  <c r="FF166"/>
  <c r="FP167"/>
  <c r="FP170"/>
  <c r="FB175"/>
  <c r="FF177"/>
  <c r="FB183"/>
  <c r="FP186"/>
  <c r="ET94"/>
  <c r="FL99"/>
  <c r="FP101"/>
  <c r="FH101"/>
  <c r="ET104"/>
  <c r="ET110"/>
  <c r="ET120"/>
  <c r="FH136"/>
  <c r="ET139"/>
  <c r="FT145"/>
  <c r="FL147"/>
  <c r="FL150"/>
  <c r="FH152"/>
  <c r="FH162"/>
  <c r="ET171"/>
  <c r="FP173"/>
  <c r="FP177"/>
  <c r="FP178"/>
  <c r="FH180"/>
  <c r="FM89"/>
  <c r="FQ90"/>
  <c r="FM90"/>
  <c r="FI90"/>
  <c r="FT92"/>
  <c r="FP92"/>
  <c r="FI92"/>
  <c r="FT94"/>
  <c r="FP94"/>
  <c r="FT99"/>
  <c r="FP99"/>
  <c r="FF101"/>
  <c r="FB101"/>
  <c r="FF102"/>
  <c r="FI103"/>
  <c r="FF104"/>
  <c r="FB106"/>
  <c r="ET106"/>
  <c r="FQ107"/>
  <c r="ET108"/>
  <c r="FF110"/>
  <c r="FI111"/>
  <c r="FF112"/>
  <c r="FB114"/>
  <c r="FQ115"/>
  <c r="FB116"/>
  <c r="FI119"/>
  <c r="FT120"/>
  <c r="FT122"/>
  <c r="FM124"/>
  <c r="FI124"/>
  <c r="FF125"/>
  <c r="FF126"/>
  <c r="FF132"/>
  <c r="FF135"/>
  <c r="FT136"/>
  <c r="FM137"/>
  <c r="FI137"/>
  <c r="FI141"/>
  <c r="FT142"/>
  <c r="FP142"/>
  <c r="FF145"/>
  <c r="FB145"/>
  <c r="FF146"/>
  <c r="FB149"/>
  <c r="ET149"/>
  <c r="FP150"/>
  <c r="FT152"/>
  <c r="FM153"/>
  <c r="FF154"/>
  <c r="FT157"/>
  <c r="FT159"/>
  <c r="FF162"/>
  <c r="FB162"/>
  <c r="ET162"/>
  <c r="FQ163"/>
  <c r="FM163"/>
  <c r="FI163"/>
  <c r="FF164"/>
  <c r="FM170"/>
  <c r="FI170"/>
  <c r="FF171"/>
  <c r="FF173"/>
  <c r="FB173"/>
  <c r="FQ174"/>
  <c r="FM174"/>
  <c r="FI174"/>
  <c r="ET175"/>
  <c r="FM176"/>
  <c r="FT182"/>
  <c r="FP182"/>
  <c r="FT183"/>
  <c r="FM186"/>
  <c r="FI186"/>
  <c r="FF187"/>
  <c r="W375"/>
  <c r="AK372"/>
  <c r="AK381" s="1"/>
  <c r="S372"/>
  <c r="S375" s="1"/>
  <c r="H516"/>
  <c r="FA89"/>
  <c r="FK90"/>
  <c r="EU90"/>
  <c r="FR92"/>
  <c r="FG92"/>
  <c r="FA96"/>
  <c r="FA103"/>
  <c r="FR104"/>
  <c r="FK109"/>
  <c r="FK117"/>
  <c r="FR120"/>
  <c r="FK124"/>
  <c r="FA131"/>
  <c r="FR135"/>
  <c r="FK137"/>
  <c r="EU137"/>
  <c r="FD139"/>
  <c r="FO140"/>
  <c r="FR142"/>
  <c r="FD145"/>
  <c r="FA153"/>
  <c r="FO155"/>
  <c r="FD162"/>
  <c r="FK163"/>
  <c r="FA165"/>
  <c r="FA166"/>
  <c r="FK167"/>
  <c r="FK169"/>
  <c r="FO170"/>
  <c r="FO174"/>
  <c r="FR180"/>
  <c r="FO181"/>
  <c r="FK186"/>
  <c r="FR187"/>
  <c r="EV88"/>
  <c r="EX89"/>
  <c r="FA90"/>
  <c r="FL92"/>
  <c r="FE92"/>
  <c r="FA92"/>
  <c r="FH94"/>
  <c r="FD94"/>
  <c r="EV94"/>
  <c r="FS96"/>
  <c r="FO96"/>
  <c r="FK96"/>
  <c r="EU96"/>
  <c r="FH99"/>
  <c r="FO100"/>
  <c r="FR101"/>
  <c r="EX101"/>
  <c r="EX102"/>
  <c r="EX104"/>
  <c r="FK105"/>
  <c r="EU105"/>
  <c r="FR106"/>
  <c r="FA107"/>
  <c r="FS109"/>
  <c r="EX110"/>
  <c r="FK113"/>
  <c r="EU113"/>
  <c r="FR114"/>
  <c r="FA115"/>
  <c r="FR116"/>
  <c r="FS117"/>
  <c r="FA119"/>
  <c r="FH120"/>
  <c r="FD120"/>
  <c r="EV120"/>
  <c r="FD122"/>
  <c r="EV122"/>
  <c r="FE124"/>
  <c r="EX126"/>
  <c r="EX129"/>
  <c r="FO131"/>
  <c r="FK131"/>
  <c r="EU131"/>
  <c r="EX132"/>
  <c r="EX134"/>
  <c r="FD136"/>
  <c r="FA137"/>
  <c r="FK140"/>
  <c r="FH142"/>
  <c r="FD142"/>
  <c r="FS143"/>
  <c r="FO143"/>
  <c r="FK143"/>
  <c r="FO144"/>
  <c r="FR145"/>
  <c r="EX145"/>
  <c r="EX146"/>
  <c r="FH147"/>
  <c r="FR149"/>
  <c r="FH150"/>
  <c r="FD152"/>
  <c r="EX154"/>
  <c r="FO156"/>
  <c r="FK156"/>
  <c r="FD157"/>
  <c r="EV157"/>
  <c r="FH159"/>
  <c r="FD159"/>
  <c r="FR162"/>
  <c r="EX162"/>
  <c r="FA163"/>
  <c r="FK164"/>
  <c r="EU164"/>
  <c r="FS165"/>
  <c r="FO165"/>
  <c r="FK165"/>
  <c r="EU165"/>
  <c r="FK166"/>
  <c r="EU166"/>
  <c r="FA170"/>
  <c r="FR173"/>
  <c r="EX173"/>
  <c r="FE174"/>
  <c r="FD175"/>
  <c r="FH177"/>
  <c r="FR179"/>
  <c r="FE180"/>
  <c r="FS181"/>
  <c r="FK181"/>
  <c r="FH182"/>
  <c r="FD182"/>
  <c r="EV182"/>
  <c r="FD183"/>
  <c r="FD184"/>
  <c r="FA186"/>
  <c r="AF374"/>
  <c r="J377"/>
  <c r="AB372"/>
  <c r="AB380" s="1"/>
  <c r="M372"/>
  <c r="M380" s="1"/>
  <c r="H466"/>
  <c r="FO90"/>
  <c r="FG90"/>
  <c r="EU92"/>
  <c r="FR94"/>
  <c r="FR99"/>
  <c r="FD99"/>
  <c r="FD101"/>
  <c r="FR102"/>
  <c r="EU109"/>
  <c r="FR110"/>
  <c r="FR112"/>
  <c r="EU117"/>
  <c r="EU118"/>
  <c r="FO124"/>
  <c r="FR125"/>
  <c r="FR126"/>
  <c r="FR132"/>
  <c r="FO137"/>
  <c r="FD138"/>
  <c r="FO139"/>
  <c r="FD143"/>
  <c r="FG144"/>
  <c r="FR146"/>
  <c r="FD147"/>
  <c r="FD150"/>
  <c r="FR154"/>
  <c r="EU155"/>
  <c r="FR159"/>
  <c r="FO163"/>
  <c r="FG163"/>
  <c r="EU163"/>
  <c r="EU169"/>
  <c r="FK170"/>
  <c r="EU170"/>
  <c r="FR171"/>
  <c r="FD173"/>
  <c r="FK174"/>
  <c r="EU180"/>
  <c r="FR182"/>
  <c r="FO186"/>
  <c r="N373"/>
  <c r="AI372"/>
  <c r="FD90"/>
  <c r="EV90"/>
  <c r="FO92"/>
  <c r="FD92"/>
  <c r="EV92"/>
  <c r="FO94"/>
  <c r="FR96"/>
  <c r="EX96"/>
  <c r="FA98"/>
  <c r="EX99"/>
  <c r="FA101"/>
  <c r="FD102"/>
  <c r="EV102"/>
  <c r="FD104"/>
  <c r="EV104"/>
  <c r="FO109"/>
  <c r="FD110"/>
  <c r="FD112"/>
  <c r="FO117"/>
  <c r="FO119"/>
  <c r="FO120"/>
  <c r="FR122"/>
  <c r="FD124"/>
  <c r="FD125"/>
  <c r="EV125"/>
  <c r="FD126"/>
  <c r="FR131"/>
  <c r="EX131"/>
  <c r="FD132"/>
  <c r="FD135"/>
  <c r="EV135"/>
  <c r="FR136"/>
  <c r="FD137"/>
  <c r="FA140"/>
  <c r="FO141"/>
  <c r="FO142"/>
  <c r="FR143"/>
  <c r="FA145"/>
  <c r="FD146"/>
  <c r="FR152"/>
  <c r="FD154"/>
  <c r="FR156"/>
  <c r="EX156"/>
  <c r="FR157"/>
  <c r="EV158"/>
  <c r="FO159"/>
  <c r="FD163"/>
  <c r="FO164"/>
  <c r="FD164"/>
  <c r="FR165"/>
  <c r="FO169"/>
  <c r="FD170"/>
  <c r="EV170"/>
  <c r="FD171"/>
  <c r="FL174"/>
  <c r="FD174"/>
  <c r="FO182"/>
  <c r="FR183"/>
  <c r="EV184"/>
  <c r="FO185"/>
  <c r="FD186"/>
  <c r="U378"/>
  <c r="Y372"/>
  <c r="Y381" s="1"/>
  <c r="L372"/>
  <c r="L376" s="1"/>
  <c r="H382"/>
  <c r="H380"/>
  <c r="H375"/>
  <c r="H378"/>
  <c r="H379"/>
  <c r="EQ97"/>
  <c r="EQ100"/>
  <c r="EQ137"/>
  <c r="EQ143"/>
  <c r="EQ144"/>
  <c r="EQ150"/>
  <c r="EQ151"/>
  <c r="ER159"/>
  <c r="ER162"/>
  <c r="EQ163"/>
  <c r="EQ170"/>
  <c r="FS89"/>
  <c r="FK89"/>
  <c r="FC89"/>
  <c r="FT90"/>
  <c r="FH90"/>
  <c r="EZ90"/>
  <c r="FS92"/>
  <c r="FK92"/>
  <c r="FH92"/>
  <c r="EZ92"/>
  <c r="FS94"/>
  <c r="FK94"/>
  <c r="FC94"/>
  <c r="EY94"/>
  <c r="EU94"/>
  <c r="EQ94"/>
  <c r="FN96"/>
  <c r="ET96"/>
  <c r="FS99"/>
  <c r="FK100"/>
  <c r="EU100"/>
  <c r="FM101"/>
  <c r="FI101"/>
  <c r="FE101"/>
  <c r="FT102"/>
  <c r="EQ102"/>
  <c r="FE103"/>
  <c r="FT104"/>
  <c r="EQ104"/>
  <c r="EQ105"/>
  <c r="FH106"/>
  <c r="ER106"/>
  <c r="FM107"/>
  <c r="ER108"/>
  <c r="EY109"/>
  <c r="FT110"/>
  <c r="EQ110"/>
  <c r="FE111"/>
  <c r="FT112"/>
  <c r="EQ112"/>
  <c r="EQ113"/>
  <c r="FH114"/>
  <c r="ER114"/>
  <c r="FM115"/>
  <c r="FH116"/>
  <c r="EY117"/>
  <c r="EY119"/>
  <c r="EQ119"/>
  <c r="FK120"/>
  <c r="EY120"/>
  <c r="EU120"/>
  <c r="EQ120"/>
  <c r="FT124"/>
  <c r="FH124"/>
  <c r="FT125"/>
  <c r="EQ125"/>
  <c r="FT126"/>
  <c r="EQ130"/>
  <c r="FN131"/>
  <c r="FT132"/>
  <c r="FT135"/>
  <c r="ET136"/>
  <c r="FT137"/>
  <c r="FH137"/>
  <c r="FK139"/>
  <c r="EU139"/>
  <c r="FI140"/>
  <c r="EY141"/>
  <c r="FS142"/>
  <c r="FK142"/>
  <c r="FC142"/>
  <c r="EY142"/>
  <c r="FK144"/>
  <c r="EU144"/>
  <c r="FM145"/>
  <c r="FI145"/>
  <c r="FT146"/>
  <c r="EQ146"/>
  <c r="FH149"/>
  <c r="EZ149"/>
  <c r="EY151"/>
  <c r="ET152"/>
  <c r="FK153"/>
  <c r="EU153"/>
  <c r="FT154"/>
  <c r="EQ154"/>
  <c r="EQ156"/>
  <c r="FK159"/>
  <c r="EY159"/>
  <c r="FM162"/>
  <c r="FI162"/>
  <c r="FT163"/>
  <c r="FH163"/>
  <c r="FT164"/>
  <c r="FI164"/>
  <c r="EY164"/>
  <c r="ET164"/>
  <c r="ET165"/>
  <c r="EU167"/>
  <c r="EY169"/>
  <c r="FT170"/>
  <c r="FH170"/>
  <c r="ER170"/>
  <c r="FT171"/>
  <c r="FM173"/>
  <c r="FI173"/>
  <c r="FT174"/>
  <c r="FH174"/>
  <c r="EY174"/>
  <c r="EQ174"/>
  <c r="FK176"/>
  <c r="EU176"/>
  <c r="FN180"/>
  <c r="FI180"/>
  <c r="FI181"/>
  <c r="FS182"/>
  <c r="FK182"/>
  <c r="EY182"/>
  <c r="EU182"/>
  <c r="EQ182"/>
  <c r="FT186"/>
  <c r="FH186"/>
  <c r="EZ187"/>
  <c r="U374"/>
  <c r="AB376"/>
  <c r="AF378"/>
  <c r="N381"/>
  <c r="AD372"/>
  <c r="EQ90"/>
  <c r="EQ92"/>
  <c r="EQ99"/>
  <c r="EQ91"/>
  <c r="EQ96"/>
  <c r="EQ101"/>
  <c r="EQ107"/>
  <c r="EQ131"/>
  <c r="EQ136"/>
  <c r="EQ139"/>
  <c r="EQ152"/>
  <c r="EQ159"/>
  <c r="EQ165"/>
  <c r="H468"/>
  <c r="EY89"/>
  <c r="ET90"/>
  <c r="FM92"/>
  <c r="ET92"/>
  <c r="FM94"/>
  <c r="FI94"/>
  <c r="FE94"/>
  <c r="FT96"/>
  <c r="FH96"/>
  <c r="ER96"/>
  <c r="ET99"/>
  <c r="FS100"/>
  <c r="FC100"/>
  <c r="FS101"/>
  <c r="FK101"/>
  <c r="FC101"/>
  <c r="EY101"/>
  <c r="FH102"/>
  <c r="EZ102"/>
  <c r="FM103"/>
  <c r="FH104"/>
  <c r="EZ104"/>
  <c r="EY105"/>
  <c r="FT106"/>
  <c r="EQ106"/>
  <c r="FE107"/>
  <c r="EY107"/>
  <c r="EQ108"/>
  <c r="EQ109"/>
  <c r="FH110"/>
  <c r="EZ110"/>
  <c r="FM111"/>
  <c r="FH112"/>
  <c r="EY113"/>
  <c r="FT114"/>
  <c r="EQ114"/>
  <c r="FT116"/>
  <c r="EQ117"/>
  <c r="EQ118"/>
  <c r="FK119"/>
  <c r="FM120"/>
  <c r="FI120"/>
  <c r="FE120"/>
  <c r="FN122"/>
  <c r="FH125"/>
  <c r="FH126"/>
  <c r="EZ126"/>
  <c r="ER126"/>
  <c r="ER129"/>
  <c r="FI130"/>
  <c r="FT131"/>
  <c r="FH131"/>
  <c r="FH132"/>
  <c r="EZ132"/>
  <c r="EQ133"/>
  <c r="FH135"/>
  <c r="EZ135"/>
  <c r="EU138"/>
  <c r="EQ138"/>
  <c r="FH139"/>
  <c r="FM140"/>
  <c r="FK141"/>
  <c r="FM142"/>
  <c r="FI142"/>
  <c r="FT143"/>
  <c r="FH143"/>
  <c r="FS144"/>
  <c r="FK145"/>
  <c r="EY145"/>
  <c r="FH146"/>
  <c r="FT149"/>
  <c r="EU151"/>
  <c r="EY153"/>
  <c r="EQ153"/>
  <c r="FH154"/>
  <c r="FT156"/>
  <c r="FH156"/>
  <c r="EZ156"/>
  <c r="ET156"/>
  <c r="FN157"/>
  <c r="FM159"/>
  <c r="FI159"/>
  <c r="ET159"/>
  <c r="FK162"/>
  <c r="EY162"/>
  <c r="EU162"/>
  <c r="EQ162"/>
  <c r="FN163"/>
  <c r="ET163"/>
  <c r="EQ164"/>
  <c r="FT165"/>
  <c r="FH165"/>
  <c r="EZ165"/>
  <c r="ER165"/>
  <c r="EQ169"/>
  <c r="FH171"/>
  <c r="EZ171"/>
  <c r="ER171"/>
  <c r="FK173"/>
  <c r="EY173"/>
  <c r="EU173"/>
  <c r="EQ173"/>
  <c r="EU174"/>
  <c r="FH175"/>
  <c r="FK180"/>
  <c r="ET180"/>
  <c r="FM181"/>
  <c r="FM182"/>
  <c r="FI182"/>
  <c r="FK184"/>
  <c r="FK185"/>
  <c r="EU185"/>
  <c r="N374"/>
  <c r="N377"/>
  <c r="L378"/>
  <c r="N380"/>
  <c r="Z372"/>
  <c r="Z378" s="1"/>
  <c r="EK137"/>
  <c r="EK201"/>
  <c r="EK191"/>
  <c r="EK196"/>
  <c r="EP198"/>
  <c r="FU198" s="1"/>
  <c r="FJ108"/>
  <c r="EX108"/>
  <c r="EV128"/>
  <c r="FS138"/>
  <c r="FM138"/>
  <c r="FM158"/>
  <c r="EY158"/>
  <c r="FJ168"/>
  <c r="FS178"/>
  <c r="FB178"/>
  <c r="EY178"/>
  <c r="FF88"/>
  <c r="FO118"/>
  <c r="EZ128"/>
  <c r="FB148"/>
  <c r="ET168"/>
  <c r="FI178"/>
  <c r="EU178"/>
  <c r="FH88"/>
  <c r="ER88"/>
  <c r="FB108"/>
  <c r="FS118"/>
  <c r="ES118"/>
  <c r="FT128"/>
  <c r="FD128"/>
  <c r="FO138"/>
  <c r="FK138"/>
  <c r="EX138"/>
  <c r="FF148"/>
  <c r="FK158"/>
  <c r="EU158"/>
  <c r="EQ158"/>
  <c r="FJ178"/>
  <c r="FD178"/>
  <c r="EV178"/>
  <c r="EQ178"/>
  <c r="FT138"/>
  <c r="FT158"/>
  <c r="FN158"/>
  <c r="FD158"/>
  <c r="EZ178"/>
  <c r="FT88"/>
  <c r="FD88"/>
  <c r="FM98"/>
  <c r="FK118"/>
  <c r="FI138"/>
  <c r="FF138"/>
  <c r="FI158"/>
  <c r="FR108"/>
  <c r="FF108"/>
  <c r="EY118"/>
  <c r="FP128"/>
  <c r="ES138"/>
  <c r="FR148"/>
  <c r="FT178"/>
  <c r="FM178"/>
  <c r="FC178"/>
  <c r="FP88"/>
  <c r="FE98"/>
  <c r="FN108"/>
  <c r="FR88"/>
  <c r="FJ88"/>
  <c r="FB88"/>
  <c r="ET88"/>
  <c r="FI98"/>
  <c r="ES98"/>
  <c r="FH128"/>
  <c r="FE138"/>
  <c r="EY138"/>
  <c r="FJ148"/>
  <c r="FO158"/>
  <c r="FH158"/>
  <c r="FE158"/>
  <c r="FB158"/>
  <c r="FR178"/>
  <c r="FO178"/>
  <c r="FK178"/>
  <c r="ES178"/>
  <c r="FF158"/>
  <c r="FF178"/>
  <c r="FT108"/>
  <c r="FH108"/>
  <c r="FR138"/>
  <c r="FH138"/>
  <c r="FB138"/>
  <c r="FR158"/>
  <c r="EV147"/>
  <c r="ET147"/>
  <c r="EQ155"/>
  <c r="EV116"/>
  <c r="EQ116"/>
  <c r="AK29"/>
  <c r="AK45" s="1"/>
  <c r="AJ28"/>
  <c r="AJ44" s="1"/>
  <c r="X28"/>
  <c r="X44" s="1"/>
  <c r="P28"/>
  <c r="P44" s="1"/>
  <c r="L28"/>
  <c r="L44" s="1"/>
  <c r="AE27"/>
  <c r="AE43" s="1"/>
  <c r="AF24"/>
  <c r="AF40" s="1"/>
  <c r="X24"/>
  <c r="X40" s="1"/>
  <c r="P24"/>
  <c r="P40" s="1"/>
  <c r="H24"/>
  <c r="H40" s="1"/>
  <c r="O23"/>
  <c r="O39" s="1"/>
  <c r="AK21"/>
  <c r="AK37" s="1"/>
  <c r="Q21"/>
  <c r="Q37" s="1"/>
  <c r="L23"/>
  <c r="L39" s="1"/>
  <c r="AJ23"/>
  <c r="AJ39" s="1"/>
  <c r="AF23"/>
  <c r="AF39" s="1"/>
  <c r="X23"/>
  <c r="X39" s="1"/>
  <c r="AH21"/>
  <c r="AH37" s="1"/>
  <c r="H22"/>
  <c r="H38" s="1"/>
  <c r="AF28"/>
  <c r="AF44" s="1"/>
  <c r="U25"/>
  <c r="U41" s="1"/>
  <c r="Y29"/>
  <c r="Y45" s="1"/>
  <c r="I28"/>
  <c r="I44" s="1"/>
  <c r="AJ25"/>
  <c r="AJ41" s="1"/>
  <c r="L25"/>
  <c r="L41" s="1"/>
  <c r="AB25"/>
  <c r="AB41" s="1"/>
  <c r="AD25"/>
  <c r="AD41" s="1"/>
  <c r="AB24"/>
  <c r="AB40" s="1"/>
  <c r="T24"/>
  <c r="T40" s="1"/>
  <c r="L24"/>
  <c r="L40" s="1"/>
  <c r="AJ24"/>
  <c r="AJ40" s="1"/>
  <c r="AK23"/>
  <c r="AK39" s="1"/>
  <c r="AG23"/>
  <c r="AG39" s="1"/>
  <c r="AC23"/>
  <c r="AC39" s="1"/>
  <c r="Y23"/>
  <c r="Y39" s="1"/>
  <c r="U23"/>
  <c r="U39" s="1"/>
  <c r="M23"/>
  <c r="M39" s="1"/>
  <c r="I23"/>
  <c r="I39" s="1"/>
  <c r="D73"/>
  <c r="D537" s="1"/>
  <c r="K23"/>
  <c r="K39" s="1"/>
  <c r="T23"/>
  <c r="T39" s="1"/>
  <c r="AJ22"/>
  <c r="AJ38" s="1"/>
  <c r="AF22"/>
  <c r="AF38" s="1"/>
  <c r="AB22"/>
  <c r="AB38" s="1"/>
  <c r="X22"/>
  <c r="X38" s="1"/>
  <c r="T22"/>
  <c r="T38" s="1"/>
  <c r="P22"/>
  <c r="P38" s="1"/>
  <c r="L22"/>
  <c r="L38" s="1"/>
  <c r="P25"/>
  <c r="P41" s="1"/>
  <c r="AJ26"/>
  <c r="AJ42" s="1"/>
  <c r="AB26"/>
  <c r="AB42" s="1"/>
  <c r="X26"/>
  <c r="X42" s="1"/>
  <c r="T26"/>
  <c r="T42" s="1"/>
  <c r="L26"/>
  <c r="L42" s="1"/>
  <c r="Q22"/>
  <c r="Q38" s="1"/>
  <c r="AI29"/>
  <c r="AI45" s="1"/>
  <c r="AA29"/>
  <c r="AA45" s="1"/>
  <c r="S29"/>
  <c r="S45" s="1"/>
  <c r="G29"/>
  <c r="G45" s="1"/>
  <c r="D79"/>
  <c r="D549" s="1"/>
  <c r="AE29"/>
  <c r="AE45" s="1"/>
  <c r="W29"/>
  <c r="W45" s="1"/>
  <c r="O29"/>
  <c r="O45" s="1"/>
  <c r="K29"/>
  <c r="K45" s="1"/>
  <c r="AB29"/>
  <c r="AB45" s="1"/>
  <c r="AF29"/>
  <c r="AF45" s="1"/>
  <c r="T29"/>
  <c r="T45" s="1"/>
  <c r="H29"/>
  <c r="H45" s="1"/>
  <c r="AG29"/>
  <c r="AG45" s="1"/>
  <c r="AC29"/>
  <c r="AC45" s="1"/>
  <c r="U29"/>
  <c r="U45" s="1"/>
  <c r="Q29"/>
  <c r="Q45" s="1"/>
  <c r="M29"/>
  <c r="M45" s="1"/>
  <c r="I29"/>
  <c r="I45" s="1"/>
  <c r="AJ29"/>
  <c r="AJ45" s="1"/>
  <c r="P29"/>
  <c r="P45" s="1"/>
  <c r="L29"/>
  <c r="L45" s="1"/>
  <c r="U28"/>
  <c r="U44" s="1"/>
  <c r="Q28"/>
  <c r="Q44" s="1"/>
  <c r="M28"/>
  <c r="M44" s="1"/>
  <c r="X29"/>
  <c r="X45" s="1"/>
  <c r="AB28"/>
  <c r="AB44" s="1"/>
  <c r="D78"/>
  <c r="D547" s="1"/>
  <c r="AK28"/>
  <c r="AK44" s="1"/>
  <c r="AG28"/>
  <c r="AG44" s="1"/>
  <c r="AC28"/>
  <c r="AC44" s="1"/>
  <c r="Y28"/>
  <c r="Y44" s="1"/>
  <c r="AI28"/>
  <c r="AI44" s="1"/>
  <c r="AA28"/>
  <c r="AA44" s="1"/>
  <c r="W28"/>
  <c r="W44" s="1"/>
  <c r="S28"/>
  <c r="S44" s="1"/>
  <c r="O28"/>
  <c r="O44" s="1"/>
  <c r="K28"/>
  <c r="K44" s="1"/>
  <c r="G28"/>
  <c r="G44" s="1"/>
  <c r="G430" s="1"/>
  <c r="T28"/>
  <c r="T44" s="1"/>
  <c r="H28"/>
  <c r="H44" s="1"/>
  <c r="AE28"/>
  <c r="AE44" s="1"/>
  <c r="AF27"/>
  <c r="AF43" s="1"/>
  <c r="P27"/>
  <c r="P43" s="1"/>
  <c r="D77"/>
  <c r="C380" s="1"/>
  <c r="AK27"/>
  <c r="AK43" s="1"/>
  <c r="AG27"/>
  <c r="AG43" s="1"/>
  <c r="AC27"/>
  <c r="AC43" s="1"/>
  <c r="Y27"/>
  <c r="Y43" s="1"/>
  <c r="U27"/>
  <c r="U43" s="1"/>
  <c r="Q27"/>
  <c r="Q43" s="1"/>
  <c r="M27"/>
  <c r="M43" s="1"/>
  <c r="I27"/>
  <c r="I43" s="1"/>
  <c r="AI27"/>
  <c r="AI43" s="1"/>
  <c r="AA27"/>
  <c r="AA43" s="1"/>
  <c r="W27"/>
  <c r="W43" s="1"/>
  <c r="S27"/>
  <c r="S43" s="1"/>
  <c r="O27"/>
  <c r="O43" s="1"/>
  <c r="K27"/>
  <c r="K43" s="1"/>
  <c r="G27"/>
  <c r="G43" s="1"/>
  <c r="U26"/>
  <c r="U42" s="1"/>
  <c r="M26"/>
  <c r="M42" s="1"/>
  <c r="AI26"/>
  <c r="AI42" s="1"/>
  <c r="AE26"/>
  <c r="AE42" s="1"/>
  <c r="AA26"/>
  <c r="AA42" s="1"/>
  <c r="W26"/>
  <c r="W42" s="1"/>
  <c r="S26"/>
  <c r="S42" s="1"/>
  <c r="O26"/>
  <c r="O42" s="1"/>
  <c r="K26"/>
  <c r="K42" s="1"/>
  <c r="AG26"/>
  <c r="AG42" s="1"/>
  <c r="D76"/>
  <c r="D543" s="1"/>
  <c r="AB27"/>
  <c r="AB43" s="1"/>
  <c r="P26"/>
  <c r="P42" s="1"/>
  <c r="AJ27"/>
  <c r="AJ43" s="1"/>
  <c r="T27"/>
  <c r="T43" s="1"/>
  <c r="H27"/>
  <c r="H43" s="1"/>
  <c r="AF26"/>
  <c r="AF42" s="1"/>
  <c r="H26"/>
  <c r="H42" s="1"/>
  <c r="L27"/>
  <c r="L43" s="1"/>
  <c r="AK26"/>
  <c r="AK42" s="1"/>
  <c r="AC26"/>
  <c r="AC42" s="1"/>
  <c r="Y26"/>
  <c r="Y42" s="1"/>
  <c r="Q26"/>
  <c r="Q42" s="1"/>
  <c r="I26"/>
  <c r="I42" s="1"/>
  <c r="X27"/>
  <c r="X43" s="1"/>
  <c r="D75"/>
  <c r="D541" s="1"/>
  <c r="G26"/>
  <c r="G42" s="1"/>
  <c r="G428" s="1"/>
  <c r="G25"/>
  <c r="G41" s="1"/>
  <c r="G427" s="1"/>
  <c r="AI25"/>
  <c r="AI41" s="1"/>
  <c r="AE25"/>
  <c r="AE41" s="1"/>
  <c r="AA25"/>
  <c r="AA41" s="1"/>
  <c r="W25"/>
  <c r="W41" s="1"/>
  <c r="S25"/>
  <c r="S41" s="1"/>
  <c r="K25"/>
  <c r="K41" s="1"/>
  <c r="O25"/>
  <c r="O41" s="1"/>
  <c r="T25"/>
  <c r="T41" s="1"/>
  <c r="AK25"/>
  <c r="AK41" s="1"/>
  <c r="AG25"/>
  <c r="AG41" s="1"/>
  <c r="AC25"/>
  <c r="AC41" s="1"/>
  <c r="Y25"/>
  <c r="Y41" s="1"/>
  <c r="Q25"/>
  <c r="Q41" s="1"/>
  <c r="M25"/>
  <c r="M41" s="1"/>
  <c r="I25"/>
  <c r="I41" s="1"/>
  <c r="AF25"/>
  <c r="AF41" s="1"/>
  <c r="H25"/>
  <c r="H41" s="1"/>
  <c r="D74"/>
  <c r="D539" s="1"/>
  <c r="X25"/>
  <c r="X41" s="1"/>
  <c r="AK24"/>
  <c r="AK40" s="1"/>
  <c r="AG24"/>
  <c r="AG40" s="1"/>
  <c r="AC24"/>
  <c r="AC40" s="1"/>
  <c r="Y24"/>
  <c r="Y40" s="1"/>
  <c r="U24"/>
  <c r="U40" s="1"/>
  <c r="Q24"/>
  <c r="Q40" s="1"/>
  <c r="M24"/>
  <c r="M40" s="1"/>
  <c r="I24"/>
  <c r="I40" s="1"/>
  <c r="AI23"/>
  <c r="AI39" s="1"/>
  <c r="AE23"/>
  <c r="AE39" s="1"/>
  <c r="AA23"/>
  <c r="AA39" s="1"/>
  <c r="S23"/>
  <c r="S39" s="1"/>
  <c r="G23"/>
  <c r="G39" s="1"/>
  <c r="AB23"/>
  <c r="AB39" s="1"/>
  <c r="P23"/>
  <c r="P39" s="1"/>
  <c r="H23"/>
  <c r="H39" s="1"/>
  <c r="AG22"/>
  <c r="AG38" s="1"/>
  <c r="AC22"/>
  <c r="AC38" s="1"/>
  <c r="U30"/>
  <c r="U46" s="1"/>
  <c r="M22"/>
  <c r="M38" s="1"/>
  <c r="I22"/>
  <c r="I38" s="1"/>
  <c r="Q23"/>
  <c r="Q39" s="1"/>
  <c r="D72"/>
  <c r="D535" s="1"/>
  <c r="Y22"/>
  <c r="Y38" s="1"/>
  <c r="AI30"/>
  <c r="AI46" s="1"/>
  <c r="AA30"/>
  <c r="AA46" s="1"/>
  <c r="O30"/>
  <c r="O46" s="1"/>
  <c r="G21"/>
  <c r="G37" s="1"/>
  <c r="G423" s="1"/>
  <c r="X30"/>
  <c r="X46" s="1"/>
  <c r="T30"/>
  <c r="T46" s="1"/>
  <c r="H30"/>
  <c r="H46" s="1"/>
  <c r="AK30"/>
  <c r="AK46" s="1"/>
  <c r="AG21"/>
  <c r="AG37" s="1"/>
  <c r="AC30"/>
  <c r="AC46" s="1"/>
  <c r="Y30"/>
  <c r="Y46" s="1"/>
  <c r="U21"/>
  <c r="U37" s="1"/>
  <c r="Q30"/>
  <c r="Q46" s="1"/>
  <c r="M21"/>
  <c r="M37" s="1"/>
  <c r="I21"/>
  <c r="I37" s="1"/>
  <c r="L30"/>
  <c r="L46" s="1"/>
  <c r="J21"/>
  <c r="J37" s="1"/>
  <c r="AD21"/>
  <c r="AD37" s="1"/>
  <c r="Z21"/>
  <c r="Z37" s="1"/>
  <c r="V21"/>
  <c r="V37" s="1"/>
  <c r="R21"/>
  <c r="R37" s="1"/>
  <c r="N21"/>
  <c r="N37" s="1"/>
  <c r="AG30"/>
  <c r="AG46" s="1"/>
  <c r="X21"/>
  <c r="X37" s="1"/>
  <c r="W30"/>
  <c r="W46" s="1"/>
  <c r="S30"/>
  <c r="S46" s="1"/>
  <c r="K30"/>
  <c r="K46" s="1"/>
  <c r="G30"/>
  <c r="G46" s="1"/>
  <c r="AD29"/>
  <c r="AD45" s="1"/>
  <c r="V29"/>
  <c r="V45" s="1"/>
  <c r="N29"/>
  <c r="N45" s="1"/>
  <c r="AD27"/>
  <c r="AD43" s="1"/>
  <c r="V27"/>
  <c r="V43" s="1"/>
  <c r="N27"/>
  <c r="N43" s="1"/>
  <c r="AH25"/>
  <c r="AH41" s="1"/>
  <c r="Z25"/>
  <c r="Z41" s="1"/>
  <c r="R25"/>
  <c r="R41" s="1"/>
  <c r="J25"/>
  <c r="J41" s="1"/>
  <c r="AK22"/>
  <c r="AK38" s="1"/>
  <c r="Y21"/>
  <c r="Y37" s="1"/>
  <c r="L21"/>
  <c r="L37" s="1"/>
  <c r="AE30"/>
  <c r="AE46" s="1"/>
  <c r="AE432" s="1"/>
  <c r="M30"/>
  <c r="M46" s="1"/>
  <c r="W23"/>
  <c r="W39" s="1"/>
  <c r="U22"/>
  <c r="U38" s="1"/>
  <c r="T21"/>
  <c r="T37" s="1"/>
  <c r="AI21"/>
  <c r="AI37" s="1"/>
  <c r="AE21"/>
  <c r="AE37" s="1"/>
  <c r="AA21"/>
  <c r="AA37" s="1"/>
  <c r="W21"/>
  <c r="W37" s="1"/>
  <c r="S21"/>
  <c r="S37" s="1"/>
  <c r="O21"/>
  <c r="O37" s="1"/>
  <c r="K21"/>
  <c r="K37" s="1"/>
  <c r="AH29"/>
  <c r="AH45" s="1"/>
  <c r="Z29"/>
  <c r="Z45" s="1"/>
  <c r="R29"/>
  <c r="R45" s="1"/>
  <c r="J29"/>
  <c r="AH27"/>
  <c r="AH43" s="1"/>
  <c r="Z27"/>
  <c r="Z43" s="1"/>
  <c r="R27"/>
  <c r="R43" s="1"/>
  <c r="J27"/>
  <c r="V25"/>
  <c r="V41" s="1"/>
  <c r="N25"/>
  <c r="N41" s="1"/>
  <c r="I30"/>
  <c r="I46" s="1"/>
  <c r="AC21"/>
  <c r="AC37" s="1"/>
  <c r="H21"/>
  <c r="H37" s="1"/>
  <c r="AI22"/>
  <c r="AI38" s="1"/>
  <c r="AE22"/>
  <c r="AE38" s="1"/>
  <c r="AA22"/>
  <c r="AA38" s="1"/>
  <c r="W22"/>
  <c r="W38" s="1"/>
  <c r="S22"/>
  <c r="S38" s="1"/>
  <c r="O22"/>
  <c r="O38" s="1"/>
  <c r="K22"/>
  <c r="K38" s="1"/>
  <c r="EW163"/>
  <c r="S379"/>
  <c r="S377"/>
  <c r="FQ181"/>
  <c r="FQ156"/>
  <c r="FN150"/>
  <c r="FN143"/>
  <c r="FN120"/>
  <c r="E505"/>
  <c r="H506" s="1"/>
  <c r="FN178"/>
  <c r="FN173"/>
  <c r="FN165"/>
  <c r="FN137"/>
  <c r="FN124"/>
  <c r="FN114"/>
  <c r="FL186"/>
  <c r="FL173"/>
  <c r="FL165"/>
  <c r="FL163"/>
  <c r="FL152"/>
  <c r="FL143"/>
  <c r="FL138"/>
  <c r="FL124"/>
  <c r="FL175"/>
  <c r="FL158"/>
  <c r="FL157"/>
  <c r="FL154"/>
  <c r="FL149"/>
  <c r="FL146"/>
  <c r="FL142"/>
  <c r="FL137"/>
  <c r="FL112"/>
  <c r="FG181"/>
  <c r="FG174"/>
  <c r="E491"/>
  <c r="H492" s="1"/>
  <c r="X372"/>
  <c r="X373" s="1"/>
  <c r="FG162"/>
  <c r="FG156"/>
  <c r="ER152"/>
  <c r="ER149"/>
  <c r="ER131"/>
  <c r="ER112"/>
  <c r="ER157"/>
  <c r="ER156"/>
  <c r="ER154"/>
  <c r="ER146"/>
  <c r="ER135"/>
  <c r="ER125"/>
  <c r="ER120"/>
  <c r="EP165"/>
  <c r="EP150"/>
  <c r="EP143"/>
  <c r="EP120"/>
  <c r="EP178"/>
  <c r="EP173"/>
  <c r="EP158"/>
  <c r="EP136"/>
  <c r="EP110"/>
  <c r="Z380"/>
  <c r="Z382"/>
  <c r="O376"/>
  <c r="O373"/>
  <c r="O380"/>
  <c r="J380"/>
  <c r="J374"/>
  <c r="J382"/>
  <c r="J381"/>
  <c r="AA372"/>
  <c r="AA374" s="1"/>
  <c r="FJ182"/>
  <c r="FJ158"/>
  <c r="FJ150"/>
  <c r="FJ143"/>
  <c r="FJ142"/>
  <c r="FJ114"/>
  <c r="FJ159"/>
  <c r="FJ145"/>
  <c r="FJ137"/>
  <c r="FJ131"/>
  <c r="E487"/>
  <c r="H488" s="1"/>
  <c r="FE156"/>
  <c r="FC164"/>
  <c r="T372"/>
  <c r="T381" s="1"/>
  <c r="FC169"/>
  <c r="FC156"/>
  <c r="FC153"/>
  <c r="EZ186"/>
  <c r="EZ177"/>
  <c r="EZ170"/>
  <c r="EZ152"/>
  <c r="EZ145"/>
  <c r="EZ131"/>
  <c r="EZ116"/>
  <c r="E477"/>
  <c r="H478" s="1"/>
  <c r="Q372"/>
  <c r="Q382" s="1"/>
  <c r="EZ182"/>
  <c r="EZ154"/>
  <c r="EZ146"/>
  <c r="EZ137"/>
  <c r="EZ120"/>
  <c r="AK379"/>
  <c r="AF380"/>
  <c r="AF376"/>
  <c r="AF382"/>
  <c r="AB378"/>
  <c r="AB374"/>
  <c r="AB375"/>
  <c r="R372"/>
  <c r="R379" s="1"/>
  <c r="FA174"/>
  <c r="FA181"/>
  <c r="FA162"/>
  <c r="FA156"/>
  <c r="EX157"/>
  <c r="EX150"/>
  <c r="EX143"/>
  <c r="EX120"/>
  <c r="E473"/>
  <c r="H474" s="1"/>
  <c r="EX178"/>
  <c r="EX165"/>
  <c r="EX159"/>
  <c r="EX137"/>
  <c r="EX124"/>
  <c r="EX114"/>
  <c r="EV165"/>
  <c r="EV163"/>
  <c r="EV152"/>
  <c r="EV156"/>
  <c r="EV154"/>
  <c r="EV149"/>
  <c r="EV146"/>
  <c r="EV138"/>
  <c r="EV137"/>
  <c r="EV112"/>
  <c r="H482"/>
  <c r="H476"/>
  <c r="FN90"/>
  <c r="ER90"/>
  <c r="FQ92"/>
  <c r="FN99"/>
  <c r="ER99"/>
  <c r="FQ101"/>
  <c r="FL102"/>
  <c r="FL104"/>
  <c r="FL131"/>
  <c r="FL135"/>
  <c r="FN136"/>
  <c r="FG143"/>
  <c r="FN152"/>
  <c r="FQ153"/>
  <c r="FN156"/>
  <c r="ER158"/>
  <c r="FG169"/>
  <c r="EP170"/>
  <c r="ER178"/>
  <c r="ER182"/>
  <c r="AE372"/>
  <c r="AE382" s="1"/>
  <c r="E511"/>
  <c r="E501"/>
  <c r="H502" s="1"/>
  <c r="E461"/>
  <c r="H462" s="1"/>
  <c r="E457"/>
  <c r="FL88"/>
  <c r="FE89"/>
  <c r="FE90"/>
  <c r="FN92"/>
  <c r="ER92"/>
  <c r="FQ94"/>
  <c r="FJ94"/>
  <c r="FG94"/>
  <c r="FL96"/>
  <c r="FC96"/>
  <c r="EZ96"/>
  <c r="FQ98"/>
  <c r="FJ99"/>
  <c r="FG100"/>
  <c r="FL101"/>
  <c r="FG101"/>
  <c r="ER102"/>
  <c r="FQ103"/>
  <c r="FN104"/>
  <c r="ER104"/>
  <c r="FC105"/>
  <c r="FJ106"/>
  <c r="EZ106"/>
  <c r="EZ108"/>
  <c r="EZ112"/>
  <c r="ER116"/>
  <c r="FC117"/>
  <c r="FC118"/>
  <c r="FQ119"/>
  <c r="FC124"/>
  <c r="EZ124"/>
  <c r="EZ125"/>
  <c r="FG131"/>
  <c r="FJ136"/>
  <c r="EZ136"/>
  <c r="FQ137"/>
  <c r="FG137"/>
  <c r="FE137"/>
  <c r="FC137"/>
  <c r="ER137"/>
  <c r="FG139"/>
  <c r="FG140"/>
  <c r="FE141"/>
  <c r="FG145"/>
  <c r="FJ152"/>
  <c r="FG153"/>
  <c r="EZ157"/>
  <c r="FC158"/>
  <c r="FN159"/>
  <c r="FL162"/>
  <c r="ER163"/>
  <c r="FL164"/>
  <c r="FG165"/>
  <c r="FG170"/>
  <c r="FJ173"/>
  <c r="FG173"/>
  <c r="ER173"/>
  <c r="FJ175"/>
  <c r="ER175"/>
  <c r="EZ179"/>
  <c r="FE181"/>
  <c r="FC185"/>
  <c r="FQ186"/>
  <c r="FN186"/>
  <c r="FJ186"/>
  <c r="FG186"/>
  <c r="Y373"/>
  <c r="Y374"/>
  <c r="O375"/>
  <c r="O377"/>
  <c r="S381"/>
  <c r="V372"/>
  <c r="V376" s="1"/>
  <c r="G372"/>
  <c r="H514"/>
  <c r="H508"/>
  <c r="E497"/>
  <c r="H498" s="1"/>
  <c r="E483"/>
  <c r="H484" s="1"/>
  <c r="W377"/>
  <c r="W376"/>
  <c r="W373"/>
  <c r="M377"/>
  <c r="AJ372"/>
  <c r="AJ381" s="1"/>
  <c r="FS164"/>
  <c r="FS162"/>
  <c r="FS139"/>
  <c r="FS180"/>
  <c r="FS169"/>
  <c r="FS156"/>
  <c r="FS153"/>
  <c r="AG372"/>
  <c r="AG378" s="1"/>
  <c r="FP152"/>
  <c r="FP145"/>
  <c r="FP143"/>
  <c r="FP131"/>
  <c r="FP116"/>
  <c r="E509"/>
  <c r="FP157"/>
  <c r="FP154"/>
  <c r="FP146"/>
  <c r="FP137"/>
  <c r="FP120"/>
  <c r="K372"/>
  <c r="K378" s="1"/>
  <c r="ET182"/>
  <c r="ET170"/>
  <c r="ET150"/>
  <c r="ET143"/>
  <c r="ET138"/>
  <c r="ET137"/>
  <c r="ET114"/>
  <c r="ET131"/>
  <c r="FL94"/>
  <c r="FQ99"/>
  <c r="FN101"/>
  <c r="EP102"/>
  <c r="FN106"/>
  <c r="FN116"/>
  <c r="FG119"/>
  <c r="ER132"/>
  <c r="ER138"/>
  <c r="FQ143"/>
  <c r="FL145"/>
  <c r="EP152"/>
  <c r="FL156"/>
  <c r="FQ162"/>
  <c r="FQ166"/>
  <c r="EP166"/>
  <c r="FQ173"/>
  <c r="FG178"/>
  <c r="FN88"/>
  <c r="EP88"/>
  <c r="FG89"/>
  <c r="FL90"/>
  <c r="FN94"/>
  <c r="ER94"/>
  <c r="FQ96"/>
  <c r="FG96"/>
  <c r="FN102"/>
  <c r="FG105"/>
  <c r="FL106"/>
  <c r="EP106"/>
  <c r="FL108"/>
  <c r="FN110"/>
  <c r="FG113"/>
  <c r="EP114"/>
  <c r="FL120"/>
  <c r="FG120"/>
  <c r="FL122"/>
  <c r="FL125"/>
  <c r="EP125"/>
  <c r="FN126"/>
  <c r="EP126"/>
  <c r="FL128"/>
  <c r="FN129"/>
  <c r="FE130"/>
  <c r="FQ131"/>
  <c r="EP137"/>
  <c r="FQ138"/>
  <c r="FN138"/>
  <c r="FJ138"/>
  <c r="FQ139"/>
  <c r="FL139"/>
  <c r="FC139"/>
  <c r="FQ140"/>
  <c r="FG141"/>
  <c r="FQ142"/>
  <c r="FN142"/>
  <c r="ER143"/>
  <c r="FC144"/>
  <c r="FQ145"/>
  <c r="FN146"/>
  <c r="EP146"/>
  <c r="FJ147"/>
  <c r="EP148"/>
  <c r="ER150"/>
  <c r="FN154"/>
  <c r="EP154"/>
  <c r="FG155"/>
  <c r="EP157"/>
  <c r="FQ158"/>
  <c r="FL159"/>
  <c r="FC159"/>
  <c r="EZ159"/>
  <c r="FC162"/>
  <c r="EZ162"/>
  <c r="FQ164"/>
  <c r="FN164"/>
  <c r="FQ170"/>
  <c r="FN170"/>
  <c r="FJ170"/>
  <c r="FE170"/>
  <c r="FE173"/>
  <c r="FN174"/>
  <c r="FC176"/>
  <c r="ER177"/>
  <c r="EZ180"/>
  <c r="ER180"/>
  <c r="FL182"/>
  <c r="FE182"/>
  <c r="FE186"/>
  <c r="ER187"/>
  <c r="O379"/>
  <c r="S380"/>
  <c r="AH372"/>
  <c r="AC372"/>
  <c r="AC382" s="1"/>
  <c r="FG109"/>
  <c r="FL110"/>
  <c r="EV110"/>
  <c r="FE115"/>
  <c r="FJ116"/>
  <c r="ET116"/>
  <c r="FG117"/>
  <c r="FG118"/>
  <c r="FS119"/>
  <c r="FC119"/>
  <c r="FS120"/>
  <c r="FC120"/>
  <c r="FP122"/>
  <c r="EZ122"/>
  <c r="ER122"/>
  <c r="FQ124"/>
  <c r="FA124"/>
  <c r="FN125"/>
  <c r="EX125"/>
  <c r="FJ126"/>
  <c r="ET126"/>
  <c r="EP129"/>
  <c r="FE131"/>
  <c r="FJ132"/>
  <c r="ET132"/>
  <c r="FN135"/>
  <c r="EX135"/>
  <c r="FL136"/>
  <c r="EV136"/>
  <c r="FC138"/>
  <c r="EZ138"/>
  <c r="FN139"/>
  <c r="EZ139"/>
  <c r="FS140"/>
  <c r="FC140"/>
  <c r="FQ141"/>
  <c r="FA141"/>
  <c r="FG142"/>
  <c r="FE145"/>
  <c r="FN147"/>
  <c r="EX147"/>
  <c r="EP147"/>
  <c r="FN148"/>
  <c r="EX148"/>
  <c r="EZ158"/>
  <c r="ET158"/>
  <c r="FS159"/>
  <c r="FP159"/>
  <c r="FG159"/>
  <c r="FL160"/>
  <c r="EZ161"/>
  <c r="FP162"/>
  <c r="FJ162"/>
  <c r="FE163"/>
  <c r="FG164"/>
  <c r="FE165"/>
  <c r="EZ167"/>
  <c r="EZ168"/>
  <c r="FL171"/>
  <c r="EV171"/>
  <c r="FC173"/>
  <c r="EZ173"/>
  <c r="ET173"/>
  <c r="EV175"/>
  <c r="FS176"/>
  <c r="FE176"/>
  <c r="EP177"/>
  <c r="FQ178"/>
  <c r="FE178"/>
  <c r="FA178"/>
  <c r="ET178"/>
  <c r="FP179"/>
  <c r="FP180"/>
  <c r="FQ182"/>
  <c r="FC182"/>
  <c r="ER183"/>
  <c r="FG185"/>
  <c r="FC186"/>
  <c r="ET186"/>
  <c r="FJ187"/>
  <c r="ER110"/>
  <c r="FQ111"/>
  <c r="FA111"/>
  <c r="FN112"/>
  <c r="EX112"/>
  <c r="FS113"/>
  <c r="FC113"/>
  <c r="FP114"/>
  <c r="EZ114"/>
  <c r="FE119"/>
  <c r="FQ120"/>
  <c r="FA120"/>
  <c r="FJ122"/>
  <c r="ET122"/>
  <c r="FG124"/>
  <c r="FJ125"/>
  <c r="ET125"/>
  <c r="FL126"/>
  <c r="EV126"/>
  <c r="ER128"/>
  <c r="FJ129"/>
  <c r="ET129"/>
  <c r="FQ130"/>
  <c r="FA130"/>
  <c r="FS131"/>
  <c r="FC131"/>
  <c r="FL132"/>
  <c r="EV132"/>
  <c r="FJ134"/>
  <c r="ET134"/>
  <c r="FJ135"/>
  <c r="ET135"/>
  <c r="ER136"/>
  <c r="FG138"/>
  <c r="FA138"/>
  <c r="FA139"/>
  <c r="EV139"/>
  <c r="ER139"/>
  <c r="FE140"/>
  <c r="FS141"/>
  <c r="FC141"/>
  <c r="FE142"/>
  <c r="FS145"/>
  <c r="FC145"/>
  <c r="FP147"/>
  <c r="EZ147"/>
  <c r="ER147"/>
  <c r="FN149"/>
  <c r="EX149"/>
  <c r="FG151"/>
  <c r="FE153"/>
  <c r="ET157"/>
  <c r="FS158"/>
  <c r="FP158"/>
  <c r="FG158"/>
  <c r="FA158"/>
  <c r="FQ159"/>
  <c r="FE159"/>
  <c r="FN160"/>
  <c r="FN162"/>
  <c r="FE162"/>
  <c r="EV162"/>
  <c r="EP162"/>
  <c r="FC163"/>
  <c r="EZ163"/>
  <c r="FP164"/>
  <c r="EZ164"/>
  <c r="ER164"/>
  <c r="FC165"/>
  <c r="EZ166"/>
  <c r="FE167"/>
  <c r="FJ167"/>
  <c r="FP168"/>
  <c r="FL170"/>
  <c r="FC170"/>
  <c r="FN171"/>
  <c r="EX171"/>
  <c r="EP171"/>
  <c r="FS173"/>
  <c r="FA173"/>
  <c r="FS174"/>
  <c r="FP174"/>
  <c r="FJ174"/>
  <c r="FP175"/>
  <c r="EZ175"/>
  <c r="FN177"/>
  <c r="FL178"/>
  <c r="FQ180"/>
  <c r="FC180"/>
  <c r="EX180"/>
  <c r="FN182"/>
  <c r="FG182"/>
  <c r="FA182"/>
  <c r="EX182"/>
  <c r="EV183"/>
  <c r="FS186"/>
  <c r="FN187"/>
  <c r="DF89"/>
  <c r="DH89"/>
  <c r="ER89" s="1"/>
  <c r="DJ89"/>
  <c r="ET89" s="1"/>
  <c r="DL89"/>
  <c r="EV89" s="1"/>
  <c r="DF93"/>
  <c r="DH93"/>
  <c r="ER93" s="1"/>
  <c r="DJ93"/>
  <c r="ET93" s="1"/>
  <c r="DL93"/>
  <c r="EV93" s="1"/>
  <c r="DN93"/>
  <c r="EX93" s="1"/>
  <c r="DP93"/>
  <c r="EZ93" s="1"/>
  <c r="DR93"/>
  <c r="FB93" s="1"/>
  <c r="DT93"/>
  <c r="FD93" s="1"/>
  <c r="DV93"/>
  <c r="FF93" s="1"/>
  <c r="DX93"/>
  <c r="FH93" s="1"/>
  <c r="DZ93"/>
  <c r="FJ93" s="1"/>
  <c r="EB93"/>
  <c r="FL93" s="1"/>
  <c r="ED93"/>
  <c r="FN93" s="1"/>
  <c r="EF93"/>
  <c r="FP93" s="1"/>
  <c r="EH93"/>
  <c r="FR93" s="1"/>
  <c r="EJ93"/>
  <c r="FT93" s="1"/>
  <c r="DF95"/>
  <c r="DH95"/>
  <c r="ER95" s="1"/>
  <c r="DJ95"/>
  <c r="ET95" s="1"/>
  <c r="DL95"/>
  <c r="EV95" s="1"/>
  <c r="DN95"/>
  <c r="EX95" s="1"/>
  <c r="DP95"/>
  <c r="EZ95" s="1"/>
  <c r="DR95"/>
  <c r="FB95" s="1"/>
  <c r="DT95"/>
  <c r="FD95" s="1"/>
  <c r="DV95"/>
  <c r="FF95" s="1"/>
  <c r="DX95"/>
  <c r="FH95" s="1"/>
  <c r="DZ95"/>
  <c r="FJ95" s="1"/>
  <c r="EB95"/>
  <c r="FL95" s="1"/>
  <c r="ED95"/>
  <c r="FN95" s="1"/>
  <c r="EF95"/>
  <c r="FP95" s="1"/>
  <c r="EH95"/>
  <c r="FR95" s="1"/>
  <c r="EJ95"/>
  <c r="FT95" s="1"/>
  <c r="DG121"/>
  <c r="EQ121" s="1"/>
  <c r="DI121"/>
  <c r="ES121" s="1"/>
  <c r="DK121"/>
  <c r="EU121" s="1"/>
  <c r="DM121"/>
  <c r="EW121" s="1"/>
  <c r="DO121"/>
  <c r="EY121" s="1"/>
  <c r="DQ121"/>
  <c r="FA121" s="1"/>
  <c r="DS121"/>
  <c r="FC121" s="1"/>
  <c r="DU121"/>
  <c r="FE121" s="1"/>
  <c r="DW121"/>
  <c r="FG121" s="1"/>
  <c r="DY121"/>
  <c r="FI121" s="1"/>
  <c r="EA121"/>
  <c r="FK121" s="1"/>
  <c r="EC121"/>
  <c r="FM121" s="1"/>
  <c r="EE121"/>
  <c r="FO121" s="1"/>
  <c r="EG121"/>
  <c r="FQ121" s="1"/>
  <c r="EI121"/>
  <c r="FS121" s="1"/>
  <c r="DN123"/>
  <c r="EX123" s="1"/>
  <c r="DP123"/>
  <c r="EZ123" s="1"/>
  <c r="DR123"/>
  <c r="FB123" s="1"/>
  <c r="DT123"/>
  <c r="FD123" s="1"/>
  <c r="DV123"/>
  <c r="FF123" s="1"/>
  <c r="DX123"/>
  <c r="FH123" s="1"/>
  <c r="DZ123"/>
  <c r="FJ123" s="1"/>
  <c r="EB123"/>
  <c r="FL123" s="1"/>
  <c r="ED123"/>
  <c r="FN123" s="1"/>
  <c r="EF123"/>
  <c r="FP123" s="1"/>
  <c r="EH123"/>
  <c r="FR123" s="1"/>
  <c r="EJ123"/>
  <c r="FT123" s="1"/>
  <c r="DN127"/>
  <c r="EX127" s="1"/>
  <c r="DP127"/>
  <c r="EZ127" s="1"/>
  <c r="DR127"/>
  <c r="FB127" s="1"/>
  <c r="DT127"/>
  <c r="FD127" s="1"/>
  <c r="DV127"/>
  <c r="FF127" s="1"/>
  <c r="DX127"/>
  <c r="FH127" s="1"/>
  <c r="DZ127"/>
  <c r="FJ127" s="1"/>
  <c r="EB127"/>
  <c r="FL127" s="1"/>
  <c r="ED127"/>
  <c r="FN127" s="1"/>
  <c r="EF127"/>
  <c r="FP127" s="1"/>
  <c r="EH127"/>
  <c r="FR127" s="1"/>
  <c r="EJ127"/>
  <c r="FT127" s="1"/>
  <c r="DC129"/>
  <c r="DE129"/>
  <c r="DG140"/>
  <c r="EQ140" s="1"/>
  <c r="DK140"/>
  <c r="EU140" s="1"/>
  <c r="DC149"/>
  <c r="DE149"/>
  <c r="EP149"/>
  <c r="DF172"/>
  <c r="DH172"/>
  <c r="ER172" s="1"/>
  <c r="DJ172"/>
  <c r="ET172" s="1"/>
  <c r="DL172"/>
  <c r="EV172" s="1"/>
  <c r="DN172"/>
  <c r="EX172" s="1"/>
  <c r="DP172"/>
  <c r="EZ172" s="1"/>
  <c r="DR172"/>
  <c r="FB172" s="1"/>
  <c r="DT172"/>
  <c r="FD172" s="1"/>
  <c r="DV172"/>
  <c r="FF172" s="1"/>
  <c r="DX172"/>
  <c r="FH172" s="1"/>
  <c r="DZ172"/>
  <c r="FJ172" s="1"/>
  <c r="EB172"/>
  <c r="FL172" s="1"/>
  <c r="ED172"/>
  <c r="FN172" s="1"/>
  <c r="EF172"/>
  <c r="FP172" s="1"/>
  <c r="EH172"/>
  <c r="FR172" s="1"/>
  <c r="EJ172"/>
  <c r="FT172" s="1"/>
  <c r="DG172"/>
  <c r="EQ172" s="1"/>
  <c r="DK172"/>
  <c r="EU172" s="1"/>
  <c r="DO172"/>
  <c r="EY172" s="1"/>
  <c r="DS172"/>
  <c r="FC172" s="1"/>
  <c r="DW172"/>
  <c r="FG172" s="1"/>
  <c r="EA172"/>
  <c r="FK172" s="1"/>
  <c r="EE172"/>
  <c r="FO172" s="1"/>
  <c r="EI172"/>
  <c r="FS172" s="1"/>
  <c r="DI172"/>
  <c r="ES172" s="1"/>
  <c r="DQ172"/>
  <c r="FA172" s="1"/>
  <c r="DY172"/>
  <c r="FI172" s="1"/>
  <c r="EG172"/>
  <c r="FQ172" s="1"/>
  <c r="EP192"/>
  <c r="FU192" s="1"/>
  <c r="EK192"/>
  <c r="DF98"/>
  <c r="DH98"/>
  <c r="DJ98"/>
  <c r="DL98"/>
  <c r="DN98"/>
  <c r="DP98"/>
  <c r="DR98"/>
  <c r="DT98"/>
  <c r="DV98"/>
  <c r="DX98"/>
  <c r="DZ98"/>
  <c r="EB98"/>
  <c r="ED98"/>
  <c r="EF98"/>
  <c r="EH98"/>
  <c r="EJ98"/>
  <c r="DF103"/>
  <c r="DH103"/>
  <c r="ER103" s="1"/>
  <c r="DJ103"/>
  <c r="ET103" s="1"/>
  <c r="DL103"/>
  <c r="EV103" s="1"/>
  <c r="DN103"/>
  <c r="EX103" s="1"/>
  <c r="DP103"/>
  <c r="EZ103" s="1"/>
  <c r="DR103"/>
  <c r="FB103" s="1"/>
  <c r="DT103"/>
  <c r="FD103" s="1"/>
  <c r="DV103"/>
  <c r="FF103" s="1"/>
  <c r="DX103"/>
  <c r="FH103" s="1"/>
  <c r="DZ103"/>
  <c r="FJ103" s="1"/>
  <c r="EB103"/>
  <c r="FL103" s="1"/>
  <c r="ED103"/>
  <c r="FN103" s="1"/>
  <c r="EF103"/>
  <c r="FP103" s="1"/>
  <c r="EH103"/>
  <c r="FR103" s="1"/>
  <c r="EJ103"/>
  <c r="FT103" s="1"/>
  <c r="DF111"/>
  <c r="DH111"/>
  <c r="ER111" s="1"/>
  <c r="DJ111"/>
  <c r="ET111" s="1"/>
  <c r="DL111"/>
  <c r="EV111" s="1"/>
  <c r="DN111"/>
  <c r="EX111" s="1"/>
  <c r="DP111"/>
  <c r="EZ111" s="1"/>
  <c r="DR111"/>
  <c r="FB111" s="1"/>
  <c r="DT111"/>
  <c r="FD111" s="1"/>
  <c r="DV111"/>
  <c r="FF111" s="1"/>
  <c r="DX111"/>
  <c r="FH111" s="1"/>
  <c r="DZ111"/>
  <c r="FJ111" s="1"/>
  <c r="EB111"/>
  <c r="FL111" s="1"/>
  <c r="ED111"/>
  <c r="FN111" s="1"/>
  <c r="EF111"/>
  <c r="FP111" s="1"/>
  <c r="EH111"/>
  <c r="FR111" s="1"/>
  <c r="EJ111"/>
  <c r="FT111" s="1"/>
  <c r="DF115"/>
  <c r="DH115"/>
  <c r="ER115" s="1"/>
  <c r="DJ115"/>
  <c r="ET115" s="1"/>
  <c r="DL115"/>
  <c r="EV115" s="1"/>
  <c r="DN115"/>
  <c r="EX115" s="1"/>
  <c r="DP115"/>
  <c r="EZ115" s="1"/>
  <c r="DR115"/>
  <c r="FB115" s="1"/>
  <c r="DT115"/>
  <c r="FD115" s="1"/>
  <c r="DV115"/>
  <c r="FF115" s="1"/>
  <c r="DX115"/>
  <c r="FH115" s="1"/>
  <c r="DZ115"/>
  <c r="FJ115" s="1"/>
  <c r="EB115"/>
  <c r="FL115" s="1"/>
  <c r="ED115"/>
  <c r="FN115" s="1"/>
  <c r="EF115"/>
  <c r="FP115" s="1"/>
  <c r="EH115"/>
  <c r="FR115" s="1"/>
  <c r="EJ115"/>
  <c r="FT115" s="1"/>
  <c r="DC121"/>
  <c r="DE121"/>
  <c r="DG128"/>
  <c r="DI128"/>
  <c r="DK128"/>
  <c r="DM128"/>
  <c r="DO128"/>
  <c r="DQ128"/>
  <c r="DS128"/>
  <c r="DU128"/>
  <c r="DW128"/>
  <c r="DY128"/>
  <c r="EA128"/>
  <c r="EC128"/>
  <c r="EE128"/>
  <c r="EG128"/>
  <c r="EI128"/>
  <c r="DN130"/>
  <c r="EX130" s="1"/>
  <c r="DP130"/>
  <c r="EZ130" s="1"/>
  <c r="DR130"/>
  <c r="FB130" s="1"/>
  <c r="DT130"/>
  <c r="FD130" s="1"/>
  <c r="DV130"/>
  <c r="FF130" s="1"/>
  <c r="DX130"/>
  <c r="FH130" s="1"/>
  <c r="DZ130"/>
  <c r="FJ130" s="1"/>
  <c r="EB130"/>
  <c r="FL130" s="1"/>
  <c r="ED130"/>
  <c r="FN130" s="1"/>
  <c r="EF130"/>
  <c r="FP130" s="1"/>
  <c r="EH130"/>
  <c r="FR130" s="1"/>
  <c r="EJ130"/>
  <c r="FT130" s="1"/>
  <c r="DG134"/>
  <c r="EQ134" s="1"/>
  <c r="DI134"/>
  <c r="ES134" s="1"/>
  <c r="DK134"/>
  <c r="EU134" s="1"/>
  <c r="DM134"/>
  <c r="EW134" s="1"/>
  <c r="DO134"/>
  <c r="EY134" s="1"/>
  <c r="DQ134"/>
  <c r="FA134" s="1"/>
  <c r="DS134"/>
  <c r="FC134" s="1"/>
  <c r="DU134"/>
  <c r="FE134" s="1"/>
  <c r="DW134"/>
  <c r="FG134" s="1"/>
  <c r="DY134"/>
  <c r="FI134" s="1"/>
  <c r="EA134"/>
  <c r="FK134" s="1"/>
  <c r="EC134"/>
  <c r="FM134" s="1"/>
  <c r="EE134"/>
  <c r="FO134" s="1"/>
  <c r="EG134"/>
  <c r="FQ134" s="1"/>
  <c r="EI134"/>
  <c r="FS134" s="1"/>
  <c r="DG160"/>
  <c r="EQ160" s="1"/>
  <c r="DI160"/>
  <c r="ES160" s="1"/>
  <c r="DK160"/>
  <c r="EU160" s="1"/>
  <c r="DM160"/>
  <c r="EW160" s="1"/>
  <c r="DO160"/>
  <c r="EY160" s="1"/>
  <c r="DQ160"/>
  <c r="FA160" s="1"/>
  <c r="DS160"/>
  <c r="FC160" s="1"/>
  <c r="DU160"/>
  <c r="FE160" s="1"/>
  <c r="DW160"/>
  <c r="FG160" s="1"/>
  <c r="DY160"/>
  <c r="FI160" s="1"/>
  <c r="EA160"/>
  <c r="FK160" s="1"/>
  <c r="EC160"/>
  <c r="FM160" s="1"/>
  <c r="EE160"/>
  <c r="FO160" s="1"/>
  <c r="EG160"/>
  <c r="FQ160" s="1"/>
  <c r="EI160"/>
  <c r="FS160" s="1"/>
  <c r="DH160"/>
  <c r="ER160" s="1"/>
  <c r="DP160"/>
  <c r="EZ160" s="1"/>
  <c r="DX160"/>
  <c r="FH160" s="1"/>
  <c r="EF160"/>
  <c r="FP160" s="1"/>
  <c r="DJ160"/>
  <c r="ET160" s="1"/>
  <c r="DR160"/>
  <c r="FB160" s="1"/>
  <c r="DZ160"/>
  <c r="FJ160" s="1"/>
  <c r="EH160"/>
  <c r="FR160" s="1"/>
  <c r="DF160"/>
  <c r="DV160"/>
  <c r="FF160" s="1"/>
  <c r="DT160"/>
  <c r="FD160" s="1"/>
  <c r="EJ160"/>
  <c r="FT160" s="1"/>
  <c r="DG161"/>
  <c r="EQ161" s="1"/>
  <c r="DI161"/>
  <c r="ES161" s="1"/>
  <c r="DK161"/>
  <c r="EU161" s="1"/>
  <c r="DM161"/>
  <c r="EW161" s="1"/>
  <c r="DO161"/>
  <c r="EY161" s="1"/>
  <c r="DQ161"/>
  <c r="FA161" s="1"/>
  <c r="DS161"/>
  <c r="FC161" s="1"/>
  <c r="DU161"/>
  <c r="FE161" s="1"/>
  <c r="DW161"/>
  <c r="FG161" s="1"/>
  <c r="DY161"/>
  <c r="FI161" s="1"/>
  <c r="EA161"/>
  <c r="FK161" s="1"/>
  <c r="EC161"/>
  <c r="FM161" s="1"/>
  <c r="EE161"/>
  <c r="FO161" s="1"/>
  <c r="EG161"/>
  <c r="FQ161" s="1"/>
  <c r="EI161"/>
  <c r="FS161" s="1"/>
  <c r="DJ161"/>
  <c r="ET161" s="1"/>
  <c r="DR161"/>
  <c r="FB161" s="1"/>
  <c r="DZ161"/>
  <c r="FJ161" s="1"/>
  <c r="EH161"/>
  <c r="FR161" s="1"/>
  <c r="DL161"/>
  <c r="EV161" s="1"/>
  <c r="DT161"/>
  <c r="FD161" s="1"/>
  <c r="EB161"/>
  <c r="FL161" s="1"/>
  <c r="EJ161"/>
  <c r="FT161" s="1"/>
  <c r="DN161"/>
  <c r="EX161" s="1"/>
  <c r="ED161"/>
  <c r="FN161" s="1"/>
  <c r="DH161"/>
  <c r="ER161" s="1"/>
  <c r="DX161"/>
  <c r="FH161" s="1"/>
  <c r="EK163"/>
  <c r="EP163"/>
  <c r="DC193"/>
  <c r="DE193"/>
  <c r="EP204"/>
  <c r="FU204" s="1"/>
  <c r="EK204"/>
  <c r="DG88"/>
  <c r="DI88"/>
  <c r="DK88"/>
  <c r="DM88"/>
  <c r="DO88"/>
  <c r="DQ88"/>
  <c r="DS88"/>
  <c r="DU88"/>
  <c r="DW88"/>
  <c r="DY88"/>
  <c r="EA88"/>
  <c r="EC88"/>
  <c r="EE88"/>
  <c r="EG88"/>
  <c r="EI88"/>
  <c r="DF100"/>
  <c r="DH100"/>
  <c r="ER100" s="1"/>
  <c r="DJ100"/>
  <c r="ET100" s="1"/>
  <c r="DL100"/>
  <c r="EV100" s="1"/>
  <c r="DF118"/>
  <c r="DH118"/>
  <c r="DJ118"/>
  <c r="DL118"/>
  <c r="EV118" s="1"/>
  <c r="DF119"/>
  <c r="DH119"/>
  <c r="ER119" s="1"/>
  <c r="DJ119"/>
  <c r="ET119" s="1"/>
  <c r="DL119"/>
  <c r="EV119" s="1"/>
  <c r="DN119"/>
  <c r="EX119" s="1"/>
  <c r="DP119"/>
  <c r="EZ119" s="1"/>
  <c r="DR119"/>
  <c r="FB119" s="1"/>
  <c r="DT119"/>
  <c r="FD119" s="1"/>
  <c r="DV119"/>
  <c r="FF119" s="1"/>
  <c r="DX119"/>
  <c r="FH119" s="1"/>
  <c r="DZ119"/>
  <c r="FJ119" s="1"/>
  <c r="EB119"/>
  <c r="FL119" s="1"/>
  <c r="ED119"/>
  <c r="FN119" s="1"/>
  <c r="EF119"/>
  <c r="FP119" s="1"/>
  <c r="EH119"/>
  <c r="FR119" s="1"/>
  <c r="EJ119"/>
  <c r="FT119" s="1"/>
  <c r="DG122"/>
  <c r="EQ122" s="1"/>
  <c r="DI122"/>
  <c r="ES122" s="1"/>
  <c r="DK122"/>
  <c r="EU122" s="1"/>
  <c r="DM122"/>
  <c r="EW122" s="1"/>
  <c r="DO122"/>
  <c r="EY122" s="1"/>
  <c r="DQ122"/>
  <c r="FA122" s="1"/>
  <c r="DS122"/>
  <c r="FC122" s="1"/>
  <c r="DU122"/>
  <c r="FE122" s="1"/>
  <c r="DW122"/>
  <c r="FG122" s="1"/>
  <c r="DY122"/>
  <c r="FI122" s="1"/>
  <c r="EA122"/>
  <c r="FK122" s="1"/>
  <c r="EC122"/>
  <c r="FM122" s="1"/>
  <c r="EE122"/>
  <c r="FO122" s="1"/>
  <c r="EG122"/>
  <c r="FQ122" s="1"/>
  <c r="EI122"/>
  <c r="FS122" s="1"/>
  <c r="DG126"/>
  <c r="EQ126" s="1"/>
  <c r="DI126"/>
  <c r="ES126" s="1"/>
  <c r="DK126"/>
  <c r="EU126" s="1"/>
  <c r="DM126"/>
  <c r="EW126" s="1"/>
  <c r="DO126"/>
  <c r="EY126" s="1"/>
  <c r="DQ126"/>
  <c r="FA126" s="1"/>
  <c r="DS126"/>
  <c r="FC126" s="1"/>
  <c r="DU126"/>
  <c r="FE126" s="1"/>
  <c r="DW126"/>
  <c r="FG126" s="1"/>
  <c r="DY126"/>
  <c r="FI126" s="1"/>
  <c r="EA126"/>
  <c r="FK126" s="1"/>
  <c r="EC126"/>
  <c r="FM126" s="1"/>
  <c r="EE126"/>
  <c r="FO126" s="1"/>
  <c r="EG126"/>
  <c r="FQ126" s="1"/>
  <c r="EI126"/>
  <c r="FS126" s="1"/>
  <c r="DC128"/>
  <c r="DE128"/>
  <c r="DG132"/>
  <c r="EQ132" s="1"/>
  <c r="DI132"/>
  <c r="ES132" s="1"/>
  <c r="DK132"/>
  <c r="EU132" s="1"/>
  <c r="DM132"/>
  <c r="EW132" s="1"/>
  <c r="DO132"/>
  <c r="EY132" s="1"/>
  <c r="DQ132"/>
  <c r="FA132" s="1"/>
  <c r="DS132"/>
  <c r="FC132" s="1"/>
  <c r="DU132"/>
  <c r="FE132" s="1"/>
  <c r="DW132"/>
  <c r="FG132" s="1"/>
  <c r="DY132"/>
  <c r="FI132" s="1"/>
  <c r="EA132"/>
  <c r="FK132" s="1"/>
  <c r="EC132"/>
  <c r="FM132" s="1"/>
  <c r="EE132"/>
  <c r="FO132" s="1"/>
  <c r="EG132"/>
  <c r="FQ132" s="1"/>
  <c r="EI132"/>
  <c r="FS132" s="1"/>
  <c r="DG135"/>
  <c r="EQ135" s="1"/>
  <c r="DI135"/>
  <c r="ES135" s="1"/>
  <c r="DK135"/>
  <c r="EU135" s="1"/>
  <c r="DM135"/>
  <c r="EW135" s="1"/>
  <c r="DO135"/>
  <c r="EY135" s="1"/>
  <c r="DQ135"/>
  <c r="FA135" s="1"/>
  <c r="DS135"/>
  <c r="FC135" s="1"/>
  <c r="DU135"/>
  <c r="FE135" s="1"/>
  <c r="DW135"/>
  <c r="FG135" s="1"/>
  <c r="DY135"/>
  <c r="FI135" s="1"/>
  <c r="EA135"/>
  <c r="FK135" s="1"/>
  <c r="EC135"/>
  <c r="FM135" s="1"/>
  <c r="EE135"/>
  <c r="FO135" s="1"/>
  <c r="EG135"/>
  <c r="FQ135" s="1"/>
  <c r="EI135"/>
  <c r="FS135" s="1"/>
  <c r="EP139"/>
  <c r="DG141"/>
  <c r="EQ141" s="1"/>
  <c r="DK141"/>
  <c r="EU141" s="1"/>
  <c r="DF142"/>
  <c r="DH142"/>
  <c r="ER142" s="1"/>
  <c r="DJ142"/>
  <c r="ET142" s="1"/>
  <c r="DL142"/>
  <c r="EV142" s="1"/>
  <c r="DG142"/>
  <c r="EQ142" s="1"/>
  <c r="DK142"/>
  <c r="EU142" s="1"/>
  <c r="DN144"/>
  <c r="EX144" s="1"/>
  <c r="DP144"/>
  <c r="EZ144" s="1"/>
  <c r="DR144"/>
  <c r="FB144" s="1"/>
  <c r="DT144"/>
  <c r="FD144" s="1"/>
  <c r="DV144"/>
  <c r="FF144" s="1"/>
  <c r="DX144"/>
  <c r="FH144" s="1"/>
  <c r="DZ144"/>
  <c r="FJ144" s="1"/>
  <c r="EB144"/>
  <c r="FL144" s="1"/>
  <c r="ED144"/>
  <c r="FN144" s="1"/>
  <c r="EF144"/>
  <c r="FP144" s="1"/>
  <c r="EH144"/>
  <c r="FR144" s="1"/>
  <c r="EJ144"/>
  <c r="FT144" s="1"/>
  <c r="DI144"/>
  <c r="ES144" s="1"/>
  <c r="DM144"/>
  <c r="EW144" s="1"/>
  <c r="DQ144"/>
  <c r="FA144" s="1"/>
  <c r="DU144"/>
  <c r="FE144" s="1"/>
  <c r="DY144"/>
  <c r="FI144" s="1"/>
  <c r="EC144"/>
  <c r="FM144" s="1"/>
  <c r="EG144"/>
  <c r="FQ144" s="1"/>
  <c r="DF145"/>
  <c r="DH145"/>
  <c r="ER145" s="1"/>
  <c r="DJ145"/>
  <c r="ET145" s="1"/>
  <c r="DL145"/>
  <c r="EV145" s="1"/>
  <c r="DG145"/>
  <c r="EQ145" s="1"/>
  <c r="DK145"/>
  <c r="EU145" s="1"/>
  <c r="DG148"/>
  <c r="DI148"/>
  <c r="ES148" s="1"/>
  <c r="DK148"/>
  <c r="EU148" s="1"/>
  <c r="DM148"/>
  <c r="EW148" s="1"/>
  <c r="DO148"/>
  <c r="DQ148"/>
  <c r="DS148"/>
  <c r="DU148"/>
  <c r="DW148"/>
  <c r="DY148"/>
  <c r="EA148"/>
  <c r="EC148"/>
  <c r="EE148"/>
  <c r="EG148"/>
  <c r="EI148"/>
  <c r="DH148"/>
  <c r="DL148"/>
  <c r="EV148" s="1"/>
  <c r="DP148"/>
  <c r="DT148"/>
  <c r="DX148"/>
  <c r="EB148"/>
  <c r="EF148"/>
  <c r="EJ148"/>
  <c r="DC161"/>
  <c r="DE161"/>
  <c r="DJ166"/>
  <c r="ET166" s="1"/>
  <c r="DM166"/>
  <c r="EW166" s="1"/>
  <c r="DR166"/>
  <c r="FB166" s="1"/>
  <c r="DU166"/>
  <c r="FE166" s="1"/>
  <c r="DZ166"/>
  <c r="FJ166" s="1"/>
  <c r="EC166"/>
  <c r="FM166" s="1"/>
  <c r="EH166"/>
  <c r="FR166" s="1"/>
  <c r="DO166"/>
  <c r="EY166" s="1"/>
  <c r="DT166"/>
  <c r="FD166" s="1"/>
  <c r="DW166"/>
  <c r="FG166" s="1"/>
  <c r="EB166"/>
  <c r="FL166" s="1"/>
  <c r="EE166"/>
  <c r="FO166" s="1"/>
  <c r="EJ166"/>
  <c r="FT166" s="1"/>
  <c r="DI166"/>
  <c r="ES166" s="1"/>
  <c r="DN166"/>
  <c r="EX166" s="1"/>
  <c r="DY166"/>
  <c r="FI166" s="1"/>
  <c r="ED166"/>
  <c r="FN166" s="1"/>
  <c r="DH166"/>
  <c r="ER166" s="1"/>
  <c r="DS166"/>
  <c r="FC166" s="1"/>
  <c r="DX166"/>
  <c r="FH166" s="1"/>
  <c r="EI166"/>
  <c r="FS166" s="1"/>
  <c r="DG167"/>
  <c r="EQ167" s="1"/>
  <c r="DL167"/>
  <c r="EV167" s="1"/>
  <c r="DF167"/>
  <c r="DI167"/>
  <c r="ES167" s="1"/>
  <c r="DH167"/>
  <c r="ER167" s="1"/>
  <c r="DM167"/>
  <c r="EW167" s="1"/>
  <c r="DM89"/>
  <c r="EW89" s="1"/>
  <c r="DI89"/>
  <c r="ES89" s="1"/>
  <c r="DE90"/>
  <c r="EK90"/>
  <c r="EI91"/>
  <c r="FS91" s="1"/>
  <c r="EE91"/>
  <c r="FO91" s="1"/>
  <c r="EA91"/>
  <c r="FK91" s="1"/>
  <c r="DW91"/>
  <c r="FG91" s="1"/>
  <c r="DS91"/>
  <c r="FC91" s="1"/>
  <c r="DO91"/>
  <c r="EY91" s="1"/>
  <c r="DK91"/>
  <c r="DE92"/>
  <c r="EK92"/>
  <c r="EI93"/>
  <c r="FS93" s="1"/>
  <c r="EE93"/>
  <c r="FO93" s="1"/>
  <c r="EA93"/>
  <c r="FK93" s="1"/>
  <c r="DW93"/>
  <c r="FG93" s="1"/>
  <c r="DS93"/>
  <c r="FC93" s="1"/>
  <c r="DO93"/>
  <c r="EY93" s="1"/>
  <c r="DK93"/>
  <c r="EU93" s="1"/>
  <c r="DG93"/>
  <c r="EQ93" s="1"/>
  <c r="DE94"/>
  <c r="EK94"/>
  <c r="EI95"/>
  <c r="FS95" s="1"/>
  <c r="EE95"/>
  <c r="FO95" s="1"/>
  <c r="EA95"/>
  <c r="FK95" s="1"/>
  <c r="DW95"/>
  <c r="FG95" s="1"/>
  <c r="DS95"/>
  <c r="FC95" s="1"/>
  <c r="DO95"/>
  <c r="EY95" s="1"/>
  <c r="DK95"/>
  <c r="EU95" s="1"/>
  <c r="DG95"/>
  <c r="EQ95" s="1"/>
  <c r="DE96"/>
  <c r="EK96"/>
  <c r="EI97"/>
  <c r="FS97" s="1"/>
  <c r="EE97"/>
  <c r="FO97" s="1"/>
  <c r="EA97"/>
  <c r="FK97" s="1"/>
  <c r="DW97"/>
  <c r="FG97" s="1"/>
  <c r="DS97"/>
  <c r="FC97" s="1"/>
  <c r="DO97"/>
  <c r="EY97" s="1"/>
  <c r="DK97"/>
  <c r="EU97" s="1"/>
  <c r="EK120"/>
  <c r="EH121"/>
  <c r="FR121" s="1"/>
  <c r="ED121"/>
  <c r="FN121" s="1"/>
  <c r="DZ121"/>
  <c r="FJ121" s="1"/>
  <c r="DV121"/>
  <c r="FF121" s="1"/>
  <c r="DR121"/>
  <c r="FB121" s="1"/>
  <c r="DN121"/>
  <c r="EX121" s="1"/>
  <c r="DJ121"/>
  <c r="ET121" s="1"/>
  <c r="DF121"/>
  <c r="EI123"/>
  <c r="FS123" s="1"/>
  <c r="EE123"/>
  <c r="FO123" s="1"/>
  <c r="EA123"/>
  <c r="FK123" s="1"/>
  <c r="DW123"/>
  <c r="FG123" s="1"/>
  <c r="DS123"/>
  <c r="FC123" s="1"/>
  <c r="DO123"/>
  <c r="EY123" s="1"/>
  <c r="DK123"/>
  <c r="DG123"/>
  <c r="EQ123" s="1"/>
  <c r="DM124"/>
  <c r="EW124" s="1"/>
  <c r="DE125"/>
  <c r="EI127"/>
  <c r="FS127" s="1"/>
  <c r="EE127"/>
  <c r="FO127" s="1"/>
  <c r="EA127"/>
  <c r="FK127" s="1"/>
  <c r="DW127"/>
  <c r="FG127" s="1"/>
  <c r="DS127"/>
  <c r="FC127" s="1"/>
  <c r="DO127"/>
  <c r="EY127" s="1"/>
  <c r="DK127"/>
  <c r="EU127" s="1"/>
  <c r="DG127"/>
  <c r="EQ127" s="1"/>
  <c r="EI133"/>
  <c r="FS133" s="1"/>
  <c r="EE133"/>
  <c r="FO133" s="1"/>
  <c r="EA133"/>
  <c r="FK133" s="1"/>
  <c r="DW133"/>
  <c r="FG133" s="1"/>
  <c r="DS133"/>
  <c r="FC133" s="1"/>
  <c r="DO133"/>
  <c r="EY133" s="1"/>
  <c r="DK133"/>
  <c r="EU133" s="1"/>
  <c r="DE134"/>
  <c r="EP134"/>
  <c r="DM140"/>
  <c r="EW140" s="1"/>
  <c r="EC172"/>
  <c r="FM172" s="1"/>
  <c r="DM172"/>
  <c r="EW172" s="1"/>
  <c r="EP90"/>
  <c r="EP92"/>
  <c r="EP94"/>
  <c r="EP96"/>
  <c r="EI98"/>
  <c r="EE98"/>
  <c r="EA98"/>
  <c r="DW98"/>
  <c r="DS98"/>
  <c r="DO98"/>
  <c r="DK98"/>
  <c r="DG98"/>
  <c r="DE99"/>
  <c r="EP99"/>
  <c r="EG100"/>
  <c r="FQ100" s="1"/>
  <c r="EC100"/>
  <c r="FM100" s="1"/>
  <c r="DY100"/>
  <c r="FI100" s="1"/>
  <c r="DU100"/>
  <c r="FE100" s="1"/>
  <c r="DQ100"/>
  <c r="FA100" s="1"/>
  <c r="DM100"/>
  <c r="EW100" s="1"/>
  <c r="DK101"/>
  <c r="EU101" s="1"/>
  <c r="EI103"/>
  <c r="FS103" s="1"/>
  <c r="EE103"/>
  <c r="FO103" s="1"/>
  <c r="EA103"/>
  <c r="FK103" s="1"/>
  <c r="DW103"/>
  <c r="FG103" s="1"/>
  <c r="DS103"/>
  <c r="FC103" s="1"/>
  <c r="DO103"/>
  <c r="EY103" s="1"/>
  <c r="DK103"/>
  <c r="EU103" s="1"/>
  <c r="DG103"/>
  <c r="EQ103" s="1"/>
  <c r="DE104"/>
  <c r="EP104"/>
  <c r="EG105"/>
  <c r="FQ105" s="1"/>
  <c r="EC105"/>
  <c r="FM105" s="1"/>
  <c r="DY105"/>
  <c r="FI105" s="1"/>
  <c r="DU105"/>
  <c r="FE105" s="1"/>
  <c r="DQ105"/>
  <c r="FA105" s="1"/>
  <c r="DM105"/>
  <c r="EW105" s="1"/>
  <c r="EI107"/>
  <c r="FS107" s="1"/>
  <c r="EE107"/>
  <c r="FO107" s="1"/>
  <c r="EA107"/>
  <c r="FK107" s="1"/>
  <c r="DW107"/>
  <c r="FG107" s="1"/>
  <c r="DS107"/>
  <c r="FC107" s="1"/>
  <c r="DK107"/>
  <c r="EU107" s="1"/>
  <c r="DE108"/>
  <c r="EP108"/>
  <c r="EG109"/>
  <c r="FQ109" s="1"/>
  <c r="EC109"/>
  <c r="FM109" s="1"/>
  <c r="DY109"/>
  <c r="FI109" s="1"/>
  <c r="DU109"/>
  <c r="FE109" s="1"/>
  <c r="DQ109"/>
  <c r="FA109" s="1"/>
  <c r="DM109"/>
  <c r="EW109" s="1"/>
  <c r="EI111"/>
  <c r="FS111" s="1"/>
  <c r="EE111"/>
  <c r="FO111" s="1"/>
  <c r="EA111"/>
  <c r="FK111" s="1"/>
  <c r="DW111"/>
  <c r="FG111" s="1"/>
  <c r="DS111"/>
  <c r="FC111" s="1"/>
  <c r="DO111"/>
  <c r="EY111" s="1"/>
  <c r="DK111"/>
  <c r="EU111" s="1"/>
  <c r="DG111"/>
  <c r="EQ111" s="1"/>
  <c r="DE112"/>
  <c r="EP112"/>
  <c r="EG113"/>
  <c r="FQ113" s="1"/>
  <c r="EC113"/>
  <c r="FM113" s="1"/>
  <c r="DY113"/>
  <c r="FI113" s="1"/>
  <c r="DU113"/>
  <c r="FE113" s="1"/>
  <c r="DQ113"/>
  <c r="FA113" s="1"/>
  <c r="DM113"/>
  <c r="EW113" s="1"/>
  <c r="EI115"/>
  <c r="FS115" s="1"/>
  <c r="EE115"/>
  <c r="FO115" s="1"/>
  <c r="EA115"/>
  <c r="FK115" s="1"/>
  <c r="DW115"/>
  <c r="FG115" s="1"/>
  <c r="DS115"/>
  <c r="FC115" s="1"/>
  <c r="DO115"/>
  <c r="EY115" s="1"/>
  <c r="DK115"/>
  <c r="EU115" s="1"/>
  <c r="DG115"/>
  <c r="EQ115" s="1"/>
  <c r="DE116"/>
  <c r="EP116"/>
  <c r="EG117"/>
  <c r="FQ117" s="1"/>
  <c r="EC117"/>
  <c r="FM117" s="1"/>
  <c r="DY117"/>
  <c r="FI117" s="1"/>
  <c r="DU117"/>
  <c r="FE117" s="1"/>
  <c r="DQ117"/>
  <c r="FA117" s="1"/>
  <c r="DM117"/>
  <c r="EW117" s="1"/>
  <c r="EG118"/>
  <c r="EC118"/>
  <c r="DY118"/>
  <c r="DU118"/>
  <c r="DQ118"/>
  <c r="DM118"/>
  <c r="DK119"/>
  <c r="EU119" s="1"/>
  <c r="EH128"/>
  <c r="ED128"/>
  <c r="DZ128"/>
  <c r="DV128"/>
  <c r="DR128"/>
  <c r="DN128"/>
  <c r="DJ128"/>
  <c r="DF128"/>
  <c r="EJ129"/>
  <c r="FT129" s="1"/>
  <c r="EF129"/>
  <c r="FP129" s="1"/>
  <c r="EB129"/>
  <c r="FL129" s="1"/>
  <c r="DX129"/>
  <c r="FH129" s="1"/>
  <c r="DT129"/>
  <c r="FD129" s="1"/>
  <c r="DP129"/>
  <c r="EZ129" s="1"/>
  <c r="DL129"/>
  <c r="EV129" s="1"/>
  <c r="EI130"/>
  <c r="FS130" s="1"/>
  <c r="EE130"/>
  <c r="FO130" s="1"/>
  <c r="EA130"/>
  <c r="FK130" s="1"/>
  <c r="DW130"/>
  <c r="FG130" s="1"/>
  <c r="DS130"/>
  <c r="FC130" s="1"/>
  <c r="DO130"/>
  <c r="EY130" s="1"/>
  <c r="DK130"/>
  <c r="EU130" s="1"/>
  <c r="EJ134"/>
  <c r="FT134" s="1"/>
  <c r="EF134"/>
  <c r="FP134" s="1"/>
  <c r="EB134"/>
  <c r="FL134" s="1"/>
  <c r="DX134"/>
  <c r="FH134" s="1"/>
  <c r="DT134"/>
  <c r="FD134" s="1"/>
  <c r="DP134"/>
  <c r="EZ134" s="1"/>
  <c r="DL134"/>
  <c r="EV134" s="1"/>
  <c r="DH134"/>
  <c r="ER134" s="1"/>
  <c r="DE135"/>
  <c r="EP135"/>
  <c r="EI151"/>
  <c r="FS151" s="1"/>
  <c r="EA151"/>
  <c r="FK151" s="1"/>
  <c r="DS151"/>
  <c r="FC151" s="1"/>
  <c r="EI155"/>
  <c r="FS155" s="1"/>
  <c r="EA155"/>
  <c r="FK155" s="1"/>
  <c r="DS155"/>
  <c r="FC155" s="1"/>
  <c r="DL160"/>
  <c r="EV160" s="1"/>
  <c r="DF161"/>
  <c r="DF91"/>
  <c r="DH91"/>
  <c r="ER91" s="1"/>
  <c r="DJ91"/>
  <c r="ET91" s="1"/>
  <c r="DL91"/>
  <c r="EV91" s="1"/>
  <c r="DN91"/>
  <c r="EX91" s="1"/>
  <c r="DP91"/>
  <c r="EZ91" s="1"/>
  <c r="DR91"/>
  <c r="FB91" s="1"/>
  <c r="DT91"/>
  <c r="FD91" s="1"/>
  <c r="DV91"/>
  <c r="FF91" s="1"/>
  <c r="DX91"/>
  <c r="FH91" s="1"/>
  <c r="DZ91"/>
  <c r="FJ91" s="1"/>
  <c r="EB91"/>
  <c r="FL91" s="1"/>
  <c r="ED91"/>
  <c r="FN91" s="1"/>
  <c r="EF91"/>
  <c r="FP91" s="1"/>
  <c r="EH91"/>
  <c r="FR91" s="1"/>
  <c r="EJ91"/>
  <c r="FT91" s="1"/>
  <c r="DF97"/>
  <c r="DH97"/>
  <c r="ER97" s="1"/>
  <c r="DJ97"/>
  <c r="ET97" s="1"/>
  <c r="DL97"/>
  <c r="EV97" s="1"/>
  <c r="DN97"/>
  <c r="EX97" s="1"/>
  <c r="DP97"/>
  <c r="EZ97" s="1"/>
  <c r="DR97"/>
  <c r="FB97" s="1"/>
  <c r="DT97"/>
  <c r="FD97" s="1"/>
  <c r="DV97"/>
  <c r="FF97" s="1"/>
  <c r="DX97"/>
  <c r="FH97" s="1"/>
  <c r="DZ97"/>
  <c r="FJ97" s="1"/>
  <c r="EB97"/>
  <c r="FL97" s="1"/>
  <c r="ED97"/>
  <c r="FN97" s="1"/>
  <c r="EF97"/>
  <c r="FP97" s="1"/>
  <c r="EH97"/>
  <c r="FR97" s="1"/>
  <c r="EJ97"/>
  <c r="FT97" s="1"/>
  <c r="DF124"/>
  <c r="DH124"/>
  <c r="ER124" s="1"/>
  <c r="DJ124"/>
  <c r="ET124" s="1"/>
  <c r="DL124"/>
  <c r="EV124" s="1"/>
  <c r="DF130"/>
  <c r="DH130"/>
  <c r="ER130" s="1"/>
  <c r="DJ130"/>
  <c r="ET130" s="1"/>
  <c r="DL130"/>
  <c r="EV130" s="1"/>
  <c r="DF133"/>
  <c r="DH133"/>
  <c r="ER133" s="1"/>
  <c r="DJ133"/>
  <c r="ET133" s="1"/>
  <c r="DL133"/>
  <c r="EV133" s="1"/>
  <c r="DN133"/>
  <c r="EX133" s="1"/>
  <c r="DP133"/>
  <c r="EZ133" s="1"/>
  <c r="DR133"/>
  <c r="FB133" s="1"/>
  <c r="DT133"/>
  <c r="FD133" s="1"/>
  <c r="DV133"/>
  <c r="FF133" s="1"/>
  <c r="DX133"/>
  <c r="FH133" s="1"/>
  <c r="DZ133"/>
  <c r="FJ133" s="1"/>
  <c r="EB133"/>
  <c r="FL133" s="1"/>
  <c r="ED133"/>
  <c r="FN133" s="1"/>
  <c r="EF133"/>
  <c r="FP133" s="1"/>
  <c r="EH133"/>
  <c r="FR133" s="1"/>
  <c r="EJ133"/>
  <c r="FT133" s="1"/>
  <c r="DC88"/>
  <c r="DE88"/>
  <c r="DN100"/>
  <c r="EX100" s="1"/>
  <c r="DP100"/>
  <c r="EZ100" s="1"/>
  <c r="DR100"/>
  <c r="FB100" s="1"/>
  <c r="DT100"/>
  <c r="FD100" s="1"/>
  <c r="DV100"/>
  <c r="FF100" s="1"/>
  <c r="DX100"/>
  <c r="FH100" s="1"/>
  <c r="DZ100"/>
  <c r="FJ100" s="1"/>
  <c r="EB100"/>
  <c r="FL100" s="1"/>
  <c r="ED100"/>
  <c r="FN100" s="1"/>
  <c r="EF100"/>
  <c r="FP100" s="1"/>
  <c r="EH100"/>
  <c r="FR100" s="1"/>
  <c r="EJ100"/>
  <c r="FT100" s="1"/>
  <c r="DF101"/>
  <c r="DH101"/>
  <c r="ER101" s="1"/>
  <c r="DJ101"/>
  <c r="ET101" s="1"/>
  <c r="DL101"/>
  <c r="EV101" s="1"/>
  <c r="DF105"/>
  <c r="DH105"/>
  <c r="ER105" s="1"/>
  <c r="DJ105"/>
  <c r="ET105" s="1"/>
  <c r="DL105"/>
  <c r="EV105" s="1"/>
  <c r="DN105"/>
  <c r="EX105" s="1"/>
  <c r="DP105"/>
  <c r="EZ105" s="1"/>
  <c r="DR105"/>
  <c r="FB105" s="1"/>
  <c r="DT105"/>
  <c r="FD105" s="1"/>
  <c r="DV105"/>
  <c r="FF105" s="1"/>
  <c r="DX105"/>
  <c r="FH105" s="1"/>
  <c r="DZ105"/>
  <c r="FJ105" s="1"/>
  <c r="EB105"/>
  <c r="FL105" s="1"/>
  <c r="ED105"/>
  <c r="FN105" s="1"/>
  <c r="EF105"/>
  <c r="FP105" s="1"/>
  <c r="EH105"/>
  <c r="FR105" s="1"/>
  <c r="EJ105"/>
  <c r="FT105" s="1"/>
  <c r="DF109"/>
  <c r="DH109"/>
  <c r="ER109" s="1"/>
  <c r="DJ109"/>
  <c r="ET109" s="1"/>
  <c r="DL109"/>
  <c r="EV109" s="1"/>
  <c r="DN109"/>
  <c r="EX109" s="1"/>
  <c r="DP109"/>
  <c r="EZ109" s="1"/>
  <c r="DR109"/>
  <c r="FB109" s="1"/>
  <c r="DT109"/>
  <c r="FD109" s="1"/>
  <c r="DV109"/>
  <c r="FF109" s="1"/>
  <c r="DX109"/>
  <c r="FH109" s="1"/>
  <c r="DZ109"/>
  <c r="FJ109" s="1"/>
  <c r="EB109"/>
  <c r="FL109" s="1"/>
  <c r="ED109"/>
  <c r="FN109" s="1"/>
  <c r="EF109"/>
  <c r="FP109" s="1"/>
  <c r="EH109"/>
  <c r="FR109" s="1"/>
  <c r="EJ109"/>
  <c r="FT109" s="1"/>
  <c r="DF113"/>
  <c r="DH113"/>
  <c r="ER113" s="1"/>
  <c r="DJ113"/>
  <c r="ET113" s="1"/>
  <c r="DL113"/>
  <c r="EV113" s="1"/>
  <c r="DN113"/>
  <c r="EX113" s="1"/>
  <c r="DP113"/>
  <c r="EZ113" s="1"/>
  <c r="DR113"/>
  <c r="FB113" s="1"/>
  <c r="DT113"/>
  <c r="FD113" s="1"/>
  <c r="DV113"/>
  <c r="FF113" s="1"/>
  <c r="DX113"/>
  <c r="FH113" s="1"/>
  <c r="DZ113"/>
  <c r="FJ113" s="1"/>
  <c r="EB113"/>
  <c r="FL113" s="1"/>
  <c r="ED113"/>
  <c r="FN113" s="1"/>
  <c r="EF113"/>
  <c r="FP113" s="1"/>
  <c r="EH113"/>
  <c r="FR113" s="1"/>
  <c r="EJ113"/>
  <c r="FT113" s="1"/>
  <c r="DF117"/>
  <c r="DH117"/>
  <c r="ER117" s="1"/>
  <c r="DJ117"/>
  <c r="ET117" s="1"/>
  <c r="DL117"/>
  <c r="EV117" s="1"/>
  <c r="DN117"/>
  <c r="EX117" s="1"/>
  <c r="DP117"/>
  <c r="EZ117" s="1"/>
  <c r="DR117"/>
  <c r="FB117" s="1"/>
  <c r="DT117"/>
  <c r="FD117" s="1"/>
  <c r="DV117"/>
  <c r="FF117" s="1"/>
  <c r="DX117"/>
  <c r="FH117" s="1"/>
  <c r="DZ117"/>
  <c r="FJ117" s="1"/>
  <c r="EB117"/>
  <c r="FL117" s="1"/>
  <c r="ED117"/>
  <c r="FN117" s="1"/>
  <c r="EF117"/>
  <c r="FP117" s="1"/>
  <c r="EH117"/>
  <c r="FR117" s="1"/>
  <c r="EJ117"/>
  <c r="FT117" s="1"/>
  <c r="DN118"/>
  <c r="DP118"/>
  <c r="DR118"/>
  <c r="DT118"/>
  <c r="DV118"/>
  <c r="DX118"/>
  <c r="DZ118"/>
  <c r="EB118"/>
  <c r="ED118"/>
  <c r="EF118"/>
  <c r="EH118"/>
  <c r="EJ118"/>
  <c r="DC122"/>
  <c r="DE122"/>
  <c r="DF123"/>
  <c r="DH123"/>
  <c r="ER123" s="1"/>
  <c r="DJ123"/>
  <c r="ET123" s="1"/>
  <c r="DL123"/>
  <c r="DC126"/>
  <c r="DE126"/>
  <c r="DF127"/>
  <c r="DH127"/>
  <c r="ER127" s="1"/>
  <c r="DJ127"/>
  <c r="ET127" s="1"/>
  <c r="DL127"/>
  <c r="EV127" s="1"/>
  <c r="DG129"/>
  <c r="EQ129" s="1"/>
  <c r="DI129"/>
  <c r="ES129" s="1"/>
  <c r="DK129"/>
  <c r="EU129" s="1"/>
  <c r="DM129"/>
  <c r="EW129" s="1"/>
  <c r="DO129"/>
  <c r="EY129" s="1"/>
  <c r="DQ129"/>
  <c r="FA129" s="1"/>
  <c r="DS129"/>
  <c r="FC129" s="1"/>
  <c r="DU129"/>
  <c r="FE129" s="1"/>
  <c r="DW129"/>
  <c r="FG129" s="1"/>
  <c r="DY129"/>
  <c r="FI129" s="1"/>
  <c r="EA129"/>
  <c r="FK129" s="1"/>
  <c r="EC129"/>
  <c r="FM129" s="1"/>
  <c r="EE129"/>
  <c r="FO129" s="1"/>
  <c r="EG129"/>
  <c r="FQ129" s="1"/>
  <c r="EI129"/>
  <c r="FS129" s="1"/>
  <c r="DC132"/>
  <c r="DE132"/>
  <c r="DC138"/>
  <c r="DE138"/>
  <c r="EK138"/>
  <c r="EP138"/>
  <c r="DC148"/>
  <c r="DE148"/>
  <c r="DF151"/>
  <c r="DH151"/>
  <c r="ER151" s="1"/>
  <c r="DJ151"/>
  <c r="ET151" s="1"/>
  <c r="DL151"/>
  <c r="EV151" s="1"/>
  <c r="DN151"/>
  <c r="EX151" s="1"/>
  <c r="DP151"/>
  <c r="EZ151" s="1"/>
  <c r="DR151"/>
  <c r="FB151" s="1"/>
  <c r="DT151"/>
  <c r="FD151" s="1"/>
  <c r="DV151"/>
  <c r="FF151" s="1"/>
  <c r="DX151"/>
  <c r="FH151" s="1"/>
  <c r="DZ151"/>
  <c r="FJ151" s="1"/>
  <c r="EB151"/>
  <c r="FL151" s="1"/>
  <c r="ED151"/>
  <c r="FN151" s="1"/>
  <c r="EF151"/>
  <c r="FP151" s="1"/>
  <c r="EH151"/>
  <c r="FR151" s="1"/>
  <c r="EJ151"/>
  <c r="FT151" s="1"/>
  <c r="DI151"/>
  <c r="ES151" s="1"/>
  <c r="DM151"/>
  <c r="EW151" s="1"/>
  <c r="DQ151"/>
  <c r="FA151" s="1"/>
  <c r="DU151"/>
  <c r="FE151" s="1"/>
  <c r="DY151"/>
  <c r="FI151" s="1"/>
  <c r="EC151"/>
  <c r="FM151" s="1"/>
  <c r="EG151"/>
  <c r="FQ151" s="1"/>
  <c r="DF155"/>
  <c r="DH155"/>
  <c r="ER155" s="1"/>
  <c r="DJ155"/>
  <c r="DL155"/>
  <c r="EV155" s="1"/>
  <c r="DN155"/>
  <c r="EX155" s="1"/>
  <c r="DP155"/>
  <c r="EZ155" s="1"/>
  <c r="DR155"/>
  <c r="FB155" s="1"/>
  <c r="DT155"/>
  <c r="FD155" s="1"/>
  <c r="DV155"/>
  <c r="FF155" s="1"/>
  <c r="DX155"/>
  <c r="FH155" s="1"/>
  <c r="DZ155"/>
  <c r="FJ155" s="1"/>
  <c r="EB155"/>
  <c r="FL155" s="1"/>
  <c r="ED155"/>
  <c r="FN155" s="1"/>
  <c r="EF155"/>
  <c r="FP155" s="1"/>
  <c r="EH155"/>
  <c r="FR155" s="1"/>
  <c r="EJ155"/>
  <c r="FT155" s="1"/>
  <c r="DI155"/>
  <c r="DM155"/>
  <c r="EW155" s="1"/>
  <c r="DQ155"/>
  <c r="FA155" s="1"/>
  <c r="DU155"/>
  <c r="FE155" s="1"/>
  <c r="DY155"/>
  <c r="FI155" s="1"/>
  <c r="EC155"/>
  <c r="FM155" s="1"/>
  <c r="EG155"/>
  <c r="FQ155" s="1"/>
  <c r="DC163"/>
  <c r="DE163"/>
  <c r="DE166"/>
  <c r="DC166"/>
  <c r="DO167"/>
  <c r="EY167" s="1"/>
  <c r="DT167"/>
  <c r="FD167" s="1"/>
  <c r="DW167"/>
  <c r="FG167" s="1"/>
  <c r="EB167"/>
  <c r="FL167" s="1"/>
  <c r="EE167"/>
  <c r="FO167" s="1"/>
  <c r="EJ167"/>
  <c r="FT167" s="1"/>
  <c r="DN167"/>
  <c r="EX167" s="1"/>
  <c r="DQ167"/>
  <c r="FA167" s="1"/>
  <c r="DV167"/>
  <c r="FF167" s="1"/>
  <c r="DY167"/>
  <c r="FI167" s="1"/>
  <c r="ED167"/>
  <c r="FN167" s="1"/>
  <c r="EG167"/>
  <c r="FQ167" s="1"/>
  <c r="DS167"/>
  <c r="FC167" s="1"/>
  <c r="DX167"/>
  <c r="FH167" s="1"/>
  <c r="EI167"/>
  <c r="FS167" s="1"/>
  <c r="DR167"/>
  <c r="FB167" s="1"/>
  <c r="EC167"/>
  <c r="FM167" s="1"/>
  <c r="EH167"/>
  <c r="FR167" s="1"/>
  <c r="DG168"/>
  <c r="DI168"/>
  <c r="DK168"/>
  <c r="DM168"/>
  <c r="EW168" s="1"/>
  <c r="DO168"/>
  <c r="EY168" s="1"/>
  <c r="DQ168"/>
  <c r="DS168"/>
  <c r="DU168"/>
  <c r="DW168"/>
  <c r="DY168"/>
  <c r="EA168"/>
  <c r="EC168"/>
  <c r="EE168"/>
  <c r="EG168"/>
  <c r="EI168"/>
  <c r="DL168"/>
  <c r="EV168" s="1"/>
  <c r="DT168"/>
  <c r="EB168"/>
  <c r="EJ168"/>
  <c r="DF168"/>
  <c r="DN168"/>
  <c r="EX168" s="1"/>
  <c r="DV168"/>
  <c r="ED168"/>
  <c r="DH168"/>
  <c r="DX168"/>
  <c r="DR168"/>
  <c r="EH168"/>
  <c r="EP184"/>
  <c r="DH186"/>
  <c r="ER186" s="1"/>
  <c r="DM186"/>
  <c r="EW186" s="1"/>
  <c r="DF186"/>
  <c r="DI186"/>
  <c r="ES186" s="1"/>
  <c r="DL186"/>
  <c r="EV186" s="1"/>
  <c r="DK186"/>
  <c r="EU186" s="1"/>
  <c r="DG186"/>
  <c r="EQ186" s="1"/>
  <c r="DK89"/>
  <c r="EU89" s="1"/>
  <c r="DG89"/>
  <c r="EQ89" s="1"/>
  <c r="EG91"/>
  <c r="FQ91" s="1"/>
  <c r="EC91"/>
  <c r="FM91" s="1"/>
  <c r="DY91"/>
  <c r="FI91" s="1"/>
  <c r="DU91"/>
  <c r="FE91" s="1"/>
  <c r="DQ91"/>
  <c r="DM91"/>
  <c r="EW91" s="1"/>
  <c r="DI91"/>
  <c r="ES91" s="1"/>
  <c r="EG93"/>
  <c r="FQ93" s="1"/>
  <c r="EC93"/>
  <c r="FM93" s="1"/>
  <c r="DY93"/>
  <c r="FI93" s="1"/>
  <c r="DU93"/>
  <c r="FE93" s="1"/>
  <c r="DQ93"/>
  <c r="FA93" s="1"/>
  <c r="DM93"/>
  <c r="EW93" s="1"/>
  <c r="DI93"/>
  <c r="ES93" s="1"/>
  <c r="EG95"/>
  <c r="FQ95" s="1"/>
  <c r="EC95"/>
  <c r="FM95" s="1"/>
  <c r="DY95"/>
  <c r="FI95" s="1"/>
  <c r="DU95"/>
  <c r="FE95" s="1"/>
  <c r="DQ95"/>
  <c r="FA95" s="1"/>
  <c r="DM95"/>
  <c r="EW95" s="1"/>
  <c r="DI95"/>
  <c r="ES95" s="1"/>
  <c r="EG97"/>
  <c r="FQ97" s="1"/>
  <c r="EC97"/>
  <c r="FM97" s="1"/>
  <c r="DY97"/>
  <c r="FI97" s="1"/>
  <c r="DU97"/>
  <c r="FE97" s="1"/>
  <c r="DQ97"/>
  <c r="FA97" s="1"/>
  <c r="DM97"/>
  <c r="EW97" s="1"/>
  <c r="DI97"/>
  <c r="ES97" s="1"/>
  <c r="DF107"/>
  <c r="EJ121"/>
  <c r="FT121" s="1"/>
  <c r="EF121"/>
  <c r="FP121" s="1"/>
  <c r="EB121"/>
  <c r="FL121" s="1"/>
  <c r="DX121"/>
  <c r="FH121" s="1"/>
  <c r="DT121"/>
  <c r="FD121" s="1"/>
  <c r="DP121"/>
  <c r="EZ121" s="1"/>
  <c r="DL121"/>
  <c r="EV121" s="1"/>
  <c r="DH121"/>
  <c r="ER121" s="1"/>
  <c r="EG123"/>
  <c r="FQ123" s="1"/>
  <c r="EC123"/>
  <c r="FM123" s="1"/>
  <c r="DY123"/>
  <c r="FI123" s="1"/>
  <c r="DU123"/>
  <c r="FE123" s="1"/>
  <c r="DQ123"/>
  <c r="FA123" s="1"/>
  <c r="DM123"/>
  <c r="EW123" s="1"/>
  <c r="DI123"/>
  <c r="ES123" s="1"/>
  <c r="DK124"/>
  <c r="EU124" s="1"/>
  <c r="DG124"/>
  <c r="EQ124" s="1"/>
  <c r="EG127"/>
  <c r="FQ127" s="1"/>
  <c r="EC127"/>
  <c r="FM127" s="1"/>
  <c r="DY127"/>
  <c r="FI127" s="1"/>
  <c r="DU127"/>
  <c r="FE127" s="1"/>
  <c r="DQ127"/>
  <c r="FA127" s="1"/>
  <c r="DM127"/>
  <c r="EW127" s="1"/>
  <c r="DI127"/>
  <c r="ES127" s="1"/>
  <c r="EK131"/>
  <c r="EG133"/>
  <c r="FQ133" s="1"/>
  <c r="EC133"/>
  <c r="FM133" s="1"/>
  <c r="DY133"/>
  <c r="FI133" s="1"/>
  <c r="DU133"/>
  <c r="FE133" s="1"/>
  <c r="DQ133"/>
  <c r="FA133" s="1"/>
  <c r="DM133"/>
  <c r="EW133" s="1"/>
  <c r="DI133"/>
  <c r="ES133" s="1"/>
  <c r="DI140"/>
  <c r="ES140" s="1"/>
  <c r="DN160"/>
  <c r="EX160" s="1"/>
  <c r="EF161"/>
  <c r="FP161" s="1"/>
  <c r="EK170"/>
  <c r="DU172"/>
  <c r="FE172" s="1"/>
  <c r="DG147"/>
  <c r="EQ147" s="1"/>
  <c r="DI147"/>
  <c r="ES147" s="1"/>
  <c r="DK147"/>
  <c r="DM147"/>
  <c r="DO147"/>
  <c r="EY147" s="1"/>
  <c r="DQ147"/>
  <c r="FA147" s="1"/>
  <c r="DS147"/>
  <c r="FC147" s="1"/>
  <c r="DU147"/>
  <c r="FE147" s="1"/>
  <c r="DW147"/>
  <c r="FG147" s="1"/>
  <c r="DY147"/>
  <c r="FI147" s="1"/>
  <c r="EA147"/>
  <c r="FK147" s="1"/>
  <c r="EC147"/>
  <c r="FM147" s="1"/>
  <c r="EE147"/>
  <c r="FO147" s="1"/>
  <c r="EG147"/>
  <c r="FQ147" s="1"/>
  <c r="EI147"/>
  <c r="FS147" s="1"/>
  <c r="DG149"/>
  <c r="EQ149" s="1"/>
  <c r="DI149"/>
  <c r="ES149" s="1"/>
  <c r="DK149"/>
  <c r="EU149" s="1"/>
  <c r="DM149"/>
  <c r="EW149" s="1"/>
  <c r="DO149"/>
  <c r="EY149" s="1"/>
  <c r="DQ149"/>
  <c r="FA149" s="1"/>
  <c r="DS149"/>
  <c r="FC149" s="1"/>
  <c r="DU149"/>
  <c r="FE149" s="1"/>
  <c r="DW149"/>
  <c r="FG149" s="1"/>
  <c r="DY149"/>
  <c r="FI149" s="1"/>
  <c r="EA149"/>
  <c r="FK149" s="1"/>
  <c r="EC149"/>
  <c r="FM149" s="1"/>
  <c r="EE149"/>
  <c r="FO149" s="1"/>
  <c r="EG149"/>
  <c r="FQ149" s="1"/>
  <c r="EI149"/>
  <c r="FS149" s="1"/>
  <c r="DF153"/>
  <c r="DH153"/>
  <c r="ER153" s="1"/>
  <c r="DJ153"/>
  <c r="ET153" s="1"/>
  <c r="DL153"/>
  <c r="DN153"/>
  <c r="EX153" s="1"/>
  <c r="DP153"/>
  <c r="EZ153" s="1"/>
  <c r="DR153"/>
  <c r="FB153" s="1"/>
  <c r="DT153"/>
  <c r="FD153" s="1"/>
  <c r="DV153"/>
  <c r="FF153" s="1"/>
  <c r="DX153"/>
  <c r="FH153" s="1"/>
  <c r="DZ153"/>
  <c r="FJ153" s="1"/>
  <c r="EB153"/>
  <c r="FL153" s="1"/>
  <c r="ED153"/>
  <c r="FN153" s="1"/>
  <c r="EF153"/>
  <c r="FP153" s="1"/>
  <c r="EH153"/>
  <c r="FR153" s="1"/>
  <c r="EJ153"/>
  <c r="FT153" s="1"/>
  <c r="EP156"/>
  <c r="DC173"/>
  <c r="DE173"/>
  <c r="DG179"/>
  <c r="EQ179" s="1"/>
  <c r="DI179"/>
  <c r="ES179" s="1"/>
  <c r="DK179"/>
  <c r="EU179" s="1"/>
  <c r="DM179"/>
  <c r="EW179" s="1"/>
  <c r="DO179"/>
  <c r="EY179" s="1"/>
  <c r="DQ179"/>
  <c r="FA179" s="1"/>
  <c r="DS179"/>
  <c r="FC179" s="1"/>
  <c r="DU179"/>
  <c r="FE179" s="1"/>
  <c r="DW179"/>
  <c r="FG179" s="1"/>
  <c r="DY179"/>
  <c r="FI179" s="1"/>
  <c r="EA179"/>
  <c r="FK179" s="1"/>
  <c r="EC179"/>
  <c r="FM179" s="1"/>
  <c r="EE179"/>
  <c r="FO179" s="1"/>
  <c r="EG179"/>
  <c r="FQ179" s="1"/>
  <c r="EI179"/>
  <c r="FS179" s="1"/>
  <c r="DL179"/>
  <c r="EV179" s="1"/>
  <c r="DT179"/>
  <c r="FD179" s="1"/>
  <c r="EB179"/>
  <c r="FL179" s="1"/>
  <c r="EJ179"/>
  <c r="FT179" s="1"/>
  <c r="DF179"/>
  <c r="DN179"/>
  <c r="EX179" s="1"/>
  <c r="DV179"/>
  <c r="FF179" s="1"/>
  <c r="ED179"/>
  <c r="FN179" s="1"/>
  <c r="DJ179"/>
  <c r="ET179" s="1"/>
  <c r="DZ179"/>
  <c r="FJ179" s="1"/>
  <c r="DH179"/>
  <c r="ER179" s="1"/>
  <c r="DX179"/>
  <c r="FH179" s="1"/>
  <c r="EP180"/>
  <c r="DF181"/>
  <c r="DH181"/>
  <c r="ER181" s="1"/>
  <c r="DJ181"/>
  <c r="ET181" s="1"/>
  <c r="DL181"/>
  <c r="EV181" s="1"/>
  <c r="DK181"/>
  <c r="EU181" s="1"/>
  <c r="DM181"/>
  <c r="EW181" s="1"/>
  <c r="DI181"/>
  <c r="ES181" s="1"/>
  <c r="DG181"/>
  <c r="EQ181" s="1"/>
  <c r="DF185"/>
  <c r="DH185"/>
  <c r="ER185" s="1"/>
  <c r="DJ185"/>
  <c r="ET185" s="1"/>
  <c r="DL185"/>
  <c r="EV185" s="1"/>
  <c r="DI185"/>
  <c r="ES185" s="1"/>
  <c r="DG185"/>
  <c r="EQ185" s="1"/>
  <c r="DM185"/>
  <c r="EW185" s="1"/>
  <c r="DC205"/>
  <c r="DE205"/>
  <c r="H494"/>
  <c r="H464"/>
  <c r="EE99"/>
  <c r="FO99" s="1"/>
  <c r="EC99"/>
  <c r="FM99" s="1"/>
  <c r="EA99"/>
  <c r="FK99" s="1"/>
  <c r="DY99"/>
  <c r="FI99" s="1"/>
  <c r="DW99"/>
  <c r="FG99" s="1"/>
  <c r="DU99"/>
  <c r="FE99" s="1"/>
  <c r="DS99"/>
  <c r="FC99" s="1"/>
  <c r="DQ99"/>
  <c r="FA99" s="1"/>
  <c r="DO99"/>
  <c r="EY99" s="1"/>
  <c r="DM99"/>
  <c r="EW99" s="1"/>
  <c r="DK99"/>
  <c r="EU99" s="1"/>
  <c r="DI99"/>
  <c r="ES99" s="1"/>
  <c r="EI102"/>
  <c r="FS102" s="1"/>
  <c r="EG102"/>
  <c r="FQ102" s="1"/>
  <c r="EE102"/>
  <c r="FO102" s="1"/>
  <c r="EC102"/>
  <c r="FM102" s="1"/>
  <c r="EA102"/>
  <c r="FK102" s="1"/>
  <c r="DY102"/>
  <c r="FI102" s="1"/>
  <c r="DW102"/>
  <c r="FG102" s="1"/>
  <c r="DU102"/>
  <c r="FE102" s="1"/>
  <c r="DS102"/>
  <c r="FC102" s="1"/>
  <c r="DQ102"/>
  <c r="FA102" s="1"/>
  <c r="DO102"/>
  <c r="EY102" s="1"/>
  <c r="DM102"/>
  <c r="EW102" s="1"/>
  <c r="DK102"/>
  <c r="EU102" s="1"/>
  <c r="DI102"/>
  <c r="ES102" s="1"/>
  <c r="EI104"/>
  <c r="FS104" s="1"/>
  <c r="EG104"/>
  <c r="FQ104" s="1"/>
  <c r="EE104"/>
  <c r="FO104" s="1"/>
  <c r="EC104"/>
  <c r="FM104" s="1"/>
  <c r="EA104"/>
  <c r="FK104" s="1"/>
  <c r="DY104"/>
  <c r="FI104" s="1"/>
  <c r="DW104"/>
  <c r="FG104" s="1"/>
  <c r="DU104"/>
  <c r="FE104" s="1"/>
  <c r="DS104"/>
  <c r="FC104" s="1"/>
  <c r="DQ104"/>
  <c r="FA104" s="1"/>
  <c r="DO104"/>
  <c r="EY104" s="1"/>
  <c r="DM104"/>
  <c r="EW104" s="1"/>
  <c r="DK104"/>
  <c r="EU104" s="1"/>
  <c r="DI104"/>
  <c r="ES104" s="1"/>
  <c r="EI106"/>
  <c r="FS106" s="1"/>
  <c r="EG106"/>
  <c r="FQ106" s="1"/>
  <c r="EE106"/>
  <c r="FO106" s="1"/>
  <c r="EC106"/>
  <c r="FM106" s="1"/>
  <c r="EA106"/>
  <c r="FK106" s="1"/>
  <c r="DY106"/>
  <c r="FI106" s="1"/>
  <c r="DW106"/>
  <c r="FG106" s="1"/>
  <c r="DU106"/>
  <c r="FE106" s="1"/>
  <c r="DS106"/>
  <c r="FC106" s="1"/>
  <c r="DQ106"/>
  <c r="FA106" s="1"/>
  <c r="DO106"/>
  <c r="EY106" s="1"/>
  <c r="DM106"/>
  <c r="EW106" s="1"/>
  <c r="DK106"/>
  <c r="EU106" s="1"/>
  <c r="DI106"/>
  <c r="ES106" s="1"/>
  <c r="EJ107"/>
  <c r="FT107" s="1"/>
  <c r="EH107"/>
  <c r="FR107" s="1"/>
  <c r="EF107"/>
  <c r="FP107" s="1"/>
  <c r="ED107"/>
  <c r="FN107" s="1"/>
  <c r="EB107"/>
  <c r="FL107" s="1"/>
  <c r="DZ107"/>
  <c r="FJ107" s="1"/>
  <c r="DX107"/>
  <c r="FH107" s="1"/>
  <c r="DV107"/>
  <c r="FF107" s="1"/>
  <c r="DT107"/>
  <c r="FD107" s="1"/>
  <c r="DR107"/>
  <c r="FB107" s="1"/>
  <c r="DP107"/>
  <c r="EZ107" s="1"/>
  <c r="DN107"/>
  <c r="EX107" s="1"/>
  <c r="DL107"/>
  <c r="EV107" s="1"/>
  <c r="DJ107"/>
  <c r="ET107" s="1"/>
  <c r="DH107"/>
  <c r="ER107" s="1"/>
  <c r="EI108"/>
  <c r="EG108"/>
  <c r="EE108"/>
  <c r="EC108"/>
  <c r="EA108"/>
  <c r="DY108"/>
  <c r="DW108"/>
  <c r="DU108"/>
  <c r="DS108"/>
  <c r="DQ108"/>
  <c r="DO108"/>
  <c r="DM108"/>
  <c r="EW108" s="1"/>
  <c r="DK108"/>
  <c r="EU108" s="1"/>
  <c r="DI108"/>
  <c r="ES108" s="1"/>
  <c r="EI110"/>
  <c r="FS110" s="1"/>
  <c r="EG110"/>
  <c r="FQ110" s="1"/>
  <c r="EE110"/>
  <c r="FO110" s="1"/>
  <c r="EC110"/>
  <c r="FM110" s="1"/>
  <c r="EA110"/>
  <c r="FK110" s="1"/>
  <c r="DY110"/>
  <c r="FI110" s="1"/>
  <c r="DW110"/>
  <c r="FG110" s="1"/>
  <c r="DU110"/>
  <c r="FE110" s="1"/>
  <c r="DS110"/>
  <c r="FC110" s="1"/>
  <c r="DQ110"/>
  <c r="FA110" s="1"/>
  <c r="DO110"/>
  <c r="EY110" s="1"/>
  <c r="DM110"/>
  <c r="EW110" s="1"/>
  <c r="DK110"/>
  <c r="EU110" s="1"/>
  <c r="DI110"/>
  <c r="ES110" s="1"/>
  <c r="EI112"/>
  <c r="FS112" s="1"/>
  <c r="EG112"/>
  <c r="FQ112" s="1"/>
  <c r="EE112"/>
  <c r="FO112" s="1"/>
  <c r="EC112"/>
  <c r="FM112" s="1"/>
  <c r="EA112"/>
  <c r="FK112" s="1"/>
  <c r="DY112"/>
  <c r="FI112" s="1"/>
  <c r="DW112"/>
  <c r="FG112" s="1"/>
  <c r="DU112"/>
  <c r="FE112" s="1"/>
  <c r="DS112"/>
  <c r="FC112" s="1"/>
  <c r="DQ112"/>
  <c r="FA112" s="1"/>
  <c r="DO112"/>
  <c r="EY112" s="1"/>
  <c r="DM112"/>
  <c r="EW112" s="1"/>
  <c r="DK112"/>
  <c r="EU112" s="1"/>
  <c r="DI112"/>
  <c r="ES112" s="1"/>
  <c r="EI114"/>
  <c r="FS114" s="1"/>
  <c r="EG114"/>
  <c r="FQ114" s="1"/>
  <c r="EE114"/>
  <c r="FO114" s="1"/>
  <c r="EC114"/>
  <c r="FM114" s="1"/>
  <c r="EA114"/>
  <c r="FK114" s="1"/>
  <c r="DY114"/>
  <c r="FI114" s="1"/>
  <c r="DW114"/>
  <c r="FG114" s="1"/>
  <c r="DU114"/>
  <c r="FE114" s="1"/>
  <c r="DS114"/>
  <c r="FC114" s="1"/>
  <c r="DQ114"/>
  <c r="FA114" s="1"/>
  <c r="DO114"/>
  <c r="EY114" s="1"/>
  <c r="DM114"/>
  <c r="EW114" s="1"/>
  <c r="DK114"/>
  <c r="EU114" s="1"/>
  <c r="DI114"/>
  <c r="ES114" s="1"/>
  <c r="EI116"/>
  <c r="FS116" s="1"/>
  <c r="EG116"/>
  <c r="FQ116" s="1"/>
  <c r="EE116"/>
  <c r="FO116" s="1"/>
  <c r="EC116"/>
  <c r="FM116" s="1"/>
  <c r="EA116"/>
  <c r="FK116" s="1"/>
  <c r="DY116"/>
  <c r="FI116" s="1"/>
  <c r="DW116"/>
  <c r="FG116" s="1"/>
  <c r="DU116"/>
  <c r="FE116" s="1"/>
  <c r="DS116"/>
  <c r="FC116" s="1"/>
  <c r="DQ116"/>
  <c r="FA116" s="1"/>
  <c r="DO116"/>
  <c r="EY116" s="1"/>
  <c r="DM116"/>
  <c r="DK116"/>
  <c r="DI116"/>
  <c r="EI125"/>
  <c r="FS125" s="1"/>
  <c r="EG125"/>
  <c r="FQ125" s="1"/>
  <c r="EE125"/>
  <c r="FO125" s="1"/>
  <c r="EC125"/>
  <c r="FM125" s="1"/>
  <c r="EA125"/>
  <c r="FK125" s="1"/>
  <c r="DY125"/>
  <c r="FI125" s="1"/>
  <c r="DW125"/>
  <c r="FG125" s="1"/>
  <c r="DU125"/>
  <c r="FE125" s="1"/>
  <c r="DS125"/>
  <c r="FC125" s="1"/>
  <c r="DQ125"/>
  <c r="FA125" s="1"/>
  <c r="DO125"/>
  <c r="EY125" s="1"/>
  <c r="DM125"/>
  <c r="EW125" s="1"/>
  <c r="DK125"/>
  <c r="EU125" s="1"/>
  <c r="DI125"/>
  <c r="ES125" s="1"/>
  <c r="EI136"/>
  <c r="FS136" s="1"/>
  <c r="EG136"/>
  <c r="FQ136" s="1"/>
  <c r="EE136"/>
  <c r="FO136" s="1"/>
  <c r="EC136"/>
  <c r="FM136" s="1"/>
  <c r="EA136"/>
  <c r="FK136" s="1"/>
  <c r="DY136"/>
  <c r="FI136" s="1"/>
  <c r="DW136"/>
  <c r="FG136" s="1"/>
  <c r="DU136"/>
  <c r="FE136" s="1"/>
  <c r="DS136"/>
  <c r="FC136" s="1"/>
  <c r="DQ136"/>
  <c r="FA136" s="1"/>
  <c r="DO136"/>
  <c r="EY136" s="1"/>
  <c r="DM136"/>
  <c r="EW136" s="1"/>
  <c r="DK136"/>
  <c r="EU136" s="1"/>
  <c r="DI136"/>
  <c r="ES136" s="1"/>
  <c r="EH139"/>
  <c r="FR139" s="1"/>
  <c r="EC139"/>
  <c r="FM139" s="1"/>
  <c r="DZ139"/>
  <c r="FJ139" s="1"/>
  <c r="DU139"/>
  <c r="FE139" s="1"/>
  <c r="DR139"/>
  <c r="FB139" s="1"/>
  <c r="DM139"/>
  <c r="EW139" s="1"/>
  <c r="DM159"/>
  <c r="EW159" s="1"/>
  <c r="DF140"/>
  <c r="DH140"/>
  <c r="ER140" s="1"/>
  <c r="DJ140"/>
  <c r="ET140" s="1"/>
  <c r="DL140"/>
  <c r="EV140" s="1"/>
  <c r="DN140"/>
  <c r="EX140" s="1"/>
  <c r="DP140"/>
  <c r="EZ140" s="1"/>
  <c r="DR140"/>
  <c r="FB140" s="1"/>
  <c r="DT140"/>
  <c r="FD140" s="1"/>
  <c r="DV140"/>
  <c r="FF140" s="1"/>
  <c r="DX140"/>
  <c r="FH140" s="1"/>
  <c r="DZ140"/>
  <c r="FJ140" s="1"/>
  <c r="EB140"/>
  <c r="FL140" s="1"/>
  <c r="ED140"/>
  <c r="FN140" s="1"/>
  <c r="EF140"/>
  <c r="FP140" s="1"/>
  <c r="EH140"/>
  <c r="FR140" s="1"/>
  <c r="EJ140"/>
  <c r="FT140" s="1"/>
  <c r="DF141"/>
  <c r="DH141"/>
  <c r="ER141" s="1"/>
  <c r="DJ141"/>
  <c r="ET141" s="1"/>
  <c r="DL141"/>
  <c r="EV141" s="1"/>
  <c r="DN141"/>
  <c r="EX141" s="1"/>
  <c r="DP141"/>
  <c r="EZ141" s="1"/>
  <c r="DR141"/>
  <c r="FB141" s="1"/>
  <c r="DT141"/>
  <c r="FD141" s="1"/>
  <c r="DV141"/>
  <c r="FF141" s="1"/>
  <c r="DX141"/>
  <c r="FH141" s="1"/>
  <c r="DZ141"/>
  <c r="FJ141" s="1"/>
  <c r="EB141"/>
  <c r="FL141" s="1"/>
  <c r="ED141"/>
  <c r="FN141" s="1"/>
  <c r="EF141"/>
  <c r="FP141" s="1"/>
  <c r="EH141"/>
  <c r="FR141" s="1"/>
  <c r="EJ141"/>
  <c r="FT141" s="1"/>
  <c r="DF144"/>
  <c r="DH144"/>
  <c r="ER144" s="1"/>
  <c r="DJ144"/>
  <c r="ET144" s="1"/>
  <c r="DL144"/>
  <c r="EV144" s="1"/>
  <c r="DC147"/>
  <c r="DE147"/>
  <c r="DI159"/>
  <c r="ES159" s="1"/>
  <c r="DL159"/>
  <c r="EV159" s="1"/>
  <c r="DF159"/>
  <c r="DK159"/>
  <c r="EU159" s="1"/>
  <c r="EP164"/>
  <c r="DJ184"/>
  <c r="ET184" s="1"/>
  <c r="DM184"/>
  <c r="EW184" s="1"/>
  <c r="DR184"/>
  <c r="FB184" s="1"/>
  <c r="DU184"/>
  <c r="FE184" s="1"/>
  <c r="DZ184"/>
  <c r="FJ184" s="1"/>
  <c r="EC184"/>
  <c r="FM184" s="1"/>
  <c r="EH184"/>
  <c r="FR184" s="1"/>
  <c r="DH184"/>
  <c r="ER184" s="1"/>
  <c r="DO184"/>
  <c r="EY184" s="1"/>
  <c r="DS184"/>
  <c r="FC184" s="1"/>
  <c r="DV184"/>
  <c r="FF184" s="1"/>
  <c r="EG184"/>
  <c r="FQ184" s="1"/>
  <c r="EJ184"/>
  <c r="FT184" s="1"/>
  <c r="DG184"/>
  <c r="EQ184" s="1"/>
  <c r="DK184"/>
  <c r="EU184" s="1"/>
  <c r="DN184"/>
  <c r="EX184" s="1"/>
  <c r="DY184"/>
  <c r="FI184" s="1"/>
  <c r="EB184"/>
  <c r="FL184" s="1"/>
  <c r="EF184"/>
  <c r="FP184" s="1"/>
  <c r="DQ184"/>
  <c r="FA184" s="1"/>
  <c r="DX184"/>
  <c r="FH184" s="1"/>
  <c r="EE184"/>
  <c r="FO184" s="1"/>
  <c r="DI184"/>
  <c r="ES184" s="1"/>
  <c r="DP184"/>
  <c r="EZ184" s="1"/>
  <c r="DW184"/>
  <c r="FG184" s="1"/>
  <c r="ED184"/>
  <c r="FN184" s="1"/>
  <c r="DC186"/>
  <c r="DE186"/>
  <c r="EJ89"/>
  <c r="FT89" s="1"/>
  <c r="EH89"/>
  <c r="FR89" s="1"/>
  <c r="EF89"/>
  <c r="FP89" s="1"/>
  <c r="ED89"/>
  <c r="FN89" s="1"/>
  <c r="EB89"/>
  <c r="FL89" s="1"/>
  <c r="DZ89"/>
  <c r="FJ89" s="1"/>
  <c r="DX89"/>
  <c r="FH89" s="1"/>
  <c r="DV89"/>
  <c r="FF89" s="1"/>
  <c r="DT89"/>
  <c r="FD89" s="1"/>
  <c r="DR89"/>
  <c r="FB89" s="1"/>
  <c r="DP89"/>
  <c r="EZ89" s="1"/>
  <c r="DG166"/>
  <c r="EQ166" s="1"/>
  <c r="DG157"/>
  <c r="EQ157" s="1"/>
  <c r="DI157"/>
  <c r="ES157" s="1"/>
  <c r="DK157"/>
  <c r="EU157" s="1"/>
  <c r="DM157"/>
  <c r="EW157" s="1"/>
  <c r="DO157"/>
  <c r="EY157" s="1"/>
  <c r="DQ157"/>
  <c r="FA157" s="1"/>
  <c r="DS157"/>
  <c r="FC157" s="1"/>
  <c r="DU157"/>
  <c r="FE157" s="1"/>
  <c r="DW157"/>
  <c r="FG157" s="1"/>
  <c r="DY157"/>
  <c r="FI157" s="1"/>
  <c r="EA157"/>
  <c r="FK157" s="1"/>
  <c r="EC157"/>
  <c r="FM157" s="1"/>
  <c r="EE157"/>
  <c r="FO157" s="1"/>
  <c r="EG157"/>
  <c r="FQ157" s="1"/>
  <c r="EI157"/>
  <c r="FS157" s="1"/>
  <c r="DG171"/>
  <c r="EQ171" s="1"/>
  <c r="DI171"/>
  <c r="ES171" s="1"/>
  <c r="DK171"/>
  <c r="EU171" s="1"/>
  <c r="DM171"/>
  <c r="EW171" s="1"/>
  <c r="DO171"/>
  <c r="EY171" s="1"/>
  <c r="DQ171"/>
  <c r="FA171" s="1"/>
  <c r="DS171"/>
  <c r="FC171" s="1"/>
  <c r="DU171"/>
  <c r="FE171" s="1"/>
  <c r="DW171"/>
  <c r="FG171" s="1"/>
  <c r="DY171"/>
  <c r="FI171" s="1"/>
  <c r="EA171"/>
  <c r="FK171" s="1"/>
  <c r="EC171"/>
  <c r="FM171" s="1"/>
  <c r="EE171"/>
  <c r="FO171" s="1"/>
  <c r="EG171"/>
  <c r="FQ171" s="1"/>
  <c r="EI171"/>
  <c r="FS171" s="1"/>
  <c r="DF176"/>
  <c r="DH176"/>
  <c r="ER176" s="1"/>
  <c r="DJ176"/>
  <c r="ET176" s="1"/>
  <c r="DL176"/>
  <c r="EV176" s="1"/>
  <c r="DN176"/>
  <c r="EX176" s="1"/>
  <c r="DP176"/>
  <c r="EZ176" s="1"/>
  <c r="DR176"/>
  <c r="FB176" s="1"/>
  <c r="DT176"/>
  <c r="FD176" s="1"/>
  <c r="DV176"/>
  <c r="FF176" s="1"/>
  <c r="DX176"/>
  <c r="FH176" s="1"/>
  <c r="DZ176"/>
  <c r="FJ176" s="1"/>
  <c r="EB176"/>
  <c r="FL176" s="1"/>
  <c r="ED176"/>
  <c r="FN176" s="1"/>
  <c r="EF176"/>
  <c r="FP176" s="1"/>
  <c r="EH176"/>
  <c r="FR176" s="1"/>
  <c r="EJ176"/>
  <c r="FT176" s="1"/>
  <c r="DG176"/>
  <c r="EQ176" s="1"/>
  <c r="DO176"/>
  <c r="EY176" s="1"/>
  <c r="DW176"/>
  <c r="FG176" s="1"/>
  <c r="EE176"/>
  <c r="FO176" s="1"/>
  <c r="DI176"/>
  <c r="ES176" s="1"/>
  <c r="DQ176"/>
  <c r="FA176" s="1"/>
  <c r="DY176"/>
  <c r="FI176" s="1"/>
  <c r="EG176"/>
  <c r="FQ176" s="1"/>
  <c r="DG177"/>
  <c r="EQ177" s="1"/>
  <c r="DI177"/>
  <c r="ES177" s="1"/>
  <c r="DK177"/>
  <c r="EU177" s="1"/>
  <c r="DM177"/>
  <c r="EW177" s="1"/>
  <c r="DO177"/>
  <c r="EY177" s="1"/>
  <c r="DQ177"/>
  <c r="FA177" s="1"/>
  <c r="DS177"/>
  <c r="FC177" s="1"/>
  <c r="DU177"/>
  <c r="FE177" s="1"/>
  <c r="DW177"/>
  <c r="FG177" s="1"/>
  <c r="DY177"/>
  <c r="FI177" s="1"/>
  <c r="EA177"/>
  <c r="FK177" s="1"/>
  <c r="EC177"/>
  <c r="FM177" s="1"/>
  <c r="EE177"/>
  <c r="FO177" s="1"/>
  <c r="EG177"/>
  <c r="FQ177" s="1"/>
  <c r="EI177"/>
  <c r="FS177" s="1"/>
  <c r="DJ177"/>
  <c r="ET177" s="1"/>
  <c r="DR177"/>
  <c r="FB177" s="1"/>
  <c r="DZ177"/>
  <c r="FJ177" s="1"/>
  <c r="EH177"/>
  <c r="FR177" s="1"/>
  <c r="DL177"/>
  <c r="EV177" s="1"/>
  <c r="DT177"/>
  <c r="FD177" s="1"/>
  <c r="EB177"/>
  <c r="FL177" s="1"/>
  <c r="EJ177"/>
  <c r="FT177" s="1"/>
  <c r="DC182"/>
  <c r="DE182"/>
  <c r="EK182"/>
  <c r="EP182"/>
  <c r="EK193"/>
  <c r="EP193"/>
  <c r="FU193" s="1"/>
  <c r="DE196"/>
  <c r="DC196"/>
  <c r="EK207"/>
  <c r="EP207"/>
  <c r="FU207" s="1"/>
  <c r="CM88"/>
  <c r="AJ377"/>
  <c r="AJ379"/>
  <c r="AG380"/>
  <c r="AA376"/>
  <c r="U382"/>
  <c r="U380"/>
  <c r="U376"/>
  <c r="U375"/>
  <c r="U373"/>
  <c r="U381"/>
  <c r="U377"/>
  <c r="DU143"/>
  <c r="FE143" s="1"/>
  <c r="DS143"/>
  <c r="FC143" s="1"/>
  <c r="DQ143"/>
  <c r="FA143" s="1"/>
  <c r="DO143"/>
  <c r="EY143" s="1"/>
  <c r="DM143"/>
  <c r="EW143" s="1"/>
  <c r="DK143"/>
  <c r="EU143" s="1"/>
  <c r="DI143"/>
  <c r="ES143" s="1"/>
  <c r="EI146"/>
  <c r="FS146" s="1"/>
  <c r="EG146"/>
  <c r="FQ146" s="1"/>
  <c r="EE146"/>
  <c r="FO146" s="1"/>
  <c r="EC146"/>
  <c r="FM146" s="1"/>
  <c r="EA146"/>
  <c r="FK146" s="1"/>
  <c r="DY146"/>
  <c r="FI146" s="1"/>
  <c r="DW146"/>
  <c r="FG146" s="1"/>
  <c r="DU146"/>
  <c r="FE146" s="1"/>
  <c r="DS146"/>
  <c r="FC146" s="1"/>
  <c r="DQ146"/>
  <c r="FA146" s="1"/>
  <c r="DO146"/>
  <c r="EY146" s="1"/>
  <c r="DM146"/>
  <c r="EW146" s="1"/>
  <c r="DK146"/>
  <c r="EU146" s="1"/>
  <c r="DI146"/>
  <c r="ES146" s="1"/>
  <c r="EI150"/>
  <c r="FS150" s="1"/>
  <c r="EG150"/>
  <c r="FQ150" s="1"/>
  <c r="EE150"/>
  <c r="FO150" s="1"/>
  <c r="EC150"/>
  <c r="FM150" s="1"/>
  <c r="EA150"/>
  <c r="FK150" s="1"/>
  <c r="DY150"/>
  <c r="FI150" s="1"/>
  <c r="DW150"/>
  <c r="FG150" s="1"/>
  <c r="DU150"/>
  <c r="FE150" s="1"/>
  <c r="DS150"/>
  <c r="FC150" s="1"/>
  <c r="DQ150"/>
  <c r="FA150" s="1"/>
  <c r="DO150"/>
  <c r="EY150" s="1"/>
  <c r="DM150"/>
  <c r="EW150" s="1"/>
  <c r="DK150"/>
  <c r="EU150" s="1"/>
  <c r="DI150"/>
  <c r="ES150" s="1"/>
  <c r="EI152"/>
  <c r="FS152" s="1"/>
  <c r="EG152"/>
  <c r="FQ152" s="1"/>
  <c r="EE152"/>
  <c r="FO152" s="1"/>
  <c r="EC152"/>
  <c r="FM152" s="1"/>
  <c r="EA152"/>
  <c r="FK152" s="1"/>
  <c r="DY152"/>
  <c r="FI152" s="1"/>
  <c r="DW152"/>
  <c r="FG152" s="1"/>
  <c r="DU152"/>
  <c r="FE152" s="1"/>
  <c r="DS152"/>
  <c r="FC152" s="1"/>
  <c r="DQ152"/>
  <c r="FA152" s="1"/>
  <c r="DO152"/>
  <c r="EY152" s="1"/>
  <c r="DM152"/>
  <c r="EW152" s="1"/>
  <c r="DK152"/>
  <c r="EU152" s="1"/>
  <c r="DI152"/>
  <c r="ES152" s="1"/>
  <c r="EI154"/>
  <c r="FS154" s="1"/>
  <c r="EG154"/>
  <c r="FQ154" s="1"/>
  <c r="EE154"/>
  <c r="FO154" s="1"/>
  <c r="EC154"/>
  <c r="FM154" s="1"/>
  <c r="EA154"/>
  <c r="FK154" s="1"/>
  <c r="DY154"/>
  <c r="FI154" s="1"/>
  <c r="DW154"/>
  <c r="FG154" s="1"/>
  <c r="DU154"/>
  <c r="FE154" s="1"/>
  <c r="DS154"/>
  <c r="FC154" s="1"/>
  <c r="DQ154"/>
  <c r="FA154" s="1"/>
  <c r="DO154"/>
  <c r="EY154" s="1"/>
  <c r="DM154"/>
  <c r="DK154"/>
  <c r="DI154"/>
  <c r="ES154" s="1"/>
  <c r="DM156"/>
  <c r="EW156" s="1"/>
  <c r="DK156"/>
  <c r="EU156" s="1"/>
  <c r="EK158"/>
  <c r="EK162"/>
  <c r="EH164"/>
  <c r="FR164" s="1"/>
  <c r="EC164"/>
  <c r="FM164" s="1"/>
  <c r="DZ164"/>
  <c r="FJ164" s="1"/>
  <c r="DU164"/>
  <c r="FE164" s="1"/>
  <c r="DR164"/>
  <c r="FB164" s="1"/>
  <c r="DM164"/>
  <c r="EW164" s="1"/>
  <c r="EK165"/>
  <c r="DL166"/>
  <c r="EV166" s="1"/>
  <c r="EG169"/>
  <c r="FQ169" s="1"/>
  <c r="EC169"/>
  <c r="FM169" s="1"/>
  <c r="DY169"/>
  <c r="FI169" s="1"/>
  <c r="DU169"/>
  <c r="FE169" s="1"/>
  <c r="DQ169"/>
  <c r="FA169" s="1"/>
  <c r="DM169"/>
  <c r="EW169" s="1"/>
  <c r="EK173"/>
  <c r="DF169"/>
  <c r="DH169"/>
  <c r="ER169" s="1"/>
  <c r="DJ169"/>
  <c r="ET169" s="1"/>
  <c r="DL169"/>
  <c r="EV169" s="1"/>
  <c r="DN169"/>
  <c r="EX169" s="1"/>
  <c r="DP169"/>
  <c r="EZ169" s="1"/>
  <c r="DR169"/>
  <c r="FB169" s="1"/>
  <c r="DT169"/>
  <c r="FD169" s="1"/>
  <c r="DV169"/>
  <c r="FF169" s="1"/>
  <c r="DX169"/>
  <c r="FH169" s="1"/>
  <c r="DZ169"/>
  <c r="FJ169" s="1"/>
  <c r="EB169"/>
  <c r="FL169" s="1"/>
  <c r="ED169"/>
  <c r="FN169" s="1"/>
  <c r="EF169"/>
  <c r="FP169" s="1"/>
  <c r="EH169"/>
  <c r="FR169" s="1"/>
  <c r="EJ169"/>
  <c r="FT169" s="1"/>
  <c r="DC171"/>
  <c r="DE171"/>
  <c r="DC177"/>
  <c r="DE177"/>
  <c r="DE184"/>
  <c r="DC184"/>
  <c r="DG187"/>
  <c r="EQ187" s="1"/>
  <c r="DI187"/>
  <c r="ES187" s="1"/>
  <c r="DK187"/>
  <c r="EU187" s="1"/>
  <c r="DM187"/>
  <c r="EW187" s="1"/>
  <c r="DO187"/>
  <c r="EY187" s="1"/>
  <c r="DQ187"/>
  <c r="FA187" s="1"/>
  <c r="DS187"/>
  <c r="FC187" s="1"/>
  <c r="DU187"/>
  <c r="FE187" s="1"/>
  <c r="DW187"/>
  <c r="FG187" s="1"/>
  <c r="DY187"/>
  <c r="FI187" s="1"/>
  <c r="EA187"/>
  <c r="FK187" s="1"/>
  <c r="EC187"/>
  <c r="FM187" s="1"/>
  <c r="EE187"/>
  <c r="FO187" s="1"/>
  <c r="EG187"/>
  <c r="FQ187" s="1"/>
  <c r="EI187"/>
  <c r="FS187" s="1"/>
  <c r="DL187"/>
  <c r="EV187" s="1"/>
  <c r="DT187"/>
  <c r="FD187" s="1"/>
  <c r="EB187"/>
  <c r="FL187" s="1"/>
  <c r="EJ187"/>
  <c r="FT187" s="1"/>
  <c r="DN187"/>
  <c r="EX187" s="1"/>
  <c r="DR187"/>
  <c r="FB187" s="1"/>
  <c r="EF187"/>
  <c r="FP187" s="1"/>
  <c r="DF187"/>
  <c r="DJ187"/>
  <c r="ET187" s="1"/>
  <c r="DX187"/>
  <c r="FH187" s="1"/>
  <c r="DC190"/>
  <c r="DE190"/>
  <c r="EK194"/>
  <c r="EP194"/>
  <c r="FU194" s="1"/>
  <c r="EP200"/>
  <c r="FU200" s="1"/>
  <c r="EK200"/>
  <c r="EK202"/>
  <c r="EP202"/>
  <c r="FU202" s="1"/>
  <c r="L381"/>
  <c r="L377"/>
  <c r="L373"/>
  <c r="L382"/>
  <c r="L379"/>
  <c r="L375"/>
  <c r="L374"/>
  <c r="L380"/>
  <c r="I382"/>
  <c r="I380"/>
  <c r="I376"/>
  <c r="I378"/>
  <c r="I373"/>
  <c r="I381"/>
  <c r="I379"/>
  <c r="I377"/>
  <c r="I375"/>
  <c r="I374"/>
  <c r="DG175"/>
  <c r="EQ175" s="1"/>
  <c r="DI175"/>
  <c r="ES175" s="1"/>
  <c r="DK175"/>
  <c r="DM175"/>
  <c r="DO175"/>
  <c r="EY175" s="1"/>
  <c r="DQ175"/>
  <c r="FA175" s="1"/>
  <c r="DS175"/>
  <c r="FC175" s="1"/>
  <c r="DU175"/>
  <c r="FE175" s="1"/>
  <c r="DW175"/>
  <c r="FG175" s="1"/>
  <c r="DY175"/>
  <c r="FI175" s="1"/>
  <c r="EA175"/>
  <c r="FK175" s="1"/>
  <c r="EC175"/>
  <c r="FM175" s="1"/>
  <c r="EE175"/>
  <c r="FO175" s="1"/>
  <c r="EG175"/>
  <c r="FQ175" s="1"/>
  <c r="EI175"/>
  <c r="FS175" s="1"/>
  <c r="DG180"/>
  <c r="EQ180" s="1"/>
  <c r="DL180"/>
  <c r="EV180" s="1"/>
  <c r="DG183"/>
  <c r="EQ183" s="1"/>
  <c r="DI183"/>
  <c r="ES183" s="1"/>
  <c r="DK183"/>
  <c r="EU183" s="1"/>
  <c r="DM183"/>
  <c r="EW183" s="1"/>
  <c r="DO183"/>
  <c r="EY183" s="1"/>
  <c r="DQ183"/>
  <c r="FA183" s="1"/>
  <c r="DS183"/>
  <c r="FC183" s="1"/>
  <c r="DU183"/>
  <c r="FE183" s="1"/>
  <c r="DW183"/>
  <c r="FG183" s="1"/>
  <c r="DY183"/>
  <c r="FI183" s="1"/>
  <c r="EA183"/>
  <c r="FK183" s="1"/>
  <c r="EC183"/>
  <c r="FM183" s="1"/>
  <c r="EE183"/>
  <c r="FO183" s="1"/>
  <c r="EG183"/>
  <c r="FQ183" s="1"/>
  <c r="EI183"/>
  <c r="FS183" s="1"/>
  <c r="DF183"/>
  <c r="DN183"/>
  <c r="EX183" s="1"/>
  <c r="DV183"/>
  <c r="FF183" s="1"/>
  <c r="ED183"/>
  <c r="FN183" s="1"/>
  <c r="DN185"/>
  <c r="EX185" s="1"/>
  <c r="DP185"/>
  <c r="EZ185" s="1"/>
  <c r="DR185"/>
  <c r="FB185" s="1"/>
  <c r="DT185"/>
  <c r="FD185" s="1"/>
  <c r="DV185"/>
  <c r="FF185" s="1"/>
  <c r="DX185"/>
  <c r="FH185" s="1"/>
  <c r="DZ185"/>
  <c r="FJ185" s="1"/>
  <c r="EB185"/>
  <c r="FL185" s="1"/>
  <c r="ED185"/>
  <c r="FN185" s="1"/>
  <c r="EF185"/>
  <c r="FP185" s="1"/>
  <c r="EH185"/>
  <c r="FR185" s="1"/>
  <c r="EJ185"/>
  <c r="FT185" s="1"/>
  <c r="DQ185"/>
  <c r="FA185" s="1"/>
  <c r="DY185"/>
  <c r="FI185" s="1"/>
  <c r="EG185"/>
  <c r="FQ185" s="1"/>
  <c r="DC187"/>
  <c r="DE187"/>
  <c r="EP188"/>
  <c r="FU188" s="1"/>
  <c r="EK188"/>
  <c r="DC201"/>
  <c r="DE201"/>
  <c r="EP206"/>
  <c r="FU206" s="1"/>
  <c r="EK206"/>
  <c r="P381"/>
  <c r="P377"/>
  <c r="P373"/>
  <c r="P375"/>
  <c r="P380"/>
  <c r="P382"/>
  <c r="P379"/>
  <c r="P378"/>
  <c r="P376"/>
  <c r="M381"/>
  <c r="G551"/>
  <c r="DF174"/>
  <c r="DH174"/>
  <c r="ER174" s="1"/>
  <c r="DJ174"/>
  <c r="ET174" s="1"/>
  <c r="DL174"/>
  <c r="EV174" s="1"/>
  <c r="DN174"/>
  <c r="EX174" s="1"/>
  <c r="DP174"/>
  <c r="EZ174" s="1"/>
  <c r="DO180"/>
  <c r="EY180" s="1"/>
  <c r="DT180"/>
  <c r="FD180" s="1"/>
  <c r="DW180"/>
  <c r="FG180" s="1"/>
  <c r="EB180"/>
  <c r="FL180" s="1"/>
  <c r="EE180"/>
  <c r="FO180" s="1"/>
  <c r="EJ180"/>
  <c r="FT180" s="1"/>
  <c r="AI382"/>
  <c r="AI378"/>
  <c r="AI374"/>
  <c r="AI376"/>
  <c r="AI373"/>
  <c r="AD379"/>
  <c r="AD375"/>
  <c r="AD378"/>
  <c r="AD376"/>
  <c r="AD377"/>
  <c r="AD374"/>
  <c r="AD373"/>
  <c r="X381"/>
  <c r="ED175"/>
  <c r="FN175" s="1"/>
  <c r="DV175"/>
  <c r="FF175" s="1"/>
  <c r="DN175"/>
  <c r="DF175"/>
  <c r="DM178"/>
  <c r="DE179"/>
  <c r="DM180"/>
  <c r="EW180" s="1"/>
  <c r="DI180"/>
  <c r="ES180" s="1"/>
  <c r="EB183"/>
  <c r="FL183" s="1"/>
  <c r="DX183"/>
  <c r="FH183" s="1"/>
  <c r="DJ183"/>
  <c r="ET183" s="1"/>
  <c r="EI185"/>
  <c r="FS185" s="1"/>
  <c r="DU185"/>
  <c r="FE185" s="1"/>
  <c r="DE189"/>
  <c r="EP190"/>
  <c r="FU190" s="1"/>
  <c r="DE207"/>
  <c r="DN181"/>
  <c r="EX181" s="1"/>
  <c r="DP181"/>
  <c r="EZ181" s="1"/>
  <c r="DR181"/>
  <c r="FB181" s="1"/>
  <c r="DT181"/>
  <c r="FD181" s="1"/>
  <c r="DV181"/>
  <c r="FF181" s="1"/>
  <c r="DX181"/>
  <c r="FH181" s="1"/>
  <c r="DZ181"/>
  <c r="FJ181" s="1"/>
  <c r="EB181"/>
  <c r="FL181" s="1"/>
  <c r="ED181"/>
  <c r="FN181" s="1"/>
  <c r="EF181"/>
  <c r="FP181" s="1"/>
  <c r="EH181"/>
  <c r="FR181" s="1"/>
  <c r="EJ181"/>
  <c r="FT181" s="1"/>
  <c r="AK376"/>
  <c r="AB381"/>
  <c r="AB377"/>
  <c r="AB373"/>
  <c r="AB382"/>
  <c r="AB379"/>
  <c r="Y382"/>
  <c r="Y380"/>
  <c r="S382"/>
  <c r="S378"/>
  <c r="N379"/>
  <c r="N375"/>
  <c r="N378"/>
  <c r="N376"/>
  <c r="H381"/>
  <c r="H377"/>
  <c r="H373"/>
  <c r="H376"/>
  <c r="H374"/>
  <c r="AJ30"/>
  <c r="AJ46" s="1"/>
  <c r="AJ432" s="1"/>
  <c r="AJ21"/>
  <c r="AJ37" s="1"/>
  <c r="AF21"/>
  <c r="AF37" s="1"/>
  <c r="AF30"/>
  <c r="AF46" s="1"/>
  <c r="AF432" s="1"/>
  <c r="AB30"/>
  <c r="AB46" s="1"/>
  <c r="AB432" s="1"/>
  <c r="AB21"/>
  <c r="AB37" s="1"/>
  <c r="P21"/>
  <c r="P30"/>
  <c r="P46" s="1"/>
  <c r="P432" s="1"/>
  <c r="Q374"/>
  <c r="AH28"/>
  <c r="AH44" s="1"/>
  <c r="AD28"/>
  <c r="AD44" s="1"/>
  <c r="Z28"/>
  <c r="Z44" s="1"/>
  <c r="V28"/>
  <c r="V44" s="1"/>
  <c r="R28"/>
  <c r="R44" s="1"/>
  <c r="N28"/>
  <c r="N44" s="1"/>
  <c r="J28"/>
  <c r="CM128"/>
  <c r="AF381"/>
  <c r="AF377"/>
  <c r="AF373"/>
  <c r="AF375"/>
  <c r="T380"/>
  <c r="T378"/>
  <c r="H512"/>
  <c r="H480"/>
  <c r="H472"/>
  <c r="H470"/>
  <c r="AH379"/>
  <c r="AH375"/>
  <c r="AE374"/>
  <c r="Z379"/>
  <c r="W382"/>
  <c r="W378"/>
  <c r="W374"/>
  <c r="O382"/>
  <c r="O378"/>
  <c r="O374"/>
  <c r="J379"/>
  <c r="J375"/>
  <c r="G382"/>
  <c r="AH23"/>
  <c r="AH39" s="1"/>
  <c r="AH30"/>
  <c r="AH46" s="1"/>
  <c r="AH432" s="1"/>
  <c r="AD23"/>
  <c r="AD39" s="1"/>
  <c r="AD30"/>
  <c r="AD46" s="1"/>
  <c r="AD432" s="1"/>
  <c r="Z23"/>
  <c r="Z39" s="1"/>
  <c r="Z30"/>
  <c r="Z46" s="1"/>
  <c r="Z432" s="1"/>
  <c r="V23"/>
  <c r="V39" s="1"/>
  <c r="V30"/>
  <c r="V46" s="1"/>
  <c r="V432" s="1"/>
  <c r="R23"/>
  <c r="R39" s="1"/>
  <c r="R30"/>
  <c r="R46" s="1"/>
  <c r="R432" s="1"/>
  <c r="N23"/>
  <c r="N39" s="1"/>
  <c r="N30"/>
  <c r="N46" s="1"/>
  <c r="N432" s="1"/>
  <c r="J23"/>
  <c r="J30"/>
  <c r="D70"/>
  <c r="E459"/>
  <c r="G22"/>
  <c r="D71"/>
  <c r="AH26"/>
  <c r="AH42" s="1"/>
  <c r="AD26"/>
  <c r="AD42" s="1"/>
  <c r="Z26"/>
  <c r="Z42" s="1"/>
  <c r="V26"/>
  <c r="V42" s="1"/>
  <c r="R26"/>
  <c r="R42" s="1"/>
  <c r="N26"/>
  <c r="N42" s="1"/>
  <c r="J26"/>
  <c r="AH24"/>
  <c r="AH40" s="1"/>
  <c r="AD24"/>
  <c r="AD40" s="1"/>
  <c r="Z24"/>
  <c r="Z40" s="1"/>
  <c r="V24"/>
  <c r="V40" s="1"/>
  <c r="R24"/>
  <c r="R40" s="1"/>
  <c r="N24"/>
  <c r="N40" s="1"/>
  <c r="J24"/>
  <c r="J40" s="1"/>
  <c r="D459"/>
  <c r="D461"/>
  <c r="D463"/>
  <c r="D465"/>
  <c r="D467"/>
  <c r="D469"/>
  <c r="D471"/>
  <c r="D473"/>
  <c r="D475"/>
  <c r="D477"/>
  <c r="D479"/>
  <c r="D481"/>
  <c r="D483"/>
  <c r="D485"/>
  <c r="D487"/>
  <c r="D489"/>
  <c r="D491"/>
  <c r="D493"/>
  <c r="D495"/>
  <c r="D497"/>
  <c r="D499"/>
  <c r="D501"/>
  <c r="D503"/>
  <c r="D505"/>
  <c r="D507"/>
  <c r="D509"/>
  <c r="D511"/>
  <c r="D513"/>
  <c r="D515"/>
  <c r="D517"/>
  <c r="J552"/>
  <c r="K552" s="1"/>
  <c r="AI24"/>
  <c r="AI40" s="1"/>
  <c r="AE24"/>
  <c r="AE40" s="1"/>
  <c r="AA24"/>
  <c r="AA40" s="1"/>
  <c r="W24"/>
  <c r="W40" s="1"/>
  <c r="S24"/>
  <c r="S40" s="1"/>
  <c r="O24"/>
  <c r="O40" s="1"/>
  <c r="K24"/>
  <c r="K40" s="1"/>
  <c r="G24"/>
  <c r="D457"/>
  <c r="G553"/>
  <c r="AH22"/>
  <c r="AH38" s="1"/>
  <c r="AD22"/>
  <c r="AD38" s="1"/>
  <c r="Z22"/>
  <c r="Z38" s="1"/>
  <c r="V22"/>
  <c r="V38" s="1"/>
  <c r="R22"/>
  <c r="R38" s="1"/>
  <c r="N22"/>
  <c r="N38" s="1"/>
  <c r="J22"/>
  <c r="J38" s="1"/>
  <c r="J424" l="1"/>
  <c r="J442" s="1"/>
  <c r="Z424"/>
  <c r="Z442" s="1"/>
  <c r="J426"/>
  <c r="J444" s="1"/>
  <c r="N428"/>
  <c r="N446" s="1"/>
  <c r="AD428"/>
  <c r="AD446" s="1"/>
  <c r="Z430"/>
  <c r="Z448" s="1"/>
  <c r="H423"/>
  <c r="H441" s="1"/>
  <c r="AH429"/>
  <c r="AH447" s="1"/>
  <c r="W423"/>
  <c r="W441" s="1"/>
  <c r="T423"/>
  <c r="T441" s="1"/>
  <c r="J427"/>
  <c r="J445" s="1"/>
  <c r="V431"/>
  <c r="V449" s="1"/>
  <c r="N423"/>
  <c r="N441" s="1"/>
  <c r="M423"/>
  <c r="M441" s="1"/>
  <c r="T432"/>
  <c r="T450" s="1"/>
  <c r="Q425"/>
  <c r="Q443" s="1"/>
  <c r="AB425"/>
  <c r="AB443" s="1"/>
  <c r="Q426"/>
  <c r="Q444" s="1"/>
  <c r="H427"/>
  <c r="H445" s="1"/>
  <c r="AK427"/>
  <c r="AK445" s="1"/>
  <c r="AI427"/>
  <c r="AI445" s="1"/>
  <c r="AC428"/>
  <c r="AC446" s="1"/>
  <c r="K428"/>
  <c r="K446" s="1"/>
  <c r="AA428"/>
  <c r="AA446" s="1"/>
  <c r="S429"/>
  <c r="S447" s="1"/>
  <c r="Y429"/>
  <c r="Y447" s="1"/>
  <c r="H430"/>
  <c r="H448" s="1"/>
  <c r="AI430"/>
  <c r="AI448" s="1"/>
  <c r="M430"/>
  <c r="M448" s="1"/>
  <c r="Q431"/>
  <c r="Q449" s="1"/>
  <c r="K431"/>
  <c r="K449" s="1"/>
  <c r="AI431"/>
  <c r="AI449" s="1"/>
  <c r="L424"/>
  <c r="L442" s="1"/>
  <c r="K425"/>
  <c r="K443" s="1"/>
  <c r="AK425"/>
  <c r="AK443" s="1"/>
  <c r="AJ427"/>
  <c r="AJ445" s="1"/>
  <c r="AK423"/>
  <c r="AK441" s="1"/>
  <c r="P430"/>
  <c r="P448" s="1"/>
  <c r="V424"/>
  <c r="V442" s="1"/>
  <c r="AE426"/>
  <c r="AE444" s="1"/>
  <c r="Z428"/>
  <c r="Z446" s="1"/>
  <c r="Z425"/>
  <c r="Z443" s="1"/>
  <c r="V430"/>
  <c r="V448" s="1"/>
  <c r="AI424"/>
  <c r="AI442" s="1"/>
  <c r="N427"/>
  <c r="N445" s="1"/>
  <c r="Z431"/>
  <c r="Z449" s="1"/>
  <c r="M61"/>
  <c r="M432"/>
  <c r="M450" s="1"/>
  <c r="AH427"/>
  <c r="AH445" s="1"/>
  <c r="K432"/>
  <c r="K450" s="1"/>
  <c r="Z423"/>
  <c r="Z441" s="1"/>
  <c r="Y432"/>
  <c r="Y450" s="1"/>
  <c r="O432"/>
  <c r="O450" s="1"/>
  <c r="U61"/>
  <c r="U432"/>
  <c r="U450" s="1"/>
  <c r="AA425"/>
  <c r="AA443" s="1"/>
  <c r="AC426"/>
  <c r="AC444" s="1"/>
  <c r="M427"/>
  <c r="M445" s="1"/>
  <c r="K427"/>
  <c r="K445" s="1"/>
  <c r="AE427"/>
  <c r="AE445" s="1"/>
  <c r="Y428"/>
  <c r="Y446" s="1"/>
  <c r="AJ429"/>
  <c r="AJ447" s="1"/>
  <c r="W428"/>
  <c r="W446" s="1"/>
  <c r="O429"/>
  <c r="O447" s="1"/>
  <c r="U429"/>
  <c r="U447" s="1"/>
  <c r="AE430"/>
  <c r="AE448" s="1"/>
  <c r="AA430"/>
  <c r="AA448" s="1"/>
  <c r="X431"/>
  <c r="X449" s="1"/>
  <c r="M431"/>
  <c r="M449" s="1"/>
  <c r="AB431"/>
  <c r="AB449" s="1"/>
  <c r="AA431"/>
  <c r="AA449" s="1"/>
  <c r="P427"/>
  <c r="P445" s="1"/>
  <c r="T425"/>
  <c r="T443" s="1"/>
  <c r="AG425"/>
  <c r="AG443" s="1"/>
  <c r="L427"/>
  <c r="L445" s="1"/>
  <c r="X425"/>
  <c r="X443" s="1"/>
  <c r="P426"/>
  <c r="P444" s="1"/>
  <c r="L430"/>
  <c r="L448" s="1"/>
  <c r="R424"/>
  <c r="R442" s="1"/>
  <c r="K426"/>
  <c r="K444" s="1"/>
  <c r="R426"/>
  <c r="R444" s="1"/>
  <c r="AH426"/>
  <c r="AH444" s="1"/>
  <c r="V428"/>
  <c r="V446" s="1"/>
  <c r="R430"/>
  <c r="R448" s="1"/>
  <c r="AH430"/>
  <c r="AH448" s="1"/>
  <c r="AB423"/>
  <c r="AB441" s="1"/>
  <c r="AJ423"/>
  <c r="AJ441" s="1"/>
  <c r="O424"/>
  <c r="O442" s="1"/>
  <c r="AE424"/>
  <c r="AE442" s="1"/>
  <c r="I61"/>
  <c r="I432"/>
  <c r="I450" s="1"/>
  <c r="R429"/>
  <c r="R447" s="1"/>
  <c r="R431"/>
  <c r="R449" s="1"/>
  <c r="O423"/>
  <c r="O441" s="1"/>
  <c r="AE423"/>
  <c r="AE441" s="1"/>
  <c r="W425"/>
  <c r="W443" s="1"/>
  <c r="Y423"/>
  <c r="Y441" s="1"/>
  <c r="Z427"/>
  <c r="Z445" s="1"/>
  <c r="AD429"/>
  <c r="AD447" s="1"/>
  <c r="G432"/>
  <c r="G450" s="1"/>
  <c r="X423"/>
  <c r="X441" s="1"/>
  <c r="V423"/>
  <c r="V441" s="1"/>
  <c r="L432"/>
  <c r="L450" s="1"/>
  <c r="U423"/>
  <c r="U441" s="1"/>
  <c r="AK61"/>
  <c r="AK432"/>
  <c r="AK450" s="1"/>
  <c r="Y424"/>
  <c r="Y442" s="1"/>
  <c r="M424"/>
  <c r="M442" s="1"/>
  <c r="H425"/>
  <c r="H443" s="1"/>
  <c r="S425"/>
  <c r="S443" s="1"/>
  <c r="I426"/>
  <c r="I444" s="1"/>
  <c r="Y426"/>
  <c r="Y444" s="1"/>
  <c r="X427"/>
  <c r="X445" s="1"/>
  <c r="I427"/>
  <c r="I445" s="1"/>
  <c r="AC427"/>
  <c r="AC445" s="1"/>
  <c r="O427"/>
  <c r="O445" s="1"/>
  <c r="AA427"/>
  <c r="AA445" s="1"/>
  <c r="Q428"/>
  <c r="Q446" s="1"/>
  <c r="L429"/>
  <c r="L447" s="1"/>
  <c r="T429"/>
  <c r="T447" s="1"/>
  <c r="S428"/>
  <c r="S446" s="1"/>
  <c r="AI428"/>
  <c r="AI446" s="1"/>
  <c r="K429"/>
  <c r="K447" s="1"/>
  <c r="AA429"/>
  <c r="AA447" s="1"/>
  <c r="Q429"/>
  <c r="Q447" s="1"/>
  <c r="AG429"/>
  <c r="AG447" s="1"/>
  <c r="AF429"/>
  <c r="AF447" s="1"/>
  <c r="W430"/>
  <c r="W448" s="1"/>
  <c r="AC430"/>
  <c r="AC448" s="1"/>
  <c r="AB430"/>
  <c r="AB448" s="1"/>
  <c r="U430"/>
  <c r="U448" s="1"/>
  <c r="I431"/>
  <c r="I449" s="1"/>
  <c r="AC431"/>
  <c r="AC449" s="1"/>
  <c r="AF431"/>
  <c r="AF449" s="1"/>
  <c r="W431"/>
  <c r="W449" s="1"/>
  <c r="S431"/>
  <c r="S449" s="1"/>
  <c r="L428"/>
  <c r="L446" s="1"/>
  <c r="AJ428"/>
  <c r="AJ446" s="1"/>
  <c r="T424"/>
  <c r="T442" s="1"/>
  <c r="AJ424"/>
  <c r="AJ442" s="1"/>
  <c r="I425"/>
  <c r="I443" s="1"/>
  <c r="AC425"/>
  <c r="AC443" s="1"/>
  <c r="L426"/>
  <c r="L444" s="1"/>
  <c r="AB427"/>
  <c r="AB445" s="1"/>
  <c r="Y431"/>
  <c r="Y449" s="1"/>
  <c r="AH423"/>
  <c r="AH441" s="1"/>
  <c r="L425"/>
  <c r="L443" s="1"/>
  <c r="H426"/>
  <c r="H444" s="1"/>
  <c r="AE429"/>
  <c r="AE447" s="1"/>
  <c r="AJ430"/>
  <c r="AJ448" s="1"/>
  <c r="S426"/>
  <c r="S444" s="1"/>
  <c r="AI426"/>
  <c r="AI444" s="1"/>
  <c r="Z426"/>
  <c r="Z444" s="1"/>
  <c r="W424"/>
  <c r="W442" s="1"/>
  <c r="V427"/>
  <c r="V445" s="1"/>
  <c r="AH431"/>
  <c r="AH449" s="1"/>
  <c r="N429"/>
  <c r="N447" s="1"/>
  <c r="S61"/>
  <c r="S432"/>
  <c r="S450" s="1"/>
  <c r="AD423"/>
  <c r="AD441" s="1"/>
  <c r="AC432"/>
  <c r="AC450" s="1"/>
  <c r="AA432"/>
  <c r="AA450" s="1"/>
  <c r="AC424"/>
  <c r="AC442" s="1"/>
  <c r="AE425"/>
  <c r="AE443" s="1"/>
  <c r="AG426"/>
  <c r="AG444" s="1"/>
  <c r="Q427"/>
  <c r="Q445" s="1"/>
  <c r="S427"/>
  <c r="S445" s="1"/>
  <c r="X429"/>
  <c r="X447" s="1"/>
  <c r="AF428"/>
  <c r="AF446" s="1"/>
  <c r="P428"/>
  <c r="P446" s="1"/>
  <c r="U428"/>
  <c r="U446" s="1"/>
  <c r="I429"/>
  <c r="I447" s="1"/>
  <c r="O430"/>
  <c r="O448" s="1"/>
  <c r="AK430"/>
  <c r="AK448" s="1"/>
  <c r="P431"/>
  <c r="P449" s="1"/>
  <c r="H431"/>
  <c r="H449" s="1"/>
  <c r="X428"/>
  <c r="X446" s="1"/>
  <c r="AB424"/>
  <c r="AB442" s="1"/>
  <c r="U425"/>
  <c r="U443" s="1"/>
  <c r="AB426"/>
  <c r="AB444" s="1"/>
  <c r="AF430"/>
  <c r="AF448" s="1"/>
  <c r="AF425"/>
  <c r="AF443" s="1"/>
  <c r="X426"/>
  <c r="X444" s="1"/>
  <c r="O426"/>
  <c r="O444" s="1"/>
  <c r="V426"/>
  <c r="V444" s="1"/>
  <c r="R425"/>
  <c r="R443" s="1"/>
  <c r="AH425"/>
  <c r="AH443" s="1"/>
  <c r="S424"/>
  <c r="S442" s="1"/>
  <c r="Z429"/>
  <c r="Z447" s="1"/>
  <c r="S423"/>
  <c r="S441" s="1"/>
  <c r="AI423"/>
  <c r="AI441" s="1"/>
  <c r="AK424"/>
  <c r="AK442" s="1"/>
  <c r="N431"/>
  <c r="N449" s="1"/>
  <c r="AG432"/>
  <c r="AG450" s="1"/>
  <c r="I423"/>
  <c r="I441" s="1"/>
  <c r="H432"/>
  <c r="H450" s="1"/>
  <c r="P425"/>
  <c r="P443" s="1"/>
  <c r="M426"/>
  <c r="M444" s="1"/>
  <c r="AG427"/>
  <c r="AG445" s="1"/>
  <c r="H428"/>
  <c r="H446" s="1"/>
  <c r="AG428"/>
  <c r="AG446" s="1"/>
  <c r="M428"/>
  <c r="M446" s="1"/>
  <c r="AI429"/>
  <c r="AI447" s="1"/>
  <c r="AK429"/>
  <c r="AK447" s="1"/>
  <c r="K430"/>
  <c r="K448" s="1"/>
  <c r="AG430"/>
  <c r="AG448" s="1"/>
  <c r="L431"/>
  <c r="L449" s="1"/>
  <c r="AG431"/>
  <c r="AG449" s="1"/>
  <c r="AE431"/>
  <c r="AE449" s="1"/>
  <c r="T428"/>
  <c r="T446" s="1"/>
  <c r="X424"/>
  <c r="X442" s="1"/>
  <c r="M425"/>
  <c r="M443" s="1"/>
  <c r="T426"/>
  <c r="T444" s="1"/>
  <c r="U427"/>
  <c r="U445" s="1"/>
  <c r="Q423"/>
  <c r="Q441" s="1"/>
  <c r="AK431"/>
  <c r="AK449" s="1"/>
  <c r="AH424"/>
  <c r="AH442" s="1"/>
  <c r="AA426"/>
  <c r="AA444" s="1"/>
  <c r="N424"/>
  <c r="N442" s="1"/>
  <c r="AD424"/>
  <c r="AD442" s="1"/>
  <c r="W426"/>
  <c r="W444" s="1"/>
  <c r="N426"/>
  <c r="N444" s="1"/>
  <c r="AD426"/>
  <c r="AD444" s="1"/>
  <c r="R428"/>
  <c r="R446" s="1"/>
  <c r="AH428"/>
  <c r="AH446" s="1"/>
  <c r="N425"/>
  <c r="N443" s="1"/>
  <c r="V425"/>
  <c r="V443" s="1"/>
  <c r="AD425"/>
  <c r="AD443" s="1"/>
  <c r="N430"/>
  <c r="N448" s="1"/>
  <c r="AD430"/>
  <c r="AD448" s="1"/>
  <c r="AF423"/>
  <c r="AF441" s="1"/>
  <c r="K424"/>
  <c r="K442" s="1"/>
  <c r="AA424"/>
  <c r="AA442" s="1"/>
  <c r="AC423"/>
  <c r="AC441" s="1"/>
  <c r="K423"/>
  <c r="K441" s="1"/>
  <c r="AA423"/>
  <c r="AA441" s="1"/>
  <c r="U424"/>
  <c r="U442" s="1"/>
  <c r="L423"/>
  <c r="L441" s="1"/>
  <c r="R427"/>
  <c r="R445" s="1"/>
  <c r="V429"/>
  <c r="V447" s="1"/>
  <c r="AD431"/>
  <c r="AD449" s="1"/>
  <c r="W61"/>
  <c r="W432"/>
  <c r="W450" s="1"/>
  <c r="R423"/>
  <c r="R441" s="1"/>
  <c r="J423"/>
  <c r="J441" s="1"/>
  <c r="Q432"/>
  <c r="Q450" s="1"/>
  <c r="AG423"/>
  <c r="AG441" s="1"/>
  <c r="X432"/>
  <c r="X450" s="1"/>
  <c r="AI61"/>
  <c r="AI432"/>
  <c r="AI450" s="1"/>
  <c r="I424"/>
  <c r="I442" s="1"/>
  <c r="AG424"/>
  <c r="AG442" s="1"/>
  <c r="G425"/>
  <c r="G443" s="1"/>
  <c r="AI425"/>
  <c r="AI443" s="1"/>
  <c r="U426"/>
  <c r="U444" s="1"/>
  <c r="AK426"/>
  <c r="AK444" s="1"/>
  <c r="AF427"/>
  <c r="AF445" s="1"/>
  <c r="Y427"/>
  <c r="Y445" s="1"/>
  <c r="T427"/>
  <c r="T445" s="1"/>
  <c r="W427"/>
  <c r="W445" s="1"/>
  <c r="I428"/>
  <c r="I446" s="1"/>
  <c r="AK428"/>
  <c r="AK446" s="1"/>
  <c r="H429"/>
  <c r="H447" s="1"/>
  <c r="AB429"/>
  <c r="AB447" s="1"/>
  <c r="O428"/>
  <c r="O446" s="1"/>
  <c r="AE428"/>
  <c r="AE446" s="1"/>
  <c r="G429"/>
  <c r="G447" s="1"/>
  <c r="W429"/>
  <c r="W447" s="1"/>
  <c r="M429"/>
  <c r="M447" s="1"/>
  <c r="AC429"/>
  <c r="AC447" s="1"/>
  <c r="P429"/>
  <c r="P447" s="1"/>
  <c r="T430"/>
  <c r="T448" s="1"/>
  <c r="S430"/>
  <c r="S448" s="1"/>
  <c r="Y430"/>
  <c r="Y448" s="1"/>
  <c r="Q430"/>
  <c r="Q448" s="1"/>
  <c r="AJ431"/>
  <c r="AJ449" s="1"/>
  <c r="U431"/>
  <c r="U449" s="1"/>
  <c r="T431"/>
  <c r="T449" s="1"/>
  <c r="O431"/>
  <c r="O449" s="1"/>
  <c r="G431"/>
  <c r="G449" s="1"/>
  <c r="Q424"/>
  <c r="Q442" s="1"/>
  <c r="AB428"/>
  <c r="AB446" s="1"/>
  <c r="P424"/>
  <c r="P442" s="1"/>
  <c r="AF424"/>
  <c r="AF442" s="1"/>
  <c r="Y425"/>
  <c r="Y443" s="1"/>
  <c r="AJ426"/>
  <c r="AJ444" s="1"/>
  <c r="AD427"/>
  <c r="AD445" s="1"/>
  <c r="I430"/>
  <c r="I448" s="1"/>
  <c r="H424"/>
  <c r="H442" s="1"/>
  <c r="AJ425"/>
  <c r="AJ443" s="1"/>
  <c r="O425"/>
  <c r="O443" s="1"/>
  <c r="AF426"/>
  <c r="AF444" s="1"/>
  <c r="X430"/>
  <c r="X448" s="1"/>
  <c r="EU168"/>
  <c r="DK220"/>
  <c r="EY98"/>
  <c r="DO213"/>
  <c r="EQ148"/>
  <c r="DG218"/>
  <c r="EW88"/>
  <c r="DM212"/>
  <c r="EV98"/>
  <c r="DL213"/>
  <c r="EU98"/>
  <c r="DK213"/>
  <c r="ER118"/>
  <c r="DH215"/>
  <c r="EY88"/>
  <c r="DO212"/>
  <c r="EX98"/>
  <c r="DN213"/>
  <c r="FA88"/>
  <c r="DQ212"/>
  <c r="EZ98"/>
  <c r="DP213"/>
  <c r="ES168"/>
  <c r="DI220"/>
  <c r="EU88"/>
  <c r="DK212"/>
  <c r="EQ128"/>
  <c r="DG216"/>
  <c r="DQ213"/>
  <c r="DP212"/>
  <c r="DL212"/>
  <c r="DG215"/>
  <c r="DN212"/>
  <c r="DI219"/>
  <c r="DH217"/>
  <c r="DH218"/>
  <c r="DG217"/>
  <c r="DM213"/>
  <c r="AE378"/>
  <c r="Q379"/>
  <c r="T377"/>
  <c r="S376"/>
  <c r="Y378"/>
  <c r="AK380"/>
  <c r="V374"/>
  <c r="AK378"/>
  <c r="Z374"/>
  <c r="Z381"/>
  <c r="S373"/>
  <c r="Y379"/>
  <c r="AK375"/>
  <c r="X374"/>
  <c r="AK377"/>
  <c r="Z375"/>
  <c r="Q376"/>
  <c r="S374"/>
  <c r="Y376"/>
  <c r="AK373"/>
  <c r="AK382"/>
  <c r="V381"/>
  <c r="H496"/>
  <c r="Z373"/>
  <c r="AK374"/>
  <c r="Y375"/>
  <c r="Y377"/>
  <c r="G459"/>
  <c r="AC380"/>
  <c r="M373"/>
  <c r="AG377"/>
  <c r="AJ373"/>
  <c r="M379"/>
  <c r="M375"/>
  <c r="AI381"/>
  <c r="AI380"/>
  <c r="AI377"/>
  <c r="AI379"/>
  <c r="AI375"/>
  <c r="M374"/>
  <c r="M382"/>
  <c r="M376"/>
  <c r="AA382"/>
  <c r="AJ378"/>
  <c r="M378"/>
  <c r="Z377"/>
  <c r="Z376"/>
  <c r="AC376"/>
  <c r="AA377"/>
  <c r="AC381"/>
  <c r="AC378"/>
  <c r="AA375"/>
  <c r="AG375"/>
  <c r="AJ374"/>
  <c r="AJ382"/>
  <c r="H490"/>
  <c r="AD382"/>
  <c r="AD380"/>
  <c r="AD381"/>
  <c r="H500"/>
  <c r="H460"/>
  <c r="AC374"/>
  <c r="AA379"/>
  <c r="AG373"/>
  <c r="AG382"/>
  <c r="AJ380"/>
  <c r="H510"/>
  <c r="FU92"/>
  <c r="DW217"/>
  <c r="DX212"/>
  <c r="DK219"/>
  <c r="DF216"/>
  <c r="EH221"/>
  <c r="DO217"/>
  <c r="EH214"/>
  <c r="DP219"/>
  <c r="DT217"/>
  <c r="DR212"/>
  <c r="DS221"/>
  <c r="DV217"/>
  <c r="FU131"/>
  <c r="EG213"/>
  <c r="EA221"/>
  <c r="EH212"/>
  <c r="EA215"/>
  <c r="EI219"/>
  <c r="DF214"/>
  <c r="DF212"/>
  <c r="DF218"/>
  <c r="FU137"/>
  <c r="DF219"/>
  <c r="DF217"/>
  <c r="DF221"/>
  <c r="FR168"/>
  <c r="EH220"/>
  <c r="FT168"/>
  <c r="EJ220"/>
  <c r="FS168"/>
  <c r="EI220"/>
  <c r="FC168"/>
  <c r="DS220"/>
  <c r="FH118"/>
  <c r="DX215"/>
  <c r="FO98"/>
  <c r="EE213"/>
  <c r="FG148"/>
  <c r="DW218"/>
  <c r="EY148"/>
  <c r="DO218"/>
  <c r="FM88"/>
  <c r="EC212"/>
  <c r="FE88"/>
  <c r="DU212"/>
  <c r="FQ128"/>
  <c r="EG216"/>
  <c r="ES128"/>
  <c r="DI216"/>
  <c r="FT98"/>
  <c r="EJ213"/>
  <c r="FD98"/>
  <c r="DT213"/>
  <c r="FK108"/>
  <c r="EA214"/>
  <c r="ER168"/>
  <c r="DH220"/>
  <c r="FR118"/>
  <c r="EH215"/>
  <c r="FB118"/>
  <c r="DR215"/>
  <c r="FB128"/>
  <c r="DR216"/>
  <c r="FK98"/>
  <c r="EA213"/>
  <c r="EZ148"/>
  <c r="DP218"/>
  <c r="FI148"/>
  <c r="DY218"/>
  <c r="FK128"/>
  <c r="EA216"/>
  <c r="EU128"/>
  <c r="DK216"/>
  <c r="FF98"/>
  <c r="DV213"/>
  <c r="FA108"/>
  <c r="DQ214"/>
  <c r="FI108"/>
  <c r="DY214"/>
  <c r="FQ108"/>
  <c r="EG214"/>
  <c r="FH168"/>
  <c r="DX220"/>
  <c r="FD168"/>
  <c r="DT220"/>
  <c r="FO168"/>
  <c r="EE220"/>
  <c r="FG168"/>
  <c r="DW220"/>
  <c r="EQ168"/>
  <c r="DG220"/>
  <c r="FT118"/>
  <c r="EJ215"/>
  <c r="FL118"/>
  <c r="EB215"/>
  <c r="FD118"/>
  <c r="DT215"/>
  <c r="EX128"/>
  <c r="DN216"/>
  <c r="FN128"/>
  <c r="ED216"/>
  <c r="FA118"/>
  <c r="DQ215"/>
  <c r="FQ118"/>
  <c r="EG215"/>
  <c r="EQ98"/>
  <c r="DG213"/>
  <c r="FG98"/>
  <c r="DW213"/>
  <c r="FT148"/>
  <c r="EJ218"/>
  <c r="FD148"/>
  <c r="DT218"/>
  <c r="FS148"/>
  <c r="EI218"/>
  <c r="FK148"/>
  <c r="EA218"/>
  <c r="FC148"/>
  <c r="DS218"/>
  <c r="FQ88"/>
  <c r="EG212"/>
  <c r="FI88"/>
  <c r="DY212"/>
  <c r="ES88"/>
  <c r="DI212"/>
  <c r="FM128"/>
  <c r="EC216"/>
  <c r="FE128"/>
  <c r="DU216"/>
  <c r="EW128"/>
  <c r="DM216"/>
  <c r="FP98"/>
  <c r="EF213"/>
  <c r="FH98"/>
  <c r="DX213"/>
  <c r="ER98"/>
  <c r="DH213"/>
  <c r="DF215"/>
  <c r="DU221"/>
  <c r="EF221"/>
  <c r="DU219"/>
  <c r="EE219"/>
  <c r="DY213"/>
  <c r="DU213"/>
  <c r="EJ221"/>
  <c r="DO215"/>
  <c r="DT212"/>
  <c r="DX214"/>
  <c r="FU102"/>
  <c r="DG214"/>
  <c r="DL217"/>
  <c r="DN219"/>
  <c r="DP214"/>
  <c r="DN218"/>
  <c r="DW219"/>
  <c r="DS215"/>
  <c r="DJ219"/>
  <c r="EB214"/>
  <c r="DS217"/>
  <c r="EA217"/>
  <c r="DI215"/>
  <c r="DY221"/>
  <c r="DR218"/>
  <c r="EE215"/>
  <c r="DO221"/>
  <c r="EI221"/>
  <c r="DO219"/>
  <c r="EC217"/>
  <c r="DZ214"/>
  <c r="FU162"/>
  <c r="DM219"/>
  <c r="DN221"/>
  <c r="EF220"/>
  <c r="EF217"/>
  <c r="EG219"/>
  <c r="EG217"/>
  <c r="DJ221"/>
  <c r="EF219"/>
  <c r="DI221"/>
  <c r="EE221"/>
  <c r="DR219"/>
  <c r="DX219"/>
  <c r="DZ218"/>
  <c r="DU217"/>
  <c r="DI213"/>
  <c r="DJ212"/>
  <c r="DZ212"/>
  <c r="ED214"/>
  <c r="EF212"/>
  <c r="EC221"/>
  <c r="EH218"/>
  <c r="EF216"/>
  <c r="DV214"/>
  <c r="DY219"/>
  <c r="DY217"/>
  <c r="EC213"/>
  <c r="EJ212"/>
  <c r="ED221"/>
  <c r="DP221"/>
  <c r="ED219"/>
  <c r="EJ217"/>
  <c r="DL220"/>
  <c r="FE108"/>
  <c r="DU214"/>
  <c r="FM108"/>
  <c r="EC214"/>
  <c r="FN168"/>
  <c r="ED220"/>
  <c r="FK168"/>
  <c r="EA220"/>
  <c r="FP118"/>
  <c r="EF215"/>
  <c r="EZ118"/>
  <c r="DP215"/>
  <c r="FF128"/>
  <c r="DV216"/>
  <c r="FI118"/>
  <c r="DY215"/>
  <c r="FL148"/>
  <c r="EB218"/>
  <c r="FO148"/>
  <c r="EE218"/>
  <c r="FI128"/>
  <c r="DY216"/>
  <c r="FA128"/>
  <c r="DQ216"/>
  <c r="FL98"/>
  <c r="EB213"/>
  <c r="EW178"/>
  <c r="FU178" s="1"/>
  <c r="DM221"/>
  <c r="FC108"/>
  <c r="DS214"/>
  <c r="FS108"/>
  <c r="EI214"/>
  <c r="FM168"/>
  <c r="EC220"/>
  <c r="FE168"/>
  <c r="DU220"/>
  <c r="FJ118"/>
  <c r="DZ215"/>
  <c r="FR128"/>
  <c r="EH216"/>
  <c r="FE118"/>
  <c r="DU215"/>
  <c r="FP148"/>
  <c r="EF218"/>
  <c r="FQ148"/>
  <c r="EG218"/>
  <c r="FA148"/>
  <c r="DQ218"/>
  <c r="FO88"/>
  <c r="EE212"/>
  <c r="FG88"/>
  <c r="DW212"/>
  <c r="EQ88"/>
  <c r="DG212"/>
  <c r="FS128"/>
  <c r="EI216"/>
  <c r="FC128"/>
  <c r="DS216"/>
  <c r="FN98"/>
  <c r="ED213"/>
  <c r="EY108"/>
  <c r="DO214"/>
  <c r="FG108"/>
  <c r="DW214"/>
  <c r="FO108"/>
  <c r="EE214"/>
  <c r="FB168"/>
  <c r="DR220"/>
  <c r="FF168"/>
  <c r="DV220"/>
  <c r="FL168"/>
  <c r="EB220"/>
  <c r="FQ168"/>
  <c r="EG220"/>
  <c r="FI168"/>
  <c r="DY220"/>
  <c r="FA168"/>
  <c r="DQ220"/>
  <c r="FN118"/>
  <c r="ED215"/>
  <c r="FF118"/>
  <c r="DV215"/>
  <c r="EX118"/>
  <c r="DN215"/>
  <c r="ET128"/>
  <c r="DJ216"/>
  <c r="FJ128"/>
  <c r="DZ216"/>
  <c r="FM118"/>
  <c r="EC215"/>
  <c r="FC98"/>
  <c r="DS213"/>
  <c r="FS98"/>
  <c r="EI213"/>
  <c r="FH148"/>
  <c r="DX218"/>
  <c r="FM148"/>
  <c r="EC218"/>
  <c r="FE148"/>
  <c r="DU218"/>
  <c r="FS88"/>
  <c r="EI212"/>
  <c r="FK88"/>
  <c r="EA212"/>
  <c r="FC88"/>
  <c r="DS212"/>
  <c r="FO128"/>
  <c r="EE216"/>
  <c r="FG128"/>
  <c r="DW216"/>
  <c r="EY128"/>
  <c r="DO216"/>
  <c r="FR98"/>
  <c r="EH213"/>
  <c r="FJ98"/>
  <c r="DZ213"/>
  <c r="FB98"/>
  <c r="DR213"/>
  <c r="ET98"/>
  <c r="DJ213"/>
  <c r="FU170"/>
  <c r="FU173"/>
  <c r="DH219"/>
  <c r="DW215"/>
  <c r="DP217"/>
  <c r="DX216"/>
  <c r="DI217"/>
  <c r="DP220"/>
  <c r="DX217"/>
  <c r="EB212"/>
  <c r="FU125"/>
  <c r="FU106"/>
  <c r="DF220"/>
  <c r="DF213"/>
  <c r="FU129"/>
  <c r="FU158"/>
  <c r="DL219"/>
  <c r="DQ221"/>
  <c r="EF214"/>
  <c r="DQ217"/>
  <c r="DV221"/>
  <c r="EG221"/>
  <c r="DR217"/>
  <c r="EJ219"/>
  <c r="DV219"/>
  <c r="DL221"/>
  <c r="DZ221"/>
  <c r="DV218"/>
  <c r="DT216"/>
  <c r="DR214"/>
  <c r="DL216"/>
  <c r="EK171"/>
  <c r="EK156"/>
  <c r="DJ217"/>
  <c r="DH221"/>
  <c r="DX221"/>
  <c r="EB219"/>
  <c r="EB217"/>
  <c r="DT214"/>
  <c r="DZ219"/>
  <c r="DZ217"/>
  <c r="ED212"/>
  <c r="DS219"/>
  <c r="EB216"/>
  <c r="DW221"/>
  <c r="DQ219"/>
  <c r="EH219"/>
  <c r="EH217"/>
  <c r="EJ214"/>
  <c r="DT219"/>
  <c r="ED217"/>
  <c r="EB221"/>
  <c r="ED218"/>
  <c r="DG221"/>
  <c r="DT221"/>
  <c r="DG219"/>
  <c r="EA219"/>
  <c r="DN217"/>
  <c r="EE217"/>
  <c r="EJ216"/>
  <c r="EI215"/>
  <c r="DH212"/>
  <c r="DK221"/>
  <c r="DJ220"/>
  <c r="DP216"/>
  <c r="DV212"/>
  <c r="DR221"/>
  <c r="DZ220"/>
  <c r="EC219"/>
  <c r="EI217"/>
  <c r="DN214"/>
  <c r="EW147"/>
  <c r="DM217"/>
  <c r="EU147"/>
  <c r="DK217"/>
  <c r="DH214"/>
  <c r="DL214"/>
  <c r="DJ214"/>
  <c r="EW118"/>
  <c r="DM215"/>
  <c r="ET118"/>
  <c r="DJ215"/>
  <c r="FA91"/>
  <c r="EU91"/>
  <c r="EV123"/>
  <c r="DL215"/>
  <c r="EU123"/>
  <c r="DK215"/>
  <c r="ET155"/>
  <c r="DJ218"/>
  <c r="ES155"/>
  <c r="DI218"/>
  <c r="ER148"/>
  <c r="EW116"/>
  <c r="DM214"/>
  <c r="EU116"/>
  <c r="DK214"/>
  <c r="ES116"/>
  <c r="DI214"/>
  <c r="C375"/>
  <c r="D407" s="1"/>
  <c r="C377"/>
  <c r="D409" s="1"/>
  <c r="C376"/>
  <c r="D408" s="1"/>
  <c r="C382"/>
  <c r="D414" s="1"/>
  <c r="D29"/>
  <c r="C381"/>
  <c r="D413" s="1"/>
  <c r="D27"/>
  <c r="D545"/>
  <c r="I544" s="1"/>
  <c r="J43"/>
  <c r="C379"/>
  <c r="D411" s="1"/>
  <c r="C378"/>
  <c r="D410" s="1"/>
  <c r="H61"/>
  <c r="Y61"/>
  <c r="AC61"/>
  <c r="AG61"/>
  <c r="O61"/>
  <c r="AA61"/>
  <c r="K61"/>
  <c r="J45"/>
  <c r="D25"/>
  <c r="G61"/>
  <c r="EX175"/>
  <c r="DN220"/>
  <c r="EW175"/>
  <c r="DM220"/>
  <c r="EU175"/>
  <c r="FU165"/>
  <c r="EV153"/>
  <c r="DL218"/>
  <c r="EW154"/>
  <c r="DM218"/>
  <c r="EU154"/>
  <c r="DK218"/>
  <c r="K381"/>
  <c r="K379"/>
  <c r="K373"/>
  <c r="K380"/>
  <c r="K376"/>
  <c r="AE450"/>
  <c r="AE61"/>
  <c r="G376"/>
  <c r="G373"/>
  <c r="G375"/>
  <c r="G381"/>
  <c r="G380"/>
  <c r="G377"/>
  <c r="G379"/>
  <c r="T379"/>
  <c r="T375"/>
  <c r="T374"/>
  <c r="T376"/>
  <c r="AC379"/>
  <c r="AC375"/>
  <c r="AC377"/>
  <c r="AC373"/>
  <c r="AJ375"/>
  <c r="AJ376"/>
  <c r="AE379"/>
  <c r="AE377"/>
  <c r="AE373"/>
  <c r="AE380"/>
  <c r="AE376"/>
  <c r="AE381"/>
  <c r="AE375"/>
  <c r="K374"/>
  <c r="FU152"/>
  <c r="FU150"/>
  <c r="FU146"/>
  <c r="FU143"/>
  <c r="H486"/>
  <c r="G378"/>
  <c r="H504"/>
  <c r="K377"/>
  <c r="Q377"/>
  <c r="T373"/>
  <c r="X378"/>
  <c r="V380"/>
  <c r="V375"/>
  <c r="AA373"/>
  <c r="AA381"/>
  <c r="AA378"/>
  <c r="AG381"/>
  <c r="AG376"/>
  <c r="FU166"/>
  <c r="FU96"/>
  <c r="FU132"/>
  <c r="FU122"/>
  <c r="FU163"/>
  <c r="T61"/>
  <c r="X61"/>
  <c r="D41"/>
  <c r="X382"/>
  <c r="X380"/>
  <c r="AH380"/>
  <c r="AH381"/>
  <c r="AH378"/>
  <c r="AH377"/>
  <c r="AH376"/>
  <c r="AH382"/>
  <c r="AH374"/>
  <c r="AH373"/>
  <c r="R381"/>
  <c r="R380"/>
  <c r="R374"/>
  <c r="R382"/>
  <c r="R378"/>
  <c r="R377"/>
  <c r="R376"/>
  <c r="R373"/>
  <c r="Q375"/>
  <c r="Q378"/>
  <c r="Q381"/>
  <c r="Q373"/>
  <c r="X379"/>
  <c r="X377"/>
  <c r="V373"/>
  <c r="V382"/>
  <c r="V379"/>
  <c r="FU136"/>
  <c r="FU94"/>
  <c r="FU126"/>
  <c r="FU120"/>
  <c r="G374"/>
  <c r="R375"/>
  <c r="K375"/>
  <c r="K382"/>
  <c r="Q380"/>
  <c r="T382"/>
  <c r="X375"/>
  <c r="X376"/>
  <c r="V378"/>
  <c r="V377"/>
  <c r="AA380"/>
  <c r="AG374"/>
  <c r="AG379"/>
  <c r="FU182"/>
  <c r="FU177"/>
  <c r="FU171"/>
  <c r="FU157"/>
  <c r="FU114"/>
  <c r="FU110"/>
  <c r="FU138"/>
  <c r="FU90"/>
  <c r="L61"/>
  <c r="Q61"/>
  <c r="F515"/>
  <c r="I516" s="1"/>
  <c r="J516" s="1"/>
  <c r="G515"/>
  <c r="F499"/>
  <c r="I500" s="1"/>
  <c r="J500" s="1"/>
  <c r="G499"/>
  <c r="F483"/>
  <c r="I484" s="1"/>
  <c r="J484" s="1"/>
  <c r="G483"/>
  <c r="F467"/>
  <c r="I468" s="1"/>
  <c r="J468" s="1"/>
  <c r="G467"/>
  <c r="J42"/>
  <c r="J428" s="1"/>
  <c r="D26"/>
  <c r="C374"/>
  <c r="D533"/>
  <c r="G446"/>
  <c r="I540"/>
  <c r="P450"/>
  <c r="P61"/>
  <c r="EK174"/>
  <c r="EP174"/>
  <c r="FU174" s="1"/>
  <c r="EP179"/>
  <c r="FU179" s="1"/>
  <c r="EK179"/>
  <c r="EK186"/>
  <c r="EP186"/>
  <c r="FU186" s="1"/>
  <c r="EP168"/>
  <c r="EK168"/>
  <c r="EP133"/>
  <c r="FU133" s="1"/>
  <c r="EK133"/>
  <c r="EK124"/>
  <c r="EP124"/>
  <c r="FU124" s="1"/>
  <c r="EP97"/>
  <c r="FU97" s="1"/>
  <c r="EK97"/>
  <c r="EP91"/>
  <c r="EK91"/>
  <c r="EK145"/>
  <c r="EP145"/>
  <c r="FU145" s="1"/>
  <c r="EP172"/>
  <c r="FU172" s="1"/>
  <c r="EK172"/>
  <c r="F509"/>
  <c r="I510" s="1"/>
  <c r="J510" s="1"/>
  <c r="G509"/>
  <c r="F493"/>
  <c r="I494" s="1"/>
  <c r="J494" s="1"/>
  <c r="G493"/>
  <c r="F477"/>
  <c r="I478" s="1"/>
  <c r="J478" s="1"/>
  <c r="G477"/>
  <c r="F461"/>
  <c r="I462" s="1"/>
  <c r="J462" s="1"/>
  <c r="G461"/>
  <c r="D412"/>
  <c r="D30"/>
  <c r="J46"/>
  <c r="J432" s="1"/>
  <c r="Z450"/>
  <c r="Z61"/>
  <c r="AB450"/>
  <c r="AB61"/>
  <c r="EP151"/>
  <c r="FU151" s="1"/>
  <c r="EK151"/>
  <c r="EP121"/>
  <c r="FU121" s="1"/>
  <c r="EK121"/>
  <c r="EK119"/>
  <c r="EP119"/>
  <c r="FU119" s="1"/>
  <c r="EP118"/>
  <c r="EK118"/>
  <c r="EP100"/>
  <c r="FU100" s="1"/>
  <c r="EK100"/>
  <c r="EK160"/>
  <c r="EP160"/>
  <c r="FU160" s="1"/>
  <c r="EP95"/>
  <c r="FU95" s="1"/>
  <c r="EK95"/>
  <c r="EP93"/>
  <c r="FU93" s="1"/>
  <c r="EK93"/>
  <c r="G40"/>
  <c r="G426" s="1"/>
  <c r="D24"/>
  <c r="F511"/>
  <c r="I512" s="1"/>
  <c r="J512" s="1"/>
  <c r="G511"/>
  <c r="F503"/>
  <c r="I504" s="1"/>
  <c r="J504" s="1"/>
  <c r="G503"/>
  <c r="F495"/>
  <c r="I496" s="1"/>
  <c r="J496" s="1"/>
  <c r="G495"/>
  <c r="F487"/>
  <c r="I488" s="1"/>
  <c r="J488" s="1"/>
  <c r="G487"/>
  <c r="F479"/>
  <c r="I480" s="1"/>
  <c r="J480" s="1"/>
  <c r="G479"/>
  <c r="F471"/>
  <c r="I472" s="1"/>
  <c r="J472" s="1"/>
  <c r="G471"/>
  <c r="F463"/>
  <c r="I464" s="1"/>
  <c r="J464" s="1"/>
  <c r="G463"/>
  <c r="I538"/>
  <c r="I548"/>
  <c r="EK175"/>
  <c r="EP175"/>
  <c r="EP176"/>
  <c r="FU176" s="1"/>
  <c r="EK176"/>
  <c r="EK159"/>
  <c r="EP159"/>
  <c r="FU159" s="1"/>
  <c r="EP144"/>
  <c r="FU144" s="1"/>
  <c r="EK144"/>
  <c r="EK141"/>
  <c r="EP141"/>
  <c r="FU141" s="1"/>
  <c r="EK140"/>
  <c r="EP140"/>
  <c r="FU140" s="1"/>
  <c r="EP185"/>
  <c r="FU185" s="1"/>
  <c r="EK185"/>
  <c r="EK181"/>
  <c r="EP181"/>
  <c r="FU181" s="1"/>
  <c r="EP127"/>
  <c r="FU127" s="1"/>
  <c r="EK127"/>
  <c r="EP117"/>
  <c r="FU117" s="1"/>
  <c r="EK117"/>
  <c r="EP113"/>
  <c r="FU113" s="1"/>
  <c r="EK113"/>
  <c r="EP109"/>
  <c r="FU109" s="1"/>
  <c r="EK109"/>
  <c r="EP105"/>
  <c r="FU105" s="1"/>
  <c r="EK105"/>
  <c r="EK101"/>
  <c r="EP101"/>
  <c r="FU101" s="1"/>
  <c r="EP161"/>
  <c r="FU161" s="1"/>
  <c r="EK161"/>
  <c r="EP128"/>
  <c r="EK128"/>
  <c r="EP167"/>
  <c r="FU167" s="1"/>
  <c r="EK167"/>
  <c r="EP115"/>
  <c r="FU115" s="1"/>
  <c r="EK115"/>
  <c r="EP111"/>
  <c r="FU111" s="1"/>
  <c r="EK111"/>
  <c r="EP103"/>
  <c r="FU103" s="1"/>
  <c r="EK103"/>
  <c r="EP98"/>
  <c r="EK98"/>
  <c r="FU164"/>
  <c r="FU180"/>
  <c r="EK136"/>
  <c r="FU99"/>
  <c r="EK116"/>
  <c r="H458"/>
  <c r="EK164"/>
  <c r="EK147"/>
  <c r="EK180"/>
  <c r="EK110"/>
  <c r="EK132"/>
  <c r="FU104"/>
  <c r="EK104"/>
  <c r="EK177"/>
  <c r="EK150"/>
  <c r="FU156"/>
  <c r="EK114"/>
  <c r="EK102"/>
  <c r="EK148"/>
  <c r="EK126"/>
  <c r="EK88"/>
  <c r="EK108"/>
  <c r="EK149"/>
  <c r="F507"/>
  <c r="I508" s="1"/>
  <c r="J508" s="1"/>
  <c r="G507"/>
  <c r="F491"/>
  <c r="I492" s="1"/>
  <c r="J492" s="1"/>
  <c r="G491"/>
  <c r="F475"/>
  <c r="I476" s="1"/>
  <c r="J476" s="1"/>
  <c r="G475"/>
  <c r="F459"/>
  <c r="I542"/>
  <c r="I550"/>
  <c r="J39"/>
  <c r="J425" s="1"/>
  <c r="D23"/>
  <c r="G448"/>
  <c r="AF450"/>
  <c r="AF61"/>
  <c r="EP107"/>
  <c r="FU107" s="1"/>
  <c r="EK107"/>
  <c r="EP155"/>
  <c r="EK155"/>
  <c r="EP123"/>
  <c r="EK123"/>
  <c r="EP130"/>
  <c r="FU130" s="1"/>
  <c r="EK130"/>
  <c r="G441"/>
  <c r="F517"/>
  <c r="I518" s="1"/>
  <c r="J518" s="1"/>
  <c r="G517"/>
  <c r="F501"/>
  <c r="I502" s="1"/>
  <c r="J502" s="1"/>
  <c r="G501"/>
  <c r="F485"/>
  <c r="G485"/>
  <c r="F469"/>
  <c r="I470" s="1"/>
  <c r="J470" s="1"/>
  <c r="G469"/>
  <c r="R450"/>
  <c r="R61"/>
  <c r="AH450"/>
  <c r="AH61"/>
  <c r="AJ450"/>
  <c r="AJ61"/>
  <c r="EP153"/>
  <c r="EK153"/>
  <c r="EK89"/>
  <c r="EP89"/>
  <c r="FU89" s="1"/>
  <c r="G457"/>
  <c r="F457"/>
  <c r="G513"/>
  <c r="F513"/>
  <c r="I514" s="1"/>
  <c r="J514" s="1"/>
  <c r="G505"/>
  <c r="F505"/>
  <c r="I506" s="1"/>
  <c r="J506" s="1"/>
  <c r="G497"/>
  <c r="F497"/>
  <c r="I498" s="1"/>
  <c r="J498" s="1"/>
  <c r="G489"/>
  <c r="F489"/>
  <c r="I490" s="1"/>
  <c r="J490" s="1"/>
  <c r="G481"/>
  <c r="F481"/>
  <c r="I482" s="1"/>
  <c r="J482" s="1"/>
  <c r="G473"/>
  <c r="F473"/>
  <c r="I474" s="1"/>
  <c r="J474" s="1"/>
  <c r="G465"/>
  <c r="F465"/>
  <c r="I466" s="1"/>
  <c r="J466" s="1"/>
  <c r="G38"/>
  <c r="G424" s="1"/>
  <c r="D22"/>
  <c r="C373"/>
  <c r="D531"/>
  <c r="N450"/>
  <c r="N61"/>
  <c r="V450"/>
  <c r="V61"/>
  <c r="AD450"/>
  <c r="AD61"/>
  <c r="I536"/>
  <c r="J44"/>
  <c r="J430" s="1"/>
  <c r="D28"/>
  <c r="P37"/>
  <c r="P423" s="1"/>
  <c r="D21"/>
  <c r="EP183"/>
  <c r="FU183" s="1"/>
  <c r="EK183"/>
  <c r="EP187"/>
  <c r="FU187" s="1"/>
  <c r="EK187"/>
  <c r="EP169"/>
  <c r="FU169" s="1"/>
  <c r="EK169"/>
  <c r="EK142"/>
  <c r="EP142"/>
  <c r="FU142" s="1"/>
  <c r="EK143"/>
  <c r="FU184"/>
  <c r="FU134"/>
  <c r="EK99"/>
  <c r="EK134"/>
  <c r="EK139"/>
  <c r="EK129"/>
  <c r="EK184"/>
  <c r="EK146"/>
  <c r="EK122"/>
  <c r="EK135"/>
  <c r="EK178"/>
  <c r="EK154"/>
  <c r="EK152"/>
  <c r="EK106"/>
  <c r="EK125"/>
  <c r="EK166"/>
  <c r="FU135"/>
  <c r="FU112"/>
  <c r="EK157"/>
  <c r="EK112"/>
  <c r="FU139"/>
  <c r="FU149"/>
  <c r="J431" l="1"/>
  <c r="J449" s="1"/>
  <c r="C449" s="1"/>
  <c r="J429"/>
  <c r="J447" s="1"/>
  <c r="C447" s="1"/>
  <c r="I460"/>
  <c r="J460" s="1"/>
  <c r="K462" s="1"/>
  <c r="FU108"/>
  <c r="FU168"/>
  <c r="FU153"/>
  <c r="FU154"/>
  <c r="FU88"/>
  <c r="Y11"/>
  <c r="DG233"/>
  <c r="FU116"/>
  <c r="DG234"/>
  <c r="FU128"/>
  <c r="AC8" s="1"/>
  <c r="FU148"/>
  <c r="DG232"/>
  <c r="DG226"/>
  <c r="FU98"/>
  <c r="AE5" s="1"/>
  <c r="AD13"/>
  <c r="X11"/>
  <c r="DG229"/>
  <c r="DH229" s="1"/>
  <c r="FU147"/>
  <c r="AD9" s="1"/>
  <c r="DG230"/>
  <c r="Z9"/>
  <c r="FU118"/>
  <c r="DG228"/>
  <c r="FU91"/>
  <c r="DG225"/>
  <c r="FU123"/>
  <c r="AE7" s="1"/>
  <c r="FU155"/>
  <c r="DG231"/>
  <c r="DH231" s="1"/>
  <c r="DG227"/>
  <c r="I546"/>
  <c r="D43"/>
  <c r="E43" s="1"/>
  <c r="E41"/>
  <c r="D377"/>
  <c r="E377" s="1"/>
  <c r="K470"/>
  <c r="K492"/>
  <c r="I458"/>
  <c r="J458" s="1"/>
  <c r="K458" s="1"/>
  <c r="D376"/>
  <c r="E376" s="1"/>
  <c r="D380"/>
  <c r="E380" s="1"/>
  <c r="D378"/>
  <c r="E378" s="1"/>
  <c r="D373"/>
  <c r="E373" s="1"/>
  <c r="D381"/>
  <c r="E381" s="1"/>
  <c r="D382"/>
  <c r="E382" s="1"/>
  <c r="D379"/>
  <c r="E379" s="1"/>
  <c r="F393" s="1"/>
  <c r="F379" s="1"/>
  <c r="K482"/>
  <c r="K514"/>
  <c r="K502"/>
  <c r="D375"/>
  <c r="E375" s="1"/>
  <c r="D32"/>
  <c r="AN15" s="1"/>
  <c r="K510"/>
  <c r="D45"/>
  <c r="E45" s="1"/>
  <c r="FU175"/>
  <c r="AD11"/>
  <c r="AC11"/>
  <c r="K472"/>
  <c r="C427"/>
  <c r="G445"/>
  <c r="C445" s="1"/>
  <c r="K494"/>
  <c r="K498"/>
  <c r="I486"/>
  <c r="J486" s="1"/>
  <c r="K486" s="1"/>
  <c r="K518"/>
  <c r="AE13"/>
  <c r="D374"/>
  <c r="E374" s="1"/>
  <c r="K504"/>
  <c r="D37"/>
  <c r="E414"/>
  <c r="G414"/>
  <c r="Z5"/>
  <c r="Y5"/>
  <c r="X5"/>
  <c r="D40"/>
  <c r="E40" s="1"/>
  <c r="G411"/>
  <c r="E411"/>
  <c r="G413"/>
  <c r="E413"/>
  <c r="Z10"/>
  <c r="X10"/>
  <c r="Y10"/>
  <c r="Z12"/>
  <c r="X12"/>
  <c r="Y12"/>
  <c r="D42"/>
  <c r="E42" s="1"/>
  <c r="D44"/>
  <c r="E44" s="1"/>
  <c r="E409"/>
  <c r="G409"/>
  <c r="D38"/>
  <c r="E38" s="1"/>
  <c r="D39"/>
  <c r="E39" s="1"/>
  <c r="Z8"/>
  <c r="Y8"/>
  <c r="X8"/>
  <c r="E412"/>
  <c r="G412"/>
  <c r="G408"/>
  <c r="E408"/>
  <c r="AE11"/>
  <c r="K516"/>
  <c r="K512"/>
  <c r="G520"/>
  <c r="AR15" s="1"/>
  <c r="X9"/>
  <c r="Z11"/>
  <c r="K476"/>
  <c r="K508"/>
  <c r="AC13"/>
  <c r="Y13"/>
  <c r="X13"/>
  <c r="Z13"/>
  <c r="D405"/>
  <c r="E405" s="1"/>
  <c r="E531" s="1"/>
  <c r="G531" s="1"/>
  <c r="E410"/>
  <c r="G410"/>
  <c r="X6"/>
  <c r="Y6"/>
  <c r="Z6"/>
  <c r="G407"/>
  <c r="E407"/>
  <c r="I534"/>
  <c r="I532"/>
  <c r="Y4"/>
  <c r="Z4"/>
  <c r="X4"/>
  <c r="Z7"/>
  <c r="X7"/>
  <c r="Y7"/>
  <c r="J61"/>
  <c r="D61" s="1"/>
  <c r="D46"/>
  <c r="E46" s="1"/>
  <c r="D406"/>
  <c r="K464"/>
  <c r="K466"/>
  <c r="Y9"/>
  <c r="K484"/>
  <c r="K496"/>
  <c r="K474"/>
  <c r="K490"/>
  <c r="K506"/>
  <c r="K478"/>
  <c r="K480"/>
  <c r="K468"/>
  <c r="K500"/>
  <c r="C429" l="1"/>
  <c r="C431"/>
  <c r="DH230"/>
  <c r="AC6"/>
  <c r="AE6"/>
  <c r="AC4"/>
  <c r="AD5"/>
  <c r="AF5" s="1"/>
  <c r="AD6"/>
  <c r="DH226"/>
  <c r="AC12"/>
  <c r="AC5"/>
  <c r="AA11"/>
  <c r="DH232"/>
  <c r="AD8"/>
  <c r="AE8"/>
  <c r="AA13"/>
  <c r="DH234"/>
  <c r="AF13"/>
  <c r="AE10"/>
  <c r="AE9"/>
  <c r="AF9" s="1"/>
  <c r="AC9"/>
  <c r="AA9"/>
  <c r="F395"/>
  <c r="F381" s="1"/>
  <c r="F390"/>
  <c r="F376" s="1"/>
  <c r="F394"/>
  <c r="F380" s="1"/>
  <c r="U58" s="1"/>
  <c r="AC7"/>
  <c r="DH228"/>
  <c r="AD4"/>
  <c r="AE4"/>
  <c r="AD7"/>
  <c r="AF7" s="1"/>
  <c r="DH227"/>
  <c r="AD10"/>
  <c r="AC10"/>
  <c r="AA6"/>
  <c r="F396"/>
  <c r="F382" s="1"/>
  <c r="K60" s="1"/>
  <c r="F392"/>
  <c r="F378" s="1"/>
  <c r="K56" s="1"/>
  <c r="F389"/>
  <c r="F375" s="1"/>
  <c r="J53" s="1"/>
  <c r="K58"/>
  <c r="Z58"/>
  <c r="H58"/>
  <c r="I58"/>
  <c r="S58"/>
  <c r="M58"/>
  <c r="W58"/>
  <c r="N58"/>
  <c r="X58"/>
  <c r="Y58"/>
  <c r="K460"/>
  <c r="AH58"/>
  <c r="L58"/>
  <c r="AE58"/>
  <c r="V58"/>
  <c r="AB58"/>
  <c r="AC58"/>
  <c r="M54"/>
  <c r="AG54"/>
  <c r="AF54"/>
  <c r="N54"/>
  <c r="Z54"/>
  <c r="Q54"/>
  <c r="W54"/>
  <c r="U54"/>
  <c r="T54"/>
  <c r="AE54"/>
  <c r="AA54"/>
  <c r="P54"/>
  <c r="S54"/>
  <c r="AK54"/>
  <c r="AJ54"/>
  <c r="V54"/>
  <c r="AD58"/>
  <c r="G58"/>
  <c r="J58"/>
  <c r="AA58"/>
  <c r="AF58"/>
  <c r="P58"/>
  <c r="AG58"/>
  <c r="Q58"/>
  <c r="F391"/>
  <c r="F377" s="1"/>
  <c r="O58"/>
  <c r="R58"/>
  <c r="AI58"/>
  <c r="AJ58"/>
  <c r="T58"/>
  <c r="AK58"/>
  <c r="K488"/>
  <c r="AD12"/>
  <c r="AA12"/>
  <c r="AE12"/>
  <c r="AF11"/>
  <c r="AI54"/>
  <c r="AD54"/>
  <c r="R54"/>
  <c r="G54"/>
  <c r="X54"/>
  <c r="H54"/>
  <c r="Y54"/>
  <c r="I54"/>
  <c r="J54"/>
  <c r="K54"/>
  <c r="AH54"/>
  <c r="O54"/>
  <c r="AB54"/>
  <c r="L54"/>
  <c r="AC54"/>
  <c r="E406"/>
  <c r="F407" s="1"/>
  <c r="G406"/>
  <c r="H392"/>
  <c r="H410"/>
  <c r="E545"/>
  <c r="F412"/>
  <c r="E539"/>
  <c r="F409"/>
  <c r="E543"/>
  <c r="F411"/>
  <c r="E549"/>
  <c r="F414"/>
  <c r="H412"/>
  <c r="H394"/>
  <c r="J443"/>
  <c r="C443" s="1"/>
  <c r="C425"/>
  <c r="H409"/>
  <c r="H391"/>
  <c r="E547"/>
  <c r="F413"/>
  <c r="H396"/>
  <c r="H414"/>
  <c r="H408"/>
  <c r="H390"/>
  <c r="G444"/>
  <c r="C444" s="1"/>
  <c r="C426"/>
  <c r="D48"/>
  <c r="AO15" s="1"/>
  <c r="E37"/>
  <c r="H59"/>
  <c r="L59"/>
  <c r="P59"/>
  <c r="T59"/>
  <c r="X59"/>
  <c r="AB59"/>
  <c r="AF59"/>
  <c r="AJ59"/>
  <c r="G59"/>
  <c r="K59"/>
  <c r="O59"/>
  <c r="S59"/>
  <c r="W59"/>
  <c r="AA59"/>
  <c r="AE59"/>
  <c r="AI59"/>
  <c r="J59"/>
  <c r="R59"/>
  <c r="Z59"/>
  <c r="AH59"/>
  <c r="AC59"/>
  <c r="I59"/>
  <c r="Q59"/>
  <c r="Y59"/>
  <c r="AG59"/>
  <c r="N59"/>
  <c r="V59"/>
  <c r="AD59"/>
  <c r="M59"/>
  <c r="U59"/>
  <c r="AK59"/>
  <c r="F388"/>
  <c r="F374" s="1"/>
  <c r="AA7"/>
  <c r="AA8"/>
  <c r="AA10"/>
  <c r="AA5"/>
  <c r="H407"/>
  <c r="H389"/>
  <c r="J446"/>
  <c r="C446" s="1"/>
  <c r="C428"/>
  <c r="H413"/>
  <c r="H395"/>
  <c r="J450"/>
  <c r="C450" s="1"/>
  <c r="C432"/>
  <c r="E535"/>
  <c r="E541"/>
  <c r="F410"/>
  <c r="E537"/>
  <c r="F408"/>
  <c r="C424"/>
  <c r="G442"/>
  <c r="C442" s="1"/>
  <c r="J448"/>
  <c r="C448" s="1"/>
  <c r="C430"/>
  <c r="H411"/>
  <c r="H393"/>
  <c r="P441"/>
  <c r="C441" s="1"/>
  <c r="C423"/>
  <c r="J57"/>
  <c r="N57"/>
  <c r="R57"/>
  <c r="V57"/>
  <c r="Z57"/>
  <c r="AD57"/>
  <c r="AH57"/>
  <c r="I57"/>
  <c r="M57"/>
  <c r="Q57"/>
  <c r="U57"/>
  <c r="Y57"/>
  <c r="AC57"/>
  <c r="AG57"/>
  <c r="AK57"/>
  <c r="L57"/>
  <c r="T57"/>
  <c r="AB57"/>
  <c r="AJ57"/>
  <c r="O57"/>
  <c r="AE57"/>
  <c r="K57"/>
  <c r="S57"/>
  <c r="AA57"/>
  <c r="AI57"/>
  <c r="H57"/>
  <c r="P57"/>
  <c r="X57"/>
  <c r="AF57"/>
  <c r="G57"/>
  <c r="W57"/>
  <c r="AA4"/>
  <c r="AF6" l="1"/>
  <c r="AF10"/>
  <c r="AF8"/>
  <c r="AF4"/>
  <c r="P60"/>
  <c r="AE60"/>
  <c r="R60"/>
  <c r="AH60"/>
  <c r="U60"/>
  <c r="AJ60"/>
  <c r="AG60"/>
  <c r="O60"/>
  <c r="V56"/>
  <c r="J56"/>
  <c r="AF56"/>
  <c r="L56"/>
  <c r="AI56"/>
  <c r="AC56"/>
  <c r="AA56"/>
  <c r="W56"/>
  <c r="AH56"/>
  <c r="Q56"/>
  <c r="M56"/>
  <c r="AJ56"/>
  <c r="AK56"/>
  <c r="AE56"/>
  <c r="O56"/>
  <c r="AC60"/>
  <c r="X60"/>
  <c r="L60"/>
  <c r="I60"/>
  <c r="V60"/>
  <c r="AI60"/>
  <c r="S60"/>
  <c r="AK60"/>
  <c r="AF60"/>
  <c r="AB60"/>
  <c r="Q60"/>
  <c r="Z60"/>
  <c r="J60"/>
  <c r="W60"/>
  <c r="G60"/>
  <c r="AD56"/>
  <c r="H56"/>
  <c r="S56"/>
  <c r="G56"/>
  <c r="U56"/>
  <c r="Y56"/>
  <c r="T56"/>
  <c r="R56"/>
  <c r="T60"/>
  <c r="M60"/>
  <c r="H60"/>
  <c r="Y60"/>
  <c r="AD60"/>
  <c r="N60"/>
  <c r="AA60"/>
  <c r="N56"/>
  <c r="I56"/>
  <c r="P56"/>
  <c r="Z56"/>
  <c r="AG56"/>
  <c r="AB56"/>
  <c r="X56"/>
  <c r="G53"/>
  <c r="AD53"/>
  <c r="Q53"/>
  <c r="K53"/>
  <c r="AG53"/>
  <c r="L53"/>
  <c r="X53"/>
  <c r="N53"/>
  <c r="T53"/>
  <c r="AF53"/>
  <c r="U53"/>
  <c r="R53"/>
  <c r="AB53"/>
  <c r="W53"/>
  <c r="S53"/>
  <c r="H53"/>
  <c r="Y53"/>
  <c r="I53"/>
  <c r="V53"/>
  <c r="AA53"/>
  <c r="O53"/>
  <c r="AK53"/>
  <c r="AH53"/>
  <c r="AJ53"/>
  <c r="AE53"/>
  <c r="AI53"/>
  <c r="P53"/>
  <c r="AC53"/>
  <c r="M53"/>
  <c r="Z53"/>
  <c r="D58"/>
  <c r="I520"/>
  <c r="F522" s="1"/>
  <c r="D54"/>
  <c r="P55"/>
  <c r="AF55"/>
  <c r="O55"/>
  <c r="AE55"/>
  <c r="AD55"/>
  <c r="U55"/>
  <c r="R55"/>
  <c r="Y55"/>
  <c r="W55"/>
  <c r="AK55"/>
  <c r="T55"/>
  <c r="S55"/>
  <c r="Q55"/>
  <c r="Z55"/>
  <c r="L55"/>
  <c r="AB55"/>
  <c r="K55"/>
  <c r="AA55"/>
  <c r="V55"/>
  <c r="M55"/>
  <c r="J55"/>
  <c r="I55"/>
  <c r="H55"/>
  <c r="X55"/>
  <c r="G55"/>
  <c r="N55"/>
  <c r="AG55"/>
  <c r="AH55"/>
  <c r="AJ55"/>
  <c r="AI55"/>
  <c r="AC55"/>
  <c r="AF12"/>
  <c r="D57"/>
  <c r="H542"/>
  <c r="J542" s="1"/>
  <c r="K542" s="1"/>
  <c r="G543"/>
  <c r="H544"/>
  <c r="J544" s="1"/>
  <c r="K544" s="1"/>
  <c r="G545"/>
  <c r="G535"/>
  <c r="H546"/>
  <c r="J546" s="1"/>
  <c r="K546" s="1"/>
  <c r="G547"/>
  <c r="H406"/>
  <c r="H388"/>
  <c r="H548"/>
  <c r="J548" s="1"/>
  <c r="K548" s="1"/>
  <c r="H550"/>
  <c r="J550" s="1"/>
  <c r="K550" s="1"/>
  <c r="G549"/>
  <c r="H538"/>
  <c r="J538" s="1"/>
  <c r="K538" s="1"/>
  <c r="G539"/>
  <c r="C435"/>
  <c r="E533"/>
  <c r="F406"/>
  <c r="H536"/>
  <c r="J536" s="1"/>
  <c r="K536" s="1"/>
  <c r="G537"/>
  <c r="G52"/>
  <c r="K52"/>
  <c r="O52"/>
  <c r="S52"/>
  <c r="W52"/>
  <c r="AA52"/>
  <c r="AE52"/>
  <c r="AI52"/>
  <c r="J52"/>
  <c r="N52"/>
  <c r="R52"/>
  <c r="V52"/>
  <c r="Z52"/>
  <c r="AD52"/>
  <c r="AH52"/>
  <c r="I52"/>
  <c r="Q52"/>
  <c r="Y52"/>
  <c r="AG52"/>
  <c r="T52"/>
  <c r="AJ52"/>
  <c r="H52"/>
  <c r="P52"/>
  <c r="X52"/>
  <c r="AF52"/>
  <c r="M52"/>
  <c r="U52"/>
  <c r="AC52"/>
  <c r="AK52"/>
  <c r="L52"/>
  <c r="AB52"/>
  <c r="H540"/>
  <c r="J540" s="1"/>
  <c r="K540" s="1"/>
  <c r="G541"/>
  <c r="C453"/>
  <c r="AQ15" s="1"/>
  <c r="D59"/>
  <c r="D56" l="1"/>
  <c r="D60"/>
  <c r="D53"/>
  <c r="I523"/>
  <c r="F523" s="1"/>
  <c r="D55"/>
  <c r="H532"/>
  <c r="J532" s="1"/>
  <c r="G533"/>
  <c r="G556" s="1"/>
  <c r="AT15" s="1"/>
  <c r="D52"/>
  <c r="H534"/>
  <c r="J534" s="1"/>
  <c r="K534" s="1"/>
  <c r="AS15" l="1"/>
  <c r="D63"/>
  <c r="AP15" s="1"/>
  <c r="K532"/>
  <c r="I556"/>
  <c r="F559" l="1"/>
  <c r="AU15"/>
</calcChain>
</file>

<file path=xl/sharedStrings.xml><?xml version="1.0" encoding="utf-8"?>
<sst xmlns="http://schemas.openxmlformats.org/spreadsheetml/2006/main" count="1094" uniqueCount="150">
  <si>
    <t>Mean N</t>
  </si>
  <si>
    <t>Interval P</t>
  </si>
  <si>
    <t>Daily P</t>
  </si>
  <si>
    <t>IS  B</t>
  </si>
  <si>
    <t>IS P</t>
  </si>
  <si>
    <t>IS B</t>
  </si>
  <si>
    <t>AVG N</t>
  </si>
  <si>
    <t>STDEV</t>
  </si>
  <si>
    <t>STERR</t>
  </si>
  <si>
    <t>AVG B</t>
  </si>
  <si>
    <t>SAMPLE MONTHLY AVERAGES</t>
  </si>
  <si>
    <t>BIOMASS/m2</t>
  </si>
  <si>
    <t>Growth rate regression</t>
  </si>
  <si>
    <t>IGR Growth P</t>
  </si>
  <si>
    <t>cohort</t>
  </si>
  <si>
    <t>non-cohort</t>
  </si>
  <si>
    <t>non cohort</t>
  </si>
  <si>
    <t>production a full year</t>
  </si>
  <si>
    <t>I did this to make</t>
  </si>
  <si>
    <t>MONTH</t>
  </si>
  <si>
    <t>BOOT</t>
  </si>
  <si>
    <t>DATE</t>
  </si>
  <si>
    <t>COUNTER</t>
  </si>
  <si>
    <t>N</t>
  </si>
  <si>
    <t>B</t>
  </si>
  <si>
    <t>IGR P</t>
  </si>
  <si>
    <t>SF B</t>
  </si>
  <si>
    <t>SF P</t>
  </si>
  <si>
    <t>Sample</t>
  </si>
  <si>
    <t>Avg Boot</t>
  </si>
  <si>
    <t>P</t>
  </si>
  <si>
    <t>boot</t>
  </si>
  <si>
    <t xml:space="preserve">AVG INTERVAL N/m2 </t>
  </si>
  <si>
    <t>LENGTH--&gt;</t>
  </si>
  <si>
    <t>INTERVAL</t>
  </si>
  <si>
    <t>Nt</t>
  </si>
  <si>
    <t>t (d)</t>
  </si>
  <si>
    <t>&lt;1</t>
  </si>
  <si>
    <t>1st</t>
  </si>
  <si>
    <t>2nd</t>
  </si>
  <si>
    <t>3rd</t>
  </si>
  <si>
    <t>4th</t>
  </si>
  <si>
    <t>5th</t>
  </si>
  <si>
    <t>AVG N =</t>
  </si>
  <si>
    <t>AVG INTERVAL B (mg AFDM)/m2 for each 1 MM SC</t>
  </si>
  <si>
    <t>B average</t>
  </si>
  <si>
    <t>Length-mass realtionship</t>
  </si>
  <si>
    <t>a</t>
  </si>
  <si>
    <t>b</t>
  </si>
  <si>
    <t>% ASH</t>
  </si>
  <si>
    <t>AVG B =</t>
  </si>
  <si>
    <t xml:space="preserve">AVG INTERVAL P (mg AFDM)/m2 </t>
  </si>
  <si>
    <t>IGR</t>
  </si>
  <si>
    <t>P =</t>
  </si>
  <si>
    <t>Size classes</t>
  </si>
  <si>
    <t>PLACE RAW DATA IN</t>
  </si>
  <si>
    <t>Size Classes</t>
  </si>
  <si>
    <t>THIS BLOCK</t>
  </si>
  <si>
    <t>RAND</t>
  </si>
  <si>
    <t>SAMPLE</t>
  </si>
  <si>
    <t>THIS IS BOOT SPACE</t>
  </si>
  <si>
    <t>Do not place anything</t>
  </si>
  <si>
    <t xml:space="preserve"> in this space</t>
  </si>
  <si>
    <t>This block is used to</t>
  </si>
  <si>
    <t>AVG B (mg AFDM)/m2 for each sample date</t>
  </si>
  <si>
    <t>calculate growth rates</t>
  </si>
  <si>
    <t>mg/m2, N/m2</t>
  </si>
  <si>
    <t>Bt</t>
  </si>
  <si>
    <t>Bavg</t>
  </si>
  <si>
    <t>IGR (NO"-")</t>
  </si>
  <si>
    <t>IGR (d-1)</t>
  </si>
  <si>
    <t>IGR_TEMP</t>
  </si>
  <si>
    <t>t</t>
  </si>
  <si>
    <t>avg mm</t>
  </si>
  <si>
    <t>avg mass</t>
  </si>
  <si>
    <t>temp</t>
  </si>
  <si>
    <t>AVG INTERVAL P (mg AFDM)/m2 for each 1 MM SC by TEMP</t>
  </si>
  <si>
    <t># OF SAMPLES</t>
  </si>
  <si>
    <t># of SIZE CLASSES:</t>
  </si>
  <si>
    <t>Length (mm)</t>
  </si>
  <si>
    <t>W</t>
  </si>
  <si>
    <t>No. Lost</t>
  </si>
  <si>
    <t>Biomass</t>
  </si>
  <si>
    <t>&gt;1</t>
  </si>
  <si>
    <t>Can't have empty cells</t>
    <phoneticPr fontId="42" type="noConversion"/>
  </si>
  <si>
    <t>removed growth equation - none for this taxon</t>
    <phoneticPr fontId="42" type="noConversion"/>
  </si>
  <si>
    <t>checked CPI looks good</t>
    <phoneticPr fontId="42" type="noConversion"/>
  </si>
  <si>
    <t>removed last dates in monthly summary data</t>
    <phoneticPr fontId="42" type="noConversion"/>
  </si>
  <si>
    <t>removed 11th interval</t>
    <phoneticPr fontId="42" type="noConversion"/>
  </si>
  <si>
    <t>changed last interval to 24 days (to make a year)</t>
    <phoneticPr fontId="42" type="noConversion"/>
  </si>
  <si>
    <t>is the length-weight regression correct?</t>
    <phoneticPr fontId="42" type="noConversion"/>
  </si>
  <si>
    <t>temperatures need to be changed</t>
    <phoneticPr fontId="42" type="noConversion"/>
  </si>
  <si>
    <t>Note that the 10th interval</t>
    <phoneticPr fontId="2" type="noConversion"/>
  </si>
  <si>
    <t xml:space="preserve">is the wrap-around interval to make a year </t>
    <phoneticPr fontId="2" type="noConversion"/>
  </si>
  <si>
    <t>uses the remaining days in the year (24)</t>
    <phoneticPr fontId="2" type="noConversion"/>
  </si>
  <si>
    <t>It averages the abundance of the 1st and last date and</t>
    <phoneticPr fontId="2" type="noConversion"/>
  </si>
  <si>
    <t>Mass at Loss</t>
  </si>
  <si>
    <t>CPI  MAX:</t>
  </si>
  <si>
    <t>CPI MIN:</t>
  </si>
  <si>
    <t xml:space="preserve"> </t>
  </si>
  <si>
    <t>C P/B</t>
  </si>
  <si>
    <t>CPI</t>
  </si>
  <si>
    <t>A P/B</t>
  </si>
  <si>
    <t>Annual P</t>
  </si>
  <si>
    <t/>
  </si>
  <si>
    <t>Numbers per sq meter</t>
  </si>
  <si>
    <t>Biomass (mg/m2)</t>
  </si>
  <si>
    <t>Leave this blank until you run macro</t>
  </si>
  <si>
    <t>Abundance (no./m2)</t>
  </si>
  <si>
    <t>Data area</t>
  </si>
  <si>
    <t>do not enter raw here</t>
  </si>
  <si>
    <t>Large Fraction (&gt;1 mm)</t>
  </si>
  <si>
    <t>Small Fraction (&lt;1 mm&gt;250 um)</t>
  </si>
  <si>
    <t>AREA OF SAMPLE</t>
  </si>
  <si>
    <t>m2</t>
  </si>
  <si>
    <t>temperature</t>
  </si>
  <si>
    <t>c</t>
  </si>
  <si>
    <t>XXXXXX</t>
  </si>
  <si>
    <t>6th</t>
  </si>
  <si>
    <t>7th</t>
  </si>
  <si>
    <t>8th</t>
  </si>
  <si>
    <t>9th</t>
  </si>
  <si>
    <t>10th</t>
  </si>
  <si>
    <t>SUBSAMPLE MULTIPLIERS</t>
  </si>
  <si>
    <t>&gt;1 FRACTION</t>
  </si>
  <si>
    <t>&lt;1&gt;250 FRACTION</t>
  </si>
  <si>
    <t>AREA OF SAMPLER (m2)</t>
  </si>
  <si>
    <t>Upper 95%CI boot</t>
  </si>
  <si>
    <t>Lower 95%CI boot</t>
  </si>
  <si>
    <t>gotta figure out the 0.0001 thingy</t>
  </si>
  <si>
    <t xml:space="preserve">SAMPLES </t>
  </si>
  <si>
    <t>PER DATE</t>
  </si>
  <si>
    <t>(no negatives)</t>
  </si>
  <si>
    <t xml:space="preserve">IGR_TEMP </t>
  </si>
  <si>
    <t>Biomass Lost</t>
  </si>
  <si>
    <t>X No. Size Classes</t>
  </si>
  <si>
    <t>Negatives Corrected</t>
  </si>
  <si>
    <t>SIZE FREQUENCY METHOD</t>
  </si>
  <si>
    <t>INCREMENT SUMMATION METHOD</t>
  </si>
  <si>
    <t>Date</t>
  </si>
  <si>
    <t>Individual Growth</t>
  </si>
  <si>
    <t>chiromids</t>
  </si>
  <si>
    <t>g (-1)</t>
  </si>
  <si>
    <t>Boot</t>
  </si>
  <si>
    <t>Inerval Growth Boot</t>
  </si>
  <si>
    <t>Avg. Boot</t>
  </si>
  <si>
    <t>Upper 95% CI</t>
  </si>
  <si>
    <t>Lower 95% CI</t>
  </si>
  <si>
    <t>Interval Growth Variation</t>
  </si>
  <si>
    <t>Serretella</t>
  </si>
</sst>
</file>

<file path=xl/styles.xml><?xml version="1.0" encoding="utf-8"?>
<styleSheet xmlns="http://schemas.openxmlformats.org/spreadsheetml/2006/main">
  <numFmts count="8">
    <numFmt numFmtId="164" formatCode="[$-409]d\-mmm\-yy;@"/>
    <numFmt numFmtId="165" formatCode="0.0000"/>
    <numFmt numFmtId="166" formatCode="0.0"/>
    <numFmt numFmtId="167" formatCode="0.000"/>
    <numFmt numFmtId="168" formatCode="0.000000"/>
    <numFmt numFmtId="169" formatCode="General_)"/>
    <numFmt numFmtId="170" formatCode="[$-409]d\-mmm;@"/>
    <numFmt numFmtId="171" formatCode="#,##0.000"/>
  </numFmts>
  <fonts count="44">
    <font>
      <sz val="10"/>
      <name val="Arial"/>
    </font>
    <font>
      <sz val="10"/>
      <name val="Arial"/>
      <family val="2"/>
    </font>
    <font>
      <sz val="8"/>
      <name val="Arial"/>
      <family val="2"/>
    </font>
    <font>
      <sz val="10"/>
      <name val="Geneva"/>
    </font>
    <font>
      <b/>
      <sz val="10"/>
      <name val="Geneva"/>
      <family val="2"/>
    </font>
    <font>
      <sz val="10"/>
      <color indexed="10"/>
      <name val="Arial"/>
      <family val="2"/>
    </font>
    <font>
      <b/>
      <sz val="10"/>
      <name val="Albertus Medium"/>
      <family val="2"/>
    </font>
    <font>
      <sz val="10"/>
      <name val="Arial"/>
      <family val="2"/>
    </font>
    <font>
      <sz val="10"/>
      <color indexed="10"/>
      <name val="Geneva"/>
    </font>
    <font>
      <b/>
      <sz val="10"/>
      <name val="Arial"/>
      <family val="2"/>
    </font>
    <font>
      <b/>
      <i/>
      <sz val="10"/>
      <color indexed="57"/>
      <name val="Geneva"/>
    </font>
    <font>
      <b/>
      <sz val="10"/>
      <color indexed="10"/>
      <name val="Geneva"/>
    </font>
    <font>
      <b/>
      <sz val="10"/>
      <color indexed="10"/>
      <name val="Arial"/>
      <family val="2"/>
    </font>
    <font>
      <sz val="10"/>
      <color indexed="57"/>
      <name val="Geneva"/>
    </font>
    <font>
      <b/>
      <sz val="10"/>
      <color indexed="13"/>
      <name val="Geneva"/>
    </font>
    <font>
      <b/>
      <sz val="10"/>
      <name val="Arial"/>
      <family val="2"/>
    </font>
    <font>
      <u/>
      <sz val="7.5"/>
      <color indexed="12"/>
      <name val="Arial"/>
      <family val="2"/>
    </font>
    <font>
      <u/>
      <sz val="10"/>
      <color indexed="12"/>
      <name val="Arial"/>
      <family val="2"/>
    </font>
    <font>
      <b/>
      <sz val="12"/>
      <name val="Arial"/>
      <family val="2"/>
    </font>
    <font>
      <b/>
      <i/>
      <sz val="10"/>
      <color indexed="57"/>
      <name val="Arial"/>
      <family val="2"/>
    </font>
    <font>
      <sz val="9"/>
      <name val="Helv"/>
    </font>
    <font>
      <sz val="10"/>
      <name val="Arial"/>
      <family val="2"/>
    </font>
    <font>
      <b/>
      <sz val="10"/>
      <name val="Geneva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4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62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0"/>
      <name val="Arial"/>
      <family val="2"/>
    </font>
    <font>
      <sz val="8"/>
      <name val="Verdana"/>
      <family val="2"/>
    </font>
    <font>
      <b/>
      <sz val="10"/>
      <name val="Geneva"/>
    </font>
  </fonts>
  <fills count="35">
    <fill>
      <patternFill patternType="none"/>
    </fill>
    <fill>
      <patternFill patternType="gray125"/>
    </fill>
    <fill>
      <patternFill patternType="solid">
        <fgColor indexed="49"/>
      </patternFill>
    </fill>
    <fill>
      <patternFill patternType="solid">
        <fgColor indexed="9"/>
      </patternFill>
    </fill>
    <fill>
      <patternFill patternType="solid">
        <fgColor indexed="22"/>
      </patternFill>
    </fill>
    <fill>
      <patternFill patternType="solid">
        <fgColor indexed="19"/>
      </patternFill>
    </fill>
    <fill>
      <patternFill patternType="solid">
        <fgColor indexed="47"/>
      </patternFill>
    </fill>
    <fill>
      <patternFill patternType="solid">
        <fgColor indexed="29"/>
      </patternFill>
    </fill>
    <fill>
      <patternFill patternType="solid">
        <fgColor indexed="26"/>
      </patternFill>
    </fill>
    <fill>
      <patternFill patternType="solid">
        <fgColor indexed="43"/>
      </patternFill>
    </fill>
    <fill>
      <patternFill patternType="solid">
        <fgColor indexed="54"/>
      </patternFill>
    </fill>
    <fill>
      <patternFill patternType="solid">
        <fgColor indexed="27"/>
      </patternFill>
    </fill>
    <fill>
      <patternFill patternType="solid">
        <fgColor indexed="44"/>
      </patternFill>
    </fill>
    <fill>
      <patternFill patternType="solid">
        <fgColor indexed="53"/>
      </patternFill>
    </fill>
    <fill>
      <patternFill patternType="solid">
        <fgColor indexed="45"/>
      </patternFill>
    </fill>
    <fill>
      <patternFill patternType="solid">
        <fgColor indexed="55"/>
      </patternFill>
    </fill>
    <fill>
      <patternFill patternType="solid">
        <fgColor indexed="42"/>
      </patternFill>
    </fill>
    <fill>
      <patternFill patternType="solid">
        <fgColor indexed="10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66"/>
        <bgColor indexed="64"/>
      </patternFill>
    </fill>
  </fills>
  <borders count="15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5">
    <xf numFmtId="0" fontId="0" fillId="0" borderId="0"/>
    <xf numFmtId="0" fontId="25" fillId="2" borderId="0" applyNumberFormat="0" applyBorder="0" applyAlignment="0" applyProtection="0"/>
    <xf numFmtId="0" fontId="24" fillId="3" borderId="0" applyNumberFormat="0" applyBorder="0" applyAlignment="0" applyProtection="0"/>
    <xf numFmtId="0" fontId="24" fillId="4" borderId="0" applyNumberFormat="0" applyBorder="0" applyAlignment="0" applyProtection="0"/>
    <xf numFmtId="0" fontId="25" fillId="2" borderId="0" applyNumberFormat="0" applyBorder="0" applyAlignment="0" applyProtection="0"/>
    <xf numFmtId="0" fontId="25" fillId="5" borderId="0" applyNumberFormat="0" applyBorder="0" applyAlignment="0" applyProtection="0"/>
    <xf numFmtId="0" fontId="24" fillId="6" borderId="0" applyNumberFormat="0" applyBorder="0" applyAlignment="0" applyProtection="0"/>
    <xf numFmtId="0" fontId="24" fillId="7" borderId="0" applyNumberFormat="0" applyBorder="0" applyAlignment="0" applyProtection="0"/>
    <xf numFmtId="0" fontId="25" fillId="7" borderId="0" applyNumberFormat="0" applyBorder="0" applyAlignment="0" applyProtection="0"/>
    <xf numFmtId="0" fontId="25" fillId="5" borderId="0" applyNumberFormat="0" applyBorder="0" applyAlignment="0" applyProtection="0"/>
    <xf numFmtId="0" fontId="24" fillId="8" borderId="0" applyNumberFormat="0" applyBorder="0" applyAlignment="0" applyProtection="0"/>
    <xf numFmtId="0" fontId="24" fillId="9" borderId="0" applyNumberFormat="0" applyBorder="0" applyAlignment="0" applyProtection="0"/>
    <xf numFmtId="0" fontId="25" fillId="9" borderId="0" applyNumberFormat="0" applyBorder="0" applyAlignment="0" applyProtection="0"/>
    <xf numFmtId="0" fontId="25" fillId="10" borderId="0" applyNumberFormat="0" applyBorder="0" applyAlignment="0" applyProtection="0"/>
    <xf numFmtId="0" fontId="24" fillId="3" borderId="0" applyNumberFormat="0" applyBorder="0" applyAlignment="0" applyProtection="0"/>
    <xf numFmtId="0" fontId="24" fillId="4" borderId="0" applyNumberFormat="0" applyBorder="0" applyAlignment="0" applyProtection="0"/>
    <xf numFmtId="0" fontId="25" fillId="4" borderId="0" applyNumberFormat="0" applyBorder="0" applyAlignment="0" applyProtection="0"/>
    <xf numFmtId="0" fontId="25" fillId="2" borderId="0" applyNumberFormat="0" applyBorder="0" applyAlignment="0" applyProtection="0"/>
    <xf numFmtId="0" fontId="24" fillId="11" borderId="0" applyNumberFormat="0" applyBorder="0" applyAlignment="0" applyProtection="0"/>
    <xf numFmtId="0" fontId="24" fillId="12" borderId="0" applyNumberFormat="0" applyBorder="0" applyAlignment="0" applyProtection="0"/>
    <xf numFmtId="0" fontId="25" fillId="2" borderId="0" applyNumberFormat="0" applyBorder="0" applyAlignment="0" applyProtection="0"/>
    <xf numFmtId="0" fontId="25" fillId="13" borderId="0" applyNumberFormat="0" applyBorder="0" applyAlignment="0" applyProtection="0"/>
    <xf numFmtId="0" fontId="24" fillId="6" borderId="0" applyNumberFormat="0" applyBorder="0" applyAlignment="0" applyProtection="0"/>
    <xf numFmtId="0" fontId="24" fillId="6" borderId="0" applyNumberFormat="0" applyBorder="0" applyAlignment="0" applyProtection="0"/>
    <xf numFmtId="0" fontId="25" fillId="6" borderId="0" applyNumberFormat="0" applyBorder="0" applyAlignment="0" applyProtection="0"/>
    <xf numFmtId="0" fontId="26" fillId="14" borderId="0" applyNumberFormat="0" applyBorder="0" applyAlignment="0" applyProtection="0"/>
    <xf numFmtId="0" fontId="27" fillId="3" borderId="1" applyNumberFormat="0" applyAlignment="0" applyProtection="0"/>
    <xf numFmtId="0" fontId="28" fillId="15" borderId="2" applyNumberFormat="0" applyAlignment="0" applyProtection="0"/>
    <xf numFmtId="0" fontId="29" fillId="0" borderId="0" applyNumberFormat="0" applyFill="0" applyBorder="0" applyAlignment="0" applyProtection="0"/>
    <xf numFmtId="0" fontId="30" fillId="16" borderId="0" applyNumberFormat="0" applyBorder="0" applyAlignment="0" applyProtection="0"/>
    <xf numFmtId="0" fontId="31" fillId="0" borderId="3" applyNumberFormat="0" applyFill="0" applyAlignment="0" applyProtection="0"/>
    <xf numFmtId="0" fontId="32" fillId="0" borderId="4" applyNumberFormat="0" applyFill="0" applyAlignment="0" applyProtection="0"/>
    <xf numFmtId="0" fontId="33" fillId="0" borderId="5" applyNumberFormat="0" applyFill="0" applyAlignment="0" applyProtection="0"/>
    <xf numFmtId="0" fontId="33" fillId="0" borderId="0" applyNumberFormat="0" applyFill="0" applyBorder="0" applyAlignment="0" applyProtection="0"/>
    <xf numFmtId="0" fontId="16" fillId="0" borderId="0" applyNumberFormat="0" applyFill="0" applyBorder="0" applyAlignment="0" applyProtection="0">
      <alignment vertical="top"/>
      <protection locked="0"/>
    </xf>
    <xf numFmtId="0" fontId="34" fillId="6" borderId="1" applyNumberFormat="0" applyAlignment="0" applyProtection="0"/>
    <xf numFmtId="0" fontId="35" fillId="0" borderId="6" applyNumberFormat="0" applyFill="0" applyAlignment="0" applyProtection="0"/>
    <xf numFmtId="0" fontId="36" fillId="9" borderId="0" applyNumberFormat="0" applyBorder="0" applyAlignment="0" applyProtection="0"/>
    <xf numFmtId="169" fontId="20" fillId="0" borderId="0"/>
    <xf numFmtId="169" fontId="20" fillId="0" borderId="0"/>
    <xf numFmtId="0" fontId="1" fillId="8" borderId="7" applyNumberFormat="0" applyFont="0" applyAlignment="0" applyProtection="0"/>
    <xf numFmtId="0" fontId="37" fillId="3" borderId="8" applyNumberFormat="0" applyAlignment="0" applyProtection="0"/>
    <xf numFmtId="0" fontId="38" fillId="0" borderId="0" applyNumberFormat="0" applyFill="0" applyBorder="0" applyAlignment="0" applyProtection="0"/>
    <xf numFmtId="0" fontId="39" fillId="0" borderId="9" applyNumberFormat="0" applyFill="0" applyAlignment="0" applyProtection="0"/>
    <xf numFmtId="0" fontId="40" fillId="0" borderId="0" applyNumberFormat="0" applyFill="0" applyBorder="0" applyAlignment="0" applyProtection="0"/>
  </cellStyleXfs>
  <cellXfs count="234">
    <xf numFmtId="0" fontId="0" fillId="0" borderId="0" xfId="0"/>
    <xf numFmtId="0" fontId="3" fillId="17" borderId="0" xfId="0" applyFont="1" applyFill="1" applyBorder="1"/>
    <xf numFmtId="1" fontId="3" fillId="17" borderId="0" xfId="0" applyNumberFormat="1" applyFont="1" applyFill="1" applyBorder="1"/>
    <xf numFmtId="2" fontId="3" fillId="17" borderId="0" xfId="0" applyNumberFormat="1" applyFont="1" applyFill="1" applyBorder="1"/>
    <xf numFmtId="0" fontId="3" fillId="18" borderId="0" xfId="0" applyFont="1" applyFill="1" applyBorder="1"/>
    <xf numFmtId="0" fontId="3" fillId="19" borderId="0" xfId="0" applyFont="1" applyFill="1" applyBorder="1"/>
    <xf numFmtId="1" fontId="3" fillId="19" borderId="0" xfId="0" applyNumberFormat="1" applyFont="1" applyFill="1" applyBorder="1"/>
    <xf numFmtId="0" fontId="1" fillId="18" borderId="0" xfId="0" applyFont="1" applyFill="1"/>
    <xf numFmtId="0" fontId="1" fillId="0" borderId="0" xfId="0" applyFont="1"/>
    <xf numFmtId="0" fontId="4" fillId="20" borderId="0" xfId="0" applyFont="1" applyFill="1" applyBorder="1" applyAlignment="1">
      <alignment horizontal="center"/>
    </xf>
    <xf numFmtId="0" fontId="4" fillId="20" borderId="0" xfId="0" applyFont="1" applyFill="1" applyBorder="1"/>
    <xf numFmtId="1" fontId="4" fillId="20" borderId="0" xfId="0" applyNumberFormat="1" applyFont="1" applyFill="1" applyBorder="1"/>
    <xf numFmtId="1" fontId="4" fillId="20" borderId="0" xfId="0" applyNumberFormat="1" applyFont="1" applyFill="1" applyBorder="1" applyAlignment="1">
      <alignment horizontal="center"/>
    </xf>
    <xf numFmtId="0" fontId="3" fillId="20" borderId="0" xfId="0" applyFont="1" applyFill="1" applyBorder="1"/>
    <xf numFmtId="1" fontId="3" fillId="20" borderId="0" xfId="0" applyNumberFormat="1" applyFont="1" applyFill="1" applyBorder="1"/>
    <xf numFmtId="2" fontId="4" fillId="20" borderId="0" xfId="0" applyNumberFormat="1" applyFont="1" applyFill="1" applyBorder="1" applyAlignment="1">
      <alignment horizontal="center"/>
    </xf>
    <xf numFmtId="0" fontId="4" fillId="18" borderId="0" xfId="0" applyFont="1" applyFill="1" applyBorder="1"/>
    <xf numFmtId="164" fontId="5" fillId="20" borderId="0" xfId="0" applyNumberFormat="1" applyFont="1" applyFill="1" applyBorder="1"/>
    <xf numFmtId="1" fontId="3" fillId="0" borderId="0" xfId="0" applyNumberFormat="1" applyFont="1" applyBorder="1"/>
    <xf numFmtId="0" fontId="3" fillId="0" borderId="0" xfId="0" applyFont="1" applyBorder="1"/>
    <xf numFmtId="0" fontId="4" fillId="20" borderId="0" xfId="0" applyFont="1" applyFill="1" applyBorder="1" applyAlignment="1">
      <alignment horizontal="left"/>
    </xf>
    <xf numFmtId="2" fontId="3" fillId="20" borderId="0" xfId="0" applyNumberFormat="1" applyFont="1" applyFill="1" applyBorder="1"/>
    <xf numFmtId="0" fontId="3" fillId="20" borderId="0" xfId="0" applyNumberFormat="1" applyFont="1" applyFill="1" applyBorder="1"/>
    <xf numFmtId="0" fontId="1" fillId="19" borderId="0" xfId="0" applyFont="1" applyFill="1"/>
    <xf numFmtId="0" fontId="4" fillId="19" borderId="0" xfId="0" applyFont="1" applyFill="1" applyBorder="1"/>
    <xf numFmtId="1" fontId="6" fillId="19" borderId="0" xfId="0" applyNumberFormat="1" applyFont="1" applyFill="1" applyBorder="1"/>
    <xf numFmtId="1" fontId="4" fillId="19" borderId="0" xfId="0" applyNumberFormat="1" applyFont="1" applyFill="1" applyBorder="1"/>
    <xf numFmtId="0" fontId="4" fillId="20" borderId="0" xfId="0" applyFont="1" applyFill="1" applyBorder="1" applyAlignment="1">
      <alignment horizontal="right"/>
    </xf>
    <xf numFmtId="1" fontId="3" fillId="18" borderId="0" xfId="0" applyNumberFormat="1" applyFont="1" applyFill="1" applyBorder="1"/>
    <xf numFmtId="1" fontId="6" fillId="18" borderId="0" xfId="0" applyNumberFormat="1" applyFont="1" applyFill="1" applyBorder="1"/>
    <xf numFmtId="1" fontId="4" fillId="18" borderId="0" xfId="0" applyNumberFormat="1" applyFont="1" applyFill="1" applyBorder="1"/>
    <xf numFmtId="16" fontId="1" fillId="17" borderId="0" xfId="0" applyNumberFormat="1" applyFont="1" applyFill="1" applyBorder="1"/>
    <xf numFmtId="16" fontId="3" fillId="17" borderId="0" xfId="0" applyNumberFormat="1" applyFont="1" applyFill="1" applyBorder="1"/>
    <xf numFmtId="16" fontId="1" fillId="18" borderId="0" xfId="0" applyNumberFormat="1" applyFont="1" applyFill="1" applyBorder="1"/>
    <xf numFmtId="16" fontId="3" fillId="18" borderId="0" xfId="0" applyNumberFormat="1" applyFont="1" applyFill="1" applyBorder="1"/>
    <xf numFmtId="0" fontId="4" fillId="21" borderId="0" xfId="0" applyFont="1" applyFill="1" applyBorder="1"/>
    <xf numFmtId="0" fontId="4" fillId="17" borderId="0" xfId="0" applyFont="1" applyFill="1" applyBorder="1"/>
    <xf numFmtId="16" fontId="7" fillId="17" borderId="0" xfId="0" applyNumberFormat="1" applyFont="1" applyFill="1" applyBorder="1"/>
    <xf numFmtId="1" fontId="6" fillId="17" borderId="0" xfId="0" applyNumberFormat="1" applyFont="1" applyFill="1" applyBorder="1"/>
    <xf numFmtId="1" fontId="4" fillId="17" borderId="0" xfId="0" applyNumberFormat="1" applyFont="1" applyFill="1" applyBorder="1"/>
    <xf numFmtId="2" fontId="4" fillId="20" borderId="0" xfId="0" applyNumberFormat="1" applyFont="1" applyFill="1" applyBorder="1"/>
    <xf numFmtId="16" fontId="4" fillId="20" borderId="0" xfId="0" applyNumberFormat="1" applyFont="1" applyFill="1" applyBorder="1"/>
    <xf numFmtId="1" fontId="8" fillId="17" borderId="0" xfId="0" applyNumberFormat="1" applyFont="1" applyFill="1" applyBorder="1"/>
    <xf numFmtId="0" fontId="1" fillId="21" borderId="0" xfId="0" applyFont="1" applyFill="1" applyBorder="1"/>
    <xf numFmtId="0" fontId="9" fillId="20" borderId="0" xfId="0" applyFont="1" applyFill="1" applyBorder="1" applyAlignment="1">
      <alignment horizontal="right"/>
    </xf>
    <xf numFmtId="1" fontId="9" fillId="20" borderId="0" xfId="0" applyNumberFormat="1" applyFont="1" applyFill="1" applyBorder="1"/>
    <xf numFmtId="1" fontId="9" fillId="20" borderId="0" xfId="0" applyNumberFormat="1" applyFont="1" applyFill="1" applyBorder="1" applyAlignment="1">
      <alignment horizontal="right"/>
    </xf>
    <xf numFmtId="1" fontId="4" fillId="20" borderId="0" xfId="0" applyNumberFormat="1" applyFont="1" applyFill="1" applyBorder="1" applyAlignment="1">
      <alignment horizontal="right"/>
    </xf>
    <xf numFmtId="49" fontId="8" fillId="20" borderId="0" xfId="0" applyNumberFormat="1" applyFont="1" applyFill="1" applyBorder="1" applyAlignment="1">
      <alignment horizontal="center"/>
    </xf>
    <xf numFmtId="165" fontId="3" fillId="0" borderId="0" xfId="0" applyNumberFormat="1" applyFont="1" applyBorder="1"/>
    <xf numFmtId="166" fontId="3" fillId="0" borderId="0" xfId="0" applyNumberFormat="1" applyFont="1" applyBorder="1"/>
    <xf numFmtId="0" fontId="4" fillId="18" borderId="0" xfId="0" applyFont="1" applyFill="1" applyBorder="1" applyAlignment="1">
      <alignment horizontal="center"/>
    </xf>
    <xf numFmtId="0" fontId="10" fillId="0" borderId="0" xfId="0" applyFont="1" applyBorder="1"/>
    <xf numFmtId="165" fontId="10" fillId="0" borderId="0" xfId="0" applyNumberFormat="1" applyFont="1" applyBorder="1"/>
    <xf numFmtId="1" fontId="4" fillId="0" borderId="0" xfId="0" applyNumberFormat="1" applyFont="1" applyBorder="1"/>
    <xf numFmtId="0" fontId="4" fillId="0" borderId="0" xfId="0" applyFont="1" applyBorder="1"/>
    <xf numFmtId="2" fontId="4" fillId="0" borderId="0" xfId="0" applyNumberFormat="1" applyFont="1" applyBorder="1"/>
    <xf numFmtId="0" fontId="11" fillId="17" borderId="0" xfId="0" applyFont="1" applyFill="1" applyBorder="1"/>
    <xf numFmtId="0" fontId="11" fillId="20" borderId="0" xfId="0" applyFont="1" applyFill="1" applyBorder="1"/>
    <xf numFmtId="0" fontId="12" fillId="20" borderId="0" xfId="0" applyFont="1" applyFill="1" applyBorder="1"/>
    <xf numFmtId="1" fontId="10" fillId="0" borderId="0" xfId="0" applyNumberFormat="1" applyFont="1" applyBorder="1"/>
    <xf numFmtId="2" fontId="3" fillId="0" borderId="0" xfId="0" applyNumberFormat="1" applyFont="1" applyBorder="1"/>
    <xf numFmtId="2" fontId="3" fillId="0" borderId="0" xfId="0" applyNumberFormat="1" applyFont="1" applyFill="1" applyBorder="1"/>
    <xf numFmtId="0" fontId="1" fillId="0" borderId="0" xfId="0" applyFont="1" applyBorder="1"/>
    <xf numFmtId="0" fontId="3" fillId="0" borderId="0" xfId="0" applyFont="1" applyFill="1" applyBorder="1"/>
    <xf numFmtId="1" fontId="3" fillId="0" borderId="0" xfId="0" applyNumberFormat="1" applyFont="1" applyFill="1" applyBorder="1"/>
    <xf numFmtId="0" fontId="8" fillId="17" borderId="0" xfId="0" applyFont="1" applyFill="1" applyBorder="1"/>
    <xf numFmtId="2" fontId="8" fillId="17" borderId="0" xfId="0" applyNumberFormat="1" applyFont="1" applyFill="1" applyBorder="1"/>
    <xf numFmtId="0" fontId="8" fillId="18" borderId="0" xfId="0" applyFont="1" applyFill="1" applyBorder="1"/>
    <xf numFmtId="2" fontId="8" fillId="18" borderId="0" xfId="0" applyNumberFormat="1" applyFont="1" applyFill="1" applyBorder="1"/>
    <xf numFmtId="1" fontId="8" fillId="18" borderId="0" xfId="0" applyNumberFormat="1" applyFont="1" applyFill="1" applyBorder="1"/>
    <xf numFmtId="16" fontId="1" fillId="20" borderId="0" xfId="0" applyNumberFormat="1" applyFont="1" applyFill="1" applyBorder="1"/>
    <xf numFmtId="1" fontId="13" fillId="0" borderId="0" xfId="0" applyNumberFormat="1" applyFont="1" applyBorder="1"/>
    <xf numFmtId="16" fontId="1" fillId="0" borderId="0" xfId="0" applyNumberFormat="1" applyFont="1" applyBorder="1"/>
    <xf numFmtId="1" fontId="7" fillId="18" borderId="0" xfId="0" applyNumberFormat="1" applyFont="1" applyFill="1" applyBorder="1"/>
    <xf numFmtId="0" fontId="9" fillId="20" borderId="0" xfId="0" applyFont="1" applyFill="1" applyBorder="1" applyAlignment="1">
      <alignment horizontal="center"/>
    </xf>
    <xf numFmtId="0" fontId="9" fillId="20" borderId="0" xfId="0" applyFont="1" applyFill="1" applyBorder="1"/>
    <xf numFmtId="0" fontId="14" fillId="17" borderId="0" xfId="0" applyFont="1" applyFill="1" applyBorder="1" applyAlignment="1">
      <alignment horizontal="center"/>
    </xf>
    <xf numFmtId="0" fontId="1" fillId="17" borderId="0" xfId="0" applyFont="1" applyFill="1" applyBorder="1"/>
    <xf numFmtId="15" fontId="1" fillId="17" borderId="0" xfId="0" applyNumberFormat="1" applyFont="1" applyFill="1" applyBorder="1"/>
    <xf numFmtId="1" fontId="7" fillId="17" borderId="0" xfId="0" applyNumberFormat="1" applyFont="1" applyFill="1" applyBorder="1"/>
    <xf numFmtId="0" fontId="1" fillId="18" borderId="0" xfId="0" applyFont="1" applyFill="1" applyBorder="1"/>
    <xf numFmtId="15" fontId="1" fillId="18" borderId="0" xfId="0" applyNumberFormat="1" applyFont="1" applyFill="1" applyBorder="1"/>
    <xf numFmtId="2" fontId="3" fillId="18" borderId="0" xfId="0" applyNumberFormat="1" applyFont="1" applyFill="1" applyBorder="1"/>
    <xf numFmtId="0" fontId="7" fillId="18" borderId="0" xfId="0" applyFont="1" applyFill="1" applyBorder="1"/>
    <xf numFmtId="16" fontId="7" fillId="18" borderId="0" xfId="0" applyNumberFormat="1" applyFont="1" applyFill="1" applyBorder="1"/>
    <xf numFmtId="1" fontId="9" fillId="18" borderId="0" xfId="0" applyNumberFormat="1" applyFont="1" applyFill="1" applyBorder="1"/>
    <xf numFmtId="0" fontId="4" fillId="18" borderId="0" xfId="0" applyFont="1" applyFill="1" applyBorder="1" applyAlignment="1">
      <alignment horizontal="right"/>
    </xf>
    <xf numFmtId="2" fontId="4" fillId="18" borderId="0" xfId="0" applyNumberFormat="1" applyFont="1" applyFill="1" applyBorder="1" applyAlignment="1">
      <alignment horizontal="right"/>
    </xf>
    <xf numFmtId="0" fontId="4" fillId="17" borderId="0" xfId="0" applyFont="1" applyFill="1" applyBorder="1" applyAlignment="1">
      <alignment horizontal="right"/>
    </xf>
    <xf numFmtId="0" fontId="4" fillId="17" borderId="0" xfId="0" applyFont="1" applyFill="1" applyBorder="1" applyAlignment="1">
      <alignment horizontal="center"/>
    </xf>
    <xf numFmtId="16" fontId="8" fillId="17" borderId="0" xfId="0" applyNumberFormat="1" applyFont="1" applyFill="1" applyBorder="1"/>
    <xf numFmtId="1" fontId="11" fillId="17" borderId="0" xfId="0" applyNumberFormat="1" applyFont="1" applyFill="1" applyBorder="1"/>
    <xf numFmtId="0" fontId="5" fillId="17" borderId="0" xfId="0" applyFont="1" applyFill="1" applyBorder="1"/>
    <xf numFmtId="0" fontId="1" fillId="20" borderId="0" xfId="0" applyFont="1" applyFill="1" applyBorder="1"/>
    <xf numFmtId="0" fontId="3" fillId="17" borderId="0" xfId="0" applyFont="1" applyFill="1" applyBorder="1" applyAlignment="1">
      <alignment horizontal="center"/>
    </xf>
    <xf numFmtId="0" fontId="1" fillId="20" borderId="0" xfId="0" applyFont="1" applyFill="1"/>
    <xf numFmtId="0" fontId="15" fillId="20" borderId="0" xfId="0" applyFont="1" applyFill="1" applyBorder="1"/>
    <xf numFmtId="1" fontId="1" fillId="18" borderId="0" xfId="0" applyNumberFormat="1" applyFont="1" applyFill="1" applyBorder="1"/>
    <xf numFmtId="0" fontId="15" fillId="0" borderId="0" xfId="0" applyFont="1" applyBorder="1"/>
    <xf numFmtId="0" fontId="1" fillId="0" borderId="0" xfId="0" applyFont="1" applyBorder="1" applyAlignment="1">
      <alignment horizontal="right"/>
    </xf>
    <xf numFmtId="2" fontId="1" fillId="0" borderId="0" xfId="0" applyNumberFormat="1" applyFont="1" applyBorder="1"/>
    <xf numFmtId="1" fontId="1" fillId="0" borderId="0" xfId="0" applyNumberFormat="1" applyFont="1" applyBorder="1"/>
    <xf numFmtId="1" fontId="1" fillId="20" borderId="0" xfId="0" applyNumberFormat="1" applyFont="1" applyFill="1" applyBorder="1"/>
    <xf numFmtId="0" fontId="1" fillId="0" borderId="0" xfId="0" applyFont="1" applyFill="1" applyBorder="1"/>
    <xf numFmtId="15" fontId="3" fillId="18" borderId="0" xfId="0" applyNumberFormat="1" applyFont="1" applyFill="1" applyBorder="1"/>
    <xf numFmtId="0" fontId="15" fillId="0" borderId="0" xfId="0" applyFont="1" applyFill="1" applyBorder="1"/>
    <xf numFmtId="167" fontId="3" fillId="0" borderId="0" xfId="0" applyNumberFormat="1" applyFont="1" applyBorder="1"/>
    <xf numFmtId="165" fontId="15" fillId="20" borderId="0" xfId="0" applyNumberFormat="1" applyFont="1" applyFill="1" applyBorder="1"/>
    <xf numFmtId="0" fontId="3" fillId="0" borderId="0" xfId="0" applyFont="1" applyFill="1" applyBorder="1" applyAlignment="1">
      <alignment horizontal="right"/>
    </xf>
    <xf numFmtId="0" fontId="0" fillId="18" borderId="0" xfId="0" applyFill="1"/>
    <xf numFmtId="0" fontId="0" fillId="17" borderId="0" xfId="0" applyFill="1"/>
    <xf numFmtId="0" fontId="3" fillId="0" borderId="0" xfId="0" applyNumberFormat="1" applyFont="1" applyBorder="1" applyAlignment="1">
      <alignment horizontal="center"/>
    </xf>
    <xf numFmtId="165" fontId="3" fillId="0" borderId="0" xfId="0" applyNumberFormat="1" applyFont="1" applyFill="1" applyBorder="1" applyAlignment="1">
      <alignment horizontal="center"/>
    </xf>
    <xf numFmtId="168" fontId="4" fillId="17" borderId="0" xfId="0" applyNumberFormat="1" applyFont="1" applyFill="1" applyBorder="1" applyAlignment="1">
      <alignment horizontal="center"/>
    </xf>
    <xf numFmtId="0" fontId="1" fillId="17" borderId="0" xfId="0" applyFont="1" applyFill="1"/>
    <xf numFmtId="164" fontId="1" fillId="0" borderId="0" xfId="0" applyNumberFormat="1" applyFont="1" applyBorder="1" applyAlignment="1">
      <alignment horizontal="right"/>
    </xf>
    <xf numFmtId="164" fontId="1" fillId="0" borderId="0" xfId="0" applyNumberFormat="1" applyFont="1" applyBorder="1"/>
    <xf numFmtId="0" fontId="5" fillId="18" borderId="0" xfId="0" applyFont="1" applyFill="1"/>
    <xf numFmtId="2" fontId="0" fillId="0" borderId="0" xfId="0" applyNumberFormat="1"/>
    <xf numFmtId="0" fontId="15" fillId="20" borderId="0" xfId="0" applyFont="1" applyFill="1" applyAlignment="1">
      <alignment horizontal="center"/>
    </xf>
    <xf numFmtId="0" fontId="1" fillId="21" borderId="0" xfId="0" applyFont="1" applyFill="1"/>
    <xf numFmtId="2" fontId="1" fillId="20" borderId="0" xfId="0" applyNumberFormat="1" applyFont="1" applyFill="1"/>
    <xf numFmtId="2" fontId="19" fillId="0" borderId="0" xfId="0" applyNumberFormat="1" applyFont="1" applyBorder="1"/>
    <xf numFmtId="0" fontId="1" fillId="0" borderId="0" xfId="0" applyFont="1" applyFill="1"/>
    <xf numFmtId="0" fontId="18" fillId="22" borderId="0" xfId="0" applyFont="1" applyFill="1" applyBorder="1"/>
    <xf numFmtId="0" fontId="15" fillId="22" borderId="0" xfId="0" applyFont="1" applyFill="1" applyBorder="1"/>
    <xf numFmtId="164" fontId="3" fillId="20" borderId="0" xfId="0" applyNumberFormat="1" applyFont="1" applyFill="1" applyBorder="1"/>
    <xf numFmtId="0" fontId="3" fillId="23" borderId="0" xfId="0" applyFont="1" applyFill="1" applyBorder="1"/>
    <xf numFmtId="16" fontId="9" fillId="20" borderId="0" xfId="0" applyNumberFormat="1" applyFont="1" applyFill="1" applyBorder="1"/>
    <xf numFmtId="2" fontId="3" fillId="24" borderId="0" xfId="0" applyNumberFormat="1" applyFont="1" applyFill="1" applyBorder="1"/>
    <xf numFmtId="0" fontId="3" fillId="24" borderId="0" xfId="0" applyFont="1" applyFill="1" applyBorder="1"/>
    <xf numFmtId="1" fontId="3" fillId="24" borderId="0" xfId="0" applyNumberFormat="1" applyFont="1" applyFill="1" applyBorder="1"/>
    <xf numFmtId="1" fontId="4" fillId="18" borderId="0" xfId="0" applyNumberFormat="1" applyFont="1" applyFill="1" applyBorder="1" applyAlignment="1">
      <alignment horizontal="center"/>
    </xf>
    <xf numFmtId="0" fontId="21" fillId="20" borderId="0" xfId="0" applyFont="1" applyFill="1"/>
    <xf numFmtId="0" fontId="3" fillId="17" borderId="0" xfId="0" applyFont="1" applyFill="1" applyBorder="1" applyAlignment="1">
      <alignment horizontal="right"/>
    </xf>
    <xf numFmtId="0" fontId="3" fillId="20" borderId="0" xfId="0" applyFont="1" applyFill="1" applyBorder="1" applyAlignment="1">
      <alignment horizontal="center"/>
    </xf>
    <xf numFmtId="1" fontId="3" fillId="20" borderId="0" xfId="0" applyNumberFormat="1" applyFont="1" applyFill="1" applyBorder="1" applyAlignment="1">
      <alignment horizontal="center"/>
    </xf>
    <xf numFmtId="0" fontId="1" fillId="23" borderId="0" xfId="0" applyFont="1" applyFill="1"/>
    <xf numFmtId="2" fontId="8" fillId="0" borderId="0" xfId="0" applyNumberFormat="1" applyFont="1" applyBorder="1"/>
    <xf numFmtId="1" fontId="22" fillId="20" borderId="0" xfId="0" applyNumberFormat="1" applyFont="1" applyFill="1" applyBorder="1"/>
    <xf numFmtId="0" fontId="23" fillId="20" borderId="0" xfId="0" applyFont="1" applyFill="1" applyAlignment="1">
      <alignment horizontal="center"/>
    </xf>
    <xf numFmtId="0" fontId="8" fillId="18" borderId="0" xfId="0" applyFont="1" applyFill="1" applyBorder="1" applyAlignment="1">
      <alignment horizontal="center"/>
    </xf>
    <xf numFmtId="0" fontId="3" fillId="18" borderId="0" xfId="0" applyFont="1" applyFill="1" applyBorder="1" applyAlignment="1">
      <alignment horizontal="center"/>
    </xf>
    <xf numFmtId="0" fontId="1" fillId="18" borderId="0" xfId="0" applyFont="1" applyFill="1" applyAlignment="1">
      <alignment horizontal="center"/>
    </xf>
    <xf numFmtId="0" fontId="17" fillId="18" borderId="0" xfId="34" applyFont="1" applyFill="1" applyBorder="1" applyAlignment="1" applyProtection="1">
      <alignment horizontal="center"/>
    </xf>
    <xf numFmtId="0" fontId="3" fillId="25" borderId="0" xfId="0" applyFont="1" applyFill="1" applyBorder="1"/>
    <xf numFmtId="1" fontId="3" fillId="25" borderId="0" xfId="0" applyNumberFormat="1" applyFont="1" applyFill="1" applyBorder="1"/>
    <xf numFmtId="2" fontId="3" fillId="25" borderId="0" xfId="0" applyNumberFormat="1" applyFont="1" applyFill="1" applyBorder="1"/>
    <xf numFmtId="1" fontId="7" fillId="25" borderId="0" xfId="0" applyNumberFormat="1" applyFont="1" applyFill="1" applyBorder="1"/>
    <xf numFmtId="0" fontId="1" fillId="25" borderId="0" xfId="0" applyFont="1" applyFill="1"/>
    <xf numFmtId="0" fontId="14" fillId="25" borderId="0" xfId="0" applyFont="1" applyFill="1" applyBorder="1" applyAlignment="1">
      <alignment horizontal="center"/>
    </xf>
    <xf numFmtId="0" fontId="1" fillId="25" borderId="0" xfId="0" applyFont="1" applyFill="1" applyBorder="1"/>
    <xf numFmtId="15" fontId="1" fillId="25" borderId="0" xfId="0" applyNumberFormat="1" applyFont="1" applyFill="1" applyBorder="1"/>
    <xf numFmtId="1" fontId="7" fillId="20" borderId="0" xfId="0" applyNumberFormat="1" applyFont="1" applyFill="1" applyBorder="1"/>
    <xf numFmtId="2" fontId="7" fillId="20" borderId="0" xfId="0" applyNumberFormat="1" applyFont="1" applyFill="1" applyBorder="1"/>
    <xf numFmtId="0" fontId="1" fillId="20" borderId="0" xfId="0" applyFont="1" applyFill="1" applyAlignment="1">
      <alignment horizontal="center"/>
    </xf>
    <xf numFmtId="0" fontId="23" fillId="25" borderId="0" xfId="0" applyFont="1" applyFill="1"/>
    <xf numFmtId="1" fontId="1" fillId="18" borderId="0" xfId="0" applyNumberFormat="1" applyFont="1" applyFill="1" applyAlignment="1">
      <alignment horizontal="center"/>
    </xf>
    <xf numFmtId="1" fontId="20" fillId="18" borderId="0" xfId="39" applyNumberFormat="1" applyFill="1" applyAlignment="1" applyProtection="1">
      <alignment horizontal="center"/>
    </xf>
    <xf numFmtId="166" fontId="1" fillId="18" borderId="0" xfId="0" applyNumberFormat="1" applyFont="1" applyFill="1" applyAlignment="1">
      <alignment horizontal="center"/>
    </xf>
    <xf numFmtId="166" fontId="20" fillId="0" borderId="0" xfId="39" applyNumberFormat="1" applyAlignment="1" applyProtection="1">
      <alignment horizontal="center"/>
    </xf>
    <xf numFmtId="167" fontId="1" fillId="18" borderId="0" xfId="0" applyNumberFormat="1" applyFont="1" applyFill="1"/>
    <xf numFmtId="2" fontId="0" fillId="20" borderId="0" xfId="0" applyNumberFormat="1" applyFill="1"/>
    <xf numFmtId="2" fontId="20" fillId="18" borderId="0" xfId="38" applyNumberFormat="1" applyFill="1" applyAlignment="1" applyProtection="1">
      <alignment horizontal="left"/>
    </xf>
    <xf numFmtId="2" fontId="20" fillId="18" borderId="0" xfId="38" applyNumberFormat="1" applyFill="1" applyAlignment="1">
      <alignment horizontal="left"/>
    </xf>
    <xf numFmtId="166" fontId="20" fillId="18" borderId="0" xfId="39" applyNumberFormat="1" applyFill="1" applyAlignment="1" applyProtection="1">
      <alignment horizontal="center"/>
    </xf>
    <xf numFmtId="166" fontId="20" fillId="18" borderId="0" xfId="38" applyNumberFormat="1" applyFill="1" applyAlignment="1" applyProtection="1">
      <alignment horizontal="center"/>
    </xf>
    <xf numFmtId="0" fontId="9" fillId="18" borderId="0" xfId="0" applyFont="1" applyFill="1" applyBorder="1"/>
    <xf numFmtId="1" fontId="9" fillId="18" borderId="0" xfId="0" applyNumberFormat="1" applyFont="1" applyFill="1" applyBorder="1" applyAlignment="1">
      <alignment horizontal="right"/>
    </xf>
    <xf numFmtId="1" fontId="4" fillId="18" borderId="0" xfId="0" applyNumberFormat="1" applyFont="1" applyFill="1" applyBorder="1" applyAlignment="1">
      <alignment horizontal="right"/>
    </xf>
    <xf numFmtId="16" fontId="1" fillId="18" borderId="0" xfId="0" applyNumberFormat="1" applyFont="1" applyFill="1"/>
    <xf numFmtId="171" fontId="1" fillId="18" borderId="0" xfId="0" applyNumberFormat="1" applyFont="1" applyFill="1"/>
    <xf numFmtId="167" fontId="3" fillId="0" borderId="0" xfId="0" applyNumberFormat="1" applyFont="1" applyBorder="1" applyAlignment="1">
      <alignment horizontal="right"/>
    </xf>
    <xf numFmtId="165" fontId="1" fillId="0" borderId="0" xfId="0" applyNumberFormat="1" applyFont="1" applyFill="1"/>
    <xf numFmtId="165" fontId="3" fillId="20" borderId="0" xfId="0" applyNumberFormat="1" applyFont="1" applyFill="1" applyBorder="1"/>
    <xf numFmtId="1" fontId="1" fillId="25" borderId="0" xfId="0" applyNumberFormat="1" applyFont="1" applyFill="1" applyBorder="1"/>
    <xf numFmtId="0" fontId="41" fillId="26" borderId="10" xfId="0" applyFont="1" applyFill="1" applyBorder="1" applyAlignment="1">
      <alignment horizontal="center"/>
    </xf>
    <xf numFmtId="0" fontId="41" fillId="0" borderId="0" xfId="0" applyFont="1"/>
    <xf numFmtId="0" fontId="9" fillId="26" borderId="0" xfId="0" applyFont="1" applyFill="1" applyBorder="1"/>
    <xf numFmtId="170" fontId="9" fillId="27" borderId="0" xfId="0" applyNumberFormat="1" applyFont="1" applyFill="1" applyBorder="1"/>
    <xf numFmtId="0" fontId="4" fillId="23" borderId="0" xfId="0" applyFont="1" applyFill="1" applyBorder="1"/>
    <xf numFmtId="0" fontId="1" fillId="26" borderId="10" xfId="0" applyFont="1" applyFill="1" applyBorder="1"/>
    <xf numFmtId="0" fontId="0" fillId="26" borderId="10" xfId="0" applyFill="1" applyBorder="1"/>
    <xf numFmtId="0" fontId="0" fillId="27" borderId="10" xfId="0" applyFill="1" applyBorder="1"/>
    <xf numFmtId="0" fontId="9" fillId="26" borderId="10" xfId="0" applyFont="1" applyFill="1" applyBorder="1"/>
    <xf numFmtId="171" fontId="1" fillId="26" borderId="10" xfId="0" applyNumberFormat="1" applyFont="1" applyFill="1" applyBorder="1"/>
    <xf numFmtId="16" fontId="1" fillId="27" borderId="10" xfId="0" applyNumberFormat="1" applyFont="1" applyFill="1" applyBorder="1"/>
    <xf numFmtId="16" fontId="0" fillId="0" borderId="0" xfId="0" applyNumberFormat="1"/>
    <xf numFmtId="0" fontId="1" fillId="28" borderId="0" xfId="0" applyFont="1" applyFill="1" applyBorder="1" applyAlignment="1">
      <alignment horizontal="center"/>
    </xf>
    <xf numFmtId="0" fontId="3" fillId="28" borderId="0" xfId="0" applyFont="1" applyFill="1" applyBorder="1" applyAlignment="1">
      <alignment horizontal="center"/>
    </xf>
    <xf numFmtId="0" fontId="3" fillId="28" borderId="0" xfId="0" applyFont="1" applyFill="1" applyBorder="1"/>
    <xf numFmtId="0" fontId="0" fillId="29" borderId="10" xfId="0" applyFill="1" applyBorder="1"/>
    <xf numFmtId="0" fontId="1" fillId="29" borderId="10" xfId="0" applyFont="1" applyFill="1" applyBorder="1"/>
    <xf numFmtId="0" fontId="1" fillId="29" borderId="0" xfId="0" applyFont="1" applyFill="1"/>
    <xf numFmtId="16" fontId="1" fillId="29" borderId="10" xfId="0" applyNumberFormat="1" applyFont="1" applyFill="1" applyBorder="1"/>
    <xf numFmtId="0" fontId="9" fillId="29" borderId="10" xfId="0" applyFont="1" applyFill="1" applyBorder="1"/>
    <xf numFmtId="170" fontId="1" fillId="29" borderId="10" xfId="0" applyNumberFormat="1" applyFont="1" applyFill="1" applyBorder="1"/>
    <xf numFmtId="171" fontId="1" fillId="29" borderId="10" xfId="0" applyNumberFormat="1" applyFont="1" applyFill="1" applyBorder="1"/>
    <xf numFmtId="16" fontId="1" fillId="29" borderId="0" xfId="0" applyNumberFormat="1" applyFont="1" applyFill="1"/>
    <xf numFmtId="171" fontId="1" fillId="29" borderId="0" xfId="0" applyNumberFormat="1" applyFont="1" applyFill="1"/>
    <xf numFmtId="0" fontId="1" fillId="29" borderId="0" xfId="0" applyFont="1" applyFill="1" applyBorder="1"/>
    <xf numFmtId="1" fontId="1" fillId="29" borderId="0" xfId="0" applyNumberFormat="1" applyFont="1" applyFill="1" applyBorder="1"/>
    <xf numFmtId="0" fontId="9" fillId="0" borderId="0" xfId="0" applyFont="1" applyFill="1" applyBorder="1"/>
    <xf numFmtId="0" fontId="0" fillId="32" borderId="0" xfId="0" applyFill="1"/>
    <xf numFmtId="0" fontId="1" fillId="32" borderId="10" xfId="0" applyFont="1" applyFill="1" applyBorder="1"/>
    <xf numFmtId="2" fontId="3" fillId="29" borderId="0" xfId="0" applyNumberFormat="1" applyFont="1" applyFill="1" applyBorder="1"/>
    <xf numFmtId="0" fontId="0" fillId="30" borderId="0" xfId="0" applyFill="1"/>
    <xf numFmtId="0" fontId="1" fillId="31" borderId="13" xfId="0" applyFont="1" applyFill="1" applyBorder="1" applyAlignment="1"/>
    <xf numFmtId="0" fontId="1" fillId="31" borderId="14" xfId="0" applyFont="1" applyFill="1" applyBorder="1" applyAlignment="1"/>
    <xf numFmtId="0" fontId="1" fillId="33" borderId="0" xfId="0" applyFont="1" applyFill="1"/>
    <xf numFmtId="0" fontId="1" fillId="34" borderId="10" xfId="0" applyFont="1" applyFill="1" applyBorder="1"/>
    <xf numFmtId="0" fontId="1" fillId="31" borderId="14" xfId="0" applyFont="1" applyFill="1" applyBorder="1" applyAlignment="1">
      <alignment horizontal="center"/>
    </xf>
    <xf numFmtId="164" fontId="1" fillId="31" borderId="14" xfId="0" applyNumberFormat="1" applyFont="1" applyFill="1" applyBorder="1" applyAlignment="1"/>
    <xf numFmtId="164" fontId="3" fillId="20" borderId="11" xfId="0" applyNumberFormat="1" applyFont="1" applyFill="1" applyBorder="1"/>
    <xf numFmtId="0" fontId="3" fillId="20" borderId="11" xfId="0" applyFont="1" applyFill="1" applyBorder="1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3" fillId="20" borderId="0" xfId="0" applyFont="1" applyFill="1" applyBorder="1" applyAlignment="1">
      <alignment horizontal="center"/>
    </xf>
    <xf numFmtId="0" fontId="1" fillId="20" borderId="0" xfId="0" applyFont="1" applyFill="1" applyAlignment="1">
      <alignment horizontal="center"/>
    </xf>
    <xf numFmtId="0" fontId="18" fillId="29" borderId="0" xfId="0" applyFont="1" applyFill="1" applyBorder="1" applyAlignment="1">
      <alignment horizontal="center"/>
    </xf>
    <xf numFmtId="0" fontId="1" fillId="33" borderId="12" xfId="0" applyFont="1" applyFill="1" applyBorder="1" applyAlignment="1">
      <alignment horizontal="center"/>
    </xf>
    <xf numFmtId="0" fontId="43" fillId="20" borderId="12" xfId="0" applyFont="1" applyFill="1" applyBorder="1" applyAlignment="1">
      <alignment horizontal="center"/>
    </xf>
    <xf numFmtId="0" fontId="4" fillId="20" borderId="12" xfId="0" applyFont="1" applyFill="1" applyBorder="1" applyAlignment="1">
      <alignment horizontal="center"/>
    </xf>
    <xf numFmtId="0" fontId="43" fillId="19" borderId="0" xfId="0" applyFont="1" applyFill="1" applyBorder="1" applyAlignment="1">
      <alignment horizontal="center"/>
    </xf>
  </cellXfs>
  <cellStyles count="45">
    <cellStyle name="Accent1" xfId="1" builtinId="29" customBuiltin="1"/>
    <cellStyle name="Accent1 - 20%" xfId="2"/>
    <cellStyle name="Accent1 - 40%" xfId="3"/>
    <cellStyle name="Accent1 - 60%" xfId="4"/>
    <cellStyle name="Accent2" xfId="5" builtinId="33" customBuiltin="1"/>
    <cellStyle name="Accent2 - 20%" xfId="6"/>
    <cellStyle name="Accent2 - 40%" xfId="7"/>
    <cellStyle name="Accent2 - 60%" xfId="8"/>
    <cellStyle name="Accent3" xfId="9" builtinId="37" customBuiltin="1"/>
    <cellStyle name="Accent3 - 20%" xfId="10"/>
    <cellStyle name="Accent3 - 40%" xfId="11"/>
    <cellStyle name="Accent3 - 60%" xfId="12"/>
    <cellStyle name="Accent4" xfId="13" builtinId="41" customBuiltin="1"/>
    <cellStyle name="Accent4 - 20%" xfId="14"/>
    <cellStyle name="Accent4 - 40%" xfId="15"/>
    <cellStyle name="Accent4 - 60%" xfId="16"/>
    <cellStyle name="Accent5" xfId="17" builtinId="45" customBuiltin="1"/>
    <cellStyle name="Accent5 - 20%" xfId="18"/>
    <cellStyle name="Accent5 - 40%" xfId="19"/>
    <cellStyle name="Accent5 - 60%" xfId="20"/>
    <cellStyle name="Accent6" xfId="21" builtinId="49" customBuiltin="1"/>
    <cellStyle name="Accent6 - 20%" xfId="22"/>
    <cellStyle name="Accent6 - 40%" xfId="23"/>
    <cellStyle name="Accent6 - 60%" xfId="24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Hyperlink" xfId="34" builtinId="8"/>
    <cellStyle name="Input" xfId="35" builtinId="20" customBuiltin="1"/>
    <cellStyle name="Linked Cell" xfId="36" builtinId="24" customBuiltin="1"/>
    <cellStyle name="Neutral" xfId="37" builtinId="28" customBuiltin="1"/>
    <cellStyle name="Normal" xfId="0" builtinId="0"/>
    <cellStyle name="Normal_Cobble Gravel" xfId="38"/>
    <cellStyle name="Normal_template_12dates" xfId="39"/>
    <cellStyle name="Note" xfId="40" builtinId="10" customBuiltin="1"/>
    <cellStyle name="Output" xfId="41" builtinId="21" customBuiltin="1"/>
    <cellStyle name="Sheet Title" xfId="42"/>
    <cellStyle name="Total" xfId="43" builtinId="25" customBuiltin="1"/>
    <cellStyle name="Warning Text" xfId="44" builtinId="11" customBuiltin="1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66"/>
    </mruColors>
  </color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GN1338"/>
  <sheetViews>
    <sheetView tabSelected="1" topLeftCell="FA5" zoomScale="85" zoomScaleNormal="85" workbookViewId="0">
      <selection activeCell="FH6" sqref="FH6:FN16"/>
    </sheetView>
  </sheetViews>
  <sheetFormatPr defaultColWidth="8.85546875" defaultRowHeight="12.75"/>
  <cols>
    <col min="1" max="1" width="41.42578125" style="8" customWidth="1"/>
    <col min="2" max="2" width="9.28515625" style="8" bestFit="1" customWidth="1"/>
    <col min="3" max="3" width="17.7109375" style="8" customWidth="1"/>
    <col min="4" max="4" width="20.28515625" style="8" customWidth="1"/>
    <col min="5" max="5" width="14" style="8" customWidth="1"/>
    <col min="6" max="6" width="14.28515625" style="8" customWidth="1"/>
    <col min="7" max="7" width="26.140625" style="8" customWidth="1"/>
    <col min="8" max="8" width="17.85546875" style="8" customWidth="1"/>
    <col min="9" max="9" width="15.42578125" style="8" customWidth="1"/>
    <col min="10" max="10" width="19.42578125" style="8" customWidth="1"/>
    <col min="11" max="11" width="21.28515625" style="8" customWidth="1"/>
    <col min="12" max="12" width="11" style="8" bestFit="1" customWidth="1"/>
    <col min="13" max="13" width="13.42578125" style="8" customWidth="1"/>
    <col min="14" max="14" width="9.42578125" style="8" bestFit="1" customWidth="1"/>
    <col min="15" max="15" width="9.85546875" style="8" bestFit="1" customWidth="1"/>
    <col min="16" max="16" width="15" style="8" customWidth="1"/>
    <col min="17" max="18" width="11.42578125" style="8" customWidth="1"/>
    <col min="19" max="19" width="9.42578125" style="8" bestFit="1" customWidth="1"/>
    <col min="20" max="20" width="14.140625" style="8" customWidth="1"/>
    <col min="21" max="21" width="14.5703125" style="8" customWidth="1"/>
    <col min="22" max="22" width="17.28515625" style="8" customWidth="1"/>
    <col min="23" max="23" width="20.28515625" style="8" customWidth="1"/>
    <col min="24" max="35" width="9.42578125" style="8" bestFit="1" customWidth="1"/>
    <col min="36" max="39" width="8.85546875" style="8"/>
    <col min="40" max="40" width="12.28515625" style="8" customWidth="1"/>
    <col min="41" max="41" width="9.7109375" style="8" customWidth="1"/>
    <col min="42" max="42" width="10.140625" style="8" customWidth="1"/>
    <col min="43" max="43" width="13.7109375" style="8" customWidth="1"/>
    <col min="44" max="49" width="8.85546875" style="8"/>
    <col min="50" max="50" width="22.85546875" style="8" customWidth="1"/>
    <col min="51" max="52" width="8.85546875" style="8"/>
    <col min="53" max="53" width="12.85546875" style="8" customWidth="1"/>
    <col min="54" max="84" width="8.85546875" style="8"/>
    <col min="85" max="85" width="15.28515625" style="8" customWidth="1"/>
    <col min="86" max="87" width="8.85546875" style="8"/>
    <col min="88" max="88" width="29.7109375" style="8" customWidth="1"/>
    <col min="89" max="91" width="8.85546875" style="8"/>
    <col min="92" max="92" width="7.42578125" style="8" customWidth="1"/>
    <col min="93" max="93" width="5.42578125" style="8" customWidth="1"/>
    <col min="94" max="94" width="6.140625" style="8" customWidth="1"/>
    <col min="95" max="95" width="5.28515625" style="8" customWidth="1"/>
    <col min="96" max="96" width="4" style="8" customWidth="1"/>
    <col min="97" max="97" width="6" style="8" customWidth="1"/>
    <col min="98" max="98" width="6.140625" style="8" customWidth="1"/>
    <col min="99" max="99" width="5.42578125" style="8" customWidth="1"/>
    <col min="100" max="100" width="8.85546875" style="8"/>
    <col min="101" max="101" width="17.140625" style="8" customWidth="1"/>
    <col min="102" max="104" width="18.140625" style="8" customWidth="1"/>
    <col min="105" max="105" width="17.42578125" style="8" customWidth="1"/>
    <col min="106" max="106" width="24.42578125" style="8" customWidth="1"/>
    <col min="107" max="137" width="8.85546875" style="8"/>
    <col min="138" max="138" width="7.140625" style="8" customWidth="1"/>
    <col min="139" max="140" width="8.85546875" style="8"/>
    <col min="141" max="141" width="19" style="8" customWidth="1"/>
    <col min="142" max="144" width="8.85546875" style="8"/>
    <col min="145" max="145" width="20.85546875" style="8" customWidth="1"/>
    <col min="146" max="151" width="8.85546875" style="8"/>
    <col min="152" max="152" width="15.140625" style="8" customWidth="1"/>
    <col min="153" max="153" width="17.28515625" style="8" customWidth="1"/>
    <col min="154" max="154" width="8.85546875" style="8"/>
    <col min="155" max="155" width="11.28515625" style="8" customWidth="1"/>
    <col min="156" max="163" width="8.85546875" style="8"/>
    <col min="164" max="164" width="9.85546875" style="8" bestFit="1" customWidth="1"/>
    <col min="165" max="165" width="9.7109375" style="8" customWidth="1"/>
    <col min="166" max="176" width="8.85546875" style="8"/>
    <col min="177" max="177" width="15.140625" style="8" customWidth="1"/>
    <col min="178" max="182" width="8.85546875" style="8"/>
    <col min="183" max="183" width="9.85546875" style="8" bestFit="1" customWidth="1"/>
    <col min="184" max="184" width="9.7109375" style="8" bestFit="1" customWidth="1"/>
    <col min="185" max="185" width="9.42578125" style="8" bestFit="1" customWidth="1"/>
    <col min="186" max="187" width="9.7109375" style="8" bestFit="1" customWidth="1"/>
    <col min="188" max="189" width="8.85546875" style="8"/>
    <col min="190" max="190" width="9.85546875" style="8" bestFit="1" customWidth="1"/>
    <col min="191" max="191" width="9.42578125" style="8" bestFit="1" customWidth="1"/>
    <col min="192" max="16384" width="8.85546875" style="8"/>
  </cols>
  <sheetData>
    <row r="1" spans="1:196" s="7" customFormat="1">
      <c r="A1" s="181" t="s">
        <v>149</v>
      </c>
      <c r="B1" s="1"/>
      <c r="C1" s="1"/>
      <c r="D1" s="1"/>
      <c r="E1" s="1"/>
      <c r="F1" s="2"/>
      <c r="G1" s="2"/>
      <c r="H1" s="3"/>
      <c r="I1" s="4"/>
      <c r="J1" s="5"/>
      <c r="K1" s="5"/>
      <c r="L1" s="5"/>
      <c r="M1" s="5"/>
      <c r="N1" s="6"/>
      <c r="O1" s="5"/>
      <c r="P1" s="5"/>
      <c r="Q1" s="5"/>
      <c r="R1" s="5"/>
      <c r="S1" s="5"/>
      <c r="T1" s="5"/>
      <c r="U1" s="5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</row>
    <row r="2" spans="1:196" s="7" customFormat="1">
      <c r="A2" s="142"/>
      <c r="B2" s="1"/>
      <c r="C2" s="9"/>
      <c r="D2" s="9" t="s">
        <v>19</v>
      </c>
      <c r="E2" s="9" t="s">
        <v>130</v>
      </c>
      <c r="F2" s="11"/>
      <c r="G2" s="12" t="s">
        <v>20</v>
      </c>
      <c r="H2" s="3"/>
      <c r="I2" s="4"/>
      <c r="J2" s="5"/>
      <c r="K2" s="13"/>
      <c r="L2" s="13"/>
      <c r="M2" s="136"/>
      <c r="N2" s="137"/>
      <c r="O2" s="136" t="s">
        <v>14</v>
      </c>
      <c r="P2" s="136" t="s">
        <v>15</v>
      </c>
      <c r="Q2" s="136" t="s">
        <v>15</v>
      </c>
      <c r="R2" s="136" t="s">
        <v>16</v>
      </c>
      <c r="S2" s="136" t="s">
        <v>14</v>
      </c>
      <c r="T2" s="136" t="s">
        <v>14</v>
      </c>
      <c r="U2" s="5"/>
      <c r="V2" s="4"/>
      <c r="W2" s="10" t="s">
        <v>10</v>
      </c>
      <c r="X2" s="13"/>
      <c r="Y2" s="13"/>
      <c r="Z2" s="13"/>
      <c r="AA2" s="13"/>
      <c r="AB2" s="13"/>
      <c r="AC2" s="14"/>
      <c r="AD2" s="13"/>
      <c r="AE2" s="13"/>
      <c r="AF2" s="13"/>
      <c r="AG2" s="13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FX2" s="210"/>
      <c r="FY2" s="210"/>
      <c r="FZ2" s="210"/>
      <c r="GA2" s="210"/>
      <c r="GB2" s="210"/>
      <c r="GC2" s="230" t="s">
        <v>144</v>
      </c>
      <c r="GD2" s="230"/>
      <c r="GE2" s="230"/>
      <c r="GF2" s="230"/>
      <c r="GG2" s="230"/>
      <c r="GH2" s="230"/>
      <c r="GI2" s="230"/>
      <c r="GJ2" s="210"/>
      <c r="GK2" s="210"/>
      <c r="GL2" s="210"/>
      <c r="GM2" s="210"/>
      <c r="GN2" s="210"/>
    </row>
    <row r="3" spans="1:196" s="7" customFormat="1">
      <c r="A3" s="142"/>
      <c r="B3" s="1"/>
      <c r="C3" s="15" t="s">
        <v>21</v>
      </c>
      <c r="D3" s="9" t="s">
        <v>22</v>
      </c>
      <c r="E3" s="9" t="s">
        <v>131</v>
      </c>
      <c r="F3" s="10"/>
      <c r="G3" s="9" t="s">
        <v>22</v>
      </c>
      <c r="H3" s="1"/>
      <c r="I3" s="4"/>
      <c r="J3" s="5"/>
      <c r="K3" s="13"/>
      <c r="L3" s="13"/>
      <c r="M3" s="9" t="s">
        <v>23</v>
      </c>
      <c r="N3" s="9" t="s">
        <v>24</v>
      </c>
      <c r="O3" s="9" t="s">
        <v>25</v>
      </c>
      <c r="P3" s="9" t="s">
        <v>13</v>
      </c>
      <c r="Q3" s="9" t="s">
        <v>26</v>
      </c>
      <c r="R3" s="9" t="s">
        <v>27</v>
      </c>
      <c r="S3" s="9" t="s">
        <v>5</v>
      </c>
      <c r="T3" s="9" t="s">
        <v>4</v>
      </c>
      <c r="U3" s="5"/>
      <c r="V3" s="4"/>
      <c r="W3" s="13" t="s">
        <v>139</v>
      </c>
      <c r="X3" s="9" t="s">
        <v>6</v>
      </c>
      <c r="Y3" s="9" t="s">
        <v>23</v>
      </c>
      <c r="Z3" s="9" t="s">
        <v>7</v>
      </c>
      <c r="AA3" s="9" t="s">
        <v>8</v>
      </c>
      <c r="AB3" s="9"/>
      <c r="AC3" s="9" t="s">
        <v>9</v>
      </c>
      <c r="AD3" s="9" t="s">
        <v>23</v>
      </c>
      <c r="AE3" s="9" t="s">
        <v>7</v>
      </c>
      <c r="AF3" s="9" t="s">
        <v>8</v>
      </c>
      <c r="AG3" s="13"/>
      <c r="AH3" s="4"/>
      <c r="AI3" s="4"/>
      <c r="AJ3" s="4"/>
      <c r="AK3" s="4"/>
      <c r="AL3" s="4"/>
      <c r="AM3" s="4"/>
      <c r="AN3" s="4"/>
      <c r="AO3" s="4"/>
      <c r="AP3" s="16"/>
      <c r="AQ3" s="16"/>
      <c r="AR3" s="16"/>
      <c r="AS3" s="16"/>
      <c r="FX3" s="210"/>
      <c r="FY3" s="208"/>
      <c r="FZ3" s="208"/>
      <c r="GA3" s="208"/>
      <c r="GB3" s="208"/>
      <c r="GC3" s="208"/>
      <c r="GD3" s="208"/>
      <c r="GE3" s="208"/>
      <c r="GF3" s="208"/>
      <c r="GG3" s="208"/>
      <c r="GH3" s="208"/>
      <c r="GI3" s="208"/>
      <c r="GJ3" s="208"/>
      <c r="GK3" s="208"/>
      <c r="GL3" s="208"/>
      <c r="GM3" s="208"/>
      <c r="GN3" s="210"/>
    </row>
    <row r="4" spans="1:196" s="7" customFormat="1">
      <c r="A4" s="142"/>
      <c r="B4" s="1"/>
      <c r="C4" s="17">
        <v>39646</v>
      </c>
      <c r="D4" s="18">
        <f>COUNTA(C228:C237)</f>
        <v>10</v>
      </c>
      <c r="E4" s="109">
        <v>10</v>
      </c>
      <c r="F4" s="13"/>
      <c r="G4" s="112">
        <f>COUNTA(AN17:AN1016)</f>
        <v>1000</v>
      </c>
      <c r="H4" s="1"/>
      <c r="I4" s="4"/>
      <c r="J4" s="5"/>
      <c r="K4" s="20" t="s">
        <v>28</v>
      </c>
      <c r="L4" s="13"/>
      <c r="M4" s="130">
        <v>251.63715720907058</v>
      </c>
      <c r="N4" s="130">
        <v>84.974447088242826</v>
      </c>
      <c r="O4" s="130">
        <v>613.97129385663209</v>
      </c>
      <c r="P4" s="130">
        <v>458.21025996468842</v>
      </c>
      <c r="Q4" s="130">
        <v>76.582249402183237</v>
      </c>
      <c r="R4" s="130">
        <v>653.16103077907837</v>
      </c>
      <c r="S4" s="131">
        <v>40.395604604260484</v>
      </c>
      <c r="T4" s="131">
        <v>72.077362025393413</v>
      </c>
      <c r="U4" s="5"/>
      <c r="V4" s="4"/>
      <c r="W4" s="127">
        <f t="shared" ref="W4:W13" si="0">C4</f>
        <v>39646</v>
      </c>
      <c r="X4" s="132">
        <f>AVERAGE(EK88:EK97)</f>
        <v>23.958333333333332</v>
      </c>
      <c r="Y4" s="131">
        <f>COUNT(EK88:EK97)</f>
        <v>10</v>
      </c>
      <c r="Z4" s="130">
        <f>STDEV(EK88:EK97)</f>
        <v>26.006921265380562</v>
      </c>
      <c r="AA4" s="130">
        <f>Z4/SQRT(Y4)</f>
        <v>8.22411061272709</v>
      </c>
      <c r="AB4" s="131"/>
      <c r="AC4" s="130">
        <f>AVERAGE($FU88:$FU97)</f>
        <v>2.4707769559200936</v>
      </c>
      <c r="AD4" s="132">
        <f>COUNT($FU88:$FU97)</f>
        <v>10</v>
      </c>
      <c r="AE4" s="130">
        <f>STDEV($FU88:$FU97)</f>
        <v>4.1660888439120329</v>
      </c>
      <c r="AF4" s="130">
        <f>AE4/SQRT(AD4)</f>
        <v>1.3174329681379731</v>
      </c>
      <c r="AG4" s="13"/>
      <c r="AH4" s="4"/>
      <c r="AI4" s="4"/>
      <c r="AJ4" s="4"/>
      <c r="AK4" s="4"/>
      <c r="AL4" s="4"/>
      <c r="AM4" s="4"/>
      <c r="AN4" s="4"/>
      <c r="AO4" s="4"/>
      <c r="AP4" s="16"/>
      <c r="AQ4" s="16"/>
      <c r="AR4" s="16"/>
      <c r="AS4" s="16"/>
      <c r="FG4" s="5"/>
      <c r="FH4" s="5"/>
      <c r="FI4" s="5"/>
      <c r="FJ4" s="233" t="s">
        <v>148</v>
      </c>
      <c r="FK4" s="233"/>
      <c r="FL4" s="233"/>
      <c r="FM4" s="233"/>
      <c r="FN4" s="5"/>
      <c r="FO4" s="5"/>
      <c r="FX4" s="210"/>
      <c r="FY4" s="212" t="s">
        <v>143</v>
      </c>
      <c r="FZ4" s="213">
        <f>C4</f>
        <v>39646</v>
      </c>
      <c r="GA4" s="213">
        <f>C5</f>
        <v>39673</v>
      </c>
      <c r="GB4" s="213">
        <f>C6</f>
        <v>39714</v>
      </c>
      <c r="GC4" s="213">
        <f>C7</f>
        <v>39747</v>
      </c>
      <c r="GD4" s="213">
        <f>C8</f>
        <v>39775</v>
      </c>
      <c r="GE4" s="213">
        <f>C9</f>
        <v>39799</v>
      </c>
      <c r="GF4" s="213">
        <f>C10</f>
        <v>39847</v>
      </c>
      <c r="GG4" s="213">
        <f>C11</f>
        <v>39910</v>
      </c>
      <c r="GH4" s="213">
        <f>C12</f>
        <v>39949</v>
      </c>
      <c r="GI4" s="213">
        <f>C13</f>
        <v>39987</v>
      </c>
      <c r="GJ4" s="209"/>
      <c r="GK4" s="209"/>
      <c r="GL4" s="209"/>
      <c r="GM4" s="209"/>
      <c r="GN4" s="210"/>
    </row>
    <row r="5" spans="1:196" s="7" customFormat="1">
      <c r="A5" s="142"/>
      <c r="B5" s="1"/>
      <c r="C5" s="17">
        <v>39673</v>
      </c>
      <c r="D5" s="18">
        <f>COUNTA(C238:C247)</f>
        <v>10</v>
      </c>
      <c r="E5" s="109">
        <v>10</v>
      </c>
      <c r="F5" s="10"/>
      <c r="G5" s="9"/>
      <c r="H5" s="1"/>
      <c r="I5" s="4"/>
      <c r="J5" s="5"/>
      <c r="K5" s="20" t="s">
        <v>29</v>
      </c>
      <c r="L5" s="13"/>
      <c r="M5" s="130">
        <f t="shared" ref="M5:T5" si="1">AVERAGE(AN17:AN1016)</f>
        <v>252.40421465595458</v>
      </c>
      <c r="N5" s="130">
        <f t="shared" si="1"/>
        <v>85.041370311229983</v>
      </c>
      <c r="O5" s="130">
        <f t="shared" si="1"/>
        <v>615.66755241268163</v>
      </c>
      <c r="P5" s="130">
        <f t="shared" si="1"/>
        <v>459.25636538671637</v>
      </c>
      <c r="Q5" s="130">
        <f t="shared" si="1"/>
        <v>76.613783421546103</v>
      </c>
      <c r="R5" s="130">
        <f t="shared" si="1"/>
        <v>637.46559613244813</v>
      </c>
      <c r="S5" s="131" t="e">
        <f t="shared" si="1"/>
        <v>#DIV/0!</v>
      </c>
      <c r="T5" s="131" t="e">
        <f t="shared" si="1"/>
        <v>#DIV/0!</v>
      </c>
      <c r="U5" s="5"/>
      <c r="V5" s="4"/>
      <c r="W5" s="127">
        <f t="shared" si="0"/>
        <v>39673</v>
      </c>
      <c r="X5" s="132">
        <f>AVERAGE(EK98:EK107)</f>
        <v>113.70798319327733</v>
      </c>
      <c r="Y5" s="131">
        <f>COUNT(EK98:EK107)</f>
        <v>10</v>
      </c>
      <c r="Z5" s="130">
        <f>STDEV(EK98:EK107)</f>
        <v>121.70714648045998</v>
      </c>
      <c r="AA5" s="130">
        <f t="shared" ref="AA5:AA13" si="2">Z5/SQRT(Y5)</f>
        <v>38.487179039799919</v>
      </c>
      <c r="AB5" s="131"/>
      <c r="AC5" s="130">
        <f>AVERAGE($FU98:$FU107)</f>
        <v>36.121744256238784</v>
      </c>
      <c r="AD5" s="132">
        <f>COUNT($FU98:$FU107)</f>
        <v>10</v>
      </c>
      <c r="AE5" s="130">
        <f>STDEV($FU98:$FU107)</f>
        <v>64.965667627921945</v>
      </c>
      <c r="AF5" s="130">
        <f t="shared" ref="AF5:AF13" si="3">AE5/SQRT(AD5)</f>
        <v>20.543947941770163</v>
      </c>
      <c r="AG5" s="13"/>
      <c r="AH5" s="4"/>
      <c r="AI5" s="4"/>
      <c r="AJ5" s="4"/>
      <c r="AK5" s="4"/>
      <c r="AL5" s="4"/>
      <c r="AM5" s="4"/>
      <c r="AN5" s="4"/>
      <c r="AO5" s="4"/>
      <c r="AP5" s="16"/>
      <c r="AQ5" s="16"/>
      <c r="AR5" s="16"/>
      <c r="AS5" s="16"/>
      <c r="FG5" s="5"/>
      <c r="FH5" s="13"/>
      <c r="FI5" s="13"/>
      <c r="FJ5" s="136"/>
      <c r="FK5" s="137"/>
      <c r="FL5" s="136"/>
      <c r="FM5" s="136"/>
      <c r="FN5" s="136"/>
      <c r="FO5" s="5"/>
      <c r="FX5" s="210"/>
      <c r="FY5" s="210"/>
      <c r="FZ5" s="210"/>
      <c r="GA5" s="210"/>
      <c r="GB5" s="210"/>
      <c r="GC5" s="210"/>
      <c r="GD5" s="210"/>
      <c r="GE5" s="210"/>
      <c r="GF5" s="210"/>
      <c r="GG5" s="210"/>
      <c r="GH5" s="210"/>
      <c r="GI5" s="210"/>
      <c r="GJ5" s="210"/>
      <c r="GK5" s="210"/>
      <c r="GL5" s="210"/>
      <c r="GM5" s="210"/>
      <c r="GN5" s="210"/>
    </row>
    <row r="6" spans="1:196" s="7" customFormat="1">
      <c r="A6" s="144"/>
      <c r="B6" s="1"/>
      <c r="C6" s="17">
        <v>39714</v>
      </c>
      <c r="D6" s="18">
        <f>COUNTA(C248:C257)</f>
        <v>10</v>
      </c>
      <c r="E6" s="109">
        <v>10</v>
      </c>
      <c r="F6" s="10"/>
      <c r="G6" s="9"/>
      <c r="H6" s="1"/>
      <c r="I6" s="4"/>
      <c r="J6" s="5"/>
      <c r="K6" s="20" t="s">
        <v>127</v>
      </c>
      <c r="L6" s="13"/>
      <c r="M6" s="130">
        <f t="shared" ref="M6:T6" si="4">PERCENTILE(AN17:AN1016, 0.975)</f>
        <v>313.15276223108509</v>
      </c>
      <c r="N6" s="130">
        <f t="shared" si="4"/>
        <v>110.5328070892173</v>
      </c>
      <c r="O6" s="130">
        <f t="shared" si="4"/>
        <v>809.47807196809413</v>
      </c>
      <c r="P6" s="130">
        <f t="shared" si="4"/>
        <v>591.68874335328871</v>
      </c>
      <c r="Q6" s="130">
        <f t="shared" si="4"/>
        <v>99.451163057017553</v>
      </c>
      <c r="R6" s="130">
        <f t="shared" si="4"/>
        <v>805.96416340987503</v>
      </c>
      <c r="S6" s="130" t="e">
        <f t="shared" si="4"/>
        <v>#DIV/0!</v>
      </c>
      <c r="T6" s="130" t="e">
        <f t="shared" si="4"/>
        <v>#DIV/0!</v>
      </c>
      <c r="U6" s="5"/>
      <c r="V6" s="4"/>
      <c r="W6" s="127">
        <f t="shared" si="0"/>
        <v>39714</v>
      </c>
      <c r="X6" s="132">
        <f>AVERAGE(EK108:EK117)</f>
        <v>320.07968509984642</v>
      </c>
      <c r="Y6" s="131">
        <f>COUNT(EK108:EK117)</f>
        <v>10</v>
      </c>
      <c r="Z6" s="130">
        <f>STDEV(EK108:EK117)</f>
        <v>325.44339566852949</v>
      </c>
      <c r="AA6" s="130">
        <f t="shared" si="2"/>
        <v>102.91423797719294</v>
      </c>
      <c r="AB6" s="131"/>
      <c r="AC6" s="130">
        <f>AVERAGE($FU108:$FU117)</f>
        <v>58.319002211878136</v>
      </c>
      <c r="AD6" s="132">
        <f>COUNT($FU108:$FU117)</f>
        <v>10</v>
      </c>
      <c r="AE6" s="130">
        <f>STDEV($FU108:$FU117)</f>
        <v>45.065099718435917</v>
      </c>
      <c r="AF6" s="130">
        <f t="shared" si="3"/>
        <v>14.250835809287022</v>
      </c>
      <c r="AG6" s="13"/>
      <c r="AH6" s="4"/>
      <c r="AI6" s="4"/>
      <c r="AJ6" s="4"/>
      <c r="AK6" s="4"/>
      <c r="AL6" s="4"/>
      <c r="AM6" s="4"/>
      <c r="AN6" s="4"/>
      <c r="AO6" s="4"/>
      <c r="AP6" s="16"/>
      <c r="AQ6" s="16"/>
      <c r="AR6" s="16"/>
      <c r="AS6" s="16"/>
      <c r="FG6" s="5"/>
      <c r="FH6" s="13"/>
      <c r="FI6" s="231" t="s">
        <v>145</v>
      </c>
      <c r="FJ6" s="231"/>
      <c r="FK6" s="232" t="s">
        <v>146</v>
      </c>
      <c r="FL6" s="232"/>
      <c r="FM6" s="232" t="s">
        <v>147</v>
      </c>
      <c r="FN6" s="232"/>
      <c r="FO6" s="5"/>
      <c r="FY6" s="211">
        <v>1</v>
      </c>
      <c r="FZ6">
        <v>10.828373912229244</v>
      </c>
      <c r="GA6">
        <v>45.09649006615868</v>
      </c>
      <c r="GB6">
        <v>50.272687842932697</v>
      </c>
      <c r="GC6">
        <v>24.918559759457356</v>
      </c>
      <c r="GD6">
        <v>20.86241017117279</v>
      </c>
      <c r="GE6">
        <v>60.461322380267674</v>
      </c>
      <c r="GF6">
        <v>114.87515721797241</v>
      </c>
      <c r="GG6">
        <v>90.067929176534378</v>
      </c>
      <c r="GH6">
        <v>38.46117668584489</v>
      </c>
      <c r="GI6">
        <v>58.582591987638978</v>
      </c>
      <c r="GJ6"/>
      <c r="GK6"/>
      <c r="GL6"/>
      <c r="GM6"/>
    </row>
    <row r="7" spans="1:196" s="7" customFormat="1">
      <c r="A7" s="143"/>
      <c r="B7" s="1"/>
      <c r="C7" s="17">
        <v>39747</v>
      </c>
      <c r="D7" s="18">
        <f>COUNTA(C258:C267)</f>
        <v>10</v>
      </c>
      <c r="E7" s="109">
        <v>10</v>
      </c>
      <c r="F7" s="10"/>
      <c r="G7" s="9"/>
      <c r="H7" s="1"/>
      <c r="I7" s="4"/>
      <c r="J7" s="5"/>
      <c r="K7" s="10" t="s">
        <v>128</v>
      </c>
      <c r="L7" s="13"/>
      <c r="M7" s="130">
        <f t="shared" ref="M7:T7" si="5">PERCENTILE(AN17:AN1016, 0.025)</f>
        <v>198.73528735701595</v>
      </c>
      <c r="N7" s="130">
        <f t="shared" si="5"/>
        <v>61.491310787734413</v>
      </c>
      <c r="O7" s="130">
        <f t="shared" si="5"/>
        <v>432.82831639913348</v>
      </c>
      <c r="P7" s="130">
        <f t="shared" si="5"/>
        <v>332.81635941646903</v>
      </c>
      <c r="Q7" s="130">
        <f t="shared" si="5"/>
        <v>55.775994604709673</v>
      </c>
      <c r="R7" s="130">
        <f t="shared" si="5"/>
        <v>486.13464572990637</v>
      </c>
      <c r="S7" s="130" t="e">
        <f t="shared" si="5"/>
        <v>#DIV/0!</v>
      </c>
      <c r="T7" s="130" t="e">
        <f t="shared" si="5"/>
        <v>#DIV/0!</v>
      </c>
      <c r="U7" s="5"/>
      <c r="V7" s="4"/>
      <c r="W7" s="127">
        <f t="shared" si="0"/>
        <v>39747</v>
      </c>
      <c r="X7" s="132">
        <f>AVERAGE(EK118:EK127)</f>
        <v>729.63969625949221</v>
      </c>
      <c r="Y7" s="131">
        <f>COUNT(EK118:EK127)</f>
        <v>10</v>
      </c>
      <c r="Z7" s="130">
        <f>STDEV(EK118:EK127)</f>
        <v>515.61693438662041</v>
      </c>
      <c r="AA7" s="130">
        <f t="shared" si="2"/>
        <v>163.05239128153147</v>
      </c>
      <c r="AB7" s="131"/>
      <c r="AC7" s="130">
        <f>AVERAGE($FU118:$FU127)</f>
        <v>201.60777861691548</v>
      </c>
      <c r="AD7" s="132">
        <f>COUNT($FU118:$FU127)</f>
        <v>10</v>
      </c>
      <c r="AE7" s="130">
        <f>STDEV($FU118:$FU127)</f>
        <v>174.9824195957774</v>
      </c>
      <c r="AF7" s="130">
        <f t="shared" si="3"/>
        <v>55.334299640993649</v>
      </c>
      <c r="AG7" s="13"/>
      <c r="AH7" s="4"/>
      <c r="AI7" s="4"/>
      <c r="AJ7" s="4"/>
      <c r="AK7" s="4"/>
      <c r="AL7" s="4"/>
      <c r="AM7" s="4"/>
      <c r="AN7" s="4"/>
      <c r="AO7" s="4"/>
      <c r="AP7" s="16"/>
      <c r="AQ7" s="16"/>
      <c r="AR7" s="16"/>
      <c r="AS7" s="16"/>
      <c r="FG7" s="5"/>
      <c r="FH7" s="214">
        <f t="shared" ref="FH7:FH16" si="6">C4</f>
        <v>39646</v>
      </c>
      <c r="FI7" s="227">
        <f>AVERAGE(FZ6:FZ1005)</f>
        <v>17.657752951082184</v>
      </c>
      <c r="FJ7" s="227"/>
      <c r="FK7" s="227">
        <f>PERCENTILE($FZ$6:$FZ$1005,0.975)</f>
        <v>35.397643361075943</v>
      </c>
      <c r="FL7" s="227"/>
      <c r="FM7" s="227">
        <f>PERCENTILE($FZ$6:$FZ$1005,0.025)</f>
        <v>4.8053743555466433</v>
      </c>
      <c r="FN7" s="227"/>
      <c r="FO7" s="5"/>
      <c r="FY7" s="211">
        <v>2</v>
      </c>
      <c r="FZ7">
        <v>14.279288006029077</v>
      </c>
      <c r="GA7">
        <v>55.272111667646421</v>
      </c>
      <c r="GB7">
        <v>63.190010734505819</v>
      </c>
      <c r="GC7">
        <v>37.878830608068689</v>
      </c>
      <c r="GD7">
        <v>23.160706029458332</v>
      </c>
      <c r="GE7">
        <v>38.307873585959129</v>
      </c>
      <c r="GF7">
        <v>54.722073940061826</v>
      </c>
      <c r="GG7">
        <v>33.16709179405931</v>
      </c>
      <c r="GH7">
        <v>5.5969608990175876</v>
      </c>
      <c r="GI7">
        <v>45.150338563308637</v>
      </c>
      <c r="GJ7"/>
      <c r="GK7"/>
      <c r="GL7"/>
      <c r="GM7"/>
    </row>
    <row r="8" spans="1:196" s="7" customFormat="1">
      <c r="A8" s="143"/>
      <c r="B8" s="1"/>
      <c r="C8" s="17">
        <v>39775</v>
      </c>
      <c r="D8" s="18">
        <f>COUNTA(C268:C277)</f>
        <v>10</v>
      </c>
      <c r="E8" s="109">
        <v>10</v>
      </c>
      <c r="F8" s="10"/>
      <c r="G8" s="9"/>
      <c r="H8" s="1"/>
      <c r="I8" s="4"/>
      <c r="J8" s="5"/>
      <c r="K8" s="5"/>
      <c r="L8" s="5"/>
      <c r="M8" s="5"/>
      <c r="N8" s="6"/>
      <c r="O8" s="24"/>
      <c r="P8" s="25"/>
      <c r="Q8" s="26"/>
      <c r="R8" s="26"/>
      <c r="S8" s="5"/>
      <c r="T8" s="5"/>
      <c r="U8" s="5"/>
      <c r="V8" s="4"/>
      <c r="W8" s="127">
        <f t="shared" si="0"/>
        <v>39775</v>
      </c>
      <c r="X8" s="132">
        <f>AVERAGE(EK128:EK137)</f>
        <v>332.8454531579531</v>
      </c>
      <c r="Y8" s="131">
        <f>COUNT(EK128:EK137)</f>
        <v>10</v>
      </c>
      <c r="Z8" s="130">
        <f>STDEV(EK128:EK137)</f>
        <v>308.75968050222343</v>
      </c>
      <c r="AA8" s="130">
        <f t="shared" si="2"/>
        <v>97.638384001290746</v>
      </c>
      <c r="AB8" s="131"/>
      <c r="AC8" s="130">
        <f>AVERAGE($FU128:$FU137)</f>
        <v>83.549175864617808</v>
      </c>
      <c r="AD8" s="132">
        <f>COUNT($FU128:$FU137)</f>
        <v>10</v>
      </c>
      <c r="AE8" s="130">
        <f>STDEV($FU128:$FU137)</f>
        <v>63.248171371066981</v>
      </c>
      <c r="AF8" s="130">
        <f t="shared" si="3"/>
        <v>20.000827937322637</v>
      </c>
      <c r="AG8" s="13"/>
      <c r="AH8" s="4"/>
      <c r="AI8" s="4"/>
      <c r="AJ8" s="4"/>
      <c r="AK8" s="4"/>
      <c r="AL8" s="4"/>
      <c r="AM8" s="4"/>
      <c r="AN8" s="4"/>
      <c r="AO8" s="4"/>
      <c r="AP8" s="16"/>
      <c r="AQ8" s="16"/>
      <c r="AR8" s="16"/>
      <c r="AS8" s="16"/>
      <c r="FG8" s="5"/>
      <c r="FH8" s="214">
        <f t="shared" si="6"/>
        <v>39673</v>
      </c>
      <c r="FI8" s="227">
        <f>AVERAGE(GA6:GA1005)</f>
        <v>52.765002247693786</v>
      </c>
      <c r="FJ8" s="227"/>
      <c r="FK8" s="227">
        <f>PERCENTILE($GA$6:$GA$1005,0.975)</f>
        <v>78.572274924850191</v>
      </c>
      <c r="FL8" s="227"/>
      <c r="FM8" s="227">
        <f>PERCENTILE($GA$6:$GA$1005,0.025)</f>
        <v>31.115700862899839</v>
      </c>
      <c r="FN8" s="227"/>
      <c r="FO8" s="5"/>
      <c r="FY8" s="211">
        <v>3</v>
      </c>
      <c r="FZ8">
        <v>11.598682808401524</v>
      </c>
      <c r="GA8">
        <v>52.375014715180754</v>
      </c>
      <c r="GB8">
        <v>90.253355806486312</v>
      </c>
      <c r="GC8">
        <v>51.103442820265329</v>
      </c>
      <c r="GD8">
        <v>18.661908542853332</v>
      </c>
      <c r="GE8">
        <v>28.405619692180689</v>
      </c>
      <c r="GF8">
        <v>38.014303109213522</v>
      </c>
      <c r="GG8">
        <v>20.268963624231198</v>
      </c>
      <c r="GH8">
        <v>4.1216970532487105</v>
      </c>
      <c r="GI8">
        <v>44.219224539156855</v>
      </c>
      <c r="GJ8"/>
      <c r="GK8"/>
      <c r="GL8"/>
      <c r="GM8"/>
    </row>
    <row r="9" spans="1:196" s="7" customFormat="1">
      <c r="A9" s="143"/>
      <c r="B9" s="1"/>
      <c r="C9" s="17">
        <v>39799</v>
      </c>
      <c r="D9" s="18">
        <f>COUNTA(C278:C287)</f>
        <v>10</v>
      </c>
      <c r="E9" s="109">
        <v>10</v>
      </c>
      <c r="F9" s="10"/>
      <c r="G9" s="9"/>
      <c r="H9" s="1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127">
        <f t="shared" si="0"/>
        <v>39799</v>
      </c>
      <c r="X9" s="132">
        <f>AVERAGE(EK138:EK147)</f>
        <v>276.91879673753823</v>
      </c>
      <c r="Y9" s="131">
        <f>COUNT(EK138:EK147)</f>
        <v>10</v>
      </c>
      <c r="Z9" s="130">
        <f>STDEV(EK138:EK147)</f>
        <v>241.01575117640556</v>
      </c>
      <c r="AA9" s="130">
        <f t="shared" si="2"/>
        <v>76.2158725693848</v>
      </c>
      <c r="AB9" s="131"/>
      <c r="AC9" s="130">
        <f>AVERAGE($FU138:$FU147)</f>
        <v>95.978976361926428</v>
      </c>
      <c r="AD9" s="132">
        <f>COUNT($FU138:$FU147)</f>
        <v>10</v>
      </c>
      <c r="AE9" s="130">
        <f>STDEV($FU138:$FU147)</f>
        <v>146.20325537229576</v>
      </c>
      <c r="AF9" s="130">
        <f t="shared" si="3"/>
        <v>46.233528830770346</v>
      </c>
      <c r="AG9" s="13"/>
      <c r="AH9" s="4"/>
      <c r="AI9" s="4"/>
      <c r="AJ9" s="4"/>
      <c r="AK9" s="4"/>
      <c r="AL9" s="4"/>
      <c r="AM9" s="4"/>
      <c r="AN9" s="4"/>
      <c r="AO9" s="4"/>
      <c r="AP9" s="16"/>
      <c r="AQ9" s="16"/>
      <c r="AR9" s="16"/>
      <c r="AS9" s="16"/>
      <c r="FG9" s="5"/>
      <c r="FH9" s="214">
        <f t="shared" si="6"/>
        <v>39714</v>
      </c>
      <c r="FI9" s="227">
        <f>AVERAGE(GB6:GB1005)</f>
        <v>74.797631346204341</v>
      </c>
      <c r="FJ9" s="227"/>
      <c r="FK9" s="227">
        <f>PERCENTILE($GB$6:$GB$1005,0.975)</f>
        <v>107.29291871767738</v>
      </c>
      <c r="FL9" s="227"/>
      <c r="FM9" s="227">
        <f>PERCENTILE($GB$6:$GB$1005,0.025)</f>
        <v>48.687746941832124</v>
      </c>
      <c r="FN9" s="227"/>
      <c r="FO9" s="5"/>
      <c r="FY9" s="211">
        <v>4</v>
      </c>
      <c r="FZ9">
        <v>15.430993315677105</v>
      </c>
      <c r="GA9">
        <v>64.920415780581749</v>
      </c>
      <c r="GB9">
        <v>67.870104017496303</v>
      </c>
      <c r="GC9">
        <v>34.204986351931346</v>
      </c>
      <c r="GD9">
        <v>23.920375698282385</v>
      </c>
      <c r="GE9">
        <v>44.23167598102998</v>
      </c>
      <c r="GF9">
        <v>72.185762475858795</v>
      </c>
      <c r="GG9">
        <v>54.685241025673328</v>
      </c>
      <c r="GH9">
        <v>8.6741009965760263</v>
      </c>
      <c r="GI9">
        <v>51.250868501398884</v>
      </c>
      <c r="GJ9"/>
      <c r="GK9"/>
      <c r="GL9"/>
      <c r="GM9"/>
    </row>
    <row r="10" spans="1:196" s="7" customFormat="1">
      <c r="A10" s="143"/>
      <c r="B10" s="2"/>
      <c r="C10" s="17">
        <v>39847</v>
      </c>
      <c r="D10" s="18">
        <f>COUNTA(C288:C297)</f>
        <v>8</v>
      </c>
      <c r="E10" s="109">
        <v>8</v>
      </c>
      <c r="F10" s="10"/>
      <c r="G10" s="10"/>
      <c r="H10" s="1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127">
        <f t="shared" si="0"/>
        <v>39847</v>
      </c>
      <c r="X10" s="132">
        <f>AVERAGE(EK148:EK157)</f>
        <v>231.11979166666669</v>
      </c>
      <c r="Y10" s="131">
        <f>COUNT(EK148:EK157)</f>
        <v>8</v>
      </c>
      <c r="Z10" s="130">
        <f>STDEV(EK148:EK157)</f>
        <v>412.21522363202212</v>
      </c>
      <c r="AA10" s="130">
        <f t="shared" si="2"/>
        <v>145.74008996926599</v>
      </c>
      <c r="AB10" s="131"/>
      <c r="AC10" s="130">
        <f>AVERAGE($FU148:$FU157)</f>
        <v>117.98258663697989</v>
      </c>
      <c r="AD10" s="132">
        <f>COUNT($FU148:$FU157)</f>
        <v>8</v>
      </c>
      <c r="AE10" s="130">
        <f>STDEV($FU148:$FU157)</f>
        <v>150.54385198733672</v>
      </c>
      <c r="AF10" s="130">
        <f t="shared" si="3"/>
        <v>53.225289303094847</v>
      </c>
      <c r="AG10" s="13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FG10" s="5"/>
      <c r="FH10" s="214">
        <f t="shared" si="6"/>
        <v>39747</v>
      </c>
      <c r="FI10" s="227">
        <f>AVERAGE(GC6:GC1005)</f>
        <v>43.929915693006279</v>
      </c>
      <c r="FJ10" s="227"/>
      <c r="FK10" s="227">
        <f>PERCENTILE($GC$6:$GC$1005,0.975)</f>
        <v>61.955526775735585</v>
      </c>
      <c r="FL10" s="227"/>
      <c r="FM10" s="227">
        <f>PERCENTILE($GC$6:$GC$1005,0.025)</f>
        <v>28.757140078927037</v>
      </c>
      <c r="FN10" s="227"/>
      <c r="FO10" s="5"/>
      <c r="FY10" s="211">
        <v>5</v>
      </c>
      <c r="FZ10">
        <v>22.291241037982726</v>
      </c>
      <c r="GA10">
        <v>65.682277514009357</v>
      </c>
      <c r="GB10">
        <v>78.763444947124469</v>
      </c>
      <c r="GC10">
        <v>47.364871024759637</v>
      </c>
      <c r="GD10">
        <v>19.993283509965313</v>
      </c>
      <c r="GE10">
        <v>54.476189176523341</v>
      </c>
      <c r="GF10">
        <v>95.228498017190461</v>
      </c>
      <c r="GG10">
        <v>35.129599040809431</v>
      </c>
      <c r="GH10">
        <v>5.9638175181573096</v>
      </c>
      <c r="GI10">
        <v>56.200908785632272</v>
      </c>
      <c r="GJ10"/>
      <c r="GK10"/>
      <c r="GL10"/>
      <c r="GM10"/>
    </row>
    <row r="11" spans="1:196" s="7" customFormat="1">
      <c r="A11" s="143"/>
      <c r="B11" s="2"/>
      <c r="C11" s="17">
        <v>39910</v>
      </c>
      <c r="D11" s="19">
        <f>COUNTA(C298:C307)</f>
        <v>10</v>
      </c>
      <c r="E11" s="109">
        <v>10</v>
      </c>
      <c r="F11" s="13"/>
      <c r="G11" s="13"/>
      <c r="H11" s="1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127">
        <f t="shared" si="0"/>
        <v>39910</v>
      </c>
      <c r="X11" s="132">
        <f>AVERAGE(EK158:EK167)</f>
        <v>193.61335273020055</v>
      </c>
      <c r="Y11" s="131">
        <f>COUNT(EK158:EK167)</f>
        <v>10</v>
      </c>
      <c r="Z11" s="130">
        <f>STDEV(EK158:EK167)</f>
        <v>301.45789455979644</v>
      </c>
      <c r="AA11" s="130">
        <f t="shared" si="2"/>
        <v>95.329356544783906</v>
      </c>
      <c r="AB11" s="131"/>
      <c r="AC11" s="130">
        <f>AVERAGE($FU158:$FU167)</f>
        <v>125.08221669587188</v>
      </c>
      <c r="AD11" s="132">
        <f>COUNT($FU158:$FU167)</f>
        <v>10</v>
      </c>
      <c r="AE11" s="130">
        <f>STDEV($FU158:$FU167)</f>
        <v>209.70499574729917</v>
      </c>
      <c r="AF11" s="130">
        <f t="shared" si="3"/>
        <v>66.314542327738906</v>
      </c>
      <c r="AG11" s="13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FG11" s="5"/>
      <c r="FH11" s="214">
        <f t="shared" si="6"/>
        <v>39775</v>
      </c>
      <c r="FI11" s="227">
        <f>AVERAGE(GD5:GD1005)</f>
        <v>20.379278723390765</v>
      </c>
      <c r="FJ11" s="227"/>
      <c r="FK11" s="227">
        <f>PERCENTILE($GD$6:$GD$1005,0.975)</f>
        <v>31.659614422200178</v>
      </c>
      <c r="FL11" s="227"/>
      <c r="FM11" s="227">
        <f>PERCENTILE($GD$6:$GD$1005,0.025)</f>
        <v>12.679231048845271</v>
      </c>
      <c r="FN11" s="227"/>
      <c r="FO11" s="5"/>
      <c r="FY11" s="211">
        <v>6</v>
      </c>
      <c r="FZ11">
        <v>16.520835244906703</v>
      </c>
      <c r="GA11">
        <v>49.935981875234233</v>
      </c>
      <c r="GB11">
        <v>68.842447609141175</v>
      </c>
      <c r="GC11">
        <v>47.738462404212015</v>
      </c>
      <c r="GD11">
        <v>25.070610410875648</v>
      </c>
      <c r="GE11">
        <v>61.276746712912527</v>
      </c>
      <c r="GF11">
        <v>120.54221438580677</v>
      </c>
      <c r="GG11">
        <v>56.224422088481901</v>
      </c>
      <c r="GH11">
        <v>7.8931615856572694</v>
      </c>
      <c r="GI11">
        <v>62.554435258842211</v>
      </c>
      <c r="GJ11"/>
      <c r="GK11"/>
      <c r="GL11"/>
      <c r="GM11"/>
    </row>
    <row r="12" spans="1:196" s="7" customFormat="1">
      <c r="A12" s="143"/>
      <c r="B12" s="2"/>
      <c r="C12" s="17">
        <v>39949</v>
      </c>
      <c r="D12" s="19">
        <f>COUNTA(C308:C317)</f>
        <v>10</v>
      </c>
      <c r="E12" s="109">
        <v>10</v>
      </c>
      <c r="F12" s="13"/>
      <c r="G12" s="13"/>
      <c r="H12" s="1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127">
        <f t="shared" si="0"/>
        <v>39949</v>
      </c>
      <c r="X12" s="132">
        <f>AVERAGE(EK168:EK177)</f>
        <v>72.421775223499338</v>
      </c>
      <c r="Y12" s="131">
        <f>COUNT(EK168:EK177)</f>
        <v>10</v>
      </c>
      <c r="Z12" s="130">
        <f>STDEV(EK168:EK177)</f>
        <v>100.44381677681031</v>
      </c>
      <c r="AA12" s="130">
        <f t="shared" si="2"/>
        <v>31.76312378953531</v>
      </c>
      <c r="AB12" s="131"/>
      <c r="AC12" s="130">
        <f>AVERAGE($FU168:$FU177)</f>
        <v>51.924387357877819</v>
      </c>
      <c r="AD12" s="132">
        <f>COUNT($FU168:$FU177)</f>
        <v>10</v>
      </c>
      <c r="AE12" s="130">
        <f>STDEV($FU168:$FU177)</f>
        <v>107.15694761105389</v>
      </c>
      <c r="AF12" s="130">
        <f t="shared" si="3"/>
        <v>33.886002156226908</v>
      </c>
      <c r="AG12" s="13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FG12" s="5"/>
      <c r="FH12" s="214">
        <f t="shared" si="6"/>
        <v>39799</v>
      </c>
      <c r="FI12" s="227">
        <f>AVERAGE(GE6:GE1005)</f>
        <v>45.150857749747402</v>
      </c>
      <c r="FJ12" s="227"/>
      <c r="FK12" s="227">
        <f>PERCENTILE($GE$6:$GE$1005,0.975)</f>
        <v>77.352758684269276</v>
      </c>
      <c r="FL12" s="227"/>
      <c r="FM12" s="227">
        <f>PERCENTILE($GE$6:$GE$1005,0.025)</f>
        <v>21.740809379813438</v>
      </c>
      <c r="FN12" s="227"/>
      <c r="FO12" s="5"/>
      <c r="FY12" s="211">
        <v>7</v>
      </c>
      <c r="FZ12">
        <v>8.9843822862158671</v>
      </c>
      <c r="GA12">
        <v>27.870618670458942</v>
      </c>
      <c r="GB12">
        <v>112.45746630449547</v>
      </c>
      <c r="GC12">
        <v>69.331767603412331</v>
      </c>
      <c r="GD12">
        <v>21.276410646492415</v>
      </c>
      <c r="GE12">
        <v>41.941447931099326</v>
      </c>
      <c r="GF12">
        <v>65.929138682953422</v>
      </c>
      <c r="GG12">
        <v>47.2637338992607</v>
      </c>
      <c r="GH12">
        <v>24.510624282850941</v>
      </c>
      <c r="GI12">
        <v>60.307511364864823</v>
      </c>
      <c r="GJ12"/>
      <c r="GK12"/>
      <c r="GL12"/>
      <c r="GM12"/>
    </row>
    <row r="13" spans="1:196" s="7" customFormat="1">
      <c r="A13" s="143"/>
      <c r="B13" s="2"/>
      <c r="C13" s="17">
        <v>39987</v>
      </c>
      <c r="D13" s="19">
        <f>COUNTA(C318:C327)</f>
        <v>10</v>
      </c>
      <c r="E13" s="109">
        <v>10</v>
      </c>
      <c r="F13" s="13"/>
      <c r="G13" s="22"/>
      <c r="H13" s="1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127">
        <f t="shared" si="0"/>
        <v>39987</v>
      </c>
      <c r="X13" s="132">
        <f>AVERAGE(EK178:EK187)</f>
        <v>7.6923076923076916</v>
      </c>
      <c r="Y13" s="131">
        <f>COUNT(EK178:EK187)</f>
        <v>10</v>
      </c>
      <c r="Z13" s="130">
        <f>STDEV(EK178:EK187)</f>
        <v>18.221998723794144</v>
      </c>
      <c r="AA13" s="130">
        <f t="shared" si="2"/>
        <v>5.7623019487870932</v>
      </c>
      <c r="AB13" s="131"/>
      <c r="AC13" s="130">
        <f>AVERAGE($FU178:$FU187)</f>
        <v>1.0659165105654971</v>
      </c>
      <c r="AD13" s="132">
        <f>COUNT($FU178:$FU187)</f>
        <v>10</v>
      </c>
      <c r="AE13" s="130">
        <f>STDEV($FU178:$FU187)</f>
        <v>2.3160892739081653</v>
      </c>
      <c r="AF13" s="130">
        <f t="shared" si="3"/>
        <v>0.73241173698353934</v>
      </c>
      <c r="AG13" s="13"/>
      <c r="AH13" s="4"/>
      <c r="AI13" s="4"/>
      <c r="AJ13" s="4"/>
      <c r="AK13" s="4"/>
      <c r="AL13" s="5"/>
      <c r="AM13" s="5"/>
      <c r="AN13" s="5"/>
      <c r="AO13" s="5"/>
      <c r="AP13" s="5"/>
      <c r="AQ13" s="5"/>
      <c r="AR13" s="5"/>
      <c r="AS13" s="5"/>
      <c r="AT13" s="23"/>
      <c r="AU13" s="23"/>
      <c r="AV13" s="23"/>
      <c r="AW13" s="23"/>
      <c r="FG13" s="5"/>
      <c r="FH13" s="214">
        <f t="shared" si="6"/>
        <v>39847</v>
      </c>
      <c r="FI13" s="227">
        <f>AVERAGE(GF6:GF1005)</f>
        <v>76.619918480061983</v>
      </c>
      <c r="FJ13" s="227"/>
      <c r="FK13" s="227">
        <f>PERCENTILE($GF$6:$GF$1005,0.975)</f>
        <v>126.54028570158187</v>
      </c>
      <c r="FL13" s="227"/>
      <c r="FM13" s="227">
        <f>PERCENTILE($GF$6:$GF$1005,0.025)</f>
        <v>34.371575524471282</v>
      </c>
      <c r="FN13" s="227"/>
      <c r="FO13" s="5"/>
      <c r="FY13" s="211">
        <v>8</v>
      </c>
      <c r="FZ13">
        <v>11.868668541633959</v>
      </c>
      <c r="GA13">
        <v>40.528630354896436</v>
      </c>
      <c r="GB13">
        <v>67.2645299114468</v>
      </c>
      <c r="GC13">
        <v>40.825342468496721</v>
      </c>
      <c r="GD13">
        <v>20.956191703881291</v>
      </c>
      <c r="GE13">
        <v>45.666633419628461</v>
      </c>
      <c r="GF13">
        <v>93.208912167423421</v>
      </c>
      <c r="GG13">
        <v>62.68732974417329</v>
      </c>
      <c r="GH13">
        <v>13.453941997440737</v>
      </c>
      <c r="GI13">
        <v>53.016537499115685</v>
      </c>
      <c r="GJ13"/>
      <c r="GK13"/>
      <c r="GL13"/>
      <c r="GM13"/>
    </row>
    <row r="14" spans="1:196" s="7" customFormat="1">
      <c r="A14" s="142"/>
      <c r="B14" s="2"/>
      <c r="C14" s="17"/>
      <c r="D14" s="19"/>
      <c r="E14" s="109"/>
      <c r="F14" s="13"/>
      <c r="G14" s="41" t="s">
        <v>126</v>
      </c>
      <c r="H14" s="1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127"/>
      <c r="X14" s="132"/>
      <c r="Y14" s="131"/>
      <c r="Z14" s="130"/>
      <c r="AA14" s="130"/>
      <c r="AB14" s="131"/>
      <c r="AC14" s="130"/>
      <c r="AD14" s="132"/>
      <c r="AE14" s="130"/>
      <c r="AF14" s="130"/>
      <c r="AG14" s="13"/>
      <c r="AH14" s="4"/>
      <c r="AI14" s="4"/>
      <c r="AJ14" s="4"/>
      <c r="AK14" s="4"/>
      <c r="AL14" s="5"/>
      <c r="AM14" s="13"/>
      <c r="AN14" s="9" t="s">
        <v>23</v>
      </c>
      <c r="AO14" s="9" t="s">
        <v>24</v>
      </c>
      <c r="AP14" s="9" t="s">
        <v>25</v>
      </c>
      <c r="AQ14" s="9" t="s">
        <v>13</v>
      </c>
      <c r="AR14" s="9" t="s">
        <v>26</v>
      </c>
      <c r="AS14" s="9" t="s">
        <v>27</v>
      </c>
      <c r="AT14" s="120" t="s">
        <v>3</v>
      </c>
      <c r="AU14" s="120" t="s">
        <v>4</v>
      </c>
      <c r="AV14" s="23"/>
      <c r="AW14" s="23"/>
      <c r="FG14" s="5"/>
      <c r="FH14" s="214">
        <f t="shared" si="6"/>
        <v>39910</v>
      </c>
      <c r="FI14" s="227">
        <f>AVERAGE(GG6:GG1005)</f>
        <v>51.494026026010651</v>
      </c>
      <c r="FJ14" s="227"/>
      <c r="FK14" s="227">
        <f>PERCENTILE($GG$6:$GG$1005,0.975)</f>
        <v>95.432373677277909</v>
      </c>
      <c r="FL14" s="227"/>
      <c r="FM14" s="227">
        <f>PERCENTILE($GG$6:$GG$1005,0.025)</f>
        <v>19.691685579858465</v>
      </c>
      <c r="FN14" s="227"/>
      <c r="FO14" s="5"/>
      <c r="FY14" s="211">
        <v>9</v>
      </c>
      <c r="FZ14">
        <v>5.525984542581921</v>
      </c>
      <c r="GA14">
        <v>41.60640403805894</v>
      </c>
      <c r="GB14">
        <v>79.579968735108622</v>
      </c>
      <c r="GC14">
        <v>43.077962845331392</v>
      </c>
      <c r="GD14">
        <v>19.780689665205784</v>
      </c>
      <c r="GE14">
        <v>51.718623383048723</v>
      </c>
      <c r="GF14">
        <v>110.98750391765036</v>
      </c>
      <c r="GG14">
        <v>79.648468825733971</v>
      </c>
      <c r="GH14">
        <v>25.555330916880273</v>
      </c>
      <c r="GI14">
        <v>60.127413752643555</v>
      </c>
      <c r="GJ14"/>
      <c r="GK14"/>
      <c r="GL14"/>
      <c r="GM14"/>
    </row>
    <row r="15" spans="1:196" s="7" customFormat="1">
      <c r="A15" s="142"/>
      <c r="B15" s="2"/>
      <c r="C15" s="17"/>
      <c r="D15" s="19"/>
      <c r="E15" s="109"/>
      <c r="F15" s="13"/>
      <c r="G15" s="113">
        <v>9.6000000000000002E-2</v>
      </c>
      <c r="H15" s="1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127"/>
      <c r="X15" s="132"/>
      <c r="Y15" s="131"/>
      <c r="Z15" s="130"/>
      <c r="AA15" s="130"/>
      <c r="AB15" s="131"/>
      <c r="AC15" s="130"/>
      <c r="AD15" s="132"/>
      <c r="AE15" s="130"/>
      <c r="AF15" s="130"/>
      <c r="AG15" s="13"/>
      <c r="AH15" s="4"/>
      <c r="AI15" s="4"/>
      <c r="AJ15" s="4"/>
      <c r="AK15" s="4"/>
      <c r="AL15" s="5"/>
      <c r="AM15" s="27" t="s">
        <v>31</v>
      </c>
      <c r="AN15" s="163">
        <f>D32</f>
        <v>250.70079557007725</v>
      </c>
      <c r="AO15" s="163">
        <f>D48</f>
        <v>87.143593141914735</v>
      </c>
      <c r="AP15" s="163">
        <f>D63</f>
        <v>595.2209144404477</v>
      </c>
      <c r="AQ15" s="163">
        <f>C453</f>
        <v>441.40386934072291</v>
      </c>
      <c r="AR15" s="163">
        <f>G520</f>
        <v>78.36155893504484</v>
      </c>
      <c r="AS15" s="163">
        <f>I523</f>
        <v>664.67486405901116</v>
      </c>
      <c r="AT15" s="122">
        <f>G556</f>
        <v>41.755629820183984</v>
      </c>
      <c r="AU15" s="122">
        <f>I556</f>
        <v>90.55516889282093</v>
      </c>
      <c r="AV15" s="23"/>
      <c r="AW15" s="23"/>
      <c r="FG15" s="5"/>
      <c r="FH15" s="214">
        <f t="shared" si="6"/>
        <v>39949</v>
      </c>
      <c r="FI15" s="227">
        <f>AVERAGE(GH6:GH1005)</f>
        <v>22.804423086299398</v>
      </c>
      <c r="FJ15" s="227"/>
      <c r="FK15" s="227">
        <f>PERCENTILE($GH$6:$GH$1005,0.975)</f>
        <v>51.967016149502228</v>
      </c>
      <c r="FL15" s="227"/>
      <c r="FM15" s="227">
        <f>PERCENTILE($GH$6:$GH$1005,0.025)</f>
        <v>2.4078370552486437</v>
      </c>
      <c r="FN15" s="227"/>
      <c r="FO15" s="5"/>
      <c r="FY15" s="211">
        <v>10</v>
      </c>
      <c r="FZ15">
        <v>22.784467920338372</v>
      </c>
      <c r="GA15">
        <v>62.963990415939733</v>
      </c>
      <c r="GB15">
        <v>73.788582892672537</v>
      </c>
      <c r="GC15">
        <v>42.601499228156214</v>
      </c>
      <c r="GD15">
        <v>15.840654442979627</v>
      </c>
      <c r="GE15">
        <v>30.537454455249513</v>
      </c>
      <c r="GF15">
        <v>86.006934353305169</v>
      </c>
      <c r="GG15">
        <v>59.174470226055142</v>
      </c>
      <c r="GH15">
        <v>11.398768932432141</v>
      </c>
      <c r="GI15">
        <v>51.476308873073364</v>
      </c>
      <c r="GJ15"/>
      <c r="GK15"/>
      <c r="GL15"/>
      <c r="GM15"/>
    </row>
    <row r="16" spans="1:196" s="7" customFormat="1">
      <c r="A16" s="143"/>
      <c r="B16" s="2"/>
      <c r="C16" s="31"/>
      <c r="D16" s="1"/>
      <c r="E16" s="1"/>
      <c r="F16" s="1"/>
      <c r="G16" s="32"/>
      <c r="H16" s="1"/>
      <c r="I16" s="4"/>
      <c r="J16" s="4"/>
      <c r="K16" s="4"/>
      <c r="L16" s="4"/>
      <c r="M16" s="4"/>
      <c r="N16" s="28"/>
      <c r="O16" s="16"/>
      <c r="P16" s="29"/>
      <c r="Q16" s="30"/>
      <c r="R16" s="30"/>
      <c r="S16" s="4"/>
      <c r="T16" s="4"/>
      <c r="U16" s="4"/>
      <c r="V16" s="4"/>
      <c r="W16" s="13"/>
      <c r="X16" s="13"/>
      <c r="Y16" s="13"/>
      <c r="Z16" s="13"/>
      <c r="AA16" s="13"/>
      <c r="AB16" s="13"/>
      <c r="AC16" s="13"/>
      <c r="AD16" s="13"/>
      <c r="AE16" s="13"/>
      <c r="AF16" s="13"/>
      <c r="AG16" s="13"/>
      <c r="AH16" s="4"/>
      <c r="AI16" s="4"/>
      <c r="AJ16" s="4"/>
      <c r="AK16" s="4"/>
      <c r="AL16" s="5"/>
      <c r="AM16" s="5"/>
      <c r="AN16" s="5"/>
      <c r="AO16" s="5"/>
      <c r="AP16" s="5"/>
      <c r="AQ16" s="5"/>
      <c r="AR16" s="5"/>
      <c r="AS16" s="5"/>
      <c r="AT16" s="23"/>
      <c r="AU16" s="23"/>
      <c r="AV16" s="23"/>
      <c r="AW16" s="23"/>
      <c r="FG16" s="5"/>
      <c r="FH16" s="214">
        <f t="shared" si="6"/>
        <v>39987</v>
      </c>
      <c r="FI16" s="227">
        <f>AVERAGE(GI6:GI1005)</f>
        <v>53.657559083219674</v>
      </c>
      <c r="FJ16" s="227"/>
      <c r="FK16" s="227">
        <f>PERCENTILE($GI$6:$GI$1005,0.975)</f>
        <v>69.21098967458714</v>
      </c>
      <c r="FL16" s="227"/>
      <c r="FM16" s="227">
        <f>PERCENTILE($GI$6:$GI$1005,0.025)</f>
        <v>39.089786910175441</v>
      </c>
      <c r="FN16" s="227"/>
      <c r="FO16" s="5"/>
      <c r="FY16" s="211">
        <v>11</v>
      </c>
      <c r="FZ16">
        <v>13.591956302282162</v>
      </c>
      <c r="GA16">
        <v>49.513789194507424</v>
      </c>
      <c r="GB16">
        <v>76.683109257243245</v>
      </c>
      <c r="GC16">
        <v>44.463847956791525</v>
      </c>
      <c r="GD16">
        <v>16.334271717704191</v>
      </c>
      <c r="GE16">
        <v>52.480510099773767</v>
      </c>
      <c r="GF16">
        <v>84.139064068498513</v>
      </c>
      <c r="GG16">
        <v>33.108086030437612</v>
      </c>
      <c r="GH16">
        <v>19.601014063544469</v>
      </c>
      <c r="GI16">
        <v>50.814942113977487</v>
      </c>
      <c r="GJ16"/>
      <c r="GK16"/>
      <c r="GL16"/>
      <c r="GM16"/>
    </row>
    <row r="17" spans="1:195" s="7" customFormat="1">
      <c r="A17" s="145"/>
      <c r="B17" s="28"/>
      <c r="C17" s="4"/>
      <c r="D17" s="4"/>
      <c r="E17" s="4"/>
      <c r="F17" s="16"/>
      <c r="G17" s="28"/>
      <c r="H17" s="33"/>
      <c r="I17" s="4"/>
      <c r="J17" s="4"/>
      <c r="K17" s="4"/>
      <c r="L17" s="34"/>
      <c r="M17" s="4"/>
      <c r="N17" s="28"/>
      <c r="O17" s="16"/>
      <c r="P17" s="29"/>
      <c r="Q17" s="30"/>
      <c r="R17" s="30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  <c r="AM17" s="43">
        <v>1</v>
      </c>
      <c r="AN17">
        <v>267.29295636580684</v>
      </c>
      <c r="AO17">
        <v>95.071049669234824</v>
      </c>
      <c r="AP17">
        <v>723.40805627854797</v>
      </c>
      <c r="AQ17">
        <v>514.42669920020921</v>
      </c>
      <c r="AR17">
        <v>84.882143382771403</v>
      </c>
      <c r="AS17">
        <v>666.94725904532675</v>
      </c>
      <c r="AT17">
        <v>44.604687464951702</v>
      </c>
      <c r="AU17">
        <v>73.038979287144528</v>
      </c>
      <c r="AV17"/>
      <c r="AW17"/>
      <c r="FG17" s="5"/>
      <c r="FH17" s="215"/>
      <c r="FI17" s="13"/>
      <c r="FJ17" s="13"/>
      <c r="FK17" s="13"/>
      <c r="FL17" s="13"/>
      <c r="FM17" s="13"/>
      <c r="FN17" s="13"/>
      <c r="FO17" s="5"/>
      <c r="FY17" s="211">
        <v>12</v>
      </c>
      <c r="FZ17">
        <v>14.40530713418331</v>
      </c>
      <c r="GA17">
        <v>49.877895683963537</v>
      </c>
      <c r="GB17">
        <v>77.306035625308013</v>
      </c>
      <c r="GC17">
        <v>41.396909031194554</v>
      </c>
      <c r="GD17">
        <v>15.795513360576045</v>
      </c>
      <c r="GE17">
        <v>27.827357288812713</v>
      </c>
      <c r="GF17">
        <v>53.802846821019791</v>
      </c>
      <c r="GG17">
        <v>51.749552377738318</v>
      </c>
      <c r="GH17">
        <v>24.517919899869394</v>
      </c>
      <c r="GI17">
        <v>46.3541636876731</v>
      </c>
      <c r="GJ17"/>
      <c r="GK17"/>
      <c r="GL17"/>
      <c r="GM17"/>
    </row>
    <row r="18" spans="1:195" s="7" customFormat="1">
      <c r="A18" s="143"/>
      <c r="B18" s="1"/>
      <c r="C18" s="2"/>
      <c r="D18" s="1"/>
      <c r="E18" s="1"/>
      <c r="F18" s="1"/>
      <c r="G18" s="36"/>
      <c r="H18" s="2"/>
      <c r="I18" s="37"/>
      <c r="J18" s="1"/>
      <c r="K18" s="37"/>
      <c r="L18" s="1"/>
      <c r="M18" s="32"/>
      <c r="N18" s="1"/>
      <c r="O18" s="2"/>
      <c r="P18" s="36"/>
      <c r="Q18" s="38"/>
      <c r="R18" s="39"/>
      <c r="S18" s="39"/>
      <c r="T18" s="39"/>
      <c r="U18" s="39"/>
      <c r="V18" s="39"/>
      <c r="W18" s="39"/>
      <c r="X18" s="39"/>
      <c r="Y18" s="39"/>
      <c r="Z18" s="39"/>
      <c r="AA18" s="39"/>
      <c r="AB18" s="39"/>
      <c r="AC18" s="39"/>
      <c r="AD18" s="39"/>
      <c r="AE18" s="39"/>
      <c r="AF18" s="39"/>
      <c r="AG18" s="39"/>
      <c r="AH18" s="39"/>
      <c r="AI18" s="39"/>
      <c r="AJ18" s="39"/>
      <c r="AK18" s="39"/>
      <c r="AL18" s="39"/>
      <c r="AM18" s="43">
        <v>2</v>
      </c>
      <c r="AN18">
        <v>241.66967103898227</v>
      </c>
      <c r="AO18">
        <v>71.586103904047519</v>
      </c>
      <c r="AP18">
        <v>490.24651549809647</v>
      </c>
      <c r="AQ18">
        <v>370.72528582811486</v>
      </c>
      <c r="AR18">
        <v>64.77203940313656</v>
      </c>
      <c r="AS18">
        <v>563.2953030868681</v>
      </c>
      <c r="AT18" t="e">
        <v>#DIV/0!</v>
      </c>
      <c r="AU18" t="e">
        <v>#DIV/0!</v>
      </c>
      <c r="AV18"/>
      <c r="AW18"/>
      <c r="FG18" s="5"/>
      <c r="FH18" s="215"/>
      <c r="FI18" s="13"/>
      <c r="FJ18" s="13"/>
      <c r="FK18" s="13"/>
      <c r="FL18" s="13"/>
      <c r="FM18" s="13"/>
      <c r="FN18" s="13"/>
      <c r="FO18" s="5"/>
      <c r="FY18" s="211">
        <v>13</v>
      </c>
      <c r="FZ18">
        <v>8.5516909699684689</v>
      </c>
      <c r="GA18">
        <v>42.098024225593058</v>
      </c>
      <c r="GB18">
        <v>88.851985624497999</v>
      </c>
      <c r="GC18">
        <v>52.54949035019154</v>
      </c>
      <c r="GD18">
        <v>21.667605885404345</v>
      </c>
      <c r="GE18">
        <v>76.471853882956452</v>
      </c>
      <c r="GF18">
        <v>121.45481102909761</v>
      </c>
      <c r="GG18">
        <v>50.613936338416011</v>
      </c>
      <c r="GH18">
        <v>26.522896839538603</v>
      </c>
      <c r="GI18">
        <v>65.574883707548054</v>
      </c>
      <c r="GJ18"/>
      <c r="GK18"/>
      <c r="GL18"/>
      <c r="GM18"/>
    </row>
    <row r="19" spans="1:195" s="7" customFormat="1">
      <c r="A19" s="16"/>
      <c r="B19" s="36"/>
      <c r="C19" s="10" t="s">
        <v>32</v>
      </c>
      <c r="D19" s="10"/>
      <c r="E19" s="10"/>
      <c r="F19" s="10"/>
      <c r="G19" s="11" t="s">
        <v>33</v>
      </c>
      <c r="H19" s="10"/>
      <c r="I19" s="11"/>
      <c r="J19" s="40"/>
      <c r="K19" s="13"/>
      <c r="L19" s="11"/>
      <c r="M19" s="10"/>
      <c r="N19" s="41"/>
      <c r="O19" s="10"/>
      <c r="P19" s="11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42"/>
      <c r="AM19" s="43">
        <v>3</v>
      </c>
      <c r="AN19">
        <v>205.36257069538411</v>
      </c>
      <c r="AO19">
        <v>68.539802485512809</v>
      </c>
      <c r="AP19">
        <v>464.92791750847812</v>
      </c>
      <c r="AQ19">
        <v>359.02221271121829</v>
      </c>
      <c r="AR19">
        <v>62.721369417251317</v>
      </c>
      <c r="AS19">
        <v>522.97705797396611</v>
      </c>
      <c r="AT19">
        <v>34.081253311758218</v>
      </c>
      <c r="AU19">
        <v>58.504770623992428</v>
      </c>
      <c r="AV19"/>
      <c r="AW19"/>
      <c r="FG19" s="5"/>
      <c r="FH19" s="215"/>
      <c r="FI19" s="13"/>
      <c r="FJ19" s="13"/>
      <c r="FK19" s="13"/>
      <c r="FL19" s="13"/>
      <c r="FM19" s="13"/>
      <c r="FN19" s="13"/>
      <c r="FO19" s="5"/>
      <c r="FY19" s="211">
        <v>14</v>
      </c>
      <c r="FZ19">
        <v>22.082886843481376</v>
      </c>
      <c r="GA19">
        <v>63.747673530125937</v>
      </c>
      <c r="GB19">
        <v>96.364054101363095</v>
      </c>
      <c r="GC19">
        <v>56.747720961845943</v>
      </c>
      <c r="GD19">
        <v>32.450776917841942</v>
      </c>
      <c r="GE19">
        <v>57.164011987400016</v>
      </c>
      <c r="GF19">
        <v>75.311273292357356</v>
      </c>
      <c r="GG19">
        <v>79.462620555975818</v>
      </c>
      <c r="GH19">
        <v>45.764981282387112</v>
      </c>
      <c r="GI19">
        <v>71.840111258881521</v>
      </c>
      <c r="GJ19"/>
      <c r="GK19"/>
      <c r="GL19"/>
      <c r="GM19"/>
    </row>
    <row r="20" spans="1:195" s="7" customFormat="1">
      <c r="A20" s="51"/>
      <c r="B20" s="36"/>
      <c r="C20" s="12" t="s">
        <v>34</v>
      </c>
      <c r="D20" s="10" t="s">
        <v>35</v>
      </c>
      <c r="E20" s="10" t="s">
        <v>36</v>
      </c>
      <c r="F20" s="10"/>
      <c r="G20" s="44" t="s">
        <v>37</v>
      </c>
      <c r="H20" s="45">
        <v>1</v>
      </c>
      <c r="I20" s="45">
        <v>2</v>
      </c>
      <c r="J20" s="45">
        <v>3</v>
      </c>
      <c r="K20" s="45">
        <v>4</v>
      </c>
      <c r="L20" s="45">
        <v>5</v>
      </c>
      <c r="M20" s="45">
        <v>6</v>
      </c>
      <c r="N20" s="45">
        <v>7</v>
      </c>
      <c r="O20" s="46">
        <v>8</v>
      </c>
      <c r="P20" s="46">
        <v>9</v>
      </c>
      <c r="Q20" s="47">
        <v>10</v>
      </c>
      <c r="R20" s="46">
        <v>11</v>
      </c>
      <c r="S20" s="47">
        <v>12</v>
      </c>
      <c r="T20" s="46">
        <v>13</v>
      </c>
      <c r="U20" s="47">
        <v>14</v>
      </c>
      <c r="V20" s="46">
        <v>15</v>
      </c>
      <c r="W20" s="47">
        <v>16</v>
      </c>
      <c r="X20" s="46">
        <v>17</v>
      </c>
      <c r="Y20" s="47">
        <v>18</v>
      </c>
      <c r="Z20" s="46">
        <v>19</v>
      </c>
      <c r="AA20" s="47">
        <v>20</v>
      </c>
      <c r="AB20" s="46">
        <v>21</v>
      </c>
      <c r="AC20" s="47">
        <v>22</v>
      </c>
      <c r="AD20" s="46">
        <v>23</v>
      </c>
      <c r="AE20" s="47">
        <v>24</v>
      </c>
      <c r="AF20" s="46">
        <v>25</v>
      </c>
      <c r="AG20" s="47">
        <v>26</v>
      </c>
      <c r="AH20" s="46">
        <v>27</v>
      </c>
      <c r="AI20" s="47">
        <v>28</v>
      </c>
      <c r="AJ20" s="46">
        <v>29</v>
      </c>
      <c r="AK20" s="47">
        <v>30</v>
      </c>
      <c r="AL20" s="42"/>
      <c r="AM20" s="43">
        <v>4</v>
      </c>
      <c r="AN20">
        <v>231.77862463554533</v>
      </c>
      <c r="AO20">
        <v>82.049064676594</v>
      </c>
      <c r="AP20">
        <v>593.64001711762239</v>
      </c>
      <c r="AQ20">
        <v>437.37452414450593</v>
      </c>
      <c r="AR20">
        <v>74.844233589423808</v>
      </c>
      <c r="AS20">
        <v>620.69949608134266</v>
      </c>
      <c r="AT20">
        <v>41.134079329101333</v>
      </c>
      <c r="AU20">
        <v>39.199370596429851</v>
      </c>
      <c r="AV20"/>
      <c r="AW20"/>
      <c r="FG20" s="5"/>
      <c r="FH20" s="5"/>
      <c r="FI20" s="5"/>
      <c r="FJ20" s="5"/>
      <c r="FK20" s="5"/>
      <c r="FL20" s="5"/>
      <c r="FM20" s="5"/>
      <c r="FN20" s="5"/>
      <c r="FO20" s="5"/>
      <c r="FY20" s="211">
        <v>15</v>
      </c>
      <c r="FZ20">
        <v>25.398664437570009</v>
      </c>
      <c r="GA20">
        <v>64.005028360222667</v>
      </c>
      <c r="GB20">
        <v>59.960806788217432</v>
      </c>
      <c r="GC20">
        <v>34.211006503067495</v>
      </c>
      <c r="GD20">
        <v>25.126156375085177</v>
      </c>
      <c r="GE20">
        <v>52.794193988648985</v>
      </c>
      <c r="GF20">
        <v>95.412562464140777</v>
      </c>
      <c r="GG20">
        <v>63.856493730733952</v>
      </c>
      <c r="GH20">
        <v>7.8048516956013394</v>
      </c>
      <c r="GI20">
        <v>55.404203289304895</v>
      </c>
      <c r="GJ20"/>
      <c r="GK20"/>
      <c r="GL20"/>
      <c r="GM20"/>
    </row>
    <row r="21" spans="1:195" s="7" customFormat="1">
      <c r="A21" s="4"/>
      <c r="B21" s="36"/>
      <c r="C21" s="48" t="s">
        <v>38</v>
      </c>
      <c r="D21" s="49">
        <f t="shared" ref="D21:D26" si="7">SUM(G21:AK21)</f>
        <v>55.597864145658271</v>
      </c>
      <c r="E21" s="18">
        <f t="shared" ref="E21:E26" si="8">C5-C4</f>
        <v>27</v>
      </c>
      <c r="F21" s="50"/>
      <c r="G21" s="18">
        <f t="shared" ref="G21:AK21" si="9">AVERAGE(G70:G71)</f>
        <v>0</v>
      </c>
      <c r="H21" s="18">
        <f t="shared" si="9"/>
        <v>3.645833333333333</v>
      </c>
      <c r="I21" s="18">
        <f t="shared" si="9"/>
        <v>38.032504668534081</v>
      </c>
      <c r="J21" s="18">
        <f t="shared" si="9"/>
        <v>10.273692810457515</v>
      </c>
      <c r="K21" s="18">
        <f t="shared" si="9"/>
        <v>0</v>
      </c>
      <c r="L21" s="18">
        <f t="shared" si="9"/>
        <v>0</v>
      </c>
      <c r="M21" s="18">
        <f t="shared" si="9"/>
        <v>0</v>
      </c>
      <c r="N21" s="18">
        <f t="shared" si="9"/>
        <v>3.6458333333333335</v>
      </c>
      <c r="O21" s="18">
        <f t="shared" si="9"/>
        <v>0</v>
      </c>
      <c r="P21" s="18">
        <f t="shared" si="9"/>
        <v>0</v>
      </c>
      <c r="Q21" s="18">
        <f t="shared" si="9"/>
        <v>0</v>
      </c>
      <c r="R21" s="18">
        <f t="shared" si="9"/>
        <v>0</v>
      </c>
      <c r="S21" s="18">
        <f t="shared" si="9"/>
        <v>0</v>
      </c>
      <c r="T21" s="18">
        <f t="shared" si="9"/>
        <v>0</v>
      </c>
      <c r="U21" s="18">
        <f t="shared" si="9"/>
        <v>0</v>
      </c>
      <c r="V21" s="18">
        <f t="shared" si="9"/>
        <v>0</v>
      </c>
      <c r="W21" s="18">
        <f t="shared" si="9"/>
        <v>0</v>
      </c>
      <c r="X21" s="18">
        <f t="shared" si="9"/>
        <v>0</v>
      </c>
      <c r="Y21" s="18">
        <f t="shared" si="9"/>
        <v>0</v>
      </c>
      <c r="Z21" s="18">
        <f t="shared" si="9"/>
        <v>0</v>
      </c>
      <c r="AA21" s="18">
        <f t="shared" si="9"/>
        <v>0</v>
      </c>
      <c r="AB21" s="18">
        <f t="shared" si="9"/>
        <v>0</v>
      </c>
      <c r="AC21" s="18">
        <f t="shared" si="9"/>
        <v>0</v>
      </c>
      <c r="AD21" s="18">
        <f t="shared" si="9"/>
        <v>0</v>
      </c>
      <c r="AE21" s="18">
        <f t="shared" si="9"/>
        <v>0</v>
      </c>
      <c r="AF21" s="18">
        <f t="shared" si="9"/>
        <v>0</v>
      </c>
      <c r="AG21" s="18">
        <f t="shared" si="9"/>
        <v>0</v>
      </c>
      <c r="AH21" s="18">
        <f t="shared" si="9"/>
        <v>0</v>
      </c>
      <c r="AI21" s="18">
        <f t="shared" si="9"/>
        <v>0</v>
      </c>
      <c r="AJ21" s="18">
        <f t="shared" si="9"/>
        <v>0</v>
      </c>
      <c r="AK21" s="18">
        <f t="shared" si="9"/>
        <v>0</v>
      </c>
      <c r="AL21" s="42"/>
      <c r="AM21" s="43">
        <v>5</v>
      </c>
      <c r="AN21">
        <v>285.92342432047866</v>
      </c>
      <c r="AO21">
        <v>89.493043382260538</v>
      </c>
      <c r="AP21">
        <v>652.48234768547866</v>
      </c>
      <c r="AQ21">
        <v>481.09413057215431</v>
      </c>
      <c r="AR21">
        <v>79.017269857805715</v>
      </c>
      <c r="AS21">
        <v>696.38570925389524</v>
      </c>
      <c r="AT21">
        <v>43.380623793999483</v>
      </c>
      <c r="AU21">
        <v>114.27947697258259</v>
      </c>
      <c r="AV21"/>
      <c r="AW21"/>
      <c r="FY21" s="211">
        <v>16</v>
      </c>
      <c r="FZ21">
        <v>13.08525827795858</v>
      </c>
      <c r="GA21">
        <v>55.258957308812413</v>
      </c>
      <c r="GB21">
        <v>61.831593309908392</v>
      </c>
      <c r="GC21">
        <v>33.874742760183452</v>
      </c>
      <c r="GD21">
        <v>16.696489333322791</v>
      </c>
      <c r="GE21">
        <v>39.748437440374687</v>
      </c>
      <c r="GF21">
        <v>64.191279384630775</v>
      </c>
      <c r="GG21">
        <v>25.091562381692178</v>
      </c>
      <c r="GH21">
        <v>3.2162672650399031</v>
      </c>
      <c r="GI21">
        <v>41.661648419049293</v>
      </c>
      <c r="GJ21"/>
      <c r="GK21"/>
      <c r="GL21"/>
      <c r="GM21"/>
    </row>
    <row r="22" spans="1:195" s="7" customFormat="1">
      <c r="B22" s="36"/>
      <c r="C22" s="48" t="s">
        <v>39</v>
      </c>
      <c r="D22" s="49">
        <f t="shared" si="7"/>
        <v>140.34488795518209</v>
      </c>
      <c r="E22" s="18">
        <f t="shared" si="8"/>
        <v>41</v>
      </c>
      <c r="F22" s="50"/>
      <c r="G22" s="18">
        <f t="shared" ref="G22:AK22" si="10">AVERAGE(G71:G72)</f>
        <v>0</v>
      </c>
      <c r="H22" s="18">
        <f t="shared" si="10"/>
        <v>9.449404761904761</v>
      </c>
      <c r="I22" s="18">
        <f t="shared" si="10"/>
        <v>77.913457049486453</v>
      </c>
      <c r="J22" s="18">
        <f t="shared" si="10"/>
        <v>36.836192810457518</v>
      </c>
      <c r="K22" s="18">
        <f t="shared" si="10"/>
        <v>11.979166666666668</v>
      </c>
      <c r="L22" s="18">
        <f t="shared" si="10"/>
        <v>0</v>
      </c>
      <c r="M22" s="18">
        <f t="shared" si="10"/>
        <v>0.52083333333333326</v>
      </c>
      <c r="N22" s="18">
        <f t="shared" si="10"/>
        <v>3.6458333333333335</v>
      </c>
      <c r="O22" s="18">
        <f t="shared" si="10"/>
        <v>0</v>
      </c>
      <c r="P22" s="18">
        <f t="shared" si="10"/>
        <v>0</v>
      </c>
      <c r="Q22" s="18">
        <f t="shared" si="10"/>
        <v>0</v>
      </c>
      <c r="R22" s="18">
        <f t="shared" si="10"/>
        <v>0</v>
      </c>
      <c r="S22" s="18">
        <f t="shared" si="10"/>
        <v>0</v>
      </c>
      <c r="T22" s="18">
        <f t="shared" si="10"/>
        <v>0</v>
      </c>
      <c r="U22" s="18">
        <f t="shared" si="10"/>
        <v>0</v>
      </c>
      <c r="V22" s="18">
        <f t="shared" si="10"/>
        <v>0</v>
      </c>
      <c r="W22" s="18">
        <f t="shared" si="10"/>
        <v>0</v>
      </c>
      <c r="X22" s="18">
        <f t="shared" si="10"/>
        <v>0</v>
      </c>
      <c r="Y22" s="18">
        <f t="shared" si="10"/>
        <v>0</v>
      </c>
      <c r="Z22" s="18">
        <f t="shared" si="10"/>
        <v>0</v>
      </c>
      <c r="AA22" s="18">
        <f t="shared" si="10"/>
        <v>0</v>
      </c>
      <c r="AB22" s="18">
        <f t="shared" si="10"/>
        <v>0</v>
      </c>
      <c r="AC22" s="18">
        <f t="shared" si="10"/>
        <v>0</v>
      </c>
      <c r="AD22" s="18">
        <f t="shared" si="10"/>
        <v>0</v>
      </c>
      <c r="AE22" s="18">
        <f t="shared" si="10"/>
        <v>0</v>
      </c>
      <c r="AF22" s="18">
        <f t="shared" si="10"/>
        <v>0</v>
      </c>
      <c r="AG22" s="18">
        <f t="shared" si="10"/>
        <v>0</v>
      </c>
      <c r="AH22" s="18">
        <f t="shared" si="10"/>
        <v>0</v>
      </c>
      <c r="AI22" s="18">
        <f t="shared" si="10"/>
        <v>0</v>
      </c>
      <c r="AJ22" s="18">
        <f t="shared" si="10"/>
        <v>0</v>
      </c>
      <c r="AK22" s="18">
        <f t="shared" si="10"/>
        <v>0</v>
      </c>
      <c r="AL22" s="42"/>
      <c r="AM22" s="43">
        <v>6</v>
      </c>
      <c r="AN22">
        <v>307.03737761819355</v>
      </c>
      <c r="AO22">
        <v>101.08857127666604</v>
      </c>
      <c r="AP22">
        <v>717.23474984254779</v>
      </c>
      <c r="AQ22">
        <v>516.59931757607046</v>
      </c>
      <c r="AR22">
        <v>89.36371404320235</v>
      </c>
      <c r="AS22">
        <v>744.23158139177553</v>
      </c>
      <c r="AT22">
        <v>46.617681911023993</v>
      </c>
      <c r="AU22">
        <v>84.914097244379889</v>
      </c>
      <c r="AV22"/>
      <c r="AW22"/>
      <c r="FY22" s="211">
        <v>17</v>
      </c>
      <c r="FZ22">
        <v>6.9032657474318171</v>
      </c>
      <c r="GA22">
        <v>33.931310057657292</v>
      </c>
      <c r="GB22">
        <v>51.216812503049908</v>
      </c>
      <c r="GC22">
        <v>32.499024861905994</v>
      </c>
      <c r="GD22">
        <v>15.728101019287408</v>
      </c>
      <c r="GE22">
        <v>40.607731777271752</v>
      </c>
      <c r="GF22">
        <v>58.992129896283785</v>
      </c>
      <c r="GG22">
        <v>38.886143820596772</v>
      </c>
      <c r="GH22">
        <v>34.207192040414355</v>
      </c>
      <c r="GI22">
        <v>40.655622677738506</v>
      </c>
      <c r="GJ22"/>
      <c r="GK22"/>
      <c r="GL22"/>
      <c r="GM22"/>
    </row>
    <row r="23" spans="1:195" s="7" customFormat="1">
      <c r="B23" s="36"/>
      <c r="C23" s="48" t="s">
        <v>40</v>
      </c>
      <c r="D23" s="49">
        <f t="shared" si="7"/>
        <v>482.65474946509431</v>
      </c>
      <c r="E23" s="18">
        <f t="shared" si="8"/>
        <v>33</v>
      </c>
      <c r="F23" s="50"/>
      <c r="G23" s="18">
        <f t="shared" ref="G23:AK23" si="11">AVERAGE(G72:G73)</f>
        <v>0</v>
      </c>
      <c r="H23" s="18">
        <f t="shared" si="11"/>
        <v>66.228790366721398</v>
      </c>
      <c r="I23" s="18">
        <f t="shared" si="11"/>
        <v>162.01737977061254</v>
      </c>
      <c r="J23" s="18">
        <f t="shared" si="11"/>
        <v>117.53200104493209</v>
      </c>
      <c r="K23" s="18">
        <f t="shared" si="11"/>
        <v>105.17676767676768</v>
      </c>
      <c r="L23" s="18">
        <f t="shared" si="11"/>
        <v>24.692234848484851</v>
      </c>
      <c r="M23" s="18">
        <f t="shared" si="11"/>
        <v>3.645833333333333</v>
      </c>
      <c r="N23" s="18">
        <f t="shared" si="11"/>
        <v>3.3617424242424234</v>
      </c>
      <c r="O23" s="18">
        <f t="shared" si="11"/>
        <v>0</v>
      </c>
      <c r="P23" s="18">
        <f t="shared" si="11"/>
        <v>0</v>
      </c>
      <c r="Q23" s="18">
        <f t="shared" si="11"/>
        <v>0</v>
      </c>
      <c r="R23" s="18">
        <f t="shared" si="11"/>
        <v>0</v>
      </c>
      <c r="S23" s="18">
        <f t="shared" si="11"/>
        <v>0</v>
      </c>
      <c r="T23" s="18">
        <f t="shared" si="11"/>
        <v>0</v>
      </c>
      <c r="U23" s="18">
        <f t="shared" si="11"/>
        <v>0</v>
      </c>
      <c r="V23" s="18">
        <f t="shared" si="11"/>
        <v>0</v>
      </c>
      <c r="W23" s="18">
        <f t="shared" si="11"/>
        <v>0</v>
      </c>
      <c r="X23" s="18">
        <f t="shared" si="11"/>
        <v>0</v>
      </c>
      <c r="Y23" s="18">
        <f t="shared" si="11"/>
        <v>0</v>
      </c>
      <c r="Z23" s="18">
        <f t="shared" si="11"/>
        <v>0</v>
      </c>
      <c r="AA23" s="18">
        <f t="shared" si="11"/>
        <v>0</v>
      </c>
      <c r="AB23" s="18">
        <f t="shared" si="11"/>
        <v>0</v>
      </c>
      <c r="AC23" s="18">
        <f t="shared" si="11"/>
        <v>0</v>
      </c>
      <c r="AD23" s="18">
        <f t="shared" si="11"/>
        <v>0</v>
      </c>
      <c r="AE23" s="18">
        <f t="shared" si="11"/>
        <v>0</v>
      </c>
      <c r="AF23" s="18">
        <f t="shared" si="11"/>
        <v>0</v>
      </c>
      <c r="AG23" s="18">
        <f t="shared" si="11"/>
        <v>0</v>
      </c>
      <c r="AH23" s="18">
        <f t="shared" si="11"/>
        <v>0</v>
      </c>
      <c r="AI23" s="18">
        <f t="shared" si="11"/>
        <v>0</v>
      </c>
      <c r="AJ23" s="18">
        <f t="shared" si="11"/>
        <v>0</v>
      </c>
      <c r="AK23" s="18">
        <f t="shared" si="11"/>
        <v>0</v>
      </c>
      <c r="AL23" s="42"/>
      <c r="AM23" s="43">
        <v>7</v>
      </c>
      <c r="AN23">
        <v>286.70359840871936</v>
      </c>
      <c r="AO23">
        <v>94.284598433950052</v>
      </c>
      <c r="AP23">
        <v>635.73382398125375</v>
      </c>
      <c r="AQ23">
        <v>479.87310167210421</v>
      </c>
      <c r="AR23">
        <v>85.42152664076535</v>
      </c>
      <c r="AS23">
        <v>741.76270772640123</v>
      </c>
      <c r="AT23">
        <v>45.7313877374811</v>
      </c>
      <c r="AU23">
        <v>31.558560613007849</v>
      </c>
      <c r="AV23"/>
      <c r="AW23"/>
      <c r="FY23" s="211">
        <v>18</v>
      </c>
      <c r="FZ23">
        <v>15.248738400582356</v>
      </c>
      <c r="GA23">
        <v>44.313819839268014</v>
      </c>
      <c r="GB23">
        <v>51.725402477571762</v>
      </c>
      <c r="GC23">
        <v>34.19452376027251</v>
      </c>
      <c r="GD23">
        <v>25.993373755444974</v>
      </c>
      <c r="GE23">
        <v>39.466673781967472</v>
      </c>
      <c r="GF23">
        <v>48.473076854205708</v>
      </c>
      <c r="GG23">
        <v>51.786139780155338</v>
      </c>
      <c r="GH23">
        <v>26.820661527969669</v>
      </c>
      <c r="GI23">
        <v>45.564034691446778</v>
      </c>
      <c r="GJ23"/>
      <c r="GK23"/>
      <c r="GL23"/>
      <c r="GM23"/>
    </row>
    <row r="24" spans="1:195" s="7" customFormat="1">
      <c r="A24" s="4"/>
      <c r="B24" s="36"/>
      <c r="C24" s="48" t="s">
        <v>41</v>
      </c>
      <c r="D24" s="49">
        <f t="shared" si="7"/>
        <v>542.3382083673032</v>
      </c>
      <c r="E24" s="18">
        <f t="shared" si="8"/>
        <v>28</v>
      </c>
      <c r="F24" s="50"/>
      <c r="G24" s="18">
        <f t="shared" ref="G24:AK24" si="12">AVERAGE(G73:G74)</f>
        <v>0</v>
      </c>
      <c r="H24" s="18">
        <f t="shared" si="12"/>
        <v>71.362718938149968</v>
      </c>
      <c r="I24" s="18">
        <f t="shared" si="12"/>
        <v>189.41073294521573</v>
      </c>
      <c r="J24" s="18">
        <f t="shared" si="12"/>
        <v>101.5755616509927</v>
      </c>
      <c r="K24" s="18">
        <f t="shared" si="12"/>
        <v>135.69468725718724</v>
      </c>
      <c r="L24" s="18">
        <f t="shared" si="12"/>
        <v>37.807765151515156</v>
      </c>
      <c r="M24" s="18">
        <f t="shared" si="12"/>
        <v>3.1249999999999996</v>
      </c>
      <c r="N24" s="18">
        <f t="shared" si="12"/>
        <v>3.3617424242424234</v>
      </c>
      <c r="O24" s="18">
        <f t="shared" si="12"/>
        <v>0</v>
      </c>
      <c r="P24" s="18">
        <f t="shared" si="12"/>
        <v>0</v>
      </c>
      <c r="Q24" s="18">
        <f t="shared" si="12"/>
        <v>0</v>
      </c>
      <c r="R24" s="18">
        <f t="shared" si="12"/>
        <v>0</v>
      </c>
      <c r="S24" s="18">
        <f t="shared" si="12"/>
        <v>0</v>
      </c>
      <c r="T24" s="18">
        <f t="shared" si="12"/>
        <v>0</v>
      </c>
      <c r="U24" s="18">
        <f t="shared" si="12"/>
        <v>0</v>
      </c>
      <c r="V24" s="18">
        <f t="shared" si="12"/>
        <v>0</v>
      </c>
      <c r="W24" s="18">
        <f t="shared" si="12"/>
        <v>0</v>
      </c>
      <c r="X24" s="18">
        <f t="shared" si="12"/>
        <v>0</v>
      </c>
      <c r="Y24" s="18">
        <f t="shared" si="12"/>
        <v>0</v>
      </c>
      <c r="Z24" s="18">
        <f t="shared" si="12"/>
        <v>0</v>
      </c>
      <c r="AA24" s="18">
        <f t="shared" si="12"/>
        <v>0</v>
      </c>
      <c r="AB24" s="18">
        <f t="shared" si="12"/>
        <v>0</v>
      </c>
      <c r="AC24" s="18">
        <f t="shared" si="12"/>
        <v>0</v>
      </c>
      <c r="AD24" s="18">
        <f t="shared" si="12"/>
        <v>0</v>
      </c>
      <c r="AE24" s="18">
        <f t="shared" si="12"/>
        <v>0</v>
      </c>
      <c r="AF24" s="18">
        <f t="shared" si="12"/>
        <v>0</v>
      </c>
      <c r="AG24" s="18">
        <f t="shared" si="12"/>
        <v>0</v>
      </c>
      <c r="AH24" s="18">
        <f t="shared" si="12"/>
        <v>0</v>
      </c>
      <c r="AI24" s="18">
        <f t="shared" si="12"/>
        <v>0</v>
      </c>
      <c r="AJ24" s="18">
        <f t="shared" si="12"/>
        <v>0</v>
      </c>
      <c r="AK24" s="18">
        <f t="shared" si="12"/>
        <v>0</v>
      </c>
      <c r="AL24" s="42"/>
      <c r="AM24" s="43">
        <v>8</v>
      </c>
      <c r="AN24">
        <v>244.31959431698778</v>
      </c>
      <c r="AO24">
        <v>83.973821790583642</v>
      </c>
      <c r="AP24">
        <v>606.43772365126847</v>
      </c>
      <c r="AQ24">
        <v>449.47671780813675</v>
      </c>
      <c r="AR24">
        <v>76.077569131001269</v>
      </c>
      <c r="AS24">
        <v>640.50936873229296</v>
      </c>
      <c r="AT24">
        <v>40.267820138904042</v>
      </c>
      <c r="AU24">
        <v>61.894674278594096</v>
      </c>
      <c r="AV24"/>
      <c r="AW24"/>
      <c r="FY24" s="211">
        <v>19</v>
      </c>
      <c r="FZ24">
        <v>11.353545177087344</v>
      </c>
      <c r="GA24">
        <v>56.451184437748957</v>
      </c>
      <c r="GB24">
        <v>72.583895841573906</v>
      </c>
      <c r="GC24">
        <v>41.869312003100568</v>
      </c>
      <c r="GD24">
        <v>23.757608788449367</v>
      </c>
      <c r="GE24">
        <v>52.424942490126554</v>
      </c>
      <c r="GF24">
        <v>59.768397350144276</v>
      </c>
      <c r="GG24">
        <v>32.890962139938978</v>
      </c>
      <c r="GH24">
        <v>25.15450332724237</v>
      </c>
      <c r="GI24">
        <v>50.073868546412349</v>
      </c>
      <c r="GJ24"/>
      <c r="GK24"/>
      <c r="GL24"/>
      <c r="GM24"/>
    </row>
    <row r="25" spans="1:195" s="7" customFormat="1">
      <c r="A25" s="4"/>
      <c r="B25" s="36"/>
      <c r="C25" s="48" t="s">
        <v>42</v>
      </c>
      <c r="D25" s="49">
        <f t="shared" si="7"/>
        <v>381.28474364687605</v>
      </c>
      <c r="E25" s="18">
        <f t="shared" si="8"/>
        <v>24</v>
      </c>
      <c r="F25" s="50"/>
      <c r="G25" s="18">
        <f t="shared" ref="G25:AK25" si="13">AVERAGE(G74:G75)</f>
        <v>0</v>
      </c>
      <c r="H25" s="18">
        <f t="shared" si="13"/>
        <v>18.609775641025642</v>
      </c>
      <c r="I25" s="18">
        <f t="shared" si="13"/>
        <v>242.13408119658121</v>
      </c>
      <c r="J25" s="18">
        <f t="shared" si="13"/>
        <v>17.336829836829835</v>
      </c>
      <c r="K25" s="18">
        <f t="shared" si="13"/>
        <v>73.516556972439332</v>
      </c>
      <c r="L25" s="18">
        <f t="shared" si="13"/>
        <v>24.005681818181813</v>
      </c>
      <c r="M25" s="18">
        <f t="shared" si="13"/>
        <v>5.6818181818181817</v>
      </c>
      <c r="N25" s="18">
        <f t="shared" si="13"/>
        <v>0</v>
      </c>
      <c r="O25" s="18">
        <f t="shared" si="13"/>
        <v>0</v>
      </c>
      <c r="P25" s="18">
        <f t="shared" si="13"/>
        <v>0</v>
      </c>
      <c r="Q25" s="18">
        <f t="shared" si="13"/>
        <v>0</v>
      </c>
      <c r="R25" s="18">
        <f t="shared" si="13"/>
        <v>0</v>
      </c>
      <c r="S25" s="18">
        <f t="shared" si="13"/>
        <v>0</v>
      </c>
      <c r="T25" s="18">
        <f t="shared" si="13"/>
        <v>0</v>
      </c>
      <c r="U25" s="18">
        <f t="shared" si="13"/>
        <v>0</v>
      </c>
      <c r="V25" s="18">
        <f t="shared" si="13"/>
        <v>0</v>
      </c>
      <c r="W25" s="18">
        <f t="shared" si="13"/>
        <v>0</v>
      </c>
      <c r="X25" s="18">
        <f t="shared" si="13"/>
        <v>0</v>
      </c>
      <c r="Y25" s="18">
        <f t="shared" si="13"/>
        <v>0</v>
      </c>
      <c r="Z25" s="18">
        <f t="shared" si="13"/>
        <v>0</v>
      </c>
      <c r="AA25" s="18">
        <f t="shared" si="13"/>
        <v>0</v>
      </c>
      <c r="AB25" s="18">
        <f t="shared" si="13"/>
        <v>0</v>
      </c>
      <c r="AC25" s="18">
        <f t="shared" si="13"/>
        <v>0</v>
      </c>
      <c r="AD25" s="18">
        <f t="shared" si="13"/>
        <v>0</v>
      </c>
      <c r="AE25" s="18">
        <f t="shared" si="13"/>
        <v>0</v>
      </c>
      <c r="AF25" s="18">
        <f t="shared" si="13"/>
        <v>0</v>
      </c>
      <c r="AG25" s="18">
        <f t="shared" si="13"/>
        <v>0</v>
      </c>
      <c r="AH25" s="18">
        <f t="shared" si="13"/>
        <v>0</v>
      </c>
      <c r="AI25" s="18">
        <f t="shared" si="13"/>
        <v>0</v>
      </c>
      <c r="AJ25" s="18">
        <f t="shared" si="13"/>
        <v>0</v>
      </c>
      <c r="AK25" s="18">
        <f t="shared" si="13"/>
        <v>0</v>
      </c>
      <c r="AL25" s="42"/>
      <c r="AM25" s="43">
        <v>9</v>
      </c>
      <c r="AN25">
        <v>279.33525893707503</v>
      </c>
      <c r="AO25">
        <v>95.333186120324839</v>
      </c>
      <c r="AP25">
        <v>712.82956310254235</v>
      </c>
      <c r="AQ25">
        <v>517.60835062224351</v>
      </c>
      <c r="AR25">
        <v>86.102886042654447</v>
      </c>
      <c r="AS25">
        <v>737.39734169140945</v>
      </c>
      <c r="AT25">
        <v>47.178332906231155</v>
      </c>
      <c r="AU25">
        <v>103.02095892372272</v>
      </c>
      <c r="AV25"/>
      <c r="AW25"/>
      <c r="FY25" s="211">
        <v>20</v>
      </c>
      <c r="FZ25">
        <v>47.31919647193714</v>
      </c>
      <c r="GA25">
        <v>99.285956616325876</v>
      </c>
      <c r="GB25">
        <v>81.694644774756597</v>
      </c>
      <c r="GC25">
        <v>43.127054940799184</v>
      </c>
      <c r="GD25">
        <v>16.160420381950907</v>
      </c>
      <c r="GE25">
        <v>37.719710519467675</v>
      </c>
      <c r="GF25">
        <v>78.767582721085319</v>
      </c>
      <c r="GG25">
        <v>52.660067648857634</v>
      </c>
      <c r="GH25">
        <v>20.193976177258698</v>
      </c>
      <c r="GI25">
        <v>56.995779163699567</v>
      </c>
      <c r="GJ25"/>
      <c r="GK25"/>
      <c r="GL25"/>
      <c r="GM25"/>
    </row>
    <row r="26" spans="1:195" s="7" customFormat="1">
      <c r="A26" s="4"/>
      <c r="B26" s="36"/>
      <c r="C26" s="48" t="s">
        <v>118</v>
      </c>
      <c r="D26" s="49">
        <f t="shared" si="7"/>
        <v>332.75269843514326</v>
      </c>
      <c r="E26" s="18">
        <f t="shared" si="8"/>
        <v>48</v>
      </c>
      <c r="F26" s="50"/>
      <c r="G26" s="18">
        <f t="shared" ref="G26:AK26" si="14">AVERAGE(G75:G76)</f>
        <v>0</v>
      </c>
      <c r="H26" s="18">
        <f t="shared" si="14"/>
        <v>4.5472756410256405</v>
      </c>
      <c r="I26" s="18">
        <f t="shared" si="14"/>
        <v>223.92390324519232</v>
      </c>
      <c r="J26" s="18">
        <f t="shared" si="14"/>
        <v>16.108481904380341</v>
      </c>
      <c r="K26" s="18">
        <f t="shared" si="14"/>
        <v>37.529887392019745</v>
      </c>
      <c r="L26" s="18">
        <f t="shared" si="14"/>
        <v>31.506470959595958</v>
      </c>
      <c r="M26" s="18">
        <f t="shared" si="14"/>
        <v>17.834595959595958</v>
      </c>
      <c r="N26" s="18">
        <f t="shared" si="14"/>
        <v>0</v>
      </c>
      <c r="O26" s="18">
        <f t="shared" si="14"/>
        <v>0</v>
      </c>
      <c r="P26" s="18">
        <f t="shared" si="14"/>
        <v>0</v>
      </c>
      <c r="Q26" s="18">
        <f t="shared" si="14"/>
        <v>1.3020833333333333</v>
      </c>
      <c r="R26" s="18">
        <f t="shared" si="14"/>
        <v>0</v>
      </c>
      <c r="S26" s="18">
        <f t="shared" si="14"/>
        <v>0</v>
      </c>
      <c r="T26" s="18">
        <f t="shared" si="14"/>
        <v>0</v>
      </c>
      <c r="U26" s="18">
        <f t="shared" si="14"/>
        <v>0</v>
      </c>
      <c r="V26" s="18">
        <f t="shared" si="14"/>
        <v>0</v>
      </c>
      <c r="W26" s="18">
        <f t="shared" si="14"/>
        <v>0</v>
      </c>
      <c r="X26" s="18">
        <f t="shared" si="14"/>
        <v>0</v>
      </c>
      <c r="Y26" s="18">
        <f t="shared" si="14"/>
        <v>0</v>
      </c>
      <c r="Z26" s="18">
        <f t="shared" si="14"/>
        <v>0</v>
      </c>
      <c r="AA26" s="18">
        <f t="shared" si="14"/>
        <v>0</v>
      </c>
      <c r="AB26" s="18">
        <f t="shared" si="14"/>
        <v>0</v>
      </c>
      <c r="AC26" s="18">
        <f t="shared" si="14"/>
        <v>0</v>
      </c>
      <c r="AD26" s="18">
        <f t="shared" si="14"/>
        <v>0</v>
      </c>
      <c r="AE26" s="18">
        <f t="shared" si="14"/>
        <v>0</v>
      </c>
      <c r="AF26" s="18">
        <f t="shared" si="14"/>
        <v>0</v>
      </c>
      <c r="AG26" s="18">
        <f t="shared" si="14"/>
        <v>0</v>
      </c>
      <c r="AH26" s="18">
        <f t="shared" si="14"/>
        <v>0</v>
      </c>
      <c r="AI26" s="18">
        <f t="shared" si="14"/>
        <v>0</v>
      </c>
      <c r="AJ26" s="18">
        <f t="shared" si="14"/>
        <v>0</v>
      </c>
      <c r="AK26" s="18">
        <f t="shared" si="14"/>
        <v>0</v>
      </c>
      <c r="AL26" s="42"/>
      <c r="AM26" s="43">
        <v>10</v>
      </c>
      <c r="AN26">
        <v>230.74606311176686</v>
      </c>
      <c r="AO26">
        <v>82.411623010226592</v>
      </c>
      <c r="AP26">
        <v>640.6485129143839</v>
      </c>
      <c r="AQ26">
        <v>456.57313174020175</v>
      </c>
      <c r="AR26">
        <v>74.653827200443303</v>
      </c>
      <c r="AS26">
        <v>625.68894947947081</v>
      </c>
      <c r="AT26">
        <v>41.60839309703271</v>
      </c>
      <c r="AU26">
        <v>7.0575615337251225</v>
      </c>
      <c r="AV26"/>
      <c r="AW26"/>
      <c r="FY26" s="211">
        <v>21</v>
      </c>
      <c r="FZ26">
        <v>19.285741313567847</v>
      </c>
      <c r="GA26">
        <v>40.398524837410633</v>
      </c>
      <c r="GB26">
        <v>72.699518714630685</v>
      </c>
      <c r="GC26">
        <v>43.07865487690465</v>
      </c>
      <c r="GD26">
        <v>13.315863318948052</v>
      </c>
      <c r="GE26">
        <v>18.699933127170375</v>
      </c>
      <c r="GF26">
        <v>46.60342060784572</v>
      </c>
      <c r="GG26">
        <v>42.938300416814009</v>
      </c>
      <c r="GH26">
        <v>12.958090257066367</v>
      </c>
      <c r="GI26">
        <v>40.784400834182264</v>
      </c>
      <c r="GJ26"/>
      <c r="GK26"/>
      <c r="GL26"/>
      <c r="GM26"/>
    </row>
    <row r="27" spans="1:195" s="7" customFormat="1">
      <c r="A27" s="4"/>
      <c r="B27" s="1"/>
      <c r="C27" s="48" t="s">
        <v>119</v>
      </c>
      <c r="D27" s="49">
        <f>SUM(G27:AK27)</f>
        <v>187.00172581796224</v>
      </c>
      <c r="E27" s="18">
        <f>C11-C10</f>
        <v>63</v>
      </c>
      <c r="F27" s="50"/>
      <c r="G27" s="18">
        <f t="shared" ref="G27:AK29" si="15">AVERAGE(G76:G77)</f>
        <v>0</v>
      </c>
      <c r="H27" s="18">
        <f t="shared" si="15"/>
        <v>5.7971014492753614</v>
      </c>
      <c r="I27" s="18">
        <f t="shared" si="15"/>
        <v>66.7724609375</v>
      </c>
      <c r="J27" s="18">
        <f t="shared" si="15"/>
        <v>31.0791015625</v>
      </c>
      <c r="K27" s="18">
        <f t="shared" si="15"/>
        <v>28.211805555555557</v>
      </c>
      <c r="L27" s="18">
        <f t="shared" si="15"/>
        <v>35.436395202020201</v>
      </c>
      <c r="M27" s="18">
        <f t="shared" si="15"/>
        <v>16.840277777777779</v>
      </c>
      <c r="N27" s="18">
        <f t="shared" si="15"/>
        <v>0</v>
      </c>
      <c r="O27" s="18">
        <f t="shared" si="15"/>
        <v>1.0416666666666665</v>
      </c>
      <c r="P27" s="18">
        <f t="shared" si="15"/>
        <v>0</v>
      </c>
      <c r="Q27" s="18">
        <f t="shared" si="15"/>
        <v>1.3020833333333333</v>
      </c>
      <c r="R27" s="18">
        <f t="shared" si="15"/>
        <v>0.52083333333333326</v>
      </c>
      <c r="S27" s="18">
        <f t="shared" si="15"/>
        <v>0</v>
      </c>
      <c r="T27" s="18">
        <f t="shared" si="15"/>
        <v>0</v>
      </c>
      <c r="U27" s="18">
        <f t="shared" si="15"/>
        <v>0</v>
      </c>
      <c r="V27" s="18">
        <f t="shared" si="15"/>
        <v>0</v>
      </c>
      <c r="W27" s="18">
        <f t="shared" si="15"/>
        <v>0</v>
      </c>
      <c r="X27" s="18">
        <f t="shared" si="15"/>
        <v>0</v>
      </c>
      <c r="Y27" s="18">
        <f t="shared" si="15"/>
        <v>0</v>
      </c>
      <c r="Z27" s="18">
        <f t="shared" si="15"/>
        <v>0</v>
      </c>
      <c r="AA27" s="18">
        <f t="shared" si="15"/>
        <v>0</v>
      </c>
      <c r="AB27" s="18">
        <f t="shared" si="15"/>
        <v>0</v>
      </c>
      <c r="AC27" s="18">
        <f t="shared" si="15"/>
        <v>0</v>
      </c>
      <c r="AD27" s="18">
        <f t="shared" si="15"/>
        <v>0</v>
      </c>
      <c r="AE27" s="18">
        <f t="shared" si="15"/>
        <v>0</v>
      </c>
      <c r="AF27" s="18">
        <f t="shared" si="15"/>
        <v>0</v>
      </c>
      <c r="AG27" s="18">
        <f t="shared" si="15"/>
        <v>0</v>
      </c>
      <c r="AH27" s="18">
        <f t="shared" si="15"/>
        <v>0</v>
      </c>
      <c r="AI27" s="18">
        <f t="shared" si="15"/>
        <v>0</v>
      </c>
      <c r="AJ27" s="18">
        <f t="shared" si="15"/>
        <v>0</v>
      </c>
      <c r="AK27" s="18">
        <f t="shared" si="15"/>
        <v>0</v>
      </c>
      <c r="AL27" s="42"/>
      <c r="AM27" s="43">
        <v>11</v>
      </c>
      <c r="AN27">
        <v>277.91447360896291</v>
      </c>
      <c r="AO27">
        <v>78.951225148386825</v>
      </c>
      <c r="AP27">
        <v>569.27213465647787</v>
      </c>
      <c r="AQ27">
        <v>440.73059080476042</v>
      </c>
      <c r="AR27">
        <v>69.707564371423658</v>
      </c>
      <c r="AS27">
        <v>619.82200995474147</v>
      </c>
      <c r="AT27">
        <v>38.360309013088767</v>
      </c>
      <c r="AU27">
        <v>71.337615767084586</v>
      </c>
      <c r="AV27"/>
      <c r="AW27"/>
      <c r="FY27" s="211">
        <v>22</v>
      </c>
      <c r="FZ27">
        <v>36.273824267228633</v>
      </c>
      <c r="GA27">
        <v>76.187586515335653</v>
      </c>
      <c r="GB27">
        <v>52.192351038161405</v>
      </c>
      <c r="GC27">
        <v>34.801869652579185</v>
      </c>
      <c r="GD27">
        <v>20.18102660363845</v>
      </c>
      <c r="GE27">
        <v>36.040681569815497</v>
      </c>
      <c r="GF27">
        <v>49.046602029739752</v>
      </c>
      <c r="GG27">
        <v>33.563368983932797</v>
      </c>
      <c r="GH27">
        <v>27.024053821188552</v>
      </c>
      <c r="GI27">
        <v>44.405148110786918</v>
      </c>
      <c r="GJ27"/>
      <c r="GK27"/>
      <c r="GL27"/>
      <c r="GM27"/>
    </row>
    <row r="28" spans="1:195" s="7" customFormat="1">
      <c r="A28" s="51"/>
      <c r="B28" s="1"/>
      <c r="C28" s="48" t="s">
        <v>120</v>
      </c>
      <c r="D28" s="49">
        <f>SUM(G28:AK28)</f>
        <v>116.50838091055483</v>
      </c>
      <c r="E28" s="18">
        <f>C12-C11</f>
        <v>39</v>
      </c>
      <c r="F28" s="50"/>
      <c r="G28" s="18">
        <f t="shared" si="15"/>
        <v>0</v>
      </c>
      <c r="H28" s="18">
        <f t="shared" si="15"/>
        <v>5.7971014492753614</v>
      </c>
      <c r="I28" s="18">
        <f t="shared" si="15"/>
        <v>21.354166666666664</v>
      </c>
      <c r="J28" s="18">
        <f t="shared" si="15"/>
        <v>28.356481481481481</v>
      </c>
      <c r="K28" s="18">
        <f t="shared" si="15"/>
        <v>24.305555555555557</v>
      </c>
      <c r="L28" s="18">
        <f t="shared" si="15"/>
        <v>23.15340909090909</v>
      </c>
      <c r="M28" s="18">
        <f t="shared" si="15"/>
        <v>11.979166666666666</v>
      </c>
      <c r="N28" s="18">
        <f t="shared" si="15"/>
        <v>0</v>
      </c>
      <c r="O28" s="18">
        <f t="shared" si="15"/>
        <v>1.0416666666666665</v>
      </c>
      <c r="P28" s="18">
        <f t="shared" si="15"/>
        <v>0</v>
      </c>
      <c r="Q28" s="18">
        <f t="shared" si="15"/>
        <v>0</v>
      </c>
      <c r="R28" s="18">
        <f t="shared" si="15"/>
        <v>0.52083333333333326</v>
      </c>
      <c r="S28" s="18">
        <f t="shared" si="15"/>
        <v>0</v>
      </c>
      <c r="T28" s="18">
        <f t="shared" si="15"/>
        <v>0</v>
      </c>
      <c r="U28" s="18">
        <f t="shared" si="15"/>
        <v>0</v>
      </c>
      <c r="V28" s="18">
        <f t="shared" si="15"/>
        <v>0</v>
      </c>
      <c r="W28" s="18">
        <f t="shared" si="15"/>
        <v>0</v>
      </c>
      <c r="X28" s="18">
        <f t="shared" si="15"/>
        <v>0</v>
      </c>
      <c r="Y28" s="18">
        <f t="shared" si="15"/>
        <v>0</v>
      </c>
      <c r="Z28" s="18">
        <f t="shared" si="15"/>
        <v>0</v>
      </c>
      <c r="AA28" s="18">
        <f t="shared" si="15"/>
        <v>0</v>
      </c>
      <c r="AB28" s="18">
        <f t="shared" si="15"/>
        <v>0</v>
      </c>
      <c r="AC28" s="18">
        <f t="shared" si="15"/>
        <v>0</v>
      </c>
      <c r="AD28" s="18">
        <f t="shared" si="15"/>
        <v>0</v>
      </c>
      <c r="AE28" s="18">
        <f t="shared" si="15"/>
        <v>0</v>
      </c>
      <c r="AF28" s="18">
        <f t="shared" si="15"/>
        <v>0</v>
      </c>
      <c r="AG28" s="18">
        <f t="shared" si="15"/>
        <v>0</v>
      </c>
      <c r="AH28" s="18">
        <f t="shared" si="15"/>
        <v>0</v>
      </c>
      <c r="AI28" s="18">
        <f t="shared" si="15"/>
        <v>0</v>
      </c>
      <c r="AJ28" s="18">
        <f t="shared" si="15"/>
        <v>0</v>
      </c>
      <c r="AK28" s="18">
        <f t="shared" si="15"/>
        <v>0</v>
      </c>
      <c r="AL28" s="42"/>
      <c r="AM28" s="43">
        <v>12</v>
      </c>
      <c r="AN28">
        <v>185.3448238107359</v>
      </c>
      <c r="AO28">
        <v>73.132387712051155</v>
      </c>
      <c r="AP28">
        <v>544.74186043354302</v>
      </c>
      <c r="AQ28">
        <v>403.03350091033883</v>
      </c>
      <c r="AR28">
        <v>67.0124222349571</v>
      </c>
      <c r="AS28">
        <v>509.83658446653124</v>
      </c>
      <c r="AT28" t="e">
        <v>#DIV/0!</v>
      </c>
      <c r="AU28" t="e">
        <v>#DIV/0!</v>
      </c>
      <c r="AV28"/>
      <c r="AW28"/>
      <c r="FY28" s="211">
        <v>23</v>
      </c>
      <c r="FZ28">
        <v>10.379887487148624</v>
      </c>
      <c r="GA28">
        <v>42.949046175594709</v>
      </c>
      <c r="GB28">
        <v>68.39032580397928</v>
      </c>
      <c r="GC28">
        <v>42.325894211642314</v>
      </c>
      <c r="GD28">
        <v>34.804095936901106</v>
      </c>
      <c r="GE28">
        <v>64.700664617374883</v>
      </c>
      <c r="GF28">
        <v>81.44921886461843</v>
      </c>
      <c r="GG28">
        <v>75.986204734334407</v>
      </c>
      <c r="GH28">
        <v>33.705530127637758</v>
      </c>
      <c r="GI28">
        <v>63.11429107088199</v>
      </c>
      <c r="GJ28"/>
      <c r="GK28"/>
      <c r="GL28"/>
      <c r="GM28"/>
    </row>
    <row r="29" spans="1:195" s="7" customFormat="1">
      <c r="A29" s="51"/>
      <c r="B29" s="1"/>
      <c r="C29" s="48" t="s">
        <v>121</v>
      </c>
      <c r="D29" s="49">
        <f>SUM(G29:AK29)</f>
        <v>39.347400284900282</v>
      </c>
      <c r="E29" s="18">
        <f>C13-C12</f>
        <v>38</v>
      </c>
      <c r="F29" s="50"/>
      <c r="G29" s="18">
        <f t="shared" si="15"/>
        <v>0</v>
      </c>
      <c r="H29" s="18">
        <f t="shared" si="15"/>
        <v>0</v>
      </c>
      <c r="I29" s="18">
        <f t="shared" si="15"/>
        <v>11.858974358974358</v>
      </c>
      <c r="J29" s="18">
        <f t="shared" si="15"/>
        <v>8.7384259259259256</v>
      </c>
      <c r="K29" s="18">
        <f t="shared" si="15"/>
        <v>3.125</v>
      </c>
      <c r="L29" s="18">
        <f t="shared" si="15"/>
        <v>8.3333333333333339</v>
      </c>
      <c r="M29" s="18">
        <f t="shared" si="15"/>
        <v>7.2916666666666661</v>
      </c>
      <c r="N29" s="18">
        <f t="shared" si="15"/>
        <v>0</v>
      </c>
      <c r="O29" s="18">
        <f t="shared" si="15"/>
        <v>0</v>
      </c>
      <c r="P29" s="18">
        <f t="shared" si="15"/>
        <v>0</v>
      </c>
      <c r="Q29" s="18">
        <f t="shared" si="15"/>
        <v>0</v>
      </c>
      <c r="R29" s="18">
        <f t="shared" si="15"/>
        <v>0</v>
      </c>
      <c r="S29" s="18">
        <f t="shared" si="15"/>
        <v>0</v>
      </c>
      <c r="T29" s="18">
        <f t="shared" si="15"/>
        <v>0</v>
      </c>
      <c r="U29" s="18">
        <f t="shared" si="15"/>
        <v>0</v>
      </c>
      <c r="V29" s="18">
        <f t="shared" si="15"/>
        <v>0</v>
      </c>
      <c r="W29" s="18">
        <f t="shared" si="15"/>
        <v>0</v>
      </c>
      <c r="X29" s="18">
        <f t="shared" si="15"/>
        <v>0</v>
      </c>
      <c r="Y29" s="18">
        <f t="shared" si="15"/>
        <v>0</v>
      </c>
      <c r="Z29" s="18">
        <f t="shared" si="15"/>
        <v>0</v>
      </c>
      <c r="AA29" s="18">
        <f t="shared" si="15"/>
        <v>0</v>
      </c>
      <c r="AB29" s="18">
        <f t="shared" si="15"/>
        <v>0</v>
      </c>
      <c r="AC29" s="18">
        <f t="shared" si="15"/>
        <v>0</v>
      </c>
      <c r="AD29" s="18">
        <f t="shared" si="15"/>
        <v>0</v>
      </c>
      <c r="AE29" s="18">
        <f t="shared" si="15"/>
        <v>0</v>
      </c>
      <c r="AF29" s="18">
        <f t="shared" si="15"/>
        <v>0</v>
      </c>
      <c r="AG29" s="18">
        <f t="shared" si="15"/>
        <v>0</v>
      </c>
      <c r="AH29" s="18">
        <f t="shared" si="15"/>
        <v>0</v>
      </c>
      <c r="AI29" s="18">
        <f t="shared" si="15"/>
        <v>0</v>
      </c>
      <c r="AJ29" s="18">
        <f t="shared" si="15"/>
        <v>0</v>
      </c>
      <c r="AK29" s="18">
        <f t="shared" si="15"/>
        <v>0</v>
      </c>
      <c r="AL29" s="42"/>
      <c r="AM29" s="43">
        <v>13</v>
      </c>
      <c r="AN29">
        <v>323.97400992278307</v>
      </c>
      <c r="AO29">
        <v>102.84821298173692</v>
      </c>
      <c r="AP29">
        <v>727.71380148162132</v>
      </c>
      <c r="AQ29">
        <v>554.35717885321219</v>
      </c>
      <c r="AR29">
        <v>90.538854617920336</v>
      </c>
      <c r="AS29">
        <v>771.81470379407074</v>
      </c>
      <c r="AT29">
        <v>48.698813415154795</v>
      </c>
      <c r="AU29">
        <v>86.330123636590415</v>
      </c>
      <c r="AV29"/>
      <c r="AW29"/>
      <c r="FY29" s="211">
        <v>24</v>
      </c>
      <c r="FZ29">
        <v>22.409101387171251</v>
      </c>
      <c r="GA29">
        <v>66.027501343954668</v>
      </c>
      <c r="GB29">
        <v>71.994641988369864</v>
      </c>
      <c r="GC29">
        <v>39.137706075852677</v>
      </c>
      <c r="GD29">
        <v>18.78488542508299</v>
      </c>
      <c r="GE29">
        <v>44.244285706173841</v>
      </c>
      <c r="GF29">
        <v>94.046133618416761</v>
      </c>
      <c r="GG29">
        <v>83.312114464184361</v>
      </c>
      <c r="GH29">
        <v>46.556033301986076</v>
      </c>
      <c r="GI29">
        <v>60.722009659301236</v>
      </c>
      <c r="GJ29"/>
      <c r="GK29"/>
      <c r="GL29"/>
      <c r="GM29"/>
    </row>
    <row r="30" spans="1:195" s="7" customFormat="1">
      <c r="A30" s="51"/>
      <c r="B30" s="1"/>
      <c r="C30" s="48" t="s">
        <v>122</v>
      </c>
      <c r="D30" s="49">
        <f>SUM(G30:AK30)</f>
        <v>229.17729667209827</v>
      </c>
      <c r="E30" s="18">
        <v>24</v>
      </c>
      <c r="F30" s="50"/>
      <c r="G30" s="18">
        <f>AVERAGE(G70:G79)</f>
        <v>0</v>
      </c>
      <c r="H30" s="18">
        <f t="shared" ref="H30:AK30" si="16">AVERAGE(H70:H79)</f>
        <v>18.856300158071143</v>
      </c>
      <c r="I30" s="18">
        <f t="shared" si="16"/>
        <v>104.16308018644045</v>
      </c>
      <c r="J30" s="18">
        <f t="shared" si="16"/>
        <v>36.992010236129076</v>
      </c>
      <c r="K30" s="18">
        <f t="shared" si="16"/>
        <v>42.006026040952506</v>
      </c>
      <c r="L30" s="18">
        <f t="shared" si="16"/>
        <v>18.493529040404038</v>
      </c>
      <c r="M30" s="18">
        <f t="shared" si="16"/>
        <v>6.691919191919192</v>
      </c>
      <c r="N30" s="18">
        <f t="shared" si="16"/>
        <v>1.4015151515151514</v>
      </c>
      <c r="O30" s="18">
        <f t="shared" si="16"/>
        <v>0.20833333333333331</v>
      </c>
      <c r="P30" s="18">
        <f t="shared" si="16"/>
        <v>0</v>
      </c>
      <c r="Q30" s="18">
        <f t="shared" si="16"/>
        <v>0.26041666666666663</v>
      </c>
      <c r="R30" s="18">
        <f t="shared" si="16"/>
        <v>0.10416666666666666</v>
      </c>
      <c r="S30" s="18">
        <f t="shared" si="16"/>
        <v>0</v>
      </c>
      <c r="T30" s="18">
        <f t="shared" si="16"/>
        <v>0</v>
      </c>
      <c r="U30" s="18">
        <f t="shared" si="16"/>
        <v>0</v>
      </c>
      <c r="V30" s="18">
        <f t="shared" si="16"/>
        <v>0</v>
      </c>
      <c r="W30" s="18">
        <f t="shared" si="16"/>
        <v>0</v>
      </c>
      <c r="X30" s="18">
        <f t="shared" si="16"/>
        <v>0</v>
      </c>
      <c r="Y30" s="18">
        <f t="shared" si="16"/>
        <v>0</v>
      </c>
      <c r="Z30" s="18">
        <f t="shared" si="16"/>
        <v>0</v>
      </c>
      <c r="AA30" s="18">
        <f t="shared" si="16"/>
        <v>0</v>
      </c>
      <c r="AB30" s="18">
        <f t="shared" si="16"/>
        <v>0</v>
      </c>
      <c r="AC30" s="18">
        <f t="shared" si="16"/>
        <v>0</v>
      </c>
      <c r="AD30" s="18">
        <f t="shared" si="16"/>
        <v>0</v>
      </c>
      <c r="AE30" s="18">
        <f t="shared" si="16"/>
        <v>0</v>
      </c>
      <c r="AF30" s="18">
        <f t="shared" si="16"/>
        <v>0</v>
      </c>
      <c r="AG30" s="18">
        <f t="shared" si="16"/>
        <v>0</v>
      </c>
      <c r="AH30" s="18">
        <f t="shared" si="16"/>
        <v>0</v>
      </c>
      <c r="AI30" s="18">
        <f t="shared" si="16"/>
        <v>0</v>
      </c>
      <c r="AJ30" s="18">
        <f t="shared" si="16"/>
        <v>0</v>
      </c>
      <c r="AK30" s="18">
        <f t="shared" si="16"/>
        <v>0</v>
      </c>
      <c r="AL30" s="42"/>
      <c r="AM30" s="43">
        <v>14</v>
      </c>
      <c r="AN30">
        <v>294.07465259541846</v>
      </c>
      <c r="AO30">
        <v>115.02635304991881</v>
      </c>
      <c r="AP30">
        <v>808.17735102449501</v>
      </c>
      <c r="AQ30">
        <v>600.93611073166005</v>
      </c>
      <c r="AR30">
        <v>104.94981856258163</v>
      </c>
      <c r="AS30">
        <v>830.74602715111996</v>
      </c>
      <c r="AT30">
        <v>58.773582169700312</v>
      </c>
      <c r="AU30">
        <v>137.84637065042403</v>
      </c>
      <c r="AV30"/>
      <c r="AW30"/>
      <c r="FY30" s="211">
        <v>25</v>
      </c>
      <c r="FZ30">
        <v>15.598152950415166</v>
      </c>
      <c r="GA30">
        <v>46.184154853320777</v>
      </c>
      <c r="GB30">
        <v>40.314216543738269</v>
      </c>
      <c r="GC30">
        <v>27.108121401772404</v>
      </c>
      <c r="GD30">
        <v>16.092145685687377</v>
      </c>
      <c r="GE30">
        <v>47.043444159436163</v>
      </c>
      <c r="GF30">
        <v>111.00366987644036</v>
      </c>
      <c r="GG30">
        <v>78.750296065712661</v>
      </c>
      <c r="GH30">
        <v>39.863042424707416</v>
      </c>
      <c r="GI30">
        <v>51.764804164470213</v>
      </c>
      <c r="GJ30"/>
      <c r="GK30"/>
      <c r="GL30"/>
      <c r="GM30"/>
    </row>
    <row r="31" spans="1:195" s="7" customFormat="1">
      <c r="A31" s="51"/>
      <c r="B31" s="1"/>
      <c r="C31" s="48"/>
      <c r="D31" s="49"/>
      <c r="E31" s="18"/>
      <c r="F31" s="50"/>
      <c r="G31" s="18"/>
      <c r="H31" s="18"/>
      <c r="I31" s="18"/>
      <c r="J31" s="18"/>
      <c r="K31" s="18"/>
      <c r="L31" s="18"/>
      <c r="M31" s="18"/>
      <c r="N31" s="18"/>
      <c r="O31" s="18"/>
      <c r="P31" s="18"/>
      <c r="Q31" s="18"/>
      <c r="R31" s="18"/>
      <c r="S31" s="18"/>
      <c r="T31" s="18"/>
      <c r="U31" s="18"/>
      <c r="V31" s="18"/>
      <c r="W31" s="18"/>
      <c r="X31" s="18"/>
      <c r="Y31" s="18"/>
      <c r="Z31" s="18"/>
      <c r="AA31" s="18"/>
      <c r="AB31" s="18"/>
      <c r="AC31" s="18"/>
      <c r="AD31" s="18"/>
      <c r="AE31" s="18"/>
      <c r="AF31" s="18"/>
      <c r="AG31" s="18"/>
      <c r="AH31" s="18"/>
      <c r="AI31" s="18"/>
      <c r="AJ31" s="18"/>
      <c r="AK31" s="18"/>
      <c r="AL31" s="42"/>
      <c r="AM31" s="43">
        <v>15</v>
      </c>
      <c r="AN31">
        <v>248.22186184980902</v>
      </c>
      <c r="AO31">
        <v>88.48851400230167</v>
      </c>
      <c r="AP31">
        <v>643.47257635321023</v>
      </c>
      <c r="AQ31">
        <v>483.97396763259275</v>
      </c>
      <c r="AR31">
        <v>80.346849636957671</v>
      </c>
      <c r="AS31">
        <v>636.51886637336827</v>
      </c>
      <c r="AT31">
        <v>42.469299831616595</v>
      </c>
      <c r="AU31">
        <v>46.553184019080874</v>
      </c>
      <c r="AV31"/>
      <c r="AW31"/>
      <c r="FY31" s="211">
        <v>26</v>
      </c>
      <c r="FZ31">
        <v>6.5857810772461853</v>
      </c>
      <c r="GA31">
        <v>52.309561475669938</v>
      </c>
      <c r="GB31">
        <v>61.331167470622226</v>
      </c>
      <c r="GC31">
        <v>37.348433422503589</v>
      </c>
      <c r="GD31">
        <v>22.524351579268487</v>
      </c>
      <c r="GE31">
        <v>39.794427579330574</v>
      </c>
      <c r="GF31">
        <v>73.9843318072801</v>
      </c>
      <c r="GG31">
        <v>67.798618877270172</v>
      </c>
      <c r="GH31">
        <v>39.376669057646509</v>
      </c>
      <c r="GI31">
        <v>52.847733539639478</v>
      </c>
      <c r="GJ31"/>
      <c r="GK31"/>
      <c r="GL31"/>
      <c r="GM31"/>
    </row>
    <row r="32" spans="1:195" s="7" customFormat="1">
      <c r="A32" s="51"/>
      <c r="B32" s="1"/>
      <c r="C32" s="52" t="s">
        <v>43</v>
      </c>
      <c r="D32" s="53">
        <f>AVERAGE(D21:D31)</f>
        <v>250.70079557007725</v>
      </c>
      <c r="E32" s="18"/>
      <c r="F32" s="19"/>
      <c r="G32" s="19"/>
      <c r="H32" s="19"/>
      <c r="I32" s="19"/>
      <c r="J32" s="19"/>
      <c r="K32" s="19"/>
      <c r="L32" s="19"/>
      <c r="M32" s="19"/>
      <c r="N32" s="19"/>
      <c r="O32" s="19"/>
      <c r="P32" s="19"/>
      <c r="Q32" s="19"/>
      <c r="R32" s="19"/>
      <c r="S32" s="19"/>
      <c r="T32" s="19"/>
      <c r="U32" s="19"/>
      <c r="V32" s="19"/>
      <c r="W32" s="19"/>
      <c r="X32" s="19"/>
      <c r="Y32" s="19"/>
      <c r="Z32" s="19"/>
      <c r="AA32" s="19"/>
      <c r="AB32" s="19"/>
      <c r="AC32" s="19"/>
      <c r="AD32" s="19"/>
      <c r="AE32" s="19"/>
      <c r="AF32" s="19"/>
      <c r="AG32" s="19"/>
      <c r="AH32" s="19"/>
      <c r="AI32" s="19"/>
      <c r="AJ32" s="19"/>
      <c r="AK32" s="19"/>
      <c r="AL32" s="42"/>
      <c r="AM32" s="43">
        <v>16</v>
      </c>
      <c r="AN32">
        <v>228.41543953957111</v>
      </c>
      <c r="AO32">
        <v>66.13188872513696</v>
      </c>
      <c r="AP32">
        <v>479.87823875555375</v>
      </c>
      <c r="AQ32">
        <v>354.65623588097247</v>
      </c>
      <c r="AR32">
        <v>58.976949905329633</v>
      </c>
      <c r="AS32">
        <v>563.17017809514914</v>
      </c>
      <c r="AT32">
        <v>32.16277160734785</v>
      </c>
      <c r="AU32">
        <v>47.519477331349812</v>
      </c>
      <c r="AV32"/>
      <c r="AW32"/>
      <c r="FY32" s="211">
        <v>27</v>
      </c>
      <c r="FZ32">
        <v>10.215601037167733</v>
      </c>
      <c r="GA32">
        <v>37.31806479936202</v>
      </c>
      <c r="GB32">
        <v>59.898598804575208</v>
      </c>
      <c r="GC32">
        <v>33.816494157196509</v>
      </c>
      <c r="GD32">
        <v>12.019465597673973</v>
      </c>
      <c r="GE32">
        <v>37.390732888764632</v>
      </c>
      <c r="GF32">
        <v>88.063017723952498</v>
      </c>
      <c r="GG32">
        <v>69.968871331375226</v>
      </c>
      <c r="GH32">
        <v>39.401334974051167</v>
      </c>
      <c r="GI32">
        <v>48.732475548571763</v>
      </c>
      <c r="GJ32"/>
      <c r="GK32"/>
      <c r="GL32"/>
      <c r="GM32"/>
    </row>
    <row r="33" spans="1:195" s="7" customFormat="1">
      <c r="A33" s="51"/>
      <c r="B33" s="36"/>
      <c r="C33" s="19"/>
      <c r="D33" s="54"/>
      <c r="E33" s="54"/>
      <c r="F33" s="55"/>
      <c r="G33" s="55"/>
      <c r="H33" s="54"/>
      <c r="I33" s="55"/>
      <c r="J33" s="19"/>
      <c r="K33" s="56"/>
      <c r="L33" s="55"/>
      <c r="M33" s="54"/>
      <c r="N33" s="55"/>
      <c r="O33" s="55"/>
      <c r="P33" s="55"/>
      <c r="Q33" s="54"/>
      <c r="R33" s="54"/>
      <c r="S33" s="54"/>
      <c r="T33" s="54"/>
      <c r="U33" s="54"/>
      <c r="V33" s="54"/>
      <c r="W33" s="54"/>
      <c r="X33" s="54"/>
      <c r="Y33" s="54"/>
      <c r="Z33" s="54"/>
      <c r="AA33" s="54"/>
      <c r="AB33" s="54"/>
      <c r="AC33" s="54"/>
      <c r="AD33" s="54"/>
      <c r="AE33" s="54"/>
      <c r="AF33" s="54"/>
      <c r="AG33" s="54"/>
      <c r="AH33" s="54"/>
      <c r="AI33" s="54"/>
      <c r="AJ33" s="54"/>
      <c r="AK33" s="54"/>
      <c r="AL33" s="42"/>
      <c r="AM33" s="43">
        <v>17</v>
      </c>
      <c r="AN33">
        <v>233.17908191121168</v>
      </c>
      <c r="AO33">
        <v>63.130784953853038</v>
      </c>
      <c r="AP33">
        <v>449.82938485761713</v>
      </c>
      <c r="AQ33">
        <v>353.62733440163765</v>
      </c>
      <c r="AR33">
        <v>56.121473959170046</v>
      </c>
      <c r="AS33">
        <v>491.69199376508749</v>
      </c>
      <c r="AT33">
        <v>32.844037514514831</v>
      </c>
      <c r="AU33">
        <v>106.20762564468878</v>
      </c>
      <c r="AV33"/>
      <c r="AW33"/>
      <c r="FY33" s="211">
        <v>28</v>
      </c>
      <c r="FZ33">
        <v>19.101090576213039</v>
      </c>
      <c r="GA33">
        <v>39.705031221084653</v>
      </c>
      <c r="GB33">
        <v>70.866034017931881</v>
      </c>
      <c r="GC33">
        <v>48.967976847969553</v>
      </c>
      <c r="GD33">
        <v>18.69106161071511</v>
      </c>
      <c r="GE33">
        <v>31.180794748226141</v>
      </c>
      <c r="GF33">
        <v>75.880197821621948</v>
      </c>
      <c r="GG33">
        <v>50.32684945536375</v>
      </c>
      <c r="GH33">
        <v>10.092006623458778</v>
      </c>
      <c r="GI33">
        <v>50.089219874510619</v>
      </c>
      <c r="GJ33"/>
      <c r="GK33"/>
      <c r="GL33"/>
      <c r="GM33"/>
    </row>
    <row r="34" spans="1:195" s="7" customFormat="1">
      <c r="A34" s="51"/>
      <c r="B34" s="36"/>
      <c r="C34" s="10" t="s">
        <v>44</v>
      </c>
      <c r="D34" s="10"/>
      <c r="E34" s="10"/>
      <c r="F34" s="10"/>
      <c r="G34" s="11" t="s">
        <v>33</v>
      </c>
      <c r="H34" s="45"/>
      <c r="I34" s="45"/>
      <c r="J34" s="45"/>
      <c r="K34" s="45"/>
      <c r="L34" s="45"/>
      <c r="M34" s="45"/>
      <c r="N34" s="45"/>
      <c r="O34" s="46"/>
      <c r="P34" s="46"/>
      <c r="Q34" s="47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42"/>
      <c r="AM34" s="43">
        <v>18</v>
      </c>
      <c r="AN34">
        <v>200.76151113496104</v>
      </c>
      <c r="AO34">
        <v>71.743457703685479</v>
      </c>
      <c r="AP34">
        <v>482.44714730967945</v>
      </c>
      <c r="AQ34">
        <v>383.58644486888454</v>
      </c>
      <c r="AR34">
        <v>65.945560074443137</v>
      </c>
      <c r="AS34">
        <v>534.88660256454261</v>
      </c>
      <c r="AT34">
        <v>36.941202493374256</v>
      </c>
      <c r="AU34">
        <v>59.25427224071224</v>
      </c>
      <c r="AV34"/>
      <c r="AW34"/>
      <c r="FY34" s="211">
        <v>29</v>
      </c>
      <c r="FZ34">
        <v>8.2998306060871609</v>
      </c>
      <c r="GA34">
        <v>46.517662330194241</v>
      </c>
      <c r="GB34">
        <v>96.079334952647187</v>
      </c>
      <c r="GC34">
        <v>54.127250957126449</v>
      </c>
      <c r="GD34">
        <v>24.925186450498465</v>
      </c>
      <c r="GE34">
        <v>48.910419813378923</v>
      </c>
      <c r="GF34">
        <v>84.590043942023669</v>
      </c>
      <c r="GG34">
        <v>52.635361330126031</v>
      </c>
      <c r="GH34">
        <v>4.3444500215966713</v>
      </c>
      <c r="GI34">
        <v>59.116149932624324</v>
      </c>
      <c r="GJ34"/>
      <c r="GK34"/>
      <c r="GL34"/>
      <c r="GM34"/>
    </row>
    <row r="35" spans="1:195" s="7" customFormat="1">
      <c r="A35" s="51"/>
      <c r="B35" s="36"/>
      <c r="C35" s="11"/>
      <c r="D35" s="10"/>
      <c r="E35" s="13"/>
      <c r="F35" s="13"/>
      <c r="G35" s="44" t="s">
        <v>37</v>
      </c>
      <c r="H35" s="45">
        <v>1</v>
      </c>
      <c r="I35" s="45">
        <v>2</v>
      </c>
      <c r="J35" s="45">
        <v>3</v>
      </c>
      <c r="K35" s="45">
        <v>4</v>
      </c>
      <c r="L35" s="45">
        <v>5</v>
      </c>
      <c r="M35" s="45">
        <v>6</v>
      </c>
      <c r="N35" s="45">
        <v>7</v>
      </c>
      <c r="O35" s="46">
        <v>8</v>
      </c>
      <c r="P35" s="46">
        <v>9</v>
      </c>
      <c r="Q35" s="47">
        <v>10</v>
      </c>
      <c r="R35" s="46">
        <v>11</v>
      </c>
      <c r="S35" s="47">
        <v>12</v>
      </c>
      <c r="T35" s="46">
        <v>13</v>
      </c>
      <c r="U35" s="47">
        <v>14</v>
      </c>
      <c r="V35" s="46">
        <v>15</v>
      </c>
      <c r="W35" s="47">
        <v>16</v>
      </c>
      <c r="X35" s="46">
        <v>17</v>
      </c>
      <c r="Y35" s="47">
        <v>18</v>
      </c>
      <c r="Z35" s="46">
        <v>19</v>
      </c>
      <c r="AA35" s="47">
        <v>20</v>
      </c>
      <c r="AB35" s="46">
        <v>21</v>
      </c>
      <c r="AC35" s="47">
        <v>22</v>
      </c>
      <c r="AD35" s="46">
        <v>23</v>
      </c>
      <c r="AE35" s="47">
        <v>24</v>
      </c>
      <c r="AF35" s="46">
        <v>25</v>
      </c>
      <c r="AG35" s="47">
        <v>26</v>
      </c>
      <c r="AH35" s="46">
        <v>27</v>
      </c>
      <c r="AI35" s="47">
        <v>28</v>
      </c>
      <c r="AJ35" s="46">
        <v>29</v>
      </c>
      <c r="AK35" s="47">
        <v>30</v>
      </c>
      <c r="AL35" s="42"/>
      <c r="AM35" s="43">
        <v>19</v>
      </c>
      <c r="AN35">
        <v>276.39056687905025</v>
      </c>
      <c r="AO35">
        <v>77.357998011983369</v>
      </c>
      <c r="AP35">
        <v>527.88772059742371</v>
      </c>
      <c r="AQ35">
        <v>426.32822010182463</v>
      </c>
      <c r="AR35">
        <v>69.383799621901559</v>
      </c>
      <c r="AS35">
        <v>652.47941226966304</v>
      </c>
      <c r="AT35">
        <v>40.391510346680704</v>
      </c>
      <c r="AU35">
        <v>84.010309073363871</v>
      </c>
      <c r="AV35"/>
      <c r="AW35"/>
      <c r="FY35" s="211">
        <v>30</v>
      </c>
      <c r="FZ35">
        <v>23.682345404029927</v>
      </c>
      <c r="GA35">
        <v>66.937585523979763</v>
      </c>
      <c r="GB35">
        <v>74.900048991912044</v>
      </c>
      <c r="GC35">
        <v>40.995768925765205</v>
      </c>
      <c r="GD35">
        <v>15.52184600200242</v>
      </c>
      <c r="GE35">
        <v>24.324382943298748</v>
      </c>
      <c r="GF35">
        <v>37.102231910148781</v>
      </c>
      <c r="GG35">
        <v>19.578537701838492</v>
      </c>
      <c r="GH35">
        <v>3.5649989092355643</v>
      </c>
      <c r="GI35">
        <v>40.252510107213951</v>
      </c>
      <c r="GJ35"/>
      <c r="GK35"/>
      <c r="GL35"/>
      <c r="GM35"/>
    </row>
    <row r="36" spans="1:195" s="7" customFormat="1">
      <c r="A36" s="51"/>
      <c r="B36" s="57"/>
      <c r="C36" s="12" t="s">
        <v>34</v>
      </c>
      <c r="D36" s="58"/>
      <c r="E36" s="10" t="s">
        <v>45</v>
      </c>
      <c r="F36" s="13"/>
      <c r="G36" s="59">
        <f>(1-($A$43/100))*($A$39*(0.5^$A$41))</f>
        <v>1.3192061168748582E-3</v>
      </c>
      <c r="H36" s="59">
        <f t="shared" ref="H36:AK36" si="17">(1-($A$43/100))*($A$39*(H35^$A$41))</f>
        <v>9.8674000000000001E-3</v>
      </c>
      <c r="I36" s="59">
        <f t="shared" si="17"/>
        <v>7.3806194130341674E-2</v>
      </c>
      <c r="J36" s="59">
        <f t="shared" si="17"/>
        <v>0.23948909135319835</v>
      </c>
      <c r="K36" s="59">
        <f t="shared" si="17"/>
        <v>0.55205568761838808</v>
      </c>
      <c r="L36" s="59">
        <f t="shared" si="17"/>
        <v>1.0551462416913167</v>
      </c>
      <c r="M36" s="59">
        <f t="shared" si="17"/>
        <v>1.7913308843781834</v>
      </c>
      <c r="N36" s="59">
        <f t="shared" si="17"/>
        <v>2.8023497955899321</v>
      </c>
      <c r="O36" s="59">
        <f t="shared" si="17"/>
        <v>4.1292670056065459</v>
      </c>
      <c r="P36" s="59">
        <f t="shared" si="17"/>
        <v>5.8125772622150294</v>
      </c>
      <c r="Q36" s="59">
        <f t="shared" si="17"/>
        <v>7.8922845278563596</v>
      </c>
      <c r="R36" s="59">
        <f t="shared" si="17"/>
        <v>10.407962020919701</v>
      </c>
      <c r="S36" s="59">
        <f t="shared" si="17"/>
        <v>13.398799582878256</v>
      </c>
      <c r="T36" s="59">
        <f t="shared" si="17"/>
        <v>16.903641970973688</v>
      </c>
      <c r="U36" s="59">
        <f t="shared" si="17"/>
        <v>20.961020434403583</v>
      </c>
      <c r="V36" s="59">
        <f t="shared" si="17"/>
        <v>25.609179182702185</v>
      </c>
      <c r="W36" s="59">
        <f t="shared" si="17"/>
        <v>30.886097881084297</v>
      </c>
      <c r="X36" s="59">
        <f t="shared" si="17"/>
        <v>36.829510995882423</v>
      </c>
      <c r="Y36" s="59">
        <f t="shared" si="17"/>
        <v>43.47692460148081</v>
      </c>
      <c r="Z36" s="59">
        <f t="shared" si="17"/>
        <v>50.86563111224924</v>
      </c>
      <c r="AA36" s="59">
        <f t="shared" si="17"/>
        <v>59.03272229714598</v>
      </c>
      <c r="AB36" s="59">
        <f t="shared" si="17"/>
        <v>68.015100857333607</v>
      </c>
      <c r="AC36" s="59">
        <f t="shared" si="17"/>
        <v>77.849490789592309</v>
      </c>
      <c r="AD36" s="59">
        <f t="shared" si="17"/>
        <v>88.572446714768745</v>
      </c>
      <c r="AE36" s="59">
        <f t="shared" si="17"/>
        <v>100.22036231706966</v>
      </c>
      <c r="AF36" s="59">
        <f t="shared" si="17"/>
        <v>112.82947801399668</v>
      </c>
      <c r="AG36" s="59">
        <f t="shared" si="17"/>
        <v>126.43588795624756</v>
      </c>
      <c r="AH36" s="59">
        <f t="shared" si="17"/>
        <v>141.07554644061625</v>
      </c>
      <c r="AI36" s="59">
        <f t="shared" si="17"/>
        <v>156.78427380583037</v>
      </c>
      <c r="AJ36" s="59">
        <f t="shared" si="17"/>
        <v>173.59776187064006</v>
      </c>
      <c r="AK36" s="59">
        <f t="shared" si="17"/>
        <v>191.55157896479565</v>
      </c>
      <c r="AL36" s="42"/>
      <c r="AM36" s="43">
        <v>20</v>
      </c>
      <c r="AN36">
        <v>261.45226827543513</v>
      </c>
      <c r="AO36">
        <v>90.962050165005309</v>
      </c>
      <c r="AP36">
        <v>728.27535562247317</v>
      </c>
      <c r="AQ36">
        <v>533.92438941613864</v>
      </c>
      <c r="AR36">
        <v>82.176601347897829</v>
      </c>
      <c r="AS36">
        <v>689.18508781469291</v>
      </c>
      <c r="AT36">
        <v>43.062557887623122</v>
      </c>
      <c r="AU36">
        <v>65.461580024292743</v>
      </c>
      <c r="AV36"/>
      <c r="AW36"/>
      <c r="FY36" s="211">
        <v>31</v>
      </c>
      <c r="FZ36">
        <v>12.013173679631397</v>
      </c>
      <c r="GA36">
        <v>54.359162456521133</v>
      </c>
      <c r="GB36">
        <v>68.773221240484389</v>
      </c>
      <c r="GC36">
        <v>38.087866907563722</v>
      </c>
      <c r="GD36">
        <v>20.928269785723675</v>
      </c>
      <c r="GE36">
        <v>63.591906615045758</v>
      </c>
      <c r="GF36">
        <v>102.93823631220238</v>
      </c>
      <c r="GG36">
        <v>61.429738841037889</v>
      </c>
      <c r="GH36">
        <v>36.671943153257388</v>
      </c>
      <c r="GI36">
        <v>59.419060140184811</v>
      </c>
      <c r="GJ36"/>
      <c r="GK36"/>
      <c r="GL36"/>
      <c r="GM36"/>
    </row>
    <row r="37" spans="1:195" s="7" customFormat="1">
      <c r="A37" s="9" t="s">
        <v>46</v>
      </c>
      <c r="B37" s="57"/>
      <c r="C37" s="48" t="s">
        <v>38</v>
      </c>
      <c r="D37" s="49">
        <f t="shared" ref="D37:D42" si="18">IF(SUM(G37:AK37)&lt;0.0001, 0, SUM(G37:AK37))</f>
        <v>15.520346971102271</v>
      </c>
      <c r="E37" s="107">
        <f t="shared" ref="E37:E46" si="19">+D37/D21</f>
        <v>0.27915365472387987</v>
      </c>
      <c r="F37" s="18"/>
      <c r="G37" s="49">
        <f t="shared" ref="G37:G43" si="20">G21*G$36</f>
        <v>0</v>
      </c>
      <c r="H37" s="49">
        <f t="shared" ref="H37:AK40" si="21">H21*H$36</f>
        <v>3.5974895833333333E-2</v>
      </c>
      <c r="I37" s="49">
        <f t="shared" si="21"/>
        <v>2.8070344228289525</v>
      </c>
      <c r="J37" s="49">
        <f t="shared" si="21"/>
        <v>2.4604373560183568</v>
      </c>
      <c r="K37" s="49">
        <f t="shared" si="21"/>
        <v>0</v>
      </c>
      <c r="L37" s="49">
        <f t="shared" si="21"/>
        <v>0</v>
      </c>
      <c r="M37" s="49">
        <f t="shared" si="21"/>
        <v>0</v>
      </c>
      <c r="N37" s="49">
        <f t="shared" si="21"/>
        <v>10.216900296421628</v>
      </c>
      <c r="O37" s="49">
        <f t="shared" si="21"/>
        <v>0</v>
      </c>
      <c r="P37" s="49">
        <f t="shared" si="21"/>
        <v>0</v>
      </c>
      <c r="Q37" s="49">
        <f t="shared" si="21"/>
        <v>0</v>
      </c>
      <c r="R37" s="49">
        <f t="shared" si="21"/>
        <v>0</v>
      </c>
      <c r="S37" s="49">
        <f t="shared" si="21"/>
        <v>0</v>
      </c>
      <c r="T37" s="49">
        <f t="shared" si="21"/>
        <v>0</v>
      </c>
      <c r="U37" s="49">
        <f t="shared" si="21"/>
        <v>0</v>
      </c>
      <c r="V37" s="49">
        <f t="shared" si="21"/>
        <v>0</v>
      </c>
      <c r="W37" s="49">
        <f t="shared" si="21"/>
        <v>0</v>
      </c>
      <c r="X37" s="49">
        <f t="shared" si="21"/>
        <v>0</v>
      </c>
      <c r="Y37" s="49">
        <f t="shared" si="21"/>
        <v>0</v>
      </c>
      <c r="Z37" s="49">
        <f t="shared" si="21"/>
        <v>0</v>
      </c>
      <c r="AA37" s="49">
        <f t="shared" si="21"/>
        <v>0</v>
      </c>
      <c r="AB37" s="49">
        <f t="shared" si="21"/>
        <v>0</v>
      </c>
      <c r="AC37" s="49">
        <f t="shared" si="21"/>
        <v>0</v>
      </c>
      <c r="AD37" s="49">
        <f t="shared" si="21"/>
        <v>0</v>
      </c>
      <c r="AE37" s="49">
        <f t="shared" si="21"/>
        <v>0</v>
      </c>
      <c r="AF37" s="49">
        <f t="shared" si="21"/>
        <v>0</v>
      </c>
      <c r="AG37" s="49">
        <f t="shared" si="21"/>
        <v>0</v>
      </c>
      <c r="AH37" s="49">
        <f t="shared" si="21"/>
        <v>0</v>
      </c>
      <c r="AI37" s="49">
        <f t="shared" si="21"/>
        <v>0</v>
      </c>
      <c r="AJ37" s="49">
        <f t="shared" si="21"/>
        <v>0</v>
      </c>
      <c r="AK37" s="49">
        <f t="shared" si="21"/>
        <v>0</v>
      </c>
      <c r="AL37" s="42"/>
      <c r="AM37" s="43">
        <v>21</v>
      </c>
      <c r="AN37">
        <v>202.38515895409779</v>
      </c>
      <c r="AO37">
        <v>64.039182962975403</v>
      </c>
      <c r="AP37">
        <v>473.75960745543864</v>
      </c>
      <c r="AQ37">
        <v>350.76244830454061</v>
      </c>
      <c r="AR37">
        <v>59.009677830790892</v>
      </c>
      <c r="AS37">
        <v>487.76064095927148</v>
      </c>
      <c r="AT37">
        <v>32.124893401874644</v>
      </c>
      <c r="AU37">
        <v>30.761843187634337</v>
      </c>
      <c r="AV37"/>
      <c r="AW37"/>
      <c r="FY37" s="211">
        <v>32</v>
      </c>
      <c r="FZ37">
        <v>28.30270432101258</v>
      </c>
      <c r="GA37">
        <v>73.577221063205286</v>
      </c>
      <c r="GB37">
        <v>81.162319434872501</v>
      </c>
      <c r="GC37">
        <v>45.008756126790786</v>
      </c>
      <c r="GD37">
        <v>20.731987528422462</v>
      </c>
      <c r="GE37">
        <v>32.178398238517929</v>
      </c>
      <c r="GF37">
        <v>36.432031249590295</v>
      </c>
      <c r="GG37">
        <v>26.708236537500845</v>
      </c>
      <c r="GH37">
        <v>11.261056810380525</v>
      </c>
      <c r="GI37">
        <v>46.709425237491914</v>
      </c>
      <c r="GJ37"/>
      <c r="GK37"/>
      <c r="GL37"/>
      <c r="GM37"/>
    </row>
    <row r="38" spans="1:195" s="7" customFormat="1">
      <c r="A38" s="9" t="s">
        <v>47</v>
      </c>
      <c r="B38" s="57"/>
      <c r="C38" s="48" t="s">
        <v>39</v>
      </c>
      <c r="D38" s="49">
        <f t="shared" si="18"/>
        <v>32.428655361292947</v>
      </c>
      <c r="E38" s="107">
        <f t="shared" si="19"/>
        <v>0.23106402971833753</v>
      </c>
      <c r="F38" s="18"/>
      <c r="G38" s="49">
        <f t="shared" si="20"/>
        <v>0</v>
      </c>
      <c r="H38" s="49">
        <f t="shared" si="21"/>
        <v>9.3241056547619036E-2</v>
      </c>
      <c r="I38" s="49">
        <f t="shared" si="21"/>
        <v>5.7504957363604348</v>
      </c>
      <c r="J38" s="49">
        <f t="shared" si="21"/>
        <v>8.8218663450876882</v>
      </c>
      <c r="K38" s="49">
        <f t="shared" si="21"/>
        <v>6.6131670912619409</v>
      </c>
      <c r="L38" s="49">
        <f t="shared" si="21"/>
        <v>0</v>
      </c>
      <c r="M38" s="49">
        <f t="shared" si="21"/>
        <v>0.9329848356136371</v>
      </c>
      <c r="N38" s="49">
        <f t="shared" si="21"/>
        <v>10.216900296421628</v>
      </c>
      <c r="O38" s="49">
        <f t="shared" si="21"/>
        <v>0</v>
      </c>
      <c r="P38" s="49">
        <f t="shared" si="21"/>
        <v>0</v>
      </c>
      <c r="Q38" s="49">
        <f t="shared" si="21"/>
        <v>0</v>
      </c>
      <c r="R38" s="49">
        <f t="shared" si="21"/>
        <v>0</v>
      </c>
      <c r="S38" s="49">
        <f t="shared" si="21"/>
        <v>0</v>
      </c>
      <c r="T38" s="49">
        <f t="shared" si="21"/>
        <v>0</v>
      </c>
      <c r="U38" s="49">
        <f t="shared" si="21"/>
        <v>0</v>
      </c>
      <c r="V38" s="49">
        <f t="shared" si="21"/>
        <v>0</v>
      </c>
      <c r="W38" s="49">
        <f t="shared" si="21"/>
        <v>0</v>
      </c>
      <c r="X38" s="49">
        <f t="shared" si="21"/>
        <v>0</v>
      </c>
      <c r="Y38" s="49">
        <f t="shared" si="21"/>
        <v>0</v>
      </c>
      <c r="Z38" s="49">
        <f t="shared" si="21"/>
        <v>0</v>
      </c>
      <c r="AA38" s="49">
        <f t="shared" si="21"/>
        <v>0</v>
      </c>
      <c r="AB38" s="49">
        <f t="shared" si="21"/>
        <v>0</v>
      </c>
      <c r="AC38" s="49">
        <f t="shared" si="21"/>
        <v>0</v>
      </c>
      <c r="AD38" s="49">
        <f t="shared" si="21"/>
        <v>0</v>
      </c>
      <c r="AE38" s="49">
        <f t="shared" si="21"/>
        <v>0</v>
      </c>
      <c r="AF38" s="49">
        <f t="shared" si="21"/>
        <v>0</v>
      </c>
      <c r="AG38" s="49">
        <f t="shared" si="21"/>
        <v>0</v>
      </c>
      <c r="AH38" s="49">
        <f t="shared" si="21"/>
        <v>0</v>
      </c>
      <c r="AI38" s="49">
        <f t="shared" si="21"/>
        <v>0</v>
      </c>
      <c r="AJ38" s="49">
        <f t="shared" si="21"/>
        <v>0</v>
      </c>
      <c r="AK38" s="49">
        <f t="shared" si="21"/>
        <v>0</v>
      </c>
      <c r="AL38" s="42"/>
      <c r="AM38" s="43">
        <v>22</v>
      </c>
      <c r="AN38">
        <v>252.73787231785803</v>
      </c>
      <c r="AO38">
        <v>69.551556019918593</v>
      </c>
      <c r="AP38">
        <v>513.94711782180468</v>
      </c>
      <c r="AQ38">
        <v>409.71651259240684</v>
      </c>
      <c r="AR38">
        <v>62.802117567377053</v>
      </c>
      <c r="AS38">
        <v>565.87970412557786</v>
      </c>
      <c r="AT38">
        <v>32.865144676439549</v>
      </c>
      <c r="AU38">
        <v>33.217236021228203</v>
      </c>
      <c r="AV38"/>
      <c r="AW38"/>
      <c r="FY38" s="211">
        <v>33</v>
      </c>
      <c r="FZ38">
        <v>20.887757007351119</v>
      </c>
      <c r="GA38">
        <v>62.090621178870819</v>
      </c>
      <c r="GB38">
        <v>70.712181115351328</v>
      </c>
      <c r="GC38">
        <v>44.989507777579931</v>
      </c>
      <c r="GD38">
        <v>29.566098704061602</v>
      </c>
      <c r="GE38">
        <v>60.060304626191375</v>
      </c>
      <c r="GF38">
        <v>102.66990219975028</v>
      </c>
      <c r="GG38">
        <v>58.057026220281401</v>
      </c>
      <c r="GH38">
        <v>6.1395271839659742</v>
      </c>
      <c r="GI38">
        <v>62.171193804327274</v>
      </c>
      <c r="GJ38"/>
      <c r="GK38"/>
      <c r="GL38"/>
      <c r="GM38"/>
    </row>
    <row r="39" spans="1:195" s="7" customFormat="1">
      <c r="A39" s="114">
        <v>1.03E-2</v>
      </c>
      <c r="B39" s="57"/>
      <c r="C39" s="48" t="s">
        <v>40</v>
      </c>
      <c r="D39" s="49">
        <f t="shared" si="18"/>
        <v>140.82804793039045</v>
      </c>
      <c r="E39" s="107">
        <f t="shared" si="19"/>
        <v>0.29177802163236594</v>
      </c>
      <c r="F39" s="18"/>
      <c r="G39" s="49">
        <f t="shared" si="20"/>
        <v>0</v>
      </c>
      <c r="H39" s="49">
        <f t="shared" si="21"/>
        <v>0.65350596606458677</v>
      </c>
      <c r="I39" s="49">
        <f t="shared" si="21"/>
        <v>11.95788618383912</v>
      </c>
      <c r="J39" s="49">
        <f t="shared" si="21"/>
        <v>28.147632135173943</v>
      </c>
      <c r="K39" s="49">
        <f t="shared" si="21"/>
        <v>58.063432801277436</v>
      </c>
      <c r="L39" s="49">
        <f t="shared" si="21"/>
        <v>26.053918799338149</v>
      </c>
      <c r="M39" s="49">
        <f t="shared" si="21"/>
        <v>6.5308938492954596</v>
      </c>
      <c r="N39" s="49">
        <f t="shared" si="21"/>
        <v>9.4207781954017573</v>
      </c>
      <c r="O39" s="49">
        <f t="shared" si="21"/>
        <v>0</v>
      </c>
      <c r="P39" s="49">
        <f t="shared" si="21"/>
        <v>0</v>
      </c>
      <c r="Q39" s="49">
        <f t="shared" si="21"/>
        <v>0</v>
      </c>
      <c r="R39" s="49">
        <f t="shared" si="21"/>
        <v>0</v>
      </c>
      <c r="S39" s="49">
        <f t="shared" si="21"/>
        <v>0</v>
      </c>
      <c r="T39" s="49">
        <f t="shared" si="21"/>
        <v>0</v>
      </c>
      <c r="U39" s="49">
        <f t="shared" si="21"/>
        <v>0</v>
      </c>
      <c r="V39" s="49">
        <f t="shared" si="21"/>
        <v>0</v>
      </c>
      <c r="W39" s="49">
        <f t="shared" si="21"/>
        <v>0</v>
      </c>
      <c r="X39" s="49">
        <f t="shared" si="21"/>
        <v>0</v>
      </c>
      <c r="Y39" s="49">
        <f t="shared" si="21"/>
        <v>0</v>
      </c>
      <c r="Z39" s="49">
        <f t="shared" si="21"/>
        <v>0</v>
      </c>
      <c r="AA39" s="49">
        <f t="shared" si="21"/>
        <v>0</v>
      </c>
      <c r="AB39" s="49">
        <f t="shared" si="21"/>
        <v>0</v>
      </c>
      <c r="AC39" s="49">
        <f t="shared" si="21"/>
        <v>0</v>
      </c>
      <c r="AD39" s="49">
        <f t="shared" si="21"/>
        <v>0</v>
      </c>
      <c r="AE39" s="49">
        <f t="shared" si="21"/>
        <v>0</v>
      </c>
      <c r="AF39" s="49">
        <f t="shared" si="21"/>
        <v>0</v>
      </c>
      <c r="AG39" s="49">
        <f t="shared" si="21"/>
        <v>0</v>
      </c>
      <c r="AH39" s="49">
        <f t="shared" si="21"/>
        <v>0</v>
      </c>
      <c r="AI39" s="49">
        <f t="shared" si="21"/>
        <v>0</v>
      </c>
      <c r="AJ39" s="49">
        <f t="shared" si="21"/>
        <v>0</v>
      </c>
      <c r="AK39" s="49">
        <f t="shared" si="21"/>
        <v>0</v>
      </c>
      <c r="AL39" s="42"/>
      <c r="AM39" s="43">
        <v>23</v>
      </c>
      <c r="AN39">
        <v>248.563767897383</v>
      </c>
      <c r="AO39">
        <v>100.42061435871223</v>
      </c>
      <c r="AP39">
        <v>669.06898226280771</v>
      </c>
      <c r="AQ39">
        <v>517.8051590301136</v>
      </c>
      <c r="AR39">
        <v>91.805064396389596</v>
      </c>
      <c r="AS39">
        <v>687.81961964324171</v>
      </c>
      <c r="AT39">
        <v>53.109132476102907</v>
      </c>
      <c r="AU39">
        <v>104.53005056899745</v>
      </c>
      <c r="AV39"/>
      <c r="AW39"/>
      <c r="FY39" s="211">
        <v>34</v>
      </c>
      <c r="FZ39">
        <v>27.741736317365444</v>
      </c>
      <c r="GA39">
        <v>83.780143047167627</v>
      </c>
      <c r="GB39">
        <v>82.560788884912355</v>
      </c>
      <c r="GC39">
        <v>44.39803236497</v>
      </c>
      <c r="GD39">
        <v>22.57512607078117</v>
      </c>
      <c r="GE39">
        <v>53.492221398389354</v>
      </c>
      <c r="GF39">
        <v>89.059570335128285</v>
      </c>
      <c r="GG39">
        <v>51.631772754866347</v>
      </c>
      <c r="GH39">
        <v>19.935042721676616</v>
      </c>
      <c r="GI39">
        <v>60.445641776955583</v>
      </c>
      <c r="GJ39"/>
      <c r="GK39"/>
      <c r="GL39"/>
      <c r="GM39"/>
    </row>
    <row r="40" spans="1:195" s="7" customFormat="1">
      <c r="A40" s="9" t="s">
        <v>48</v>
      </c>
      <c r="B40" s="57"/>
      <c r="C40" s="48" t="s">
        <v>41</v>
      </c>
      <c r="D40" s="49">
        <f t="shared" si="18"/>
        <v>168.83252117784357</v>
      </c>
      <c r="E40" s="107">
        <f t="shared" si="19"/>
        <v>0.31130486211935909</v>
      </c>
      <c r="F40" s="18"/>
      <c r="G40" s="49">
        <f t="shared" si="20"/>
        <v>0</v>
      </c>
      <c r="H40" s="49">
        <f t="shared" si="21"/>
        <v>0.70416449285030103</v>
      </c>
      <c r="I40" s="49">
        <f t="shared" si="21"/>
        <v>13.979685326124896</v>
      </c>
      <c r="J40" s="49">
        <f t="shared" si="21"/>
        <v>24.326238963487022</v>
      </c>
      <c r="K40" s="49">
        <f t="shared" si="21"/>
        <v>74.911023879928621</v>
      </c>
      <c r="L40" s="49">
        <f t="shared" si="21"/>
        <v>39.892721306369147</v>
      </c>
      <c r="M40" s="49">
        <f t="shared" si="21"/>
        <v>5.5979090136818224</v>
      </c>
      <c r="N40" s="49">
        <f t="shared" si="21"/>
        <v>9.4207781954017573</v>
      </c>
      <c r="O40" s="49">
        <f t="shared" si="21"/>
        <v>0</v>
      </c>
      <c r="P40" s="49">
        <f t="shared" si="21"/>
        <v>0</v>
      </c>
      <c r="Q40" s="49">
        <f t="shared" si="21"/>
        <v>0</v>
      </c>
      <c r="R40" s="49">
        <f t="shared" si="21"/>
        <v>0</v>
      </c>
      <c r="S40" s="49">
        <f t="shared" si="21"/>
        <v>0</v>
      </c>
      <c r="T40" s="49">
        <f t="shared" si="21"/>
        <v>0</v>
      </c>
      <c r="U40" s="49">
        <f t="shared" si="21"/>
        <v>0</v>
      </c>
      <c r="V40" s="49">
        <f t="shared" si="21"/>
        <v>0</v>
      </c>
      <c r="W40" s="49">
        <f t="shared" si="21"/>
        <v>0</v>
      </c>
      <c r="X40" s="49">
        <f t="shared" si="21"/>
        <v>0</v>
      </c>
      <c r="Y40" s="49">
        <f t="shared" si="21"/>
        <v>0</v>
      </c>
      <c r="Z40" s="49">
        <f t="shared" si="21"/>
        <v>0</v>
      </c>
      <c r="AA40" s="49">
        <f t="shared" si="21"/>
        <v>0</v>
      </c>
      <c r="AB40" s="49">
        <f t="shared" si="21"/>
        <v>0</v>
      </c>
      <c r="AC40" s="49">
        <f t="shared" si="21"/>
        <v>0</v>
      </c>
      <c r="AD40" s="49">
        <f t="shared" si="21"/>
        <v>0</v>
      </c>
      <c r="AE40" s="49">
        <f t="shared" si="21"/>
        <v>0</v>
      </c>
      <c r="AF40" s="49">
        <f t="shared" si="21"/>
        <v>0</v>
      </c>
      <c r="AG40" s="49">
        <f t="shared" si="21"/>
        <v>0</v>
      </c>
      <c r="AH40" s="49">
        <f t="shared" si="21"/>
        <v>0</v>
      </c>
      <c r="AI40" s="49">
        <f t="shared" si="21"/>
        <v>0</v>
      </c>
      <c r="AJ40" s="49">
        <f t="shared" si="21"/>
        <v>0</v>
      </c>
      <c r="AK40" s="49">
        <f t="shared" si="21"/>
        <v>0</v>
      </c>
      <c r="AL40" s="42"/>
      <c r="AM40" s="43">
        <v>24</v>
      </c>
      <c r="AN40">
        <v>249.43600645183847</v>
      </c>
      <c r="AO40">
        <v>97.990222309725922</v>
      </c>
      <c r="AP40">
        <v>765.76607567811766</v>
      </c>
      <c r="AQ40">
        <v>547.23441297049374</v>
      </c>
      <c r="AR40">
        <v>88.293965292058772</v>
      </c>
      <c r="AS40">
        <v>711.81789973005709</v>
      </c>
      <c r="AT40">
        <v>49.273587171045669</v>
      </c>
      <c r="AU40">
        <v>104.30845595972256</v>
      </c>
      <c r="AV40"/>
      <c r="AW40"/>
      <c r="FY40" s="211">
        <v>35</v>
      </c>
      <c r="FZ40">
        <v>16.698426066026911</v>
      </c>
      <c r="GA40">
        <v>50.887443013348829</v>
      </c>
      <c r="GB40">
        <v>49.710795762820567</v>
      </c>
      <c r="GC40">
        <v>32.031033529752364</v>
      </c>
      <c r="GD40">
        <v>21.814988732902403</v>
      </c>
      <c r="GE40">
        <v>58.03561758780554</v>
      </c>
      <c r="GF40">
        <v>113.05815857906828</v>
      </c>
      <c r="GG40">
        <v>64.276788812454001</v>
      </c>
      <c r="GH40">
        <v>18.147882328411917</v>
      </c>
      <c r="GI40">
        <v>54.705380673411561</v>
      </c>
      <c r="GJ40"/>
      <c r="GK40"/>
      <c r="GL40"/>
      <c r="GM40"/>
    </row>
    <row r="41" spans="1:195" s="7" customFormat="1">
      <c r="A41" s="114">
        <v>2.903</v>
      </c>
      <c r="B41" s="57"/>
      <c r="C41" s="48" t="s">
        <v>42</v>
      </c>
      <c r="D41" s="49">
        <f t="shared" si="18"/>
        <v>98.299361476055353</v>
      </c>
      <c r="E41" s="107">
        <f t="shared" si="19"/>
        <v>0.25781089622378006</v>
      </c>
      <c r="F41" s="18"/>
      <c r="G41" s="49">
        <f t="shared" si="20"/>
        <v>0</v>
      </c>
      <c r="H41" s="49">
        <f t="shared" ref="H41:AK43" si="22">H25*H$36</f>
        <v>0.18363010016025644</v>
      </c>
      <c r="I41" s="49">
        <f t="shared" si="22"/>
        <v>17.870995002366787</v>
      </c>
      <c r="J41" s="49">
        <f t="shared" si="22"/>
        <v>4.1519816245673953</v>
      </c>
      <c r="K41" s="49">
        <f t="shared" si="22"/>
        <v>40.585233410756395</v>
      </c>
      <c r="L41" s="49">
        <f t="shared" si="22"/>
        <v>25.329504949692112</v>
      </c>
      <c r="M41" s="49">
        <f t="shared" si="22"/>
        <v>10.178016388512406</v>
      </c>
      <c r="N41" s="49">
        <f t="shared" si="22"/>
        <v>0</v>
      </c>
      <c r="O41" s="49">
        <f t="shared" si="22"/>
        <v>0</v>
      </c>
      <c r="P41" s="49">
        <f t="shared" si="22"/>
        <v>0</v>
      </c>
      <c r="Q41" s="49">
        <f t="shared" si="22"/>
        <v>0</v>
      </c>
      <c r="R41" s="49">
        <f t="shared" si="22"/>
        <v>0</v>
      </c>
      <c r="S41" s="49">
        <f t="shared" si="22"/>
        <v>0</v>
      </c>
      <c r="T41" s="49">
        <f t="shared" si="22"/>
        <v>0</v>
      </c>
      <c r="U41" s="49">
        <f t="shared" si="22"/>
        <v>0</v>
      </c>
      <c r="V41" s="49">
        <f t="shared" si="22"/>
        <v>0</v>
      </c>
      <c r="W41" s="49">
        <f t="shared" si="22"/>
        <v>0</v>
      </c>
      <c r="X41" s="49">
        <f t="shared" si="22"/>
        <v>0</v>
      </c>
      <c r="Y41" s="49">
        <f t="shared" si="22"/>
        <v>0</v>
      </c>
      <c r="Z41" s="49">
        <f t="shared" si="22"/>
        <v>0</v>
      </c>
      <c r="AA41" s="49">
        <f t="shared" si="22"/>
        <v>0</v>
      </c>
      <c r="AB41" s="49">
        <f t="shared" si="22"/>
        <v>0</v>
      </c>
      <c r="AC41" s="49">
        <f t="shared" si="22"/>
        <v>0</v>
      </c>
      <c r="AD41" s="49">
        <f t="shared" si="22"/>
        <v>0</v>
      </c>
      <c r="AE41" s="49">
        <f t="shared" si="22"/>
        <v>0</v>
      </c>
      <c r="AF41" s="49">
        <f t="shared" si="22"/>
        <v>0</v>
      </c>
      <c r="AG41" s="49">
        <f t="shared" si="22"/>
        <v>0</v>
      </c>
      <c r="AH41" s="49">
        <f t="shared" si="22"/>
        <v>0</v>
      </c>
      <c r="AI41" s="49">
        <f t="shared" si="22"/>
        <v>0</v>
      </c>
      <c r="AJ41" s="49">
        <f t="shared" si="22"/>
        <v>0</v>
      </c>
      <c r="AK41" s="49">
        <f t="shared" si="22"/>
        <v>0</v>
      </c>
      <c r="AL41" s="42"/>
      <c r="AM41" s="43">
        <v>25</v>
      </c>
      <c r="AN41">
        <v>259.71033589105235</v>
      </c>
      <c r="AO41">
        <v>83.045382607382734</v>
      </c>
      <c r="AP41">
        <v>654.21767126610359</v>
      </c>
      <c r="AQ41">
        <v>473.72204812570084</v>
      </c>
      <c r="AR41">
        <v>73.731709735244493</v>
      </c>
      <c r="AS41">
        <v>648.15804064447411</v>
      </c>
      <c r="AT41">
        <v>40.173587717247308</v>
      </c>
      <c r="AU41">
        <v>114.71796623394793</v>
      </c>
      <c r="AV41"/>
      <c r="AW41"/>
      <c r="FY41" s="211">
        <v>36</v>
      </c>
      <c r="FZ41">
        <v>10.041658826400729</v>
      </c>
      <c r="GA41">
        <v>47.247302686446631</v>
      </c>
      <c r="GB41">
        <v>70.367647081269965</v>
      </c>
      <c r="GC41">
        <v>45.37637254991462</v>
      </c>
      <c r="GD41">
        <v>18.233585912886291</v>
      </c>
      <c r="GE41">
        <v>34.610113277495131</v>
      </c>
      <c r="GF41">
        <v>85.406470791439503</v>
      </c>
      <c r="GG41">
        <v>65.85855398339487</v>
      </c>
      <c r="GH41">
        <v>34.301059504499889</v>
      </c>
      <c r="GI41">
        <v>52.774018423865364</v>
      </c>
      <c r="GJ41"/>
      <c r="GK41"/>
      <c r="GL41"/>
      <c r="GM41"/>
    </row>
    <row r="42" spans="1:195" s="7" customFormat="1">
      <c r="A42" s="9" t="s">
        <v>49</v>
      </c>
      <c r="B42" s="57"/>
      <c r="C42" s="48" t="s">
        <v>118</v>
      </c>
      <c r="D42" s="49">
        <f t="shared" si="18"/>
        <v>116.61624346625159</v>
      </c>
      <c r="E42" s="107">
        <f t="shared" si="19"/>
        <v>0.35045919691912347</v>
      </c>
      <c r="F42" s="18"/>
      <c r="G42" s="49">
        <f t="shared" si="20"/>
        <v>0</v>
      </c>
      <c r="H42" s="49">
        <f t="shared" si="22"/>
        <v>4.4869787660256406E-2</v>
      </c>
      <c r="I42" s="49">
        <f t="shared" si="22"/>
        <v>16.526971073338512</v>
      </c>
      <c r="J42" s="49">
        <f t="shared" si="22"/>
        <v>3.8578056943594858</v>
      </c>
      <c r="K42" s="49">
        <f t="shared" si="22"/>
        <v>20.718587790442133</v>
      </c>
      <c r="L42" s="49">
        <f t="shared" si="22"/>
        <v>33.243934421974288</v>
      </c>
      <c r="M42" s="49">
        <f t="shared" si="22"/>
        <v>31.947662552830604</v>
      </c>
      <c r="N42" s="49">
        <f t="shared" si="22"/>
        <v>0</v>
      </c>
      <c r="O42" s="49">
        <f t="shared" si="22"/>
        <v>0</v>
      </c>
      <c r="P42" s="49">
        <f t="shared" si="22"/>
        <v>0</v>
      </c>
      <c r="Q42" s="49">
        <f t="shared" si="22"/>
        <v>10.276412145646301</v>
      </c>
      <c r="R42" s="49">
        <f t="shared" si="22"/>
        <v>0</v>
      </c>
      <c r="S42" s="49">
        <f t="shared" si="22"/>
        <v>0</v>
      </c>
      <c r="T42" s="49">
        <f t="shared" si="22"/>
        <v>0</v>
      </c>
      <c r="U42" s="49">
        <f t="shared" si="22"/>
        <v>0</v>
      </c>
      <c r="V42" s="49">
        <f t="shared" si="22"/>
        <v>0</v>
      </c>
      <c r="W42" s="49">
        <f t="shared" si="22"/>
        <v>0</v>
      </c>
      <c r="X42" s="49">
        <f t="shared" si="22"/>
        <v>0</v>
      </c>
      <c r="Y42" s="49">
        <f t="shared" si="22"/>
        <v>0</v>
      </c>
      <c r="Z42" s="49">
        <f t="shared" si="22"/>
        <v>0</v>
      </c>
      <c r="AA42" s="49">
        <f t="shared" si="22"/>
        <v>0</v>
      </c>
      <c r="AB42" s="49">
        <f t="shared" si="22"/>
        <v>0</v>
      </c>
      <c r="AC42" s="49">
        <f t="shared" si="22"/>
        <v>0</v>
      </c>
      <c r="AD42" s="49">
        <f t="shared" si="22"/>
        <v>0</v>
      </c>
      <c r="AE42" s="49">
        <f t="shared" si="22"/>
        <v>0</v>
      </c>
      <c r="AF42" s="49">
        <f t="shared" si="22"/>
        <v>0</v>
      </c>
      <c r="AG42" s="49">
        <f t="shared" si="22"/>
        <v>0</v>
      </c>
      <c r="AH42" s="49">
        <f t="shared" si="22"/>
        <v>0</v>
      </c>
      <c r="AI42" s="49">
        <f t="shared" si="22"/>
        <v>0</v>
      </c>
      <c r="AJ42" s="49">
        <f t="shared" si="22"/>
        <v>0</v>
      </c>
      <c r="AK42" s="49">
        <f t="shared" si="22"/>
        <v>0</v>
      </c>
      <c r="AL42" s="42"/>
      <c r="AM42" s="43">
        <v>26</v>
      </c>
      <c r="AN42">
        <v>277.86423442637368</v>
      </c>
      <c r="AO42">
        <v>84.485974598590701</v>
      </c>
      <c r="AP42">
        <v>620.06299036724215</v>
      </c>
      <c r="AQ42">
        <v>453.90107588647726</v>
      </c>
      <c r="AR42">
        <v>75.931073265525498</v>
      </c>
      <c r="AS42">
        <v>700.41890104948038</v>
      </c>
      <c r="AT42">
        <v>44.710350269421632</v>
      </c>
      <c r="AU42">
        <v>113.13674828207375</v>
      </c>
      <c r="AV42"/>
      <c r="AW42"/>
      <c r="FY42" s="211">
        <v>37</v>
      </c>
      <c r="FZ42">
        <v>16.636296869117828</v>
      </c>
      <c r="GA42">
        <v>59.006364728519259</v>
      </c>
      <c r="GB42">
        <v>76.15327996536486</v>
      </c>
      <c r="GC42">
        <v>41.956196717599788</v>
      </c>
      <c r="GD42">
        <v>19.522174171579969</v>
      </c>
      <c r="GE42">
        <v>63.222294440642592</v>
      </c>
      <c r="GF42">
        <v>146.14685924489669</v>
      </c>
      <c r="GG42">
        <v>77.341093357624345</v>
      </c>
      <c r="GH42">
        <v>8.7961560191984294</v>
      </c>
      <c r="GI42">
        <v>67.012425042252133</v>
      </c>
      <c r="GJ42"/>
      <c r="GK42"/>
      <c r="GL42"/>
      <c r="GM42"/>
    </row>
    <row r="43" spans="1:195" s="7" customFormat="1">
      <c r="A43" s="95">
        <v>4.2</v>
      </c>
      <c r="B43" s="1"/>
      <c r="C43" s="48" t="s">
        <v>119</v>
      </c>
      <c r="D43" s="49">
        <f>IF(SUM(G43:AK43)&lt;0.0001, 0, SUM(G43:AK43))</f>
        <v>115.55865143861595</v>
      </c>
      <c r="E43" s="107">
        <f t="shared" si="19"/>
        <v>0.61795499979025381</v>
      </c>
      <c r="F43" s="18"/>
      <c r="G43" s="49">
        <f t="shared" si="20"/>
        <v>0</v>
      </c>
      <c r="H43" s="49">
        <f t="shared" si="22"/>
        <v>5.7202318840579705E-2</v>
      </c>
      <c r="I43" s="49">
        <f t="shared" si="22"/>
        <v>4.9282212145137816</v>
      </c>
      <c r="J43" s="49">
        <f t="shared" si="22"/>
        <v>7.4431057932768923</v>
      </c>
      <c r="K43" s="49">
        <f t="shared" si="22"/>
        <v>15.574487714928484</v>
      </c>
      <c r="L43" s="49">
        <f t="shared" si="22"/>
        <v>37.390579216499823</v>
      </c>
      <c r="M43" s="49">
        <f t="shared" si="22"/>
        <v>30.166509684840939</v>
      </c>
      <c r="N43" s="49">
        <f t="shared" si="22"/>
        <v>0</v>
      </c>
      <c r="O43" s="49">
        <f t="shared" si="22"/>
        <v>4.3013197975068183</v>
      </c>
      <c r="P43" s="49">
        <f t="shared" si="22"/>
        <v>0</v>
      </c>
      <c r="Q43" s="49">
        <f t="shared" si="22"/>
        <v>10.276412145646301</v>
      </c>
      <c r="R43" s="49">
        <f t="shared" si="22"/>
        <v>5.4208135525623433</v>
      </c>
      <c r="S43" s="49">
        <f t="shared" si="22"/>
        <v>0</v>
      </c>
      <c r="T43" s="49">
        <f t="shared" si="22"/>
        <v>0</v>
      </c>
      <c r="U43" s="49">
        <f t="shared" si="22"/>
        <v>0</v>
      </c>
      <c r="V43" s="49">
        <f t="shared" si="22"/>
        <v>0</v>
      </c>
      <c r="W43" s="49">
        <f t="shared" si="22"/>
        <v>0</v>
      </c>
      <c r="X43" s="49">
        <f t="shared" si="22"/>
        <v>0</v>
      </c>
      <c r="Y43" s="49">
        <f t="shared" si="22"/>
        <v>0</v>
      </c>
      <c r="Z43" s="49">
        <f t="shared" si="22"/>
        <v>0</v>
      </c>
      <c r="AA43" s="49">
        <f t="shared" si="22"/>
        <v>0</v>
      </c>
      <c r="AB43" s="49">
        <f t="shared" si="22"/>
        <v>0</v>
      </c>
      <c r="AC43" s="49">
        <f t="shared" si="22"/>
        <v>0</v>
      </c>
      <c r="AD43" s="49">
        <f t="shared" si="22"/>
        <v>0</v>
      </c>
      <c r="AE43" s="49">
        <f t="shared" si="22"/>
        <v>0</v>
      </c>
      <c r="AF43" s="49">
        <f t="shared" si="22"/>
        <v>0</v>
      </c>
      <c r="AG43" s="49">
        <f t="shared" si="22"/>
        <v>0</v>
      </c>
      <c r="AH43" s="49">
        <f t="shared" si="22"/>
        <v>0</v>
      </c>
      <c r="AI43" s="49">
        <f t="shared" si="22"/>
        <v>0</v>
      </c>
      <c r="AJ43" s="49">
        <f t="shared" si="22"/>
        <v>0</v>
      </c>
      <c r="AK43" s="49">
        <f t="shared" si="22"/>
        <v>0</v>
      </c>
      <c r="AL43" s="42"/>
      <c r="AM43" s="43">
        <v>27</v>
      </c>
      <c r="AN43">
        <v>231.00945965632633</v>
      </c>
      <c r="AO43">
        <v>77.63686352637724</v>
      </c>
      <c r="AP43">
        <v>609.98787425752482</v>
      </c>
      <c r="AQ43">
        <v>436.82465686269069</v>
      </c>
      <c r="AR43">
        <v>69.453802023339435</v>
      </c>
      <c r="AS43">
        <v>620.62333412580392</v>
      </c>
      <c r="AT43">
        <v>38.268825128389167</v>
      </c>
      <c r="AU43">
        <v>85.008462876746108</v>
      </c>
      <c r="AV43"/>
      <c r="AW43"/>
      <c r="FY43" s="211">
        <v>38</v>
      </c>
      <c r="FZ43">
        <v>23.363702449389976</v>
      </c>
      <c r="GA43">
        <v>58.248664420934347</v>
      </c>
      <c r="GB43">
        <v>58.36558199774057</v>
      </c>
      <c r="GC43">
        <v>35.172923096021769</v>
      </c>
      <c r="GD43">
        <v>25.648885677309202</v>
      </c>
      <c r="GE43">
        <v>53.062183028375017</v>
      </c>
      <c r="GF43">
        <v>54.484309060970276</v>
      </c>
      <c r="GG43">
        <v>46.054783309786885</v>
      </c>
      <c r="GH43">
        <v>36.142346280316552</v>
      </c>
      <c r="GI43">
        <v>50.890763153500558</v>
      </c>
      <c r="GJ43"/>
      <c r="GK43"/>
      <c r="GL43"/>
      <c r="GM43"/>
    </row>
    <row r="44" spans="1:195" s="7" customFormat="1">
      <c r="A44" s="4"/>
      <c r="B44" s="1"/>
      <c r="C44" s="48" t="s">
        <v>120</v>
      </c>
      <c r="D44" s="49">
        <f>IF(SUM(G44:AK44)&lt;0.0001, 0, SUM(G44:AK44))</f>
        <v>77.453377412272317</v>
      </c>
      <c r="E44" s="107">
        <f t="shared" si="19"/>
        <v>0.66478803333242087</v>
      </c>
      <c r="F44" s="18"/>
      <c r="G44" s="49">
        <f>G28*G36</f>
        <v>0</v>
      </c>
      <c r="H44" s="49">
        <f t="shared" ref="H44:AK44" si="23">H28*H36</f>
        <v>5.7202318840579705E-2</v>
      </c>
      <c r="I44" s="49">
        <f t="shared" si="23"/>
        <v>1.5760697704916711</v>
      </c>
      <c r="J44" s="49">
        <f t="shared" si="23"/>
        <v>6.7910679839737957</v>
      </c>
      <c r="K44" s="49">
        <f t="shared" si="23"/>
        <v>13.418020185169155</v>
      </c>
      <c r="L44" s="49">
        <f t="shared" si="23"/>
        <v>24.430232584614291</v>
      </c>
      <c r="M44" s="49">
        <f t="shared" si="23"/>
        <v>21.458651219113655</v>
      </c>
      <c r="N44" s="49">
        <f t="shared" si="23"/>
        <v>0</v>
      </c>
      <c r="O44" s="49">
        <f t="shared" si="23"/>
        <v>4.3013197975068183</v>
      </c>
      <c r="P44" s="49">
        <f t="shared" si="23"/>
        <v>0</v>
      </c>
      <c r="Q44" s="49">
        <f t="shared" si="23"/>
        <v>0</v>
      </c>
      <c r="R44" s="49">
        <f t="shared" si="23"/>
        <v>5.4208135525623433</v>
      </c>
      <c r="S44" s="49">
        <f t="shared" si="23"/>
        <v>0</v>
      </c>
      <c r="T44" s="49">
        <f t="shared" si="23"/>
        <v>0</v>
      </c>
      <c r="U44" s="49">
        <f t="shared" si="23"/>
        <v>0</v>
      </c>
      <c r="V44" s="49">
        <f t="shared" si="23"/>
        <v>0</v>
      </c>
      <c r="W44" s="49">
        <f t="shared" si="23"/>
        <v>0</v>
      </c>
      <c r="X44" s="49">
        <f t="shared" si="23"/>
        <v>0</v>
      </c>
      <c r="Y44" s="49">
        <f t="shared" si="23"/>
        <v>0</v>
      </c>
      <c r="Z44" s="49">
        <f t="shared" si="23"/>
        <v>0</v>
      </c>
      <c r="AA44" s="49">
        <f t="shared" si="23"/>
        <v>0</v>
      </c>
      <c r="AB44" s="49">
        <f t="shared" si="23"/>
        <v>0</v>
      </c>
      <c r="AC44" s="49">
        <f t="shared" si="23"/>
        <v>0</v>
      </c>
      <c r="AD44" s="49">
        <f t="shared" si="23"/>
        <v>0</v>
      </c>
      <c r="AE44" s="49">
        <f t="shared" si="23"/>
        <v>0</v>
      </c>
      <c r="AF44" s="49">
        <f t="shared" si="23"/>
        <v>0</v>
      </c>
      <c r="AG44" s="49">
        <f t="shared" si="23"/>
        <v>0</v>
      </c>
      <c r="AH44" s="49">
        <f t="shared" si="23"/>
        <v>0</v>
      </c>
      <c r="AI44" s="49">
        <f t="shared" si="23"/>
        <v>0</v>
      </c>
      <c r="AJ44" s="49">
        <f t="shared" si="23"/>
        <v>0</v>
      </c>
      <c r="AK44" s="49">
        <f t="shared" si="23"/>
        <v>0</v>
      </c>
      <c r="AL44" s="42"/>
      <c r="AM44" s="43">
        <v>28</v>
      </c>
      <c r="AN44">
        <v>269.05124015748777</v>
      </c>
      <c r="AO44">
        <v>80.022965274224703</v>
      </c>
      <c r="AP44">
        <v>572.22934519283751</v>
      </c>
      <c r="AQ44">
        <v>414.90026279709548</v>
      </c>
      <c r="AR44">
        <v>72.220579376875762</v>
      </c>
      <c r="AS44">
        <v>606.18558243015775</v>
      </c>
      <c r="AT44">
        <v>37.982622421794659</v>
      </c>
      <c r="AU44">
        <v>32.561830472219562</v>
      </c>
      <c r="AV44"/>
      <c r="AW44"/>
      <c r="FY44" s="211">
        <v>39</v>
      </c>
      <c r="FZ44">
        <v>11.353699511578935</v>
      </c>
      <c r="GA44">
        <v>64.980224456379574</v>
      </c>
      <c r="GB44">
        <v>91.65509882051326</v>
      </c>
      <c r="GC44">
        <v>44.88388147735688</v>
      </c>
      <c r="GD44">
        <v>17.334963152589435</v>
      </c>
      <c r="GE44">
        <v>49.039782469317856</v>
      </c>
      <c r="GF44">
        <v>62.791403395032219</v>
      </c>
      <c r="GG44">
        <v>37.9096691713914</v>
      </c>
      <c r="GH44">
        <v>34.095166144005205</v>
      </c>
      <c r="GI44">
        <v>54.085634021637659</v>
      </c>
      <c r="GJ44"/>
      <c r="GK44"/>
      <c r="GL44"/>
      <c r="GM44"/>
    </row>
    <row r="45" spans="1:195" s="7" customFormat="1">
      <c r="A45" s="4"/>
      <c r="B45" s="1"/>
      <c r="C45" s="48" t="s">
        <v>121</v>
      </c>
      <c r="D45" s="49">
        <f>IF(SUM(G45:AK45)&lt;0.0001, 0, SUM(G45:AK45))</f>
        <v>26.547870518408459</v>
      </c>
      <c r="E45" s="107">
        <f t="shared" si="19"/>
        <v>0.67470456310162652</v>
      </c>
      <c r="F45" s="18"/>
      <c r="G45" s="49">
        <f>G29*G36</f>
        <v>0</v>
      </c>
      <c r="H45" s="49">
        <f t="shared" ref="H45:AK45" si="24">H29*H36</f>
        <v>0</v>
      </c>
      <c r="I45" s="49">
        <f t="shared" si="24"/>
        <v>0.8752657637252057</v>
      </c>
      <c r="J45" s="49">
        <f t="shared" si="24"/>
        <v>2.0927576848572307</v>
      </c>
      <c r="K45" s="49">
        <f t="shared" si="24"/>
        <v>1.7251740238074627</v>
      </c>
      <c r="L45" s="49">
        <f t="shared" si="24"/>
        <v>8.7928853474276387</v>
      </c>
      <c r="M45" s="49">
        <f t="shared" si="24"/>
        <v>13.061787698590919</v>
      </c>
      <c r="N45" s="49">
        <f t="shared" si="24"/>
        <v>0</v>
      </c>
      <c r="O45" s="49">
        <f t="shared" si="24"/>
        <v>0</v>
      </c>
      <c r="P45" s="49">
        <f t="shared" si="24"/>
        <v>0</v>
      </c>
      <c r="Q45" s="49">
        <f t="shared" si="24"/>
        <v>0</v>
      </c>
      <c r="R45" s="49">
        <f t="shared" si="24"/>
        <v>0</v>
      </c>
      <c r="S45" s="49">
        <f t="shared" si="24"/>
        <v>0</v>
      </c>
      <c r="T45" s="49">
        <f t="shared" si="24"/>
        <v>0</v>
      </c>
      <c r="U45" s="49">
        <f t="shared" si="24"/>
        <v>0</v>
      </c>
      <c r="V45" s="49">
        <f t="shared" si="24"/>
        <v>0</v>
      </c>
      <c r="W45" s="49">
        <f t="shared" si="24"/>
        <v>0</v>
      </c>
      <c r="X45" s="49">
        <f t="shared" si="24"/>
        <v>0</v>
      </c>
      <c r="Y45" s="49">
        <f t="shared" si="24"/>
        <v>0</v>
      </c>
      <c r="Z45" s="49">
        <f t="shared" si="24"/>
        <v>0</v>
      </c>
      <c r="AA45" s="49">
        <f t="shared" si="24"/>
        <v>0</v>
      </c>
      <c r="AB45" s="49">
        <f t="shared" si="24"/>
        <v>0</v>
      </c>
      <c r="AC45" s="49">
        <f t="shared" si="24"/>
        <v>0</v>
      </c>
      <c r="AD45" s="49">
        <f t="shared" si="24"/>
        <v>0</v>
      </c>
      <c r="AE45" s="49">
        <f t="shared" si="24"/>
        <v>0</v>
      </c>
      <c r="AF45" s="49">
        <f t="shared" si="24"/>
        <v>0</v>
      </c>
      <c r="AG45" s="49">
        <f t="shared" si="24"/>
        <v>0</v>
      </c>
      <c r="AH45" s="49">
        <f t="shared" si="24"/>
        <v>0</v>
      </c>
      <c r="AI45" s="49">
        <f t="shared" si="24"/>
        <v>0</v>
      </c>
      <c r="AJ45" s="49">
        <f t="shared" si="24"/>
        <v>0</v>
      </c>
      <c r="AK45" s="49">
        <f t="shared" si="24"/>
        <v>0</v>
      </c>
      <c r="AL45" s="42"/>
      <c r="AM45" s="43">
        <v>29</v>
      </c>
      <c r="AN45">
        <v>288.93153978762689</v>
      </c>
      <c r="AO45">
        <v>93.128544825271121</v>
      </c>
      <c r="AP45">
        <v>641.85832332954897</v>
      </c>
      <c r="AQ45">
        <v>479.54569033630321</v>
      </c>
      <c r="AR45">
        <v>84.909086691385852</v>
      </c>
      <c r="AS45">
        <v>689.0374228910041</v>
      </c>
      <c r="AT45">
        <v>47.301410053721497</v>
      </c>
      <c r="AU45">
        <v>72.350185362779669</v>
      </c>
      <c r="AV45"/>
      <c r="AW45"/>
      <c r="FY45" s="211">
        <v>40</v>
      </c>
      <c r="FZ45">
        <v>27.642730837393412</v>
      </c>
      <c r="GA45">
        <v>56.304675029315092</v>
      </c>
      <c r="GB45">
        <v>91.469827961594817</v>
      </c>
      <c r="GC45">
        <v>52.13645105262691</v>
      </c>
      <c r="GD45">
        <v>18.643817525060886</v>
      </c>
      <c r="GE45">
        <v>42.531292458153651</v>
      </c>
      <c r="GF45">
        <v>70.152770000164679</v>
      </c>
      <c r="GG45">
        <v>55.098806332382644</v>
      </c>
      <c r="GH45">
        <v>29.948197454293954</v>
      </c>
      <c r="GI45">
        <v>58.292604434332532</v>
      </c>
      <c r="GJ45"/>
      <c r="GK45"/>
      <c r="GL45"/>
      <c r="GM45"/>
    </row>
    <row r="46" spans="1:195" s="7" customFormat="1">
      <c r="A46" s="4"/>
      <c r="B46" s="1"/>
      <c r="C46" s="48" t="s">
        <v>122</v>
      </c>
      <c r="D46" s="49">
        <f>IF(SUM(G46:AK46)&lt;0.0001, 0, SUM(G46:AK46))</f>
        <v>79.350855666914498</v>
      </c>
      <c r="E46" s="107">
        <f t="shared" si="19"/>
        <v>0.34624221866290672</v>
      </c>
      <c r="F46" s="18"/>
      <c r="G46" s="49">
        <f>G30*G36</f>
        <v>0</v>
      </c>
      <c r="H46" s="49">
        <f t="shared" ref="H46:AK46" si="25">H30*H36</f>
        <v>0.18606265617975121</v>
      </c>
      <c r="I46" s="49">
        <f t="shared" si="25"/>
        <v>7.6878805174547704</v>
      </c>
      <c r="J46" s="49">
        <f t="shared" si="25"/>
        <v>8.8591829187787638</v>
      </c>
      <c r="K46" s="49">
        <f t="shared" si="25"/>
        <v>23.18966559015395</v>
      </c>
      <c r="L46" s="49">
        <f t="shared" si="25"/>
        <v>19.513377662591541</v>
      </c>
      <c r="M46" s="49">
        <f t="shared" si="25"/>
        <v>11.987441524247945</v>
      </c>
      <c r="N46" s="49">
        <f t="shared" si="25"/>
        <v>3.9275356983646774</v>
      </c>
      <c r="O46" s="49">
        <f t="shared" si="25"/>
        <v>0.8602639595013637</v>
      </c>
      <c r="P46" s="49">
        <f t="shared" si="25"/>
        <v>0</v>
      </c>
      <c r="Q46" s="49">
        <f t="shared" si="25"/>
        <v>2.0552824291292602</v>
      </c>
      <c r="R46" s="49">
        <f t="shared" si="25"/>
        <v>1.0841627105124687</v>
      </c>
      <c r="S46" s="49">
        <f t="shared" si="25"/>
        <v>0</v>
      </c>
      <c r="T46" s="49">
        <f t="shared" si="25"/>
        <v>0</v>
      </c>
      <c r="U46" s="49">
        <f t="shared" si="25"/>
        <v>0</v>
      </c>
      <c r="V46" s="49">
        <f t="shared" si="25"/>
        <v>0</v>
      </c>
      <c r="W46" s="49">
        <f t="shared" si="25"/>
        <v>0</v>
      </c>
      <c r="X46" s="49">
        <f t="shared" si="25"/>
        <v>0</v>
      </c>
      <c r="Y46" s="49">
        <f t="shared" si="25"/>
        <v>0</v>
      </c>
      <c r="Z46" s="49">
        <f t="shared" si="25"/>
        <v>0</v>
      </c>
      <c r="AA46" s="49">
        <f t="shared" si="25"/>
        <v>0</v>
      </c>
      <c r="AB46" s="49">
        <f t="shared" si="25"/>
        <v>0</v>
      </c>
      <c r="AC46" s="49">
        <f t="shared" si="25"/>
        <v>0</v>
      </c>
      <c r="AD46" s="49">
        <f t="shared" si="25"/>
        <v>0</v>
      </c>
      <c r="AE46" s="49">
        <f t="shared" si="25"/>
        <v>0</v>
      </c>
      <c r="AF46" s="49">
        <f t="shared" si="25"/>
        <v>0</v>
      </c>
      <c r="AG46" s="49">
        <f t="shared" si="25"/>
        <v>0</v>
      </c>
      <c r="AH46" s="49">
        <f t="shared" si="25"/>
        <v>0</v>
      </c>
      <c r="AI46" s="49">
        <f t="shared" si="25"/>
        <v>0</v>
      </c>
      <c r="AJ46" s="49">
        <f t="shared" si="25"/>
        <v>0</v>
      </c>
      <c r="AK46" s="49">
        <f t="shared" si="25"/>
        <v>0</v>
      </c>
      <c r="AL46" s="42"/>
      <c r="AM46" s="43">
        <v>30</v>
      </c>
      <c r="AN46">
        <v>234.59856718827865</v>
      </c>
      <c r="AO46">
        <v>63.547681060591643</v>
      </c>
      <c r="AP46">
        <v>464.50974939558171</v>
      </c>
      <c r="AQ46">
        <v>346.8602564194249</v>
      </c>
      <c r="AR46">
        <v>57.777845572487259</v>
      </c>
      <c r="AS46">
        <v>507.1052480472967</v>
      </c>
      <c r="AT46">
        <v>29.989507374526823</v>
      </c>
      <c r="AU46">
        <v>56.024903017654132</v>
      </c>
      <c r="AV46"/>
      <c r="AW46"/>
      <c r="FY46" s="211">
        <v>41</v>
      </c>
      <c r="FZ46">
        <v>39.874262028606843</v>
      </c>
      <c r="GA46">
        <v>81.257024615173279</v>
      </c>
      <c r="GB46">
        <v>71.578323306255342</v>
      </c>
      <c r="GC46">
        <v>47.478201078443384</v>
      </c>
      <c r="GD46">
        <v>32.819183155351844</v>
      </c>
      <c r="GE46">
        <v>46.651221672225788</v>
      </c>
      <c r="GF46">
        <v>78.224234775711864</v>
      </c>
      <c r="GG46">
        <v>66.850635401153497</v>
      </c>
      <c r="GH46">
        <v>13.458918480751034</v>
      </c>
      <c r="GI46">
        <v>62.776994338221989</v>
      </c>
      <c r="GJ46"/>
      <c r="GK46"/>
      <c r="GL46"/>
      <c r="GM46"/>
    </row>
    <row r="47" spans="1:195" s="7" customFormat="1">
      <c r="A47" s="4"/>
      <c r="B47" s="1"/>
      <c r="C47" s="48"/>
      <c r="D47" s="49"/>
      <c r="E47" s="107"/>
      <c r="F47" s="18"/>
      <c r="G47" s="49"/>
      <c r="H47" s="49"/>
      <c r="I47" s="49"/>
      <c r="J47" s="49"/>
      <c r="K47" s="49"/>
      <c r="L47" s="49"/>
      <c r="M47" s="49"/>
      <c r="N47" s="49"/>
      <c r="O47" s="49"/>
      <c r="P47" s="49"/>
      <c r="Q47" s="49"/>
      <c r="R47" s="49"/>
      <c r="S47" s="49"/>
      <c r="T47" s="49"/>
      <c r="U47" s="49"/>
      <c r="V47" s="49"/>
      <c r="W47" s="49"/>
      <c r="X47" s="49"/>
      <c r="Y47" s="49"/>
      <c r="Z47" s="49"/>
      <c r="AA47" s="49"/>
      <c r="AB47" s="49"/>
      <c r="AC47" s="49"/>
      <c r="AD47" s="49"/>
      <c r="AE47" s="49"/>
      <c r="AF47" s="49"/>
      <c r="AG47" s="49"/>
      <c r="AH47" s="49"/>
      <c r="AI47" s="49"/>
      <c r="AJ47" s="49"/>
      <c r="AK47" s="49"/>
      <c r="AL47" s="42"/>
      <c r="AM47" s="43">
        <v>31</v>
      </c>
      <c r="AN47">
        <v>270.66840969006472</v>
      </c>
      <c r="AO47">
        <v>94.705482168305707</v>
      </c>
      <c r="AP47">
        <v>697.30618019868666</v>
      </c>
      <c r="AQ47">
        <v>518.21257913165255</v>
      </c>
      <c r="AR47">
        <v>83.70920701644944</v>
      </c>
      <c r="AS47">
        <v>708.94465757679097</v>
      </c>
      <c r="AT47" t="e">
        <v>#DIV/0!</v>
      </c>
      <c r="AU47" t="e">
        <v>#DIV/0!</v>
      </c>
      <c r="AV47"/>
      <c r="AW47"/>
      <c r="FY47" s="211">
        <v>42</v>
      </c>
      <c r="FZ47">
        <v>13.89475542915612</v>
      </c>
      <c r="GA47">
        <v>59.519743903760642</v>
      </c>
      <c r="GB47">
        <v>73.661556279774558</v>
      </c>
      <c r="GC47">
        <v>43.547380758742484</v>
      </c>
      <c r="GD47">
        <v>33.260696082431643</v>
      </c>
      <c r="GE47">
        <v>82.058766867913491</v>
      </c>
      <c r="GF47">
        <v>114.3594093688818</v>
      </c>
      <c r="GG47">
        <v>58.770307022506806</v>
      </c>
      <c r="GH47">
        <v>16.358396197451778</v>
      </c>
      <c r="GI47">
        <v>68.52024389389409</v>
      </c>
      <c r="GJ47"/>
      <c r="GK47"/>
      <c r="GL47"/>
      <c r="GM47"/>
    </row>
    <row r="48" spans="1:195" s="7" customFormat="1">
      <c r="A48" s="4"/>
      <c r="B48" s="1"/>
      <c r="C48" s="60" t="s">
        <v>50</v>
      </c>
      <c r="D48" s="53">
        <f>AVERAGE(D37:D47)</f>
        <v>87.143593141914735</v>
      </c>
      <c r="E48" s="18"/>
      <c r="F48" s="18"/>
      <c r="G48" s="18"/>
      <c r="H48" s="61"/>
      <c r="I48" s="61"/>
      <c r="J48" s="61"/>
      <c r="K48" s="61"/>
      <c r="L48" s="61"/>
      <c r="M48" s="61"/>
      <c r="N48" s="61"/>
      <c r="O48" s="61"/>
      <c r="P48" s="61"/>
      <c r="Q48" s="61"/>
      <c r="R48" s="61"/>
      <c r="S48" s="61"/>
      <c r="T48" s="61"/>
      <c r="U48" s="61"/>
      <c r="V48" s="62"/>
      <c r="W48" s="62"/>
      <c r="X48" s="62"/>
      <c r="Y48" s="62"/>
      <c r="Z48" s="62"/>
      <c r="AA48" s="62"/>
      <c r="AB48" s="62"/>
      <c r="AC48" s="62"/>
      <c r="AD48" s="62"/>
      <c r="AE48" s="62"/>
      <c r="AF48" s="62"/>
      <c r="AG48" s="63"/>
      <c r="AH48" s="63"/>
      <c r="AI48" s="63"/>
      <c r="AJ48" s="63"/>
      <c r="AK48" s="63"/>
      <c r="AL48" s="42"/>
      <c r="AM48" s="43">
        <v>32</v>
      </c>
      <c r="AN48">
        <v>261.97394240597129</v>
      </c>
      <c r="AO48">
        <v>73.228370420249263</v>
      </c>
      <c r="AP48">
        <v>519.61745561652469</v>
      </c>
      <c r="AQ48">
        <v>402.07213654778514</v>
      </c>
      <c r="AR48">
        <v>66.93969792243044</v>
      </c>
      <c r="AS48">
        <v>580.90641254672903</v>
      </c>
      <c r="AT48">
        <v>33.940607684839577</v>
      </c>
      <c r="AU48">
        <v>78.080874383901502</v>
      </c>
      <c r="AV48"/>
      <c r="AW48"/>
      <c r="FY48" s="211">
        <v>43</v>
      </c>
      <c r="FZ48">
        <v>15.498187694581656</v>
      </c>
      <c r="GA48">
        <v>55.990637474065416</v>
      </c>
      <c r="GB48">
        <v>110.26092268785091</v>
      </c>
      <c r="GC48">
        <v>65.695916706979787</v>
      </c>
      <c r="GD48">
        <v>18.812010055384331</v>
      </c>
      <c r="GE48">
        <v>32.647141210480093</v>
      </c>
      <c r="GF48">
        <v>85.092506782421808</v>
      </c>
      <c r="GG48">
        <v>72.780597593234901</v>
      </c>
      <c r="GH48">
        <v>36.27711811657386</v>
      </c>
      <c r="GI48">
        <v>65.127293375131615</v>
      </c>
      <c r="GJ48"/>
      <c r="GK48"/>
      <c r="GL48"/>
      <c r="GM48"/>
    </row>
    <row r="49" spans="1:195" s="7" customFormat="1">
      <c r="A49" s="4"/>
      <c r="B49" s="1"/>
      <c r="C49" s="64"/>
      <c r="D49" s="64"/>
      <c r="E49" s="64"/>
      <c r="F49" s="64"/>
      <c r="G49" s="64"/>
      <c r="H49" s="64"/>
      <c r="I49" s="65"/>
      <c r="J49" s="64"/>
      <c r="K49" s="62"/>
      <c r="L49" s="64"/>
      <c r="M49" s="65"/>
      <c r="N49" s="64"/>
      <c r="O49" s="64"/>
      <c r="P49" s="64"/>
      <c r="Q49" s="65"/>
      <c r="R49" s="65"/>
      <c r="S49" s="65"/>
      <c r="T49" s="65"/>
      <c r="U49" s="65"/>
      <c r="V49" s="64"/>
      <c r="W49" s="64"/>
      <c r="X49" s="64"/>
      <c r="Y49" s="64"/>
      <c r="Z49" s="64"/>
      <c r="AA49" s="64"/>
      <c r="AB49" s="64"/>
      <c r="AC49" s="64"/>
      <c r="AD49" s="64"/>
      <c r="AE49" s="64"/>
      <c r="AF49" s="64"/>
      <c r="AG49" s="63"/>
      <c r="AH49" s="63"/>
      <c r="AI49" s="63"/>
      <c r="AJ49" s="63"/>
      <c r="AK49" s="63"/>
      <c r="AL49" s="42"/>
      <c r="AM49" s="43">
        <v>33</v>
      </c>
      <c r="AN49">
        <v>261.50903502987882</v>
      </c>
      <c r="AO49">
        <v>99.593684578693626</v>
      </c>
      <c r="AP49">
        <v>694.98063576802531</v>
      </c>
      <c r="AQ49">
        <v>517.3441198177311</v>
      </c>
      <c r="AR49">
        <v>89.539707966106363</v>
      </c>
      <c r="AS49">
        <v>671.81766426541299</v>
      </c>
      <c r="AT49">
        <v>47.881481052296444</v>
      </c>
      <c r="AU49">
        <v>64.142742441763332</v>
      </c>
      <c r="AV49"/>
      <c r="AW49"/>
      <c r="FY49" s="211">
        <v>44</v>
      </c>
      <c r="FZ49">
        <v>21.176425189835896</v>
      </c>
      <c r="GA49">
        <v>67.738566576766104</v>
      </c>
      <c r="GB49">
        <v>82.168317235360504</v>
      </c>
      <c r="GC49">
        <v>40.639122040921272</v>
      </c>
      <c r="GD49">
        <v>11.981036031459226</v>
      </c>
      <c r="GE49">
        <v>34.732186664952238</v>
      </c>
      <c r="GF49">
        <v>70.389350987368786</v>
      </c>
      <c r="GG49">
        <v>66.709330038100077</v>
      </c>
      <c r="GH49">
        <v>51.377612364114505</v>
      </c>
      <c r="GI49">
        <v>53.718584391146585</v>
      </c>
      <c r="GJ49"/>
      <c r="GK49"/>
      <c r="GL49"/>
      <c r="GM49"/>
    </row>
    <row r="50" spans="1:195" s="7" customFormat="1">
      <c r="A50" s="4"/>
      <c r="B50" s="1"/>
      <c r="C50" s="10" t="s">
        <v>51</v>
      </c>
      <c r="D50" s="13"/>
      <c r="E50" s="13"/>
      <c r="F50" s="13"/>
      <c r="G50" s="11" t="s">
        <v>33</v>
      </c>
      <c r="H50" s="13"/>
      <c r="I50" s="14"/>
      <c r="J50" s="13"/>
      <c r="K50" s="21"/>
      <c r="L50" s="13"/>
      <c r="M50" s="14"/>
      <c r="N50" s="13"/>
      <c r="O50" s="13"/>
      <c r="P50" s="13"/>
      <c r="Q50" s="14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42"/>
      <c r="AM50" s="43">
        <v>34</v>
      </c>
      <c r="AN50">
        <v>291.36815096352171</v>
      </c>
      <c r="AO50">
        <v>95.945319508666827</v>
      </c>
      <c r="AP50">
        <v>715.6433898850637</v>
      </c>
      <c r="AQ50">
        <v>535.62007567221269</v>
      </c>
      <c r="AR50">
        <v>86.041996079918107</v>
      </c>
      <c r="AS50">
        <v>709.23802005645916</v>
      </c>
      <c r="AT50" t="e">
        <v>#DIV/0!</v>
      </c>
      <c r="AU50" t="e">
        <v>#DIV/0!</v>
      </c>
      <c r="AV50"/>
      <c r="AW50"/>
      <c r="FY50" s="211">
        <v>45</v>
      </c>
      <c r="FZ50">
        <v>15.586814796022374</v>
      </c>
      <c r="GA50">
        <v>54.667758054639648</v>
      </c>
      <c r="GB50">
        <v>53.304558613611682</v>
      </c>
      <c r="GC50">
        <v>30.136049388488949</v>
      </c>
      <c r="GD50">
        <v>14.291767855205126</v>
      </c>
      <c r="GE50">
        <v>35.503564957607523</v>
      </c>
      <c r="GF50">
        <v>108.06146590793919</v>
      </c>
      <c r="GG50">
        <v>79.044300213313335</v>
      </c>
      <c r="GH50">
        <v>21.278819206976031</v>
      </c>
      <c r="GI50">
        <v>51.228470007725221</v>
      </c>
      <c r="GJ50"/>
      <c r="GK50"/>
      <c r="GL50"/>
      <c r="GM50"/>
    </row>
    <row r="51" spans="1:195" s="7" customFormat="1">
      <c r="A51" s="4"/>
      <c r="B51" s="36"/>
      <c r="C51" s="12" t="s">
        <v>34</v>
      </c>
      <c r="D51" s="10"/>
      <c r="E51" s="10" t="s">
        <v>52</v>
      </c>
      <c r="F51" s="13"/>
      <c r="G51" s="44" t="s">
        <v>37</v>
      </c>
      <c r="H51" s="45">
        <v>1</v>
      </c>
      <c r="I51" s="45">
        <v>2</v>
      </c>
      <c r="J51" s="45">
        <v>3</v>
      </c>
      <c r="K51" s="45">
        <v>4</v>
      </c>
      <c r="L51" s="45">
        <v>5</v>
      </c>
      <c r="M51" s="45">
        <v>6</v>
      </c>
      <c r="N51" s="45">
        <v>7</v>
      </c>
      <c r="O51" s="46">
        <v>8</v>
      </c>
      <c r="P51" s="46">
        <v>9</v>
      </c>
      <c r="Q51" s="47">
        <v>10</v>
      </c>
      <c r="R51" s="46">
        <v>11</v>
      </c>
      <c r="S51" s="47">
        <v>12</v>
      </c>
      <c r="T51" s="46">
        <v>13</v>
      </c>
      <c r="U51" s="47">
        <v>14</v>
      </c>
      <c r="V51" s="46">
        <v>15</v>
      </c>
      <c r="W51" s="47">
        <v>16</v>
      </c>
      <c r="X51" s="46">
        <v>17</v>
      </c>
      <c r="Y51" s="47">
        <v>18</v>
      </c>
      <c r="Z51" s="46">
        <v>19</v>
      </c>
      <c r="AA51" s="47">
        <v>20</v>
      </c>
      <c r="AB51" s="46">
        <v>21</v>
      </c>
      <c r="AC51" s="47">
        <v>22</v>
      </c>
      <c r="AD51" s="46">
        <v>23</v>
      </c>
      <c r="AE51" s="47">
        <v>24</v>
      </c>
      <c r="AF51" s="46">
        <v>25</v>
      </c>
      <c r="AG51" s="47">
        <v>26</v>
      </c>
      <c r="AH51" s="46">
        <v>27</v>
      </c>
      <c r="AI51" s="47">
        <v>28</v>
      </c>
      <c r="AJ51" s="46">
        <v>29</v>
      </c>
      <c r="AK51" s="47">
        <v>30</v>
      </c>
      <c r="AL51" s="42"/>
      <c r="AM51" s="43">
        <v>35</v>
      </c>
      <c r="AN51">
        <v>280.6277372728274</v>
      </c>
      <c r="AO51">
        <v>87.355568077161962</v>
      </c>
      <c r="AP51">
        <v>647.46043855023311</v>
      </c>
      <c r="AQ51">
        <v>479.36651508600244</v>
      </c>
      <c r="AR51">
        <v>77.9033650868856</v>
      </c>
      <c r="AS51">
        <v>657.13089856715067</v>
      </c>
      <c r="AT51">
        <v>41.486434751953226</v>
      </c>
      <c r="AU51">
        <v>147.93141083445613</v>
      </c>
      <c r="AV51"/>
      <c r="AW51"/>
      <c r="FY51" s="211">
        <v>46</v>
      </c>
      <c r="FZ51">
        <v>31.191062508588374</v>
      </c>
      <c r="GA51">
        <v>55.859403297616531</v>
      </c>
      <c r="GB51">
        <v>63.058663301733546</v>
      </c>
      <c r="GC51">
        <v>36.375018649078676</v>
      </c>
      <c r="GD51">
        <v>16.932864261053151</v>
      </c>
      <c r="GE51">
        <v>53.656800596370559</v>
      </c>
      <c r="GF51">
        <v>67.170282259262834</v>
      </c>
      <c r="GG51">
        <v>39.523872296164704</v>
      </c>
      <c r="GH51">
        <v>34.713072907001973</v>
      </c>
      <c r="GI51">
        <v>49.625473503988886</v>
      </c>
      <c r="GJ51"/>
      <c r="GK51"/>
      <c r="GL51"/>
      <c r="GM51"/>
    </row>
    <row r="52" spans="1:195" s="7" customFormat="1">
      <c r="A52" s="4"/>
      <c r="B52" s="36"/>
      <c r="C52" s="48" t="s">
        <v>38</v>
      </c>
      <c r="D52" s="49">
        <f>SUM(G52:AK52)</f>
        <v>16.249528767306845</v>
      </c>
      <c r="E52" s="19">
        <v>3.8777122696400615E-2</v>
      </c>
      <c r="F52" s="8"/>
      <c r="G52" s="49">
        <f>$E$52*$E$21*G37</f>
        <v>0</v>
      </c>
      <c r="H52" s="49">
        <f t="shared" ref="H52:AK52" si="26">$E$52*$E$21*H37</f>
        <v>3.7665079642423743E-2</v>
      </c>
      <c r="I52" s="49">
        <f t="shared" si="26"/>
        <v>2.9389153921305762</v>
      </c>
      <c r="J52" s="49">
        <f t="shared" si="26"/>
        <v>2.5760343935105463</v>
      </c>
      <c r="K52" s="49">
        <f t="shared" si="26"/>
        <v>0</v>
      </c>
      <c r="L52" s="49">
        <f t="shared" si="26"/>
        <v>0</v>
      </c>
      <c r="M52" s="49">
        <f t="shared" si="26"/>
        <v>0</v>
      </c>
      <c r="N52" s="49">
        <f t="shared" si="26"/>
        <v>10.696913902023299</v>
      </c>
      <c r="O52" s="49">
        <f t="shared" si="26"/>
        <v>0</v>
      </c>
      <c r="P52" s="49">
        <f t="shared" si="26"/>
        <v>0</v>
      </c>
      <c r="Q52" s="49">
        <f t="shared" si="26"/>
        <v>0</v>
      </c>
      <c r="R52" s="49">
        <f t="shared" si="26"/>
        <v>0</v>
      </c>
      <c r="S52" s="49">
        <f t="shared" si="26"/>
        <v>0</v>
      </c>
      <c r="T52" s="49">
        <f t="shared" si="26"/>
        <v>0</v>
      </c>
      <c r="U52" s="49">
        <f t="shared" si="26"/>
        <v>0</v>
      </c>
      <c r="V52" s="49">
        <f t="shared" si="26"/>
        <v>0</v>
      </c>
      <c r="W52" s="49">
        <f t="shared" si="26"/>
        <v>0</v>
      </c>
      <c r="X52" s="49">
        <f t="shared" si="26"/>
        <v>0</v>
      </c>
      <c r="Y52" s="49">
        <f t="shared" si="26"/>
        <v>0</v>
      </c>
      <c r="Z52" s="49">
        <f t="shared" si="26"/>
        <v>0</v>
      </c>
      <c r="AA52" s="49">
        <f t="shared" si="26"/>
        <v>0</v>
      </c>
      <c r="AB52" s="49">
        <f t="shared" si="26"/>
        <v>0</v>
      </c>
      <c r="AC52" s="49">
        <f t="shared" si="26"/>
        <v>0</v>
      </c>
      <c r="AD52" s="49">
        <f t="shared" si="26"/>
        <v>0</v>
      </c>
      <c r="AE52" s="49">
        <f t="shared" si="26"/>
        <v>0</v>
      </c>
      <c r="AF52" s="49">
        <f t="shared" si="26"/>
        <v>0</v>
      </c>
      <c r="AG52" s="49">
        <f t="shared" si="26"/>
        <v>0</v>
      </c>
      <c r="AH52" s="49">
        <f t="shared" si="26"/>
        <v>0</v>
      </c>
      <c r="AI52" s="49">
        <f t="shared" si="26"/>
        <v>0</v>
      </c>
      <c r="AJ52" s="49">
        <f t="shared" si="26"/>
        <v>0</v>
      </c>
      <c r="AK52" s="49">
        <f t="shared" si="26"/>
        <v>0</v>
      </c>
      <c r="AL52" s="42"/>
      <c r="AM52" s="43">
        <v>36</v>
      </c>
      <c r="AN52">
        <v>260.28841384576583</v>
      </c>
      <c r="AO52">
        <v>82.587679110551491</v>
      </c>
      <c r="AP52">
        <v>617.36587848082513</v>
      </c>
      <c r="AQ52">
        <v>464.21678303761303</v>
      </c>
      <c r="AR52">
        <v>74.516043069807253</v>
      </c>
      <c r="AS52">
        <v>653.94339533618904</v>
      </c>
      <c r="AT52" t="e">
        <v>#DIV/0!</v>
      </c>
      <c r="AU52" t="e">
        <v>#DIV/0!</v>
      </c>
      <c r="AV52"/>
      <c r="AW52"/>
      <c r="FY52" s="211">
        <v>47</v>
      </c>
      <c r="FZ52">
        <v>13.920948800406538</v>
      </c>
      <c r="GA52">
        <v>46.697379403368473</v>
      </c>
      <c r="GB52">
        <v>75.14669931754419</v>
      </c>
      <c r="GC52">
        <v>45.658938887089739</v>
      </c>
      <c r="GD52">
        <v>34.324049578192366</v>
      </c>
      <c r="GE52">
        <v>71.223821423172296</v>
      </c>
      <c r="GF52">
        <v>67.922795442620227</v>
      </c>
      <c r="GG52">
        <v>54.563032334099731</v>
      </c>
      <c r="GH52">
        <v>34.996705736368284</v>
      </c>
      <c r="GI52">
        <v>62.641977402165772</v>
      </c>
      <c r="GJ52"/>
      <c r="GK52"/>
      <c r="GL52"/>
      <c r="GM52"/>
    </row>
    <row r="53" spans="1:195" s="7" customFormat="1">
      <c r="A53" s="4"/>
      <c r="B53" s="36"/>
      <c r="C53" s="48" t="s">
        <v>39</v>
      </c>
      <c r="D53" s="49">
        <f t="shared" ref="D53:D61" si="27">SUM(G53:AK53)</f>
        <v>44.628482999398379</v>
      </c>
      <c r="E53" s="19">
        <v>3.3565979632026934E-2</v>
      </c>
      <c r="F53" s="8"/>
      <c r="G53" s="49">
        <f>$E$53*$E$22*G38</f>
        <v>0</v>
      </c>
      <c r="H53" s="49">
        <f t="shared" ref="H53:AK53" si="28">$E$53*$E$22*H38</f>
        <v>0.12831882360278812</v>
      </c>
      <c r="I53" s="49">
        <f t="shared" si="28"/>
        <v>7.9138619331900149</v>
      </c>
      <c r="J53" s="49">
        <f t="shared" si="28"/>
        <v>12.140698028282765</v>
      </c>
      <c r="K53" s="49">
        <f t="shared" si="28"/>
        <v>9.1010747074280527</v>
      </c>
      <c r="L53" s="49">
        <f t="shared" si="28"/>
        <v>0</v>
      </c>
      <c r="M53" s="49">
        <f t="shared" si="28"/>
        <v>1.2839785495570908</v>
      </c>
      <c r="N53" s="49">
        <f t="shared" si="28"/>
        <v>14.06055095733767</v>
      </c>
      <c r="O53" s="49">
        <f t="shared" si="28"/>
        <v>0</v>
      </c>
      <c r="P53" s="49">
        <f t="shared" si="28"/>
        <v>0</v>
      </c>
      <c r="Q53" s="49">
        <f t="shared" si="28"/>
        <v>0</v>
      </c>
      <c r="R53" s="49">
        <f t="shared" si="28"/>
        <v>0</v>
      </c>
      <c r="S53" s="49">
        <f t="shared" si="28"/>
        <v>0</v>
      </c>
      <c r="T53" s="49">
        <f t="shared" si="28"/>
        <v>0</v>
      </c>
      <c r="U53" s="49">
        <f t="shared" si="28"/>
        <v>0</v>
      </c>
      <c r="V53" s="49">
        <f t="shared" si="28"/>
        <v>0</v>
      </c>
      <c r="W53" s="49">
        <f t="shared" si="28"/>
        <v>0</v>
      </c>
      <c r="X53" s="49">
        <f t="shared" si="28"/>
        <v>0</v>
      </c>
      <c r="Y53" s="49">
        <f t="shared" si="28"/>
        <v>0</v>
      </c>
      <c r="Z53" s="49">
        <f t="shared" si="28"/>
        <v>0</v>
      </c>
      <c r="AA53" s="49">
        <f t="shared" si="28"/>
        <v>0</v>
      </c>
      <c r="AB53" s="49">
        <f t="shared" si="28"/>
        <v>0</v>
      </c>
      <c r="AC53" s="49">
        <f t="shared" si="28"/>
        <v>0</v>
      </c>
      <c r="AD53" s="49">
        <f t="shared" si="28"/>
        <v>0</v>
      </c>
      <c r="AE53" s="49">
        <f t="shared" si="28"/>
        <v>0</v>
      </c>
      <c r="AF53" s="49">
        <f t="shared" si="28"/>
        <v>0</v>
      </c>
      <c r="AG53" s="49">
        <f t="shared" si="28"/>
        <v>0</v>
      </c>
      <c r="AH53" s="49">
        <f t="shared" si="28"/>
        <v>0</v>
      </c>
      <c r="AI53" s="49">
        <f t="shared" si="28"/>
        <v>0</v>
      </c>
      <c r="AJ53" s="49">
        <f t="shared" si="28"/>
        <v>0</v>
      </c>
      <c r="AK53" s="49">
        <f t="shared" si="28"/>
        <v>0</v>
      </c>
      <c r="AL53" s="42"/>
      <c r="AM53" s="43">
        <v>37</v>
      </c>
      <c r="AN53">
        <v>269.97772845468927</v>
      </c>
      <c r="AO53">
        <v>109.26224233323073</v>
      </c>
      <c r="AP53">
        <v>837.31565963946491</v>
      </c>
      <c r="AQ53">
        <v>575.79314055679583</v>
      </c>
      <c r="AR53">
        <v>96.58801651194841</v>
      </c>
      <c r="AS53">
        <v>746.96916618563614</v>
      </c>
      <c r="AT53">
        <v>53.182492615839244</v>
      </c>
      <c r="AU53">
        <v>64.798159270238443</v>
      </c>
      <c r="AV53"/>
      <c r="AW53"/>
      <c r="FY53" s="211">
        <v>48</v>
      </c>
      <c r="FZ53">
        <v>7.2296754852021934</v>
      </c>
      <c r="GA53">
        <v>45.291684017385158</v>
      </c>
      <c r="GB53">
        <v>91.724932199136703</v>
      </c>
      <c r="GC53">
        <v>52.05137754862475</v>
      </c>
      <c r="GD53">
        <v>16.800945416110174</v>
      </c>
      <c r="GE53">
        <v>20.732948500461777</v>
      </c>
      <c r="GF53">
        <v>40.107693866726713</v>
      </c>
      <c r="GG53">
        <v>33.961180913350269</v>
      </c>
      <c r="GH53">
        <v>9.9480058927005874</v>
      </c>
      <c r="GI53">
        <v>44.662758525395937</v>
      </c>
      <c r="GJ53"/>
      <c r="GK53"/>
      <c r="GL53"/>
      <c r="GM53"/>
    </row>
    <row r="54" spans="1:195" s="7" customFormat="1">
      <c r="A54" s="4"/>
      <c r="B54" s="36"/>
      <c r="C54" s="48" t="s">
        <v>40</v>
      </c>
      <c r="D54" s="49">
        <f t="shared" si="27"/>
        <v>166.64215140415573</v>
      </c>
      <c r="E54" s="19">
        <v>3.5857645106735621E-2</v>
      </c>
      <c r="F54" s="8"/>
      <c r="G54" s="49">
        <f>$E$54*$E$23*G39</f>
        <v>0</v>
      </c>
      <c r="H54" s="49">
        <f t="shared" ref="H54:AK54" si="29">$E$54*$E$23*H39</f>
        <v>0.77329510520718603</v>
      </c>
      <c r="I54" s="49">
        <f t="shared" si="29"/>
        <v>14.149794087225731</v>
      </c>
      <c r="J54" s="49">
        <f t="shared" si="29"/>
        <v>33.307157522034473</v>
      </c>
      <c r="K54" s="49">
        <f t="shared" si="29"/>
        <v>68.70659291321094</v>
      </c>
      <c r="L54" s="49">
        <f t="shared" si="29"/>
        <v>30.829661740230367</v>
      </c>
      <c r="M54" s="49">
        <f t="shared" si="29"/>
        <v>7.7280216379673705</v>
      </c>
      <c r="N54" s="49">
        <f t="shared" si="29"/>
        <v>11.147628398279652</v>
      </c>
      <c r="O54" s="49">
        <f t="shared" si="29"/>
        <v>0</v>
      </c>
      <c r="P54" s="49">
        <f t="shared" si="29"/>
        <v>0</v>
      </c>
      <c r="Q54" s="49">
        <f t="shared" si="29"/>
        <v>0</v>
      </c>
      <c r="R54" s="49">
        <f t="shared" si="29"/>
        <v>0</v>
      </c>
      <c r="S54" s="49">
        <f t="shared" si="29"/>
        <v>0</v>
      </c>
      <c r="T54" s="49">
        <f t="shared" si="29"/>
        <v>0</v>
      </c>
      <c r="U54" s="49">
        <f t="shared" si="29"/>
        <v>0</v>
      </c>
      <c r="V54" s="49">
        <f t="shared" si="29"/>
        <v>0</v>
      </c>
      <c r="W54" s="49">
        <f t="shared" si="29"/>
        <v>0</v>
      </c>
      <c r="X54" s="49">
        <f t="shared" si="29"/>
        <v>0</v>
      </c>
      <c r="Y54" s="49">
        <f t="shared" si="29"/>
        <v>0</v>
      </c>
      <c r="Z54" s="49">
        <f t="shared" si="29"/>
        <v>0</v>
      </c>
      <c r="AA54" s="49">
        <f t="shared" si="29"/>
        <v>0</v>
      </c>
      <c r="AB54" s="49">
        <f t="shared" si="29"/>
        <v>0</v>
      </c>
      <c r="AC54" s="49">
        <f t="shared" si="29"/>
        <v>0</v>
      </c>
      <c r="AD54" s="49">
        <f t="shared" si="29"/>
        <v>0</v>
      </c>
      <c r="AE54" s="49">
        <f t="shared" si="29"/>
        <v>0</v>
      </c>
      <c r="AF54" s="49">
        <f t="shared" si="29"/>
        <v>0</v>
      </c>
      <c r="AG54" s="49">
        <f t="shared" si="29"/>
        <v>0</v>
      </c>
      <c r="AH54" s="49">
        <f t="shared" si="29"/>
        <v>0</v>
      </c>
      <c r="AI54" s="49">
        <f t="shared" si="29"/>
        <v>0</v>
      </c>
      <c r="AJ54" s="49">
        <f t="shared" si="29"/>
        <v>0</v>
      </c>
      <c r="AK54" s="49">
        <f t="shared" si="29"/>
        <v>0</v>
      </c>
      <c r="AL54" s="42"/>
      <c r="AM54" s="43">
        <v>38</v>
      </c>
      <c r="AN54">
        <v>222.07540004616976</v>
      </c>
      <c r="AO54">
        <v>79.983999114446846</v>
      </c>
      <c r="AP54">
        <v>550.81965746019728</v>
      </c>
      <c r="AQ54">
        <v>441.43414247434521</v>
      </c>
      <c r="AR54">
        <v>72.39804764439485</v>
      </c>
      <c r="AS54">
        <v>606.43102723640914</v>
      </c>
      <c r="AT54">
        <v>39.04857882446035</v>
      </c>
      <c r="AU54">
        <v>73.162264851715662</v>
      </c>
      <c r="AV54"/>
      <c r="AW54"/>
      <c r="FY54" s="211">
        <v>49</v>
      </c>
      <c r="FZ54">
        <v>17.495524077883719</v>
      </c>
      <c r="GA54">
        <v>44.658371418415804</v>
      </c>
      <c r="GB54">
        <v>56.52192509921408</v>
      </c>
      <c r="GC54">
        <v>31.12778419417506</v>
      </c>
      <c r="GD54">
        <v>15.562133974698549</v>
      </c>
      <c r="GE54">
        <v>38.547914075058813</v>
      </c>
      <c r="GF54">
        <v>61.892360606354515</v>
      </c>
      <c r="GG54">
        <v>33.393832083099944</v>
      </c>
      <c r="GH54">
        <v>7.1067867432445544</v>
      </c>
      <c r="GI54">
        <v>41.647656420096787</v>
      </c>
      <c r="GJ54"/>
      <c r="GK54"/>
      <c r="GL54"/>
      <c r="GM54"/>
    </row>
    <row r="55" spans="1:195" s="7" customFormat="1">
      <c r="A55" s="4"/>
      <c r="B55" s="36"/>
      <c r="C55" s="48" t="s">
        <v>41</v>
      </c>
      <c r="D55" s="49">
        <f t="shared" si="27"/>
        <v>23.636552964898101</v>
      </c>
      <c r="E55" s="19">
        <v>5.0000000000000001E-3</v>
      </c>
      <c r="F55" s="8"/>
      <c r="G55" s="49">
        <f>$E$55*$E$24*G40</f>
        <v>0</v>
      </c>
      <c r="H55" s="49">
        <f t="shared" ref="H55:AK55" si="30">$E$55*$E$24*H40</f>
        <v>9.8583028999042158E-2</v>
      </c>
      <c r="I55" s="49">
        <f t="shared" si="30"/>
        <v>1.9571559456574856</v>
      </c>
      <c r="J55" s="49">
        <f t="shared" si="30"/>
        <v>3.4056734548881833</v>
      </c>
      <c r="K55" s="49">
        <f t="shared" si="30"/>
        <v>10.487543343190008</v>
      </c>
      <c r="L55" s="49">
        <f t="shared" si="30"/>
        <v>5.5849809828916808</v>
      </c>
      <c r="M55" s="49">
        <f t="shared" si="30"/>
        <v>0.78370726191545526</v>
      </c>
      <c r="N55" s="49">
        <f t="shared" si="30"/>
        <v>1.3189089473562461</v>
      </c>
      <c r="O55" s="49">
        <f t="shared" si="30"/>
        <v>0</v>
      </c>
      <c r="P55" s="49">
        <f t="shared" si="30"/>
        <v>0</v>
      </c>
      <c r="Q55" s="49">
        <f t="shared" si="30"/>
        <v>0</v>
      </c>
      <c r="R55" s="49">
        <f t="shared" si="30"/>
        <v>0</v>
      </c>
      <c r="S55" s="49">
        <f t="shared" si="30"/>
        <v>0</v>
      </c>
      <c r="T55" s="49">
        <f t="shared" si="30"/>
        <v>0</v>
      </c>
      <c r="U55" s="49">
        <f t="shared" si="30"/>
        <v>0</v>
      </c>
      <c r="V55" s="49">
        <f t="shared" si="30"/>
        <v>0</v>
      </c>
      <c r="W55" s="49">
        <f t="shared" si="30"/>
        <v>0</v>
      </c>
      <c r="X55" s="49">
        <f t="shared" si="30"/>
        <v>0</v>
      </c>
      <c r="Y55" s="49">
        <f t="shared" si="30"/>
        <v>0</v>
      </c>
      <c r="Z55" s="49">
        <f t="shared" si="30"/>
        <v>0</v>
      </c>
      <c r="AA55" s="49">
        <f t="shared" si="30"/>
        <v>0</v>
      </c>
      <c r="AB55" s="49">
        <f t="shared" si="30"/>
        <v>0</v>
      </c>
      <c r="AC55" s="49">
        <f t="shared" si="30"/>
        <v>0</v>
      </c>
      <c r="AD55" s="49">
        <f t="shared" si="30"/>
        <v>0</v>
      </c>
      <c r="AE55" s="49">
        <f t="shared" si="30"/>
        <v>0</v>
      </c>
      <c r="AF55" s="49">
        <f t="shared" si="30"/>
        <v>0</v>
      </c>
      <c r="AG55" s="49">
        <f t="shared" si="30"/>
        <v>0</v>
      </c>
      <c r="AH55" s="49">
        <f t="shared" si="30"/>
        <v>0</v>
      </c>
      <c r="AI55" s="49">
        <f t="shared" si="30"/>
        <v>0</v>
      </c>
      <c r="AJ55" s="49">
        <f t="shared" si="30"/>
        <v>0</v>
      </c>
      <c r="AK55" s="49">
        <f t="shared" si="30"/>
        <v>0</v>
      </c>
      <c r="AL55" s="42"/>
      <c r="AM55" s="43">
        <v>39</v>
      </c>
      <c r="AN55">
        <v>253.79952369627358</v>
      </c>
      <c r="AO55">
        <v>85.287082721070718</v>
      </c>
      <c r="AP55">
        <v>627.52968118568901</v>
      </c>
      <c r="AQ55">
        <v>468.1295226198024</v>
      </c>
      <c r="AR55">
        <v>76.034019375071225</v>
      </c>
      <c r="AS55">
        <v>649.44425131931825</v>
      </c>
      <c r="AT55">
        <v>42.185189102945905</v>
      </c>
      <c r="AU55">
        <v>23.003781782683642</v>
      </c>
      <c r="AV55"/>
      <c r="AW55"/>
      <c r="FY55" s="211">
        <v>50</v>
      </c>
      <c r="FZ55">
        <v>39.671882477842225</v>
      </c>
      <c r="GA55">
        <v>86.673847409084132</v>
      </c>
      <c r="GB55">
        <v>93.787277960503573</v>
      </c>
      <c r="GC55">
        <v>52.910761067106215</v>
      </c>
      <c r="GD55">
        <v>21.601273233907559</v>
      </c>
      <c r="GE55">
        <v>63.552435437342481</v>
      </c>
      <c r="GF55">
        <v>108.87348295626182</v>
      </c>
      <c r="GG55">
        <v>52.83221937223658</v>
      </c>
      <c r="GH55">
        <v>20.105995045168051</v>
      </c>
      <c r="GI55">
        <v>67.729234949259933</v>
      </c>
      <c r="GJ55"/>
      <c r="GK55"/>
      <c r="GL55"/>
      <c r="GM55"/>
    </row>
    <row r="56" spans="1:195" s="7" customFormat="1">
      <c r="A56" s="4"/>
      <c r="B56" s="36"/>
      <c r="C56" s="48" t="s">
        <v>42</v>
      </c>
      <c r="D56" s="49">
        <f t="shared" si="27"/>
        <v>11.795923377126641</v>
      </c>
      <c r="E56" s="19">
        <v>5.0000000000000001E-3</v>
      </c>
      <c r="F56" s="8"/>
      <c r="G56" s="49">
        <f>$E$56*$E$25*G41</f>
        <v>0</v>
      </c>
      <c r="H56" s="49">
        <f t="shared" ref="H56:AK56" si="31">$E$56*$E$25*H41</f>
        <v>2.2035612019230773E-2</v>
      </c>
      <c r="I56" s="49">
        <f t="shared" si="31"/>
        <v>2.1445194002840142</v>
      </c>
      <c r="J56" s="49">
        <f t="shared" si="31"/>
        <v>0.4982377949480874</v>
      </c>
      <c r="K56" s="49">
        <f t="shared" si="31"/>
        <v>4.8702280092907673</v>
      </c>
      <c r="L56" s="49">
        <f t="shared" si="31"/>
        <v>3.0395405939630531</v>
      </c>
      <c r="M56" s="49">
        <f t="shared" si="31"/>
        <v>1.2213619666214885</v>
      </c>
      <c r="N56" s="49">
        <f t="shared" si="31"/>
        <v>0</v>
      </c>
      <c r="O56" s="49">
        <f t="shared" si="31"/>
        <v>0</v>
      </c>
      <c r="P56" s="49">
        <f t="shared" si="31"/>
        <v>0</v>
      </c>
      <c r="Q56" s="49">
        <f t="shared" si="31"/>
        <v>0</v>
      </c>
      <c r="R56" s="49">
        <f t="shared" si="31"/>
        <v>0</v>
      </c>
      <c r="S56" s="49">
        <f t="shared" si="31"/>
        <v>0</v>
      </c>
      <c r="T56" s="49">
        <f t="shared" si="31"/>
        <v>0</v>
      </c>
      <c r="U56" s="49">
        <f t="shared" si="31"/>
        <v>0</v>
      </c>
      <c r="V56" s="49">
        <f t="shared" si="31"/>
        <v>0</v>
      </c>
      <c r="W56" s="49">
        <f t="shared" si="31"/>
        <v>0</v>
      </c>
      <c r="X56" s="49">
        <f t="shared" si="31"/>
        <v>0</v>
      </c>
      <c r="Y56" s="49">
        <f t="shared" si="31"/>
        <v>0</v>
      </c>
      <c r="Z56" s="49">
        <f t="shared" si="31"/>
        <v>0</v>
      </c>
      <c r="AA56" s="49">
        <f t="shared" si="31"/>
        <v>0</v>
      </c>
      <c r="AB56" s="49">
        <f t="shared" si="31"/>
        <v>0</v>
      </c>
      <c r="AC56" s="49">
        <f t="shared" si="31"/>
        <v>0</v>
      </c>
      <c r="AD56" s="49">
        <f t="shared" si="31"/>
        <v>0</v>
      </c>
      <c r="AE56" s="49">
        <f t="shared" si="31"/>
        <v>0</v>
      </c>
      <c r="AF56" s="49">
        <f t="shared" si="31"/>
        <v>0</v>
      </c>
      <c r="AG56" s="49">
        <f t="shared" si="31"/>
        <v>0</v>
      </c>
      <c r="AH56" s="49">
        <f t="shared" si="31"/>
        <v>0</v>
      </c>
      <c r="AI56" s="49">
        <f t="shared" si="31"/>
        <v>0</v>
      </c>
      <c r="AJ56" s="49">
        <f t="shared" si="31"/>
        <v>0</v>
      </c>
      <c r="AK56" s="49">
        <f t="shared" si="31"/>
        <v>0</v>
      </c>
      <c r="AL56" s="42"/>
      <c r="AM56" s="43">
        <v>40</v>
      </c>
      <c r="AN56">
        <v>229.26177936095092</v>
      </c>
      <c r="AO56">
        <v>93.030463128621733</v>
      </c>
      <c r="AP56">
        <v>686.76741454213618</v>
      </c>
      <c r="AQ56">
        <v>502.22117308531858</v>
      </c>
      <c r="AR56">
        <v>84.298089593776027</v>
      </c>
      <c r="AS56">
        <v>674.9865625715139</v>
      </c>
      <c r="AT56">
        <v>44.231692874990415</v>
      </c>
      <c r="AU56">
        <v>64.393011620118955</v>
      </c>
      <c r="AV56"/>
      <c r="AW56"/>
      <c r="FY56" s="211">
        <v>51</v>
      </c>
      <c r="FZ56">
        <v>14.958414687260273</v>
      </c>
      <c r="GA56">
        <v>55.690771814414134</v>
      </c>
      <c r="GB56">
        <v>73.941640945008203</v>
      </c>
      <c r="GC56">
        <v>42.387430503567771</v>
      </c>
      <c r="GD56">
        <v>19.730504477846612</v>
      </c>
      <c r="GE56">
        <v>33.312247908369642</v>
      </c>
      <c r="GF56">
        <v>39.838193681640817</v>
      </c>
      <c r="GG56">
        <v>41.665365621831029</v>
      </c>
      <c r="GH56">
        <v>33.924392900139985</v>
      </c>
      <c r="GI56">
        <v>46.214395067442908</v>
      </c>
      <c r="GJ56"/>
      <c r="GK56"/>
      <c r="GL56"/>
      <c r="GM56"/>
    </row>
    <row r="57" spans="1:195" s="7" customFormat="1">
      <c r="A57" s="4"/>
      <c r="B57" s="36"/>
      <c r="C57" s="48" t="s">
        <v>118</v>
      </c>
      <c r="D57" s="49">
        <f t="shared" si="27"/>
        <v>27.98789843190038</v>
      </c>
      <c r="E57" s="19">
        <v>5.0000000000000001E-3</v>
      </c>
      <c r="F57" s="8"/>
      <c r="G57" s="49">
        <f>$E$57*$E$26*G42</f>
        <v>0</v>
      </c>
      <c r="H57" s="49">
        <f t="shared" ref="H57:AK57" si="32">$E$57*$E$26*H42</f>
        <v>1.0768749038461537E-2</v>
      </c>
      <c r="I57" s="49">
        <f t="shared" si="32"/>
        <v>3.9664730576012426</v>
      </c>
      <c r="J57" s="49">
        <f t="shared" si="32"/>
        <v>0.92587336664627662</v>
      </c>
      <c r="K57" s="49">
        <f t="shared" si="32"/>
        <v>4.972461069706112</v>
      </c>
      <c r="L57" s="49">
        <f t="shared" si="32"/>
        <v>7.9785442612738287</v>
      </c>
      <c r="M57" s="49">
        <f t="shared" si="32"/>
        <v>7.6674390126793446</v>
      </c>
      <c r="N57" s="49">
        <f t="shared" si="32"/>
        <v>0</v>
      </c>
      <c r="O57" s="49">
        <f t="shared" si="32"/>
        <v>0</v>
      </c>
      <c r="P57" s="49">
        <f t="shared" si="32"/>
        <v>0</v>
      </c>
      <c r="Q57" s="49">
        <f t="shared" si="32"/>
        <v>2.466338914955112</v>
      </c>
      <c r="R57" s="49">
        <f t="shared" si="32"/>
        <v>0</v>
      </c>
      <c r="S57" s="49">
        <f t="shared" si="32"/>
        <v>0</v>
      </c>
      <c r="T57" s="49">
        <f t="shared" si="32"/>
        <v>0</v>
      </c>
      <c r="U57" s="49">
        <f t="shared" si="32"/>
        <v>0</v>
      </c>
      <c r="V57" s="49">
        <f t="shared" si="32"/>
        <v>0</v>
      </c>
      <c r="W57" s="49">
        <f t="shared" si="32"/>
        <v>0</v>
      </c>
      <c r="X57" s="49">
        <f t="shared" si="32"/>
        <v>0</v>
      </c>
      <c r="Y57" s="49">
        <f t="shared" si="32"/>
        <v>0</v>
      </c>
      <c r="Z57" s="49">
        <f t="shared" si="32"/>
        <v>0</v>
      </c>
      <c r="AA57" s="49">
        <f t="shared" si="32"/>
        <v>0</v>
      </c>
      <c r="AB57" s="49">
        <f t="shared" si="32"/>
        <v>0</v>
      </c>
      <c r="AC57" s="49">
        <f t="shared" si="32"/>
        <v>0</v>
      </c>
      <c r="AD57" s="49">
        <f t="shared" si="32"/>
        <v>0</v>
      </c>
      <c r="AE57" s="49">
        <f t="shared" si="32"/>
        <v>0</v>
      </c>
      <c r="AF57" s="49">
        <f t="shared" si="32"/>
        <v>0</v>
      </c>
      <c r="AG57" s="49">
        <f t="shared" si="32"/>
        <v>0</v>
      </c>
      <c r="AH57" s="49">
        <f t="shared" si="32"/>
        <v>0</v>
      </c>
      <c r="AI57" s="49">
        <f t="shared" si="32"/>
        <v>0</v>
      </c>
      <c r="AJ57" s="49">
        <f t="shared" si="32"/>
        <v>0</v>
      </c>
      <c r="AK57" s="49">
        <f t="shared" si="32"/>
        <v>0</v>
      </c>
      <c r="AL57" s="42"/>
      <c r="AM57" s="43">
        <v>41</v>
      </c>
      <c r="AN57">
        <v>264.485023188372</v>
      </c>
      <c r="AO57">
        <v>100.17132138825768</v>
      </c>
      <c r="AP57">
        <v>704.76510805854809</v>
      </c>
      <c r="AQ57">
        <v>540.96899885189498</v>
      </c>
      <c r="AR57">
        <v>92.229329303946997</v>
      </c>
      <c r="AS57">
        <v>719.20306751416433</v>
      </c>
      <c r="AT57">
        <v>51.302089780824303</v>
      </c>
      <c r="AU57">
        <v>135.54691924017681</v>
      </c>
      <c r="AV57"/>
      <c r="AW57"/>
      <c r="FY57" s="211">
        <v>52</v>
      </c>
      <c r="FZ57">
        <v>13.883733738345832</v>
      </c>
      <c r="GA57">
        <v>38.080808521053733</v>
      </c>
      <c r="GB57">
        <v>102.54941229587526</v>
      </c>
      <c r="GC57">
        <v>64.488283330698152</v>
      </c>
      <c r="GD57">
        <v>28.907195230381834</v>
      </c>
      <c r="GE57">
        <v>41.641807536814248</v>
      </c>
      <c r="GF57">
        <v>73.444246584763903</v>
      </c>
      <c r="GG57">
        <v>58.321195435768715</v>
      </c>
      <c r="GH57">
        <v>1.3228510864014273</v>
      </c>
      <c r="GI57">
        <v>61.723641152068105</v>
      </c>
      <c r="GJ57"/>
      <c r="GK57"/>
      <c r="GL57"/>
      <c r="GM57"/>
    </row>
    <row r="58" spans="1:195" s="7" customFormat="1">
      <c r="A58" s="4"/>
      <c r="B58" s="1"/>
      <c r="C58" s="48" t="s">
        <v>119</v>
      </c>
      <c r="D58" s="49">
        <f t="shared" si="27"/>
        <v>144.33983035749097</v>
      </c>
      <c r="E58" s="19">
        <v>1.9826368600276503E-2</v>
      </c>
      <c r="F58" s="8"/>
      <c r="G58" s="49">
        <f>$E$58*$E$27*G43</f>
        <v>0</v>
      </c>
      <c r="H58" s="49">
        <f t="shared" ref="H58:AK58" si="33">$E$58*$E$27*H43</f>
        <v>7.1449198261804098E-2</v>
      </c>
      <c r="I58" s="49">
        <f t="shared" si="33"/>
        <v>6.1556500115871122</v>
      </c>
      <c r="J58" s="49">
        <f t="shared" si="33"/>
        <v>9.2968948162667502</v>
      </c>
      <c r="K58" s="49">
        <f t="shared" si="33"/>
        <v>19.453488654388966</v>
      </c>
      <c r="L58" s="49">
        <f t="shared" si="33"/>
        <v>46.70312256062229</v>
      </c>
      <c r="M58" s="49">
        <f t="shared" si="33"/>
        <v>37.679817444914448</v>
      </c>
      <c r="N58" s="49">
        <f t="shared" si="33"/>
        <v>0</v>
      </c>
      <c r="O58" s="49">
        <f t="shared" si="33"/>
        <v>5.3726117617013225</v>
      </c>
      <c r="P58" s="49">
        <f t="shared" si="33"/>
        <v>0</v>
      </c>
      <c r="Q58" s="49">
        <f t="shared" si="33"/>
        <v>12.83586791054034</v>
      </c>
      <c r="R58" s="49">
        <f t="shared" si="33"/>
        <v>6.7709279992079479</v>
      </c>
      <c r="S58" s="49">
        <f t="shared" si="33"/>
        <v>0</v>
      </c>
      <c r="T58" s="49">
        <f t="shared" si="33"/>
        <v>0</v>
      </c>
      <c r="U58" s="49">
        <f t="shared" si="33"/>
        <v>0</v>
      </c>
      <c r="V58" s="49">
        <f t="shared" si="33"/>
        <v>0</v>
      </c>
      <c r="W58" s="49">
        <f t="shared" si="33"/>
        <v>0</v>
      </c>
      <c r="X58" s="49">
        <f t="shared" si="33"/>
        <v>0</v>
      </c>
      <c r="Y58" s="49">
        <f t="shared" si="33"/>
        <v>0</v>
      </c>
      <c r="Z58" s="49">
        <f t="shared" si="33"/>
        <v>0</v>
      </c>
      <c r="AA58" s="49">
        <f t="shared" si="33"/>
        <v>0</v>
      </c>
      <c r="AB58" s="49">
        <f t="shared" si="33"/>
        <v>0</v>
      </c>
      <c r="AC58" s="49">
        <f t="shared" si="33"/>
        <v>0</v>
      </c>
      <c r="AD58" s="49">
        <f t="shared" si="33"/>
        <v>0</v>
      </c>
      <c r="AE58" s="49">
        <f t="shared" si="33"/>
        <v>0</v>
      </c>
      <c r="AF58" s="49">
        <f t="shared" si="33"/>
        <v>0</v>
      </c>
      <c r="AG58" s="49">
        <f t="shared" si="33"/>
        <v>0</v>
      </c>
      <c r="AH58" s="49">
        <f t="shared" si="33"/>
        <v>0</v>
      </c>
      <c r="AI58" s="49">
        <f t="shared" si="33"/>
        <v>0</v>
      </c>
      <c r="AJ58" s="49">
        <f t="shared" si="33"/>
        <v>0</v>
      </c>
      <c r="AK58" s="49">
        <f t="shared" si="33"/>
        <v>0</v>
      </c>
      <c r="AL58" s="42"/>
      <c r="AM58" s="43">
        <v>42</v>
      </c>
      <c r="AN58">
        <v>300.17957762933833</v>
      </c>
      <c r="AO58">
        <v>110.03135704472136</v>
      </c>
      <c r="AP58">
        <v>752.33914480135672</v>
      </c>
      <c r="AQ58">
        <v>563.95125580451349</v>
      </c>
      <c r="AR58">
        <v>97.996673357069355</v>
      </c>
      <c r="AS58">
        <v>799.9670809448379</v>
      </c>
      <c r="AT58">
        <v>52.964371983336747</v>
      </c>
      <c r="AU58">
        <v>143.65606208544168</v>
      </c>
      <c r="AV58"/>
      <c r="AW58"/>
      <c r="FY58" s="211">
        <v>53</v>
      </c>
      <c r="FZ58">
        <v>17.076362089677382</v>
      </c>
      <c r="GA58">
        <v>54.194576463051213</v>
      </c>
      <c r="GB58">
        <v>77.43574958891773</v>
      </c>
      <c r="GC58">
        <v>44.169013637663411</v>
      </c>
      <c r="GD58">
        <v>16.669522033228404</v>
      </c>
      <c r="GE58">
        <v>34.124171722751178</v>
      </c>
      <c r="GF58">
        <v>88.48826439910188</v>
      </c>
      <c r="GG58">
        <v>66.266877353728788</v>
      </c>
      <c r="GH58">
        <v>20.180173076159221</v>
      </c>
      <c r="GI58">
        <v>54.450332013122342</v>
      </c>
      <c r="GJ58"/>
      <c r="GK58"/>
      <c r="GL58"/>
      <c r="GM58"/>
    </row>
    <row r="59" spans="1:195" s="7" customFormat="1">
      <c r="A59" s="4"/>
      <c r="B59" s="1"/>
      <c r="C59" s="48" t="s">
        <v>120</v>
      </c>
      <c r="D59" s="49">
        <f t="shared" si="27"/>
        <v>59.888035762452716</v>
      </c>
      <c r="E59" s="19">
        <v>1.9826E-2</v>
      </c>
      <c r="F59" s="8"/>
      <c r="G59" s="49">
        <f>$E$59*$E$28*G44</f>
        <v>0</v>
      </c>
      <c r="H59" s="49">
        <f t="shared" ref="H59:AK59" si="34">$E$59*$E$28*H44</f>
        <v>4.4229633759999991E-2</v>
      </c>
      <c r="I59" s="49">
        <f t="shared" si="34"/>
        <v>1.2186392115209468</v>
      </c>
      <c r="J59" s="49">
        <f t="shared" si="34"/>
        <v>5.2509488401603139</v>
      </c>
      <c r="K59" s="49">
        <f t="shared" si="34"/>
        <v>10.375001059455382</v>
      </c>
      <c r="L59" s="49">
        <f t="shared" si="34"/>
        <v>18.889797857679955</v>
      </c>
      <c r="M59" s="49">
        <f t="shared" si="34"/>
        <v>16.592129543735744</v>
      </c>
      <c r="N59" s="49">
        <f t="shared" si="34"/>
        <v>0</v>
      </c>
      <c r="O59" s="49">
        <f t="shared" si="34"/>
        <v>3.3258406859094367</v>
      </c>
      <c r="P59" s="49">
        <f t="shared" si="34"/>
        <v>0</v>
      </c>
      <c r="Q59" s="49">
        <f t="shared" si="34"/>
        <v>0</v>
      </c>
      <c r="R59" s="49">
        <f t="shared" si="34"/>
        <v>4.1914489302309397</v>
      </c>
      <c r="S59" s="49">
        <f t="shared" si="34"/>
        <v>0</v>
      </c>
      <c r="T59" s="49">
        <f t="shared" si="34"/>
        <v>0</v>
      </c>
      <c r="U59" s="49">
        <f t="shared" si="34"/>
        <v>0</v>
      </c>
      <c r="V59" s="49">
        <f t="shared" si="34"/>
        <v>0</v>
      </c>
      <c r="W59" s="49">
        <f t="shared" si="34"/>
        <v>0</v>
      </c>
      <c r="X59" s="49">
        <f t="shared" si="34"/>
        <v>0</v>
      </c>
      <c r="Y59" s="49">
        <f t="shared" si="34"/>
        <v>0</v>
      </c>
      <c r="Z59" s="49">
        <f t="shared" si="34"/>
        <v>0</v>
      </c>
      <c r="AA59" s="49">
        <f t="shared" si="34"/>
        <v>0</v>
      </c>
      <c r="AB59" s="49">
        <f t="shared" si="34"/>
        <v>0</v>
      </c>
      <c r="AC59" s="49">
        <f t="shared" si="34"/>
        <v>0</v>
      </c>
      <c r="AD59" s="49">
        <f t="shared" si="34"/>
        <v>0</v>
      </c>
      <c r="AE59" s="49">
        <f t="shared" si="34"/>
        <v>0</v>
      </c>
      <c r="AF59" s="49">
        <f t="shared" si="34"/>
        <v>0</v>
      </c>
      <c r="AG59" s="49">
        <f t="shared" si="34"/>
        <v>0</v>
      </c>
      <c r="AH59" s="49">
        <f t="shared" si="34"/>
        <v>0</v>
      </c>
      <c r="AI59" s="49">
        <f t="shared" si="34"/>
        <v>0</v>
      </c>
      <c r="AJ59" s="49">
        <f t="shared" si="34"/>
        <v>0</v>
      </c>
      <c r="AK59" s="49">
        <f t="shared" si="34"/>
        <v>0</v>
      </c>
      <c r="AL59" s="42"/>
      <c r="AM59" s="43">
        <v>43</v>
      </c>
      <c r="AN59">
        <v>312.72270528198828</v>
      </c>
      <c r="AO59">
        <v>103.0712436793535</v>
      </c>
      <c r="AP59">
        <v>773.22642030922964</v>
      </c>
      <c r="AQ59">
        <v>558.1823316967043</v>
      </c>
      <c r="AR59">
        <v>93.497626612582351</v>
      </c>
      <c r="AS59">
        <v>763.04677928816807</v>
      </c>
      <c r="AT59">
        <v>51.108698962736867</v>
      </c>
      <c r="AU59">
        <v>50.495766617436431</v>
      </c>
      <c r="AV59"/>
      <c r="AW59"/>
      <c r="FY59" s="211">
        <v>54</v>
      </c>
      <c r="FZ59">
        <v>7.6401492985005888</v>
      </c>
      <c r="GA59">
        <v>52.103597079286551</v>
      </c>
      <c r="GB59">
        <v>75.864291586750994</v>
      </c>
      <c r="GC59">
        <v>42.261410434770355</v>
      </c>
      <c r="GD59">
        <v>31.450746926395158</v>
      </c>
      <c r="GE59">
        <v>80.33719435713536</v>
      </c>
      <c r="GF59">
        <v>110.34042055001976</v>
      </c>
      <c r="GG59">
        <v>54.082154829325511</v>
      </c>
      <c r="GH59">
        <v>10.800183048816212</v>
      </c>
      <c r="GI59">
        <v>64.880060220952458</v>
      </c>
      <c r="GJ59"/>
      <c r="GK59"/>
      <c r="GL59"/>
      <c r="GM59"/>
    </row>
    <row r="60" spans="1:195" s="7" customFormat="1">
      <c r="A60" s="4"/>
      <c r="B60" s="1"/>
      <c r="C60" s="48" t="s">
        <v>121</v>
      </c>
      <c r="D60" s="49">
        <f t="shared" si="27"/>
        <v>33.39779161550981</v>
      </c>
      <c r="E60" s="19">
        <v>3.3105828673915851E-2</v>
      </c>
      <c r="F60" s="8"/>
      <c r="G60" s="49">
        <f>$E$60*$E$29*G45</f>
        <v>0</v>
      </c>
      <c r="H60" s="49">
        <f t="shared" ref="H60:AK60" si="35">$E$60*$E$29*H45</f>
        <v>0</v>
      </c>
      <c r="I60" s="49">
        <f t="shared" si="35"/>
        <v>1.1011031398851692</v>
      </c>
      <c r="J60" s="49">
        <f t="shared" si="35"/>
        <v>2.6327341400943616</v>
      </c>
      <c r="K60" s="49">
        <f t="shared" si="35"/>
        <v>2.1703059952646755</v>
      </c>
      <c r="L60" s="49">
        <f t="shared" si="35"/>
        <v>11.061638722730329</v>
      </c>
      <c r="M60" s="49">
        <f t="shared" si="35"/>
        <v>16.432009617535275</v>
      </c>
      <c r="N60" s="49">
        <f t="shared" si="35"/>
        <v>0</v>
      </c>
      <c r="O60" s="49">
        <f t="shared" si="35"/>
        <v>0</v>
      </c>
      <c r="P60" s="49">
        <f t="shared" si="35"/>
        <v>0</v>
      </c>
      <c r="Q60" s="49">
        <f t="shared" si="35"/>
        <v>0</v>
      </c>
      <c r="R60" s="49">
        <f t="shared" si="35"/>
        <v>0</v>
      </c>
      <c r="S60" s="49">
        <f t="shared" si="35"/>
        <v>0</v>
      </c>
      <c r="T60" s="49">
        <f t="shared" si="35"/>
        <v>0</v>
      </c>
      <c r="U60" s="49">
        <f t="shared" si="35"/>
        <v>0</v>
      </c>
      <c r="V60" s="49">
        <f t="shared" si="35"/>
        <v>0</v>
      </c>
      <c r="W60" s="49">
        <f t="shared" si="35"/>
        <v>0</v>
      </c>
      <c r="X60" s="49">
        <f t="shared" si="35"/>
        <v>0</v>
      </c>
      <c r="Y60" s="49">
        <f t="shared" si="35"/>
        <v>0</v>
      </c>
      <c r="Z60" s="49">
        <f t="shared" si="35"/>
        <v>0</v>
      </c>
      <c r="AA60" s="49">
        <f t="shared" si="35"/>
        <v>0</v>
      </c>
      <c r="AB60" s="49">
        <f t="shared" si="35"/>
        <v>0</v>
      </c>
      <c r="AC60" s="49">
        <f t="shared" si="35"/>
        <v>0</v>
      </c>
      <c r="AD60" s="49">
        <f t="shared" si="35"/>
        <v>0</v>
      </c>
      <c r="AE60" s="49">
        <f t="shared" si="35"/>
        <v>0</v>
      </c>
      <c r="AF60" s="49">
        <f t="shared" si="35"/>
        <v>0</v>
      </c>
      <c r="AG60" s="49">
        <f t="shared" si="35"/>
        <v>0</v>
      </c>
      <c r="AH60" s="49">
        <f t="shared" si="35"/>
        <v>0</v>
      </c>
      <c r="AI60" s="49">
        <f t="shared" si="35"/>
        <v>0</v>
      </c>
      <c r="AJ60" s="49">
        <f t="shared" si="35"/>
        <v>0</v>
      </c>
      <c r="AK60" s="49">
        <f t="shared" si="35"/>
        <v>0</v>
      </c>
      <c r="AL60" s="42"/>
      <c r="AM60" s="43">
        <v>44</v>
      </c>
      <c r="AN60">
        <v>303.27492693472431</v>
      </c>
      <c r="AO60">
        <v>85.019186480165203</v>
      </c>
      <c r="AP60">
        <v>687.14874503958447</v>
      </c>
      <c r="AQ60">
        <v>500.63053152002516</v>
      </c>
      <c r="AR60">
        <v>76.581803516310075</v>
      </c>
      <c r="AS60">
        <v>643.41357908298482</v>
      </c>
      <c r="AT60">
        <v>40.869437945293889</v>
      </c>
      <c r="AU60">
        <v>67.007077998734886</v>
      </c>
      <c r="AV60"/>
      <c r="AW60"/>
      <c r="FY60" s="211">
        <v>55</v>
      </c>
      <c r="FZ60">
        <v>32.623865656999889</v>
      </c>
      <c r="GA60">
        <v>66.303697172789072</v>
      </c>
      <c r="GB60">
        <v>68.448815390378584</v>
      </c>
      <c r="GC60">
        <v>42.590049131445596</v>
      </c>
      <c r="GD60">
        <v>25.86350309931364</v>
      </c>
      <c r="GE60">
        <v>56.886156350776233</v>
      </c>
      <c r="GF60">
        <v>71.960435319893591</v>
      </c>
      <c r="GG60">
        <v>37.460047865782649</v>
      </c>
      <c r="GH60">
        <v>12.802393021911065</v>
      </c>
      <c r="GI60">
        <v>55.187837865835512</v>
      </c>
      <c r="GJ60"/>
      <c r="GK60"/>
      <c r="GL60"/>
      <c r="GM60"/>
    </row>
    <row r="61" spans="1:195" s="7" customFormat="1">
      <c r="A61" s="4"/>
      <c r="B61" s="1"/>
      <c r="C61" s="48" t="s">
        <v>122</v>
      </c>
      <c r="D61" s="49">
        <f t="shared" si="27"/>
        <v>66.654718760208183</v>
      </c>
      <c r="E61" s="19">
        <v>3.5000000000000003E-2</v>
      </c>
      <c r="F61" s="8"/>
      <c r="G61" s="49">
        <f>$E$61*$E$30*G46</f>
        <v>0</v>
      </c>
      <c r="H61" s="49">
        <f t="shared" ref="H61:AK61" si="36">$E$61*$E$30*H46</f>
        <v>0.15629263119099102</v>
      </c>
      <c r="I61" s="49">
        <f t="shared" si="36"/>
        <v>6.457819634662008</v>
      </c>
      <c r="J61" s="49">
        <f t="shared" si="36"/>
        <v>7.4417136517741627</v>
      </c>
      <c r="K61" s="49">
        <f t="shared" si="36"/>
        <v>19.47931909572932</v>
      </c>
      <c r="L61" s="49">
        <f t="shared" si="36"/>
        <v>16.391237236576895</v>
      </c>
      <c r="M61" s="49">
        <f t="shared" si="36"/>
        <v>10.069450880368274</v>
      </c>
      <c r="N61" s="49">
        <f t="shared" si="36"/>
        <v>3.2991299866263293</v>
      </c>
      <c r="O61" s="49">
        <f t="shared" si="36"/>
        <v>0.7226217259811456</v>
      </c>
      <c r="P61" s="49">
        <f t="shared" si="36"/>
        <v>0</v>
      </c>
      <c r="Q61" s="49">
        <f t="shared" si="36"/>
        <v>1.7264372404685786</v>
      </c>
      <c r="R61" s="49">
        <f t="shared" si="36"/>
        <v>0.91069667683047384</v>
      </c>
      <c r="S61" s="49">
        <f t="shared" si="36"/>
        <v>0</v>
      </c>
      <c r="T61" s="49">
        <f t="shared" si="36"/>
        <v>0</v>
      </c>
      <c r="U61" s="49">
        <f t="shared" si="36"/>
        <v>0</v>
      </c>
      <c r="V61" s="49">
        <f t="shared" si="36"/>
        <v>0</v>
      </c>
      <c r="W61" s="49">
        <f t="shared" si="36"/>
        <v>0</v>
      </c>
      <c r="X61" s="49">
        <f t="shared" si="36"/>
        <v>0</v>
      </c>
      <c r="Y61" s="49">
        <f t="shared" si="36"/>
        <v>0</v>
      </c>
      <c r="Z61" s="49">
        <f t="shared" si="36"/>
        <v>0</v>
      </c>
      <c r="AA61" s="49">
        <f t="shared" si="36"/>
        <v>0</v>
      </c>
      <c r="AB61" s="49">
        <f t="shared" si="36"/>
        <v>0</v>
      </c>
      <c r="AC61" s="49">
        <f t="shared" si="36"/>
        <v>0</v>
      </c>
      <c r="AD61" s="49">
        <f t="shared" si="36"/>
        <v>0</v>
      </c>
      <c r="AE61" s="49">
        <f t="shared" si="36"/>
        <v>0</v>
      </c>
      <c r="AF61" s="49">
        <f t="shared" si="36"/>
        <v>0</v>
      </c>
      <c r="AG61" s="49">
        <f t="shared" si="36"/>
        <v>0</v>
      </c>
      <c r="AH61" s="49">
        <f t="shared" si="36"/>
        <v>0</v>
      </c>
      <c r="AI61" s="49">
        <f t="shared" si="36"/>
        <v>0</v>
      </c>
      <c r="AJ61" s="49">
        <f t="shared" si="36"/>
        <v>0</v>
      </c>
      <c r="AK61" s="49">
        <f t="shared" si="36"/>
        <v>0</v>
      </c>
      <c r="AL61" s="42"/>
      <c r="AM61" s="43">
        <v>45</v>
      </c>
      <c r="AN61">
        <v>226.42085244636542</v>
      </c>
      <c r="AO61">
        <v>83.712721185763399</v>
      </c>
      <c r="AP61">
        <v>676.62118640378469</v>
      </c>
      <c r="AQ61">
        <v>463.10356900152908</v>
      </c>
      <c r="AR61">
        <v>74.95066190321073</v>
      </c>
      <c r="AS61">
        <v>637.46727905412638</v>
      </c>
      <c r="AT61" t="e">
        <v>#DIV/0!</v>
      </c>
      <c r="AU61" t="e">
        <v>#DIV/0!</v>
      </c>
      <c r="AV61"/>
      <c r="AW61"/>
      <c r="FY61" s="211">
        <v>56</v>
      </c>
      <c r="FZ61">
        <v>46.275822748417461</v>
      </c>
      <c r="GA61">
        <v>94.211945965490699</v>
      </c>
      <c r="GB61">
        <v>71.54370852394473</v>
      </c>
      <c r="GC61">
        <v>42.628977862754546</v>
      </c>
      <c r="GD61">
        <v>32.697809501650575</v>
      </c>
      <c r="GE61">
        <v>80.034387434002468</v>
      </c>
      <c r="GF61">
        <v>81.505226698049285</v>
      </c>
      <c r="GG61">
        <v>34.375790576954699</v>
      </c>
      <c r="GH61">
        <v>22.695891144766847</v>
      </c>
      <c r="GI61">
        <v>65.145915429986061</v>
      </c>
      <c r="GJ61"/>
      <c r="GK61"/>
      <c r="GL61"/>
      <c r="GM61"/>
    </row>
    <row r="62" spans="1:195" s="7" customFormat="1">
      <c r="A62" s="4"/>
      <c r="B62" s="1"/>
      <c r="C62" s="48"/>
      <c r="D62" s="49"/>
      <c r="E62" s="19"/>
      <c r="F62" s="8"/>
      <c r="G62" s="49"/>
      <c r="H62" s="49"/>
      <c r="I62" s="49"/>
      <c r="J62" s="49"/>
      <c r="K62" s="49"/>
      <c r="L62" s="49"/>
      <c r="M62" s="49"/>
      <c r="N62" s="49"/>
      <c r="O62" s="49"/>
      <c r="P62" s="49"/>
      <c r="Q62" s="49"/>
      <c r="R62" s="49"/>
      <c r="S62" s="49"/>
      <c r="T62" s="49"/>
      <c r="U62" s="49"/>
      <c r="V62" s="49"/>
      <c r="W62" s="49"/>
      <c r="X62" s="49"/>
      <c r="Y62" s="49"/>
      <c r="Z62" s="49"/>
      <c r="AA62" s="49"/>
      <c r="AB62" s="49"/>
      <c r="AC62" s="49"/>
      <c r="AD62" s="49"/>
      <c r="AE62" s="49"/>
      <c r="AF62" s="49"/>
      <c r="AG62" s="49"/>
      <c r="AH62" s="49"/>
      <c r="AI62" s="49"/>
      <c r="AJ62" s="49"/>
      <c r="AK62" s="49"/>
      <c r="AL62" s="42"/>
      <c r="AM62" s="43">
        <v>46</v>
      </c>
      <c r="AN62">
        <v>240.95299606683989</v>
      </c>
      <c r="AO62">
        <v>77.826017134334649</v>
      </c>
      <c r="AP62">
        <v>572.59794371208091</v>
      </c>
      <c r="AQ62">
        <v>448.10651358085914</v>
      </c>
      <c r="AR62">
        <v>69.435535188511082</v>
      </c>
      <c r="AS62">
        <v>618.62867564492842</v>
      </c>
      <c r="AT62">
        <v>36.891120506633392</v>
      </c>
      <c r="AU62">
        <v>68.666443369360962</v>
      </c>
      <c r="AV62"/>
      <c r="AW62"/>
      <c r="FY62" s="211">
        <v>57</v>
      </c>
      <c r="FZ62">
        <v>13.352393868655124</v>
      </c>
      <c r="GA62">
        <v>44.173220015028505</v>
      </c>
      <c r="GB62">
        <v>82.32246134568318</v>
      </c>
      <c r="GC62">
        <v>45.661460598716445</v>
      </c>
      <c r="GD62">
        <v>14.610011596255646</v>
      </c>
      <c r="GE62">
        <v>23.200161954210419</v>
      </c>
      <c r="GF62">
        <v>90.730687115848198</v>
      </c>
      <c r="GG62">
        <v>90.925489901116663</v>
      </c>
      <c r="GH62">
        <v>30.268994138325375</v>
      </c>
      <c r="GI62">
        <v>55.874206852507285</v>
      </c>
      <c r="GJ62"/>
      <c r="GK62"/>
      <c r="GL62"/>
      <c r="GM62"/>
    </row>
    <row r="63" spans="1:195" s="7" customFormat="1">
      <c r="A63" s="4"/>
      <c r="B63" s="1"/>
      <c r="C63" s="52" t="s">
        <v>53</v>
      </c>
      <c r="D63" s="53">
        <f>SUM(D52:D62)</f>
        <v>595.2209144404477</v>
      </c>
      <c r="E63" s="19"/>
      <c r="F63" s="19"/>
      <c r="G63" s="19"/>
      <c r="H63" s="19"/>
      <c r="I63" s="18"/>
      <c r="J63" s="19"/>
      <c r="K63" s="61"/>
      <c r="L63" s="19"/>
      <c r="M63" s="18"/>
      <c r="N63" s="19"/>
      <c r="O63" s="19"/>
      <c r="P63" s="19"/>
      <c r="Q63" s="18"/>
      <c r="R63" s="18"/>
      <c r="S63" s="18"/>
      <c r="T63" s="18"/>
      <c r="U63" s="18"/>
      <c r="V63" s="64"/>
      <c r="W63" s="64"/>
      <c r="X63" s="64"/>
      <c r="Y63" s="64"/>
      <c r="Z63" s="64"/>
      <c r="AA63" s="64"/>
      <c r="AB63" s="64"/>
      <c r="AC63" s="64"/>
      <c r="AD63" s="64"/>
      <c r="AE63" s="64"/>
      <c r="AF63" s="64"/>
      <c r="AG63" s="63"/>
      <c r="AH63" s="63"/>
      <c r="AI63" s="63"/>
      <c r="AJ63" s="63"/>
      <c r="AK63" s="63"/>
      <c r="AL63" s="42"/>
      <c r="AM63" s="43">
        <v>47</v>
      </c>
      <c r="AN63">
        <v>254.67275418189448</v>
      </c>
      <c r="AO63">
        <v>99.292737114993599</v>
      </c>
      <c r="AP63">
        <v>642.53852149135901</v>
      </c>
      <c r="AQ63">
        <v>507.09634832502758</v>
      </c>
      <c r="AR63">
        <v>89.891850560644812</v>
      </c>
      <c r="AS63">
        <v>695.28147771776401</v>
      </c>
      <c r="AT63">
        <v>50.67107215226391</v>
      </c>
      <c r="AU63">
        <v>108.17747315449904</v>
      </c>
      <c r="AV63"/>
      <c r="AW63"/>
      <c r="FY63" s="211">
        <v>58</v>
      </c>
      <c r="FZ63">
        <v>17.449055539202149</v>
      </c>
      <c r="GA63">
        <v>58.370458811070449</v>
      </c>
      <c r="GB63">
        <v>75.864424744452222</v>
      </c>
      <c r="GC63">
        <v>44.640358288392626</v>
      </c>
      <c r="GD63">
        <v>26.923757532759865</v>
      </c>
      <c r="GE63">
        <v>51.590051453875262</v>
      </c>
      <c r="GF63">
        <v>54.380188595952951</v>
      </c>
      <c r="GG63">
        <v>48.238442197410102</v>
      </c>
      <c r="GH63">
        <v>38.708124096850426</v>
      </c>
      <c r="GI63">
        <v>55.873457687282126</v>
      </c>
      <c r="GJ63"/>
      <c r="GK63"/>
      <c r="GL63"/>
      <c r="GM63"/>
    </row>
    <row r="64" spans="1:195" s="7" customFormat="1">
      <c r="A64" s="4"/>
      <c r="B64" s="1"/>
      <c r="C64" s="64"/>
      <c r="D64" s="64"/>
      <c r="E64" s="64"/>
      <c r="F64" s="64"/>
      <c r="G64" s="64"/>
      <c r="H64" s="64"/>
      <c r="I64" s="64"/>
      <c r="J64" s="62"/>
      <c r="K64" s="64"/>
      <c r="L64" s="64"/>
      <c r="M64" s="64"/>
      <c r="N64" s="65"/>
      <c r="O64" s="64"/>
      <c r="P64" s="65"/>
      <c r="Q64" s="64"/>
      <c r="R64" s="64"/>
      <c r="S64" s="64"/>
      <c r="T64" s="64"/>
      <c r="U64" s="64"/>
      <c r="V64" s="64"/>
      <c r="W64" s="64"/>
      <c r="X64" s="64"/>
      <c r="Y64" s="64"/>
      <c r="Z64" s="64"/>
      <c r="AA64" s="64"/>
      <c r="AB64" s="64"/>
      <c r="AC64" s="64"/>
      <c r="AD64" s="64"/>
      <c r="AE64" s="64"/>
      <c r="AF64" s="64"/>
      <c r="AG64" s="63"/>
      <c r="AH64" s="63"/>
      <c r="AI64" s="63"/>
      <c r="AJ64" s="63"/>
      <c r="AK64" s="63"/>
      <c r="AL64" s="42"/>
      <c r="AM64" s="43">
        <v>48</v>
      </c>
      <c r="AN64">
        <v>253.31978889804728</v>
      </c>
      <c r="AO64">
        <v>70.327957230788257</v>
      </c>
      <c r="AP64">
        <v>497.32418543805761</v>
      </c>
      <c r="AQ64">
        <v>362.51120236509428</v>
      </c>
      <c r="AR64">
        <v>64.434288959937106</v>
      </c>
      <c r="AS64">
        <v>584.27370062120974</v>
      </c>
      <c r="AT64" t="e">
        <v>#DIV/0!</v>
      </c>
      <c r="AU64" t="e">
        <v>#DIV/0!</v>
      </c>
      <c r="AV64"/>
      <c r="AW64"/>
      <c r="FY64" s="211">
        <v>59</v>
      </c>
      <c r="FZ64">
        <v>13.55857719779816</v>
      </c>
      <c r="GA64">
        <v>65.394494618677342</v>
      </c>
      <c r="GB64">
        <v>75.647361725257213</v>
      </c>
      <c r="GC64">
        <v>39.53528687079843</v>
      </c>
      <c r="GD64">
        <v>21.989709667934882</v>
      </c>
      <c r="GE64">
        <v>45.009473308648872</v>
      </c>
      <c r="GF64">
        <v>88.77496093649053</v>
      </c>
      <c r="GG64">
        <v>74.073916395500049</v>
      </c>
      <c r="GH64">
        <v>31.525490808751275</v>
      </c>
      <c r="GI64">
        <v>58.327067283153937</v>
      </c>
      <c r="GJ64"/>
      <c r="GK64"/>
      <c r="GL64"/>
      <c r="GM64"/>
    </row>
    <row r="65" spans="1:195" s="7" customFormat="1">
      <c r="A65" s="4"/>
      <c r="B65" s="66"/>
      <c r="C65" s="66"/>
      <c r="D65" s="66"/>
      <c r="E65" s="66"/>
      <c r="F65" s="66"/>
      <c r="G65" s="66"/>
      <c r="H65" s="66"/>
      <c r="I65" s="66"/>
      <c r="J65" s="67"/>
      <c r="K65" s="66"/>
      <c r="L65" s="66"/>
      <c r="M65" s="66"/>
      <c r="N65" s="42"/>
      <c r="O65" s="66"/>
      <c r="P65" s="42"/>
      <c r="Q65" s="66"/>
      <c r="R65" s="42"/>
      <c r="S65" s="42"/>
      <c r="T65" s="42"/>
      <c r="U65" s="42"/>
      <c r="V65" s="42"/>
      <c r="W65" s="42"/>
      <c r="X65" s="42"/>
      <c r="Y65" s="42"/>
      <c r="Z65" s="42"/>
      <c r="AA65" s="42"/>
      <c r="AB65" s="42"/>
      <c r="AC65" s="42"/>
      <c r="AD65" s="42"/>
      <c r="AE65" s="42"/>
      <c r="AF65" s="42"/>
      <c r="AG65" s="42"/>
      <c r="AH65" s="42"/>
      <c r="AI65" s="42"/>
      <c r="AJ65" s="42"/>
      <c r="AK65" s="42"/>
      <c r="AL65" s="42"/>
      <c r="AM65" s="43">
        <v>49</v>
      </c>
      <c r="AN65">
        <v>190.92776377962377</v>
      </c>
      <c r="AO65">
        <v>67.130198727654943</v>
      </c>
      <c r="AP65">
        <v>486.37615489843381</v>
      </c>
      <c r="AQ65">
        <v>347.95428869224179</v>
      </c>
      <c r="AR65">
        <v>60.030244294651894</v>
      </c>
      <c r="AS65">
        <v>474.1129645681491</v>
      </c>
      <c r="AT65">
        <v>33.696105376023361</v>
      </c>
      <c r="AU65">
        <v>37.821507997712452</v>
      </c>
      <c r="AV65"/>
      <c r="AW65"/>
      <c r="FY65" s="211">
        <v>60</v>
      </c>
      <c r="FZ65">
        <v>14.448813303563261</v>
      </c>
      <c r="GA65">
        <v>52.033923719631574</v>
      </c>
      <c r="GB65">
        <v>86.349264101154702</v>
      </c>
      <c r="GC65">
        <v>50.874866348838651</v>
      </c>
      <c r="GD65">
        <v>22.231274680427536</v>
      </c>
      <c r="GE65">
        <v>52.697212316047668</v>
      </c>
      <c r="GF65">
        <v>141.43661744105589</v>
      </c>
      <c r="GG65">
        <v>105.40505241607703</v>
      </c>
      <c r="GH65">
        <v>27.907106223262719</v>
      </c>
      <c r="GI65">
        <v>73.133423852054051</v>
      </c>
      <c r="GJ65"/>
      <c r="GK65"/>
      <c r="GL65"/>
      <c r="GM65"/>
    </row>
    <row r="66" spans="1:195" s="7" customFormat="1">
      <c r="A66" s="4"/>
      <c r="B66" s="68"/>
      <c r="C66" s="68"/>
      <c r="D66" s="68"/>
      <c r="E66" s="68"/>
      <c r="F66" s="68"/>
      <c r="G66" s="68"/>
      <c r="H66" s="68"/>
      <c r="I66" s="68"/>
      <c r="J66" s="69"/>
      <c r="K66" s="68"/>
      <c r="L66" s="68"/>
      <c r="M66" s="68"/>
      <c r="N66" s="70"/>
      <c r="O66" s="68"/>
      <c r="P66" s="70"/>
      <c r="Q66" s="68"/>
      <c r="R66" s="70"/>
      <c r="S66" s="28"/>
      <c r="T66" s="28"/>
      <c r="U66" s="4"/>
      <c r="V66" s="4"/>
      <c r="W66" s="4"/>
      <c r="X66" s="4"/>
      <c r="Y66" s="4"/>
      <c r="Z66" s="4"/>
      <c r="AA66" s="4"/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3">
        <v>50</v>
      </c>
      <c r="AN66">
        <v>298.99251093172109</v>
      </c>
      <c r="AO66">
        <v>107.08297555512948</v>
      </c>
      <c r="AP66">
        <v>805.27234271162558</v>
      </c>
      <c r="AQ66">
        <v>607.73840990871236</v>
      </c>
      <c r="AR66">
        <v>95.645609262299544</v>
      </c>
      <c r="AS66">
        <v>754.45911999412408</v>
      </c>
      <c r="AT66">
        <v>52.277106565958512</v>
      </c>
      <c r="AU66">
        <v>51.747266838707539</v>
      </c>
      <c r="AV66"/>
      <c r="AW66"/>
      <c r="FY66" s="211">
        <v>61</v>
      </c>
      <c r="FZ66">
        <v>13.146090515338715</v>
      </c>
      <c r="GA66">
        <v>57.68658067157763</v>
      </c>
      <c r="GB66">
        <v>62.656678848317583</v>
      </c>
      <c r="GC66">
        <v>37.949806794790092</v>
      </c>
      <c r="GD66">
        <v>24.185136132926637</v>
      </c>
      <c r="GE66">
        <v>53.988205933552713</v>
      </c>
      <c r="GF66">
        <v>62.723394325496258</v>
      </c>
      <c r="GG66">
        <v>19.694586807500002</v>
      </c>
      <c r="GH66">
        <v>7.9579316425213449</v>
      </c>
      <c r="GI66">
        <v>46.952083714417732</v>
      </c>
      <c r="GJ66"/>
      <c r="GK66"/>
      <c r="GL66"/>
      <c r="GM66"/>
    </row>
    <row r="67" spans="1:195" s="7" customFormat="1">
      <c r="A67" s="4"/>
      <c r="B67" s="66"/>
      <c r="C67" s="1"/>
      <c r="D67" s="1"/>
      <c r="E67" s="2"/>
      <c r="F67" s="2"/>
      <c r="G67" s="1"/>
      <c r="H67" s="1"/>
      <c r="I67" s="3"/>
      <c r="J67" s="2"/>
      <c r="K67" s="1"/>
      <c r="L67" s="1"/>
      <c r="M67" s="1"/>
      <c r="N67" s="1"/>
      <c r="O67" s="2"/>
      <c r="P67" s="1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43">
        <v>51</v>
      </c>
      <c r="AN67">
        <v>281.31270302651711</v>
      </c>
      <c r="AO67">
        <v>71.760980245701745</v>
      </c>
      <c r="AP67">
        <v>512.079577021315</v>
      </c>
      <c r="AQ67">
        <v>401.66335760752139</v>
      </c>
      <c r="AR67">
        <v>65.464440152004073</v>
      </c>
      <c r="AS67">
        <v>584.21621006141004</v>
      </c>
      <c r="AT67" t="e">
        <v>#DIV/0!</v>
      </c>
      <c r="AU67" t="e">
        <v>#DIV/0!</v>
      </c>
      <c r="AV67"/>
      <c r="AW67"/>
      <c r="FY67" s="211">
        <v>62</v>
      </c>
      <c r="FZ67">
        <v>12.685282961605596</v>
      </c>
      <c r="GA67">
        <v>43.964795881044211</v>
      </c>
      <c r="GB67">
        <v>69.870585234538225</v>
      </c>
      <c r="GC67">
        <v>38.004728693941104</v>
      </c>
      <c r="GD67">
        <v>23.877669500276284</v>
      </c>
      <c r="GE67">
        <v>69.555926189584838</v>
      </c>
      <c r="GF67">
        <v>89.204652532573448</v>
      </c>
      <c r="GG67">
        <v>37.699973414946946</v>
      </c>
      <c r="GH67">
        <v>10.013104707529942</v>
      </c>
      <c r="GI67">
        <v>54.477062662256735</v>
      </c>
      <c r="GJ67"/>
      <c r="GK67"/>
      <c r="GL67"/>
      <c r="GM67"/>
    </row>
    <row r="68" spans="1:195" s="7" customFormat="1">
      <c r="A68" s="4"/>
      <c r="B68" s="66"/>
      <c r="C68" s="13"/>
      <c r="D68" s="13"/>
      <c r="E68" s="14"/>
      <c r="F68" s="14" t="s">
        <v>54</v>
      </c>
      <c r="G68" s="13"/>
      <c r="H68" s="13"/>
      <c r="I68" s="21"/>
      <c r="J68" s="14"/>
      <c r="K68" s="13"/>
      <c r="L68" s="13"/>
      <c r="M68" s="13"/>
      <c r="N68" s="13"/>
      <c r="O68" s="14"/>
      <c r="P68" s="13"/>
      <c r="Q68" s="14"/>
      <c r="R68" s="10"/>
      <c r="S68" s="10"/>
      <c r="T68" s="10"/>
      <c r="U68" s="10"/>
      <c r="V68" s="10"/>
      <c r="W68" s="10"/>
      <c r="X68" s="10"/>
      <c r="Y68" s="10"/>
      <c r="Z68" s="10"/>
      <c r="AA68" s="10"/>
      <c r="AB68" s="10"/>
      <c r="AC68" s="10"/>
      <c r="AD68" s="10"/>
      <c r="AE68" s="10"/>
      <c r="AF68" s="10"/>
      <c r="AG68" s="10"/>
      <c r="AH68" s="10"/>
      <c r="AI68" s="10"/>
      <c r="AJ68" s="10"/>
      <c r="AK68" s="10"/>
      <c r="AL68" s="2"/>
      <c r="AM68" s="43">
        <v>52</v>
      </c>
      <c r="AN68">
        <v>255.35678526995508</v>
      </c>
      <c r="AO68">
        <v>97.746328933278079</v>
      </c>
      <c r="AP68">
        <v>650.36152000091215</v>
      </c>
      <c r="AQ68">
        <v>484.3631749121713</v>
      </c>
      <c r="AR68">
        <v>90.156788881049295</v>
      </c>
      <c r="AS68">
        <v>732.10132927146185</v>
      </c>
      <c r="AT68">
        <v>49.344624790065183</v>
      </c>
      <c r="AU68">
        <v>37.771838610794006</v>
      </c>
      <c r="AV68"/>
      <c r="AW68"/>
      <c r="FY68" s="211">
        <v>63</v>
      </c>
      <c r="FZ68">
        <v>26.653574300763804</v>
      </c>
      <c r="GA68">
        <v>58.339167179001862</v>
      </c>
      <c r="GB68">
        <v>62.823504724878084</v>
      </c>
      <c r="GC68">
        <v>40.478665768103582</v>
      </c>
      <c r="GD68">
        <v>32.509476580886954</v>
      </c>
      <c r="GE68">
        <v>61.959687051001978</v>
      </c>
      <c r="GF68">
        <v>44.602257437449268</v>
      </c>
      <c r="GG68">
        <v>35.833161294683421</v>
      </c>
      <c r="GH68">
        <v>32.449783663836826</v>
      </c>
      <c r="GI68">
        <v>55.491767984145824</v>
      </c>
      <c r="GJ68"/>
      <c r="GK68"/>
      <c r="GL68"/>
      <c r="GM68"/>
    </row>
    <row r="69" spans="1:195" s="7" customFormat="1">
      <c r="A69" s="133"/>
      <c r="B69" s="66"/>
      <c r="C69" s="9" t="s">
        <v>21</v>
      </c>
      <c r="D69" s="13"/>
      <c r="E69" s="13"/>
      <c r="F69" s="11" t="s">
        <v>33</v>
      </c>
      <c r="G69" s="44" t="s">
        <v>37</v>
      </c>
      <c r="H69" s="45">
        <v>1</v>
      </c>
      <c r="I69" s="45">
        <v>2</v>
      </c>
      <c r="J69" s="45">
        <v>3</v>
      </c>
      <c r="K69" s="45">
        <v>4</v>
      </c>
      <c r="L69" s="45">
        <v>5</v>
      </c>
      <c r="M69" s="45">
        <v>6</v>
      </c>
      <c r="N69" s="45">
        <v>7</v>
      </c>
      <c r="O69" s="46">
        <v>8</v>
      </c>
      <c r="P69" s="46">
        <v>9</v>
      </c>
      <c r="Q69" s="47">
        <v>10</v>
      </c>
      <c r="R69" s="46">
        <v>11</v>
      </c>
      <c r="S69" s="47">
        <v>12</v>
      </c>
      <c r="T69" s="46">
        <v>13</v>
      </c>
      <c r="U69" s="47">
        <v>14</v>
      </c>
      <c r="V69" s="46">
        <v>15</v>
      </c>
      <c r="W69" s="47">
        <v>16</v>
      </c>
      <c r="X69" s="46">
        <v>17</v>
      </c>
      <c r="Y69" s="47">
        <v>18</v>
      </c>
      <c r="Z69" s="46">
        <v>19</v>
      </c>
      <c r="AA69" s="47">
        <v>20</v>
      </c>
      <c r="AB69" s="46">
        <v>21</v>
      </c>
      <c r="AC69" s="47">
        <v>22</v>
      </c>
      <c r="AD69" s="46">
        <v>23</v>
      </c>
      <c r="AE69" s="47">
        <v>24</v>
      </c>
      <c r="AF69" s="46">
        <v>25</v>
      </c>
      <c r="AG69" s="47">
        <v>26</v>
      </c>
      <c r="AH69" s="46">
        <v>27</v>
      </c>
      <c r="AI69" s="47">
        <v>28</v>
      </c>
      <c r="AJ69" s="46">
        <v>29</v>
      </c>
      <c r="AK69" s="47">
        <v>30</v>
      </c>
      <c r="AL69" s="2"/>
      <c r="AM69" s="43">
        <v>53</v>
      </c>
      <c r="AN69">
        <v>241.61119757763714</v>
      </c>
      <c r="AO69">
        <v>87.233352035064243</v>
      </c>
      <c r="AP69">
        <v>669.79897645528649</v>
      </c>
      <c r="AQ69">
        <v>473.05504237740161</v>
      </c>
      <c r="AR69">
        <v>79.087809999024813</v>
      </c>
      <c r="AS69">
        <v>670.57860655452942</v>
      </c>
      <c r="AT69">
        <v>42.756385806177292</v>
      </c>
      <c r="AU69">
        <v>78.339506422661785</v>
      </c>
      <c r="AV69"/>
      <c r="AW69"/>
      <c r="FY69" s="211">
        <v>64</v>
      </c>
      <c r="FZ69">
        <v>3.682377938851265</v>
      </c>
      <c r="GA69">
        <v>41.372037164120776</v>
      </c>
      <c r="GB69">
        <v>81.1553258070185</v>
      </c>
      <c r="GC69">
        <v>48.62101888421028</v>
      </c>
      <c r="GD69">
        <v>17.146089496137314</v>
      </c>
      <c r="GE69">
        <v>40.652881407480692</v>
      </c>
      <c r="GF69">
        <v>126.21445860032858</v>
      </c>
      <c r="GG69">
        <v>79.252499941801076</v>
      </c>
      <c r="GH69">
        <v>10.826450630796582</v>
      </c>
      <c r="GI69">
        <v>59.160579231553498</v>
      </c>
      <c r="GJ69"/>
      <c r="GK69"/>
      <c r="GL69"/>
      <c r="GM69"/>
    </row>
    <row r="70" spans="1:195" s="7" customFormat="1">
      <c r="A70" s="4"/>
      <c r="B70" s="66"/>
      <c r="C70" s="71">
        <f t="shared" ref="C70:C79" si="37">C4</f>
        <v>39646</v>
      </c>
      <c r="D70" s="72">
        <f t="shared" ref="D70:D75" si="38">SUM(G70:AK70)</f>
        <v>14.583333333333332</v>
      </c>
      <c r="E70" s="64"/>
      <c r="F70" s="64"/>
      <c r="G70" s="18">
        <f>AVERAGE(E228:E237)</f>
        <v>0</v>
      </c>
      <c r="H70" s="18">
        <f t="shared" ref="H70:AK70" si="39">AVERAGE(F228:F237)</f>
        <v>6.25</v>
      </c>
      <c r="I70" s="18">
        <f t="shared" si="39"/>
        <v>4.1666666666666661</v>
      </c>
      <c r="J70" s="18">
        <f t="shared" si="39"/>
        <v>4.1666666666666661</v>
      </c>
      <c r="K70" s="18">
        <f t="shared" si="39"/>
        <v>0</v>
      </c>
      <c r="L70" s="18">
        <f t="shared" si="39"/>
        <v>0</v>
      </c>
      <c r="M70" s="18">
        <f t="shared" si="39"/>
        <v>0</v>
      </c>
      <c r="N70" s="18">
        <f t="shared" si="39"/>
        <v>0</v>
      </c>
      <c r="O70" s="18">
        <f t="shared" si="39"/>
        <v>0</v>
      </c>
      <c r="P70" s="18">
        <f t="shared" si="39"/>
        <v>0</v>
      </c>
      <c r="Q70" s="18">
        <f t="shared" si="39"/>
        <v>0</v>
      </c>
      <c r="R70" s="18">
        <f t="shared" si="39"/>
        <v>0</v>
      </c>
      <c r="S70" s="18">
        <f t="shared" si="39"/>
        <v>0</v>
      </c>
      <c r="T70" s="18">
        <f t="shared" si="39"/>
        <v>0</v>
      </c>
      <c r="U70" s="18">
        <f t="shared" si="39"/>
        <v>0</v>
      </c>
      <c r="V70" s="18">
        <f t="shared" si="39"/>
        <v>0</v>
      </c>
      <c r="W70" s="18">
        <f t="shared" si="39"/>
        <v>0</v>
      </c>
      <c r="X70" s="18">
        <f t="shared" si="39"/>
        <v>0</v>
      </c>
      <c r="Y70" s="18">
        <f t="shared" si="39"/>
        <v>0</v>
      </c>
      <c r="Z70" s="18">
        <f t="shared" si="39"/>
        <v>0</v>
      </c>
      <c r="AA70" s="18">
        <f t="shared" si="39"/>
        <v>0</v>
      </c>
      <c r="AB70" s="18">
        <f t="shared" si="39"/>
        <v>0</v>
      </c>
      <c r="AC70" s="18">
        <f t="shared" si="39"/>
        <v>0</v>
      </c>
      <c r="AD70" s="18">
        <f t="shared" si="39"/>
        <v>0</v>
      </c>
      <c r="AE70" s="18">
        <f t="shared" si="39"/>
        <v>0</v>
      </c>
      <c r="AF70" s="18">
        <f t="shared" si="39"/>
        <v>0</v>
      </c>
      <c r="AG70" s="18">
        <f t="shared" si="39"/>
        <v>0</v>
      </c>
      <c r="AH70" s="18">
        <f t="shared" si="39"/>
        <v>0</v>
      </c>
      <c r="AI70" s="18">
        <f t="shared" si="39"/>
        <v>0</v>
      </c>
      <c r="AJ70" s="18">
        <f t="shared" si="39"/>
        <v>0</v>
      </c>
      <c r="AK70" s="18">
        <f t="shared" si="39"/>
        <v>0</v>
      </c>
      <c r="AL70" s="2"/>
      <c r="AM70" s="43">
        <v>54</v>
      </c>
      <c r="AN70">
        <v>276.3440983584299</v>
      </c>
      <c r="AO70">
        <v>103.37239949621582</v>
      </c>
      <c r="AP70">
        <v>699.2314511509162</v>
      </c>
      <c r="AQ70">
        <v>529.76020833195298</v>
      </c>
      <c r="AR70">
        <v>92.278974392433497</v>
      </c>
      <c r="AS70">
        <v>761.26389973490768</v>
      </c>
      <c r="AT70" t="e">
        <v>#DIV/0!</v>
      </c>
      <c r="AU70" t="e">
        <v>#DIV/0!</v>
      </c>
      <c r="AV70"/>
      <c r="AW70"/>
      <c r="FY70" s="211">
        <v>65</v>
      </c>
      <c r="FZ70">
        <v>32.417478091040067</v>
      </c>
      <c r="GA70">
        <v>62.001185147061477</v>
      </c>
      <c r="GB70">
        <v>73.899520821363822</v>
      </c>
      <c r="GC70">
        <v>43.173511795798497</v>
      </c>
      <c r="GD70">
        <v>13.800344260851046</v>
      </c>
      <c r="GE70">
        <v>19.244049015538142</v>
      </c>
      <c r="GF70">
        <v>52.984623036438272</v>
      </c>
      <c r="GG70">
        <v>53.079842017328325</v>
      </c>
      <c r="GH70">
        <v>22.844466082123638</v>
      </c>
      <c r="GI70">
        <v>46.849815046062098</v>
      </c>
      <c r="GJ70"/>
      <c r="GK70"/>
      <c r="GL70"/>
      <c r="GM70"/>
    </row>
    <row r="71" spans="1:195" s="7" customFormat="1">
      <c r="A71" s="4"/>
      <c r="B71" s="66"/>
      <c r="C71" s="71">
        <f t="shared" si="37"/>
        <v>39673</v>
      </c>
      <c r="D71" s="72">
        <f t="shared" si="38"/>
        <v>96.612394957983199</v>
      </c>
      <c r="E71" s="64"/>
      <c r="F71" s="64"/>
      <c r="G71" s="18">
        <f>AVERAGE(E238:E247)</f>
        <v>0</v>
      </c>
      <c r="H71" s="18">
        <f t="shared" ref="H71:AK71" si="40">AVERAGE(F238:F247)</f>
        <v>1.0416666666666665</v>
      </c>
      <c r="I71" s="18">
        <f t="shared" si="40"/>
        <v>71.89834267040149</v>
      </c>
      <c r="J71" s="18">
        <f t="shared" si="40"/>
        <v>16.380718954248366</v>
      </c>
      <c r="K71" s="18">
        <f t="shared" si="40"/>
        <v>0</v>
      </c>
      <c r="L71" s="18">
        <f t="shared" si="40"/>
        <v>0</v>
      </c>
      <c r="M71" s="18">
        <f t="shared" si="40"/>
        <v>0</v>
      </c>
      <c r="N71" s="18">
        <f t="shared" si="40"/>
        <v>7.291666666666667</v>
      </c>
      <c r="O71" s="18">
        <f t="shared" si="40"/>
        <v>0</v>
      </c>
      <c r="P71" s="18">
        <f t="shared" si="40"/>
        <v>0</v>
      </c>
      <c r="Q71" s="18">
        <f t="shared" si="40"/>
        <v>0</v>
      </c>
      <c r="R71" s="18">
        <f t="shared" si="40"/>
        <v>0</v>
      </c>
      <c r="S71" s="18">
        <f t="shared" si="40"/>
        <v>0</v>
      </c>
      <c r="T71" s="18">
        <f t="shared" si="40"/>
        <v>0</v>
      </c>
      <c r="U71" s="18">
        <f t="shared" si="40"/>
        <v>0</v>
      </c>
      <c r="V71" s="18">
        <f t="shared" si="40"/>
        <v>0</v>
      </c>
      <c r="W71" s="18">
        <f t="shared" si="40"/>
        <v>0</v>
      </c>
      <c r="X71" s="18">
        <f t="shared" si="40"/>
        <v>0</v>
      </c>
      <c r="Y71" s="18">
        <f t="shared" si="40"/>
        <v>0</v>
      </c>
      <c r="Z71" s="18">
        <f t="shared" si="40"/>
        <v>0</v>
      </c>
      <c r="AA71" s="18">
        <f t="shared" si="40"/>
        <v>0</v>
      </c>
      <c r="AB71" s="18">
        <f t="shared" si="40"/>
        <v>0</v>
      </c>
      <c r="AC71" s="18">
        <f t="shared" si="40"/>
        <v>0</v>
      </c>
      <c r="AD71" s="18">
        <f t="shared" si="40"/>
        <v>0</v>
      </c>
      <c r="AE71" s="18">
        <f t="shared" si="40"/>
        <v>0</v>
      </c>
      <c r="AF71" s="18">
        <f t="shared" si="40"/>
        <v>0</v>
      </c>
      <c r="AG71" s="18">
        <f t="shared" si="40"/>
        <v>0</v>
      </c>
      <c r="AH71" s="18">
        <f t="shared" si="40"/>
        <v>0</v>
      </c>
      <c r="AI71" s="18">
        <f t="shared" si="40"/>
        <v>0</v>
      </c>
      <c r="AJ71" s="18">
        <f t="shared" si="40"/>
        <v>0</v>
      </c>
      <c r="AK71" s="18">
        <f t="shared" si="40"/>
        <v>0</v>
      </c>
      <c r="AL71" s="2"/>
      <c r="AM71" s="43">
        <v>55</v>
      </c>
      <c r="AN71">
        <v>246.3648657715249</v>
      </c>
      <c r="AO71">
        <v>87.874748363986285</v>
      </c>
      <c r="AP71">
        <v>608.71520644448196</v>
      </c>
      <c r="AQ71">
        <v>470.12680087512587</v>
      </c>
      <c r="AR71">
        <v>79.019602029310548</v>
      </c>
      <c r="AS71">
        <v>621.61727118153817</v>
      </c>
      <c r="AT71">
        <v>41.289268717907227</v>
      </c>
      <c r="AU71">
        <v>63.349295844737213</v>
      </c>
      <c r="AV71"/>
      <c r="AW71"/>
      <c r="FY71" s="211">
        <v>66</v>
      </c>
      <c r="FZ71">
        <v>12.459601041715358</v>
      </c>
      <c r="GA71">
        <v>39.076929073979272</v>
      </c>
      <c r="GB71">
        <v>64.709592092584586</v>
      </c>
      <c r="GC71">
        <v>40.908399808823631</v>
      </c>
      <c r="GD71">
        <v>29.38794085986034</v>
      </c>
      <c r="GE71">
        <v>58.039466073115854</v>
      </c>
      <c r="GF71">
        <v>61.926785565432347</v>
      </c>
      <c r="GG71">
        <v>40.430487935140704</v>
      </c>
      <c r="GH71">
        <v>16.52967727890849</v>
      </c>
      <c r="GI71">
        <v>52.177150063849105</v>
      </c>
      <c r="GJ71"/>
      <c r="GK71"/>
      <c r="GL71"/>
      <c r="GM71"/>
    </row>
    <row r="72" spans="1:195" s="7" customFormat="1">
      <c r="A72" s="4"/>
      <c r="B72" s="66"/>
      <c r="C72" s="71">
        <f t="shared" si="37"/>
        <v>39714</v>
      </c>
      <c r="D72" s="72">
        <f t="shared" si="38"/>
        <v>184.07738095238093</v>
      </c>
      <c r="E72" s="64"/>
      <c r="F72" s="64"/>
      <c r="G72" s="18">
        <f>AVERAGE(E248:E257)</f>
        <v>0</v>
      </c>
      <c r="H72" s="18">
        <f t="shared" ref="H72:AK72" si="41">AVERAGE(F248:F257)</f>
        <v>17.857142857142854</v>
      </c>
      <c r="I72" s="18">
        <f t="shared" si="41"/>
        <v>83.928571428571416</v>
      </c>
      <c r="J72" s="18">
        <f t="shared" si="41"/>
        <v>57.291666666666664</v>
      </c>
      <c r="K72" s="18">
        <f t="shared" si="41"/>
        <v>23.958333333333336</v>
      </c>
      <c r="L72" s="18">
        <f t="shared" si="41"/>
        <v>0</v>
      </c>
      <c r="M72" s="18">
        <f t="shared" si="41"/>
        <v>1.0416666666666665</v>
      </c>
      <c r="N72" s="18">
        <f t="shared" si="41"/>
        <v>0</v>
      </c>
      <c r="O72" s="18">
        <f t="shared" si="41"/>
        <v>0</v>
      </c>
      <c r="P72" s="18">
        <f t="shared" si="41"/>
        <v>0</v>
      </c>
      <c r="Q72" s="18">
        <f t="shared" si="41"/>
        <v>0</v>
      </c>
      <c r="R72" s="18">
        <f t="shared" si="41"/>
        <v>0</v>
      </c>
      <c r="S72" s="18">
        <f t="shared" si="41"/>
        <v>0</v>
      </c>
      <c r="T72" s="18">
        <f t="shared" si="41"/>
        <v>0</v>
      </c>
      <c r="U72" s="18">
        <f t="shared" si="41"/>
        <v>0</v>
      </c>
      <c r="V72" s="18">
        <f t="shared" si="41"/>
        <v>0</v>
      </c>
      <c r="W72" s="18">
        <f t="shared" si="41"/>
        <v>0</v>
      </c>
      <c r="X72" s="18">
        <f t="shared" si="41"/>
        <v>0</v>
      </c>
      <c r="Y72" s="18">
        <f t="shared" si="41"/>
        <v>0</v>
      </c>
      <c r="Z72" s="18">
        <f t="shared" si="41"/>
        <v>0</v>
      </c>
      <c r="AA72" s="18">
        <f t="shared" si="41"/>
        <v>0</v>
      </c>
      <c r="AB72" s="18">
        <f t="shared" si="41"/>
        <v>0</v>
      </c>
      <c r="AC72" s="18">
        <f t="shared" si="41"/>
        <v>0</v>
      </c>
      <c r="AD72" s="18">
        <f t="shared" si="41"/>
        <v>0</v>
      </c>
      <c r="AE72" s="18">
        <f t="shared" si="41"/>
        <v>0</v>
      </c>
      <c r="AF72" s="18">
        <f t="shared" si="41"/>
        <v>0</v>
      </c>
      <c r="AG72" s="18">
        <f t="shared" si="41"/>
        <v>0</v>
      </c>
      <c r="AH72" s="18">
        <f t="shared" si="41"/>
        <v>0</v>
      </c>
      <c r="AI72" s="18">
        <f t="shared" si="41"/>
        <v>0</v>
      </c>
      <c r="AJ72" s="18">
        <f t="shared" si="41"/>
        <v>0</v>
      </c>
      <c r="AK72" s="18">
        <f t="shared" si="41"/>
        <v>0</v>
      </c>
      <c r="AL72" s="2"/>
      <c r="AM72" s="43">
        <v>56</v>
      </c>
      <c r="AN72">
        <v>297.56326773131229</v>
      </c>
      <c r="AO72">
        <v>102.71879060967542</v>
      </c>
      <c r="AP72">
        <v>705.31900067575145</v>
      </c>
      <c r="AQ72">
        <v>571.11547588601741</v>
      </c>
      <c r="AR72">
        <v>91.887213904824989</v>
      </c>
      <c r="AS72">
        <v>776.70524381053269</v>
      </c>
      <c r="AT72">
        <v>47.690477464776031</v>
      </c>
      <c r="AU72">
        <v>95.356625828052557</v>
      </c>
      <c r="AV72"/>
      <c r="AW72"/>
      <c r="FY72" s="211">
        <v>67</v>
      </c>
      <c r="FZ72">
        <v>26.548308205908114</v>
      </c>
      <c r="GA72">
        <v>58.051027703545834</v>
      </c>
      <c r="GB72">
        <v>96.039408111239908</v>
      </c>
      <c r="GC72">
        <v>52.15138737543532</v>
      </c>
      <c r="GD72">
        <v>22.06930040230732</v>
      </c>
      <c r="GE72">
        <v>71.603642649801927</v>
      </c>
      <c r="GF72">
        <v>88.981746951550875</v>
      </c>
      <c r="GG72">
        <v>32.919210983362802</v>
      </c>
      <c r="GH72">
        <v>17.568301867137475</v>
      </c>
      <c r="GI72">
        <v>63.329222380447391</v>
      </c>
      <c r="GJ72"/>
      <c r="GK72"/>
      <c r="GL72"/>
      <c r="GM72"/>
    </row>
    <row r="73" spans="1:195" s="7" customFormat="1">
      <c r="A73" s="4"/>
      <c r="B73" s="66"/>
      <c r="C73" s="71">
        <f t="shared" si="37"/>
        <v>39747</v>
      </c>
      <c r="D73" s="72">
        <f t="shared" si="38"/>
        <v>781.23211797780789</v>
      </c>
      <c r="E73" s="64"/>
      <c r="F73" s="64"/>
      <c r="G73" s="18">
        <f>AVERAGE(E258:E267)</f>
        <v>0</v>
      </c>
      <c r="H73" s="18">
        <f t="shared" ref="H73:AK73" si="42">AVERAGE(F258:F267)</f>
        <v>114.60043787629994</v>
      </c>
      <c r="I73" s="18">
        <f t="shared" si="42"/>
        <v>240.10618811265368</v>
      </c>
      <c r="J73" s="18">
        <f t="shared" si="42"/>
        <v>177.77233542319752</v>
      </c>
      <c r="K73" s="18">
        <f t="shared" si="42"/>
        <v>186.39520202020202</v>
      </c>
      <c r="L73" s="18">
        <f t="shared" si="42"/>
        <v>49.384469696969703</v>
      </c>
      <c r="M73" s="18">
        <f t="shared" si="42"/>
        <v>6.2499999999999991</v>
      </c>
      <c r="N73" s="18">
        <f t="shared" si="42"/>
        <v>6.7234848484848468</v>
      </c>
      <c r="O73" s="18">
        <f t="shared" si="42"/>
        <v>0</v>
      </c>
      <c r="P73" s="18">
        <f t="shared" si="42"/>
        <v>0</v>
      </c>
      <c r="Q73" s="18">
        <f t="shared" si="42"/>
        <v>0</v>
      </c>
      <c r="R73" s="18">
        <f t="shared" si="42"/>
        <v>0</v>
      </c>
      <c r="S73" s="18">
        <f t="shared" si="42"/>
        <v>0</v>
      </c>
      <c r="T73" s="18">
        <f t="shared" si="42"/>
        <v>0</v>
      </c>
      <c r="U73" s="18">
        <f t="shared" si="42"/>
        <v>0</v>
      </c>
      <c r="V73" s="18">
        <f t="shared" si="42"/>
        <v>0</v>
      </c>
      <c r="W73" s="18">
        <f t="shared" si="42"/>
        <v>0</v>
      </c>
      <c r="X73" s="18">
        <f t="shared" si="42"/>
        <v>0</v>
      </c>
      <c r="Y73" s="18">
        <f t="shared" si="42"/>
        <v>0</v>
      </c>
      <c r="Z73" s="18">
        <f t="shared" si="42"/>
        <v>0</v>
      </c>
      <c r="AA73" s="18">
        <f t="shared" si="42"/>
        <v>0</v>
      </c>
      <c r="AB73" s="18">
        <f t="shared" si="42"/>
        <v>0</v>
      </c>
      <c r="AC73" s="18">
        <f t="shared" si="42"/>
        <v>0</v>
      </c>
      <c r="AD73" s="18">
        <f t="shared" si="42"/>
        <v>0</v>
      </c>
      <c r="AE73" s="18">
        <f t="shared" si="42"/>
        <v>0</v>
      </c>
      <c r="AF73" s="18">
        <f t="shared" si="42"/>
        <v>0</v>
      </c>
      <c r="AG73" s="18">
        <f t="shared" si="42"/>
        <v>0</v>
      </c>
      <c r="AH73" s="18">
        <f t="shared" si="42"/>
        <v>0</v>
      </c>
      <c r="AI73" s="18">
        <f t="shared" si="42"/>
        <v>0</v>
      </c>
      <c r="AJ73" s="18">
        <f t="shared" si="42"/>
        <v>0</v>
      </c>
      <c r="AK73" s="18">
        <f t="shared" si="42"/>
        <v>0</v>
      </c>
      <c r="AL73" s="2"/>
      <c r="AM73" s="43">
        <v>57</v>
      </c>
      <c r="AN73">
        <v>260.62226275187976</v>
      </c>
      <c r="AO73">
        <v>89.900794718593431</v>
      </c>
      <c r="AP73">
        <v>711.4184889999043</v>
      </c>
      <c r="AQ73">
        <v>491.11908738634679</v>
      </c>
      <c r="AR73">
        <v>82.529811907705565</v>
      </c>
      <c r="AS73">
        <v>746.54883329323195</v>
      </c>
      <c r="AT73">
        <v>45.980686568211411</v>
      </c>
      <c r="AU73">
        <v>173.84950025544086</v>
      </c>
      <c r="AV73"/>
      <c r="AW73"/>
      <c r="FY73" s="211">
        <v>68</v>
      </c>
      <c r="FZ73">
        <v>26.267309824601675</v>
      </c>
      <c r="GA73">
        <v>70.870487444296685</v>
      </c>
      <c r="GB73">
        <v>65.539537120963359</v>
      </c>
      <c r="GC73">
        <v>38.173988404768672</v>
      </c>
      <c r="GD73">
        <v>22.453394531614787</v>
      </c>
      <c r="GE73">
        <v>42.473449980383279</v>
      </c>
      <c r="GF73">
        <v>47.891021986779521</v>
      </c>
      <c r="GG73">
        <v>26.080329055710767</v>
      </c>
      <c r="GH73">
        <v>15.888190886971632</v>
      </c>
      <c r="GI73">
        <v>46.137392314394468</v>
      </c>
      <c r="GJ73"/>
      <c r="GK73"/>
      <c r="GL73"/>
      <c r="GM73"/>
    </row>
    <row r="74" spans="1:195" s="7" customFormat="1">
      <c r="A74" s="4"/>
      <c r="B74" s="66"/>
      <c r="C74" s="71">
        <f t="shared" si="37"/>
        <v>39775</v>
      </c>
      <c r="D74" s="72">
        <f t="shared" si="38"/>
        <v>303.44429875679873</v>
      </c>
      <c r="E74" s="64"/>
      <c r="F74" s="64"/>
      <c r="G74" s="18">
        <f>AVERAGE(E268:E277)</f>
        <v>0</v>
      </c>
      <c r="H74" s="18">
        <f t="shared" ref="H74:AK74" si="43">AVERAGE(F268:F277)</f>
        <v>28.125</v>
      </c>
      <c r="I74" s="18">
        <f t="shared" si="43"/>
        <v>138.71527777777777</v>
      </c>
      <c r="J74" s="18">
        <f t="shared" si="43"/>
        <v>25.378787878787875</v>
      </c>
      <c r="K74" s="18">
        <f t="shared" si="43"/>
        <v>84.994172494172489</v>
      </c>
      <c r="L74" s="18">
        <f t="shared" si="43"/>
        <v>26.231060606060602</v>
      </c>
      <c r="M74" s="18">
        <f t="shared" si="43"/>
        <v>0</v>
      </c>
      <c r="N74" s="18">
        <f t="shared" si="43"/>
        <v>0</v>
      </c>
      <c r="O74" s="18">
        <f t="shared" si="43"/>
        <v>0</v>
      </c>
      <c r="P74" s="18">
        <f t="shared" si="43"/>
        <v>0</v>
      </c>
      <c r="Q74" s="18">
        <f t="shared" si="43"/>
        <v>0</v>
      </c>
      <c r="R74" s="18">
        <f t="shared" si="43"/>
        <v>0</v>
      </c>
      <c r="S74" s="18">
        <f t="shared" si="43"/>
        <v>0</v>
      </c>
      <c r="T74" s="18">
        <f t="shared" si="43"/>
        <v>0</v>
      </c>
      <c r="U74" s="18">
        <f t="shared" si="43"/>
        <v>0</v>
      </c>
      <c r="V74" s="18">
        <f t="shared" si="43"/>
        <v>0</v>
      </c>
      <c r="W74" s="18">
        <f t="shared" si="43"/>
        <v>0</v>
      </c>
      <c r="X74" s="18">
        <f t="shared" si="43"/>
        <v>0</v>
      </c>
      <c r="Y74" s="18">
        <f t="shared" si="43"/>
        <v>0</v>
      </c>
      <c r="Z74" s="18">
        <f t="shared" si="43"/>
        <v>0</v>
      </c>
      <c r="AA74" s="18">
        <f t="shared" si="43"/>
        <v>0</v>
      </c>
      <c r="AB74" s="18">
        <f t="shared" si="43"/>
        <v>0</v>
      </c>
      <c r="AC74" s="18">
        <f t="shared" si="43"/>
        <v>0</v>
      </c>
      <c r="AD74" s="18">
        <f t="shared" si="43"/>
        <v>0</v>
      </c>
      <c r="AE74" s="18">
        <f t="shared" si="43"/>
        <v>0</v>
      </c>
      <c r="AF74" s="18">
        <f t="shared" si="43"/>
        <v>0</v>
      </c>
      <c r="AG74" s="18">
        <f t="shared" si="43"/>
        <v>0</v>
      </c>
      <c r="AH74" s="18">
        <f t="shared" si="43"/>
        <v>0</v>
      </c>
      <c r="AI74" s="18">
        <f t="shared" si="43"/>
        <v>0</v>
      </c>
      <c r="AJ74" s="18">
        <f t="shared" si="43"/>
        <v>0</v>
      </c>
      <c r="AK74" s="18">
        <f t="shared" si="43"/>
        <v>0</v>
      </c>
      <c r="AL74" s="2"/>
      <c r="AM74" s="43">
        <v>58</v>
      </c>
      <c r="AN74">
        <v>275.61569261639517</v>
      </c>
      <c r="AO74">
        <v>87.83221162109696</v>
      </c>
      <c r="AP74">
        <v>600.39479087904272</v>
      </c>
      <c r="AQ74">
        <v>472.03831894724829</v>
      </c>
      <c r="AR74">
        <v>79.531510620976377</v>
      </c>
      <c r="AS74">
        <v>645.84373806579868</v>
      </c>
      <c r="AT74">
        <v>42.471743259118604</v>
      </c>
      <c r="AU74">
        <v>79.98605092457592</v>
      </c>
      <c r="AV74"/>
      <c r="AW74"/>
      <c r="FY74" s="211">
        <v>69</v>
      </c>
      <c r="FZ74">
        <v>7.8074628559352206</v>
      </c>
      <c r="GA74">
        <v>37.542526689947181</v>
      </c>
      <c r="GB74">
        <v>66.750343150779528</v>
      </c>
      <c r="GC74">
        <v>41.123968062146325</v>
      </c>
      <c r="GD74">
        <v>22.009010043129567</v>
      </c>
      <c r="GE74">
        <v>45.604254437271528</v>
      </c>
      <c r="GF74">
        <v>53.815812731983812</v>
      </c>
      <c r="GG74">
        <v>25.578047435180025</v>
      </c>
      <c r="GH74">
        <v>11.391609692826826</v>
      </c>
      <c r="GI74">
        <v>44.428841120132098</v>
      </c>
      <c r="GJ74"/>
      <c r="GK74"/>
      <c r="GL74"/>
      <c r="GM74"/>
    </row>
    <row r="75" spans="1:195" s="7" customFormat="1">
      <c r="A75" s="4"/>
      <c r="B75" s="66"/>
      <c r="C75" s="71">
        <f t="shared" si="37"/>
        <v>39799</v>
      </c>
      <c r="D75" s="72">
        <f t="shared" si="38"/>
        <v>459.12518853695326</v>
      </c>
      <c r="E75" s="64"/>
      <c r="F75" s="64"/>
      <c r="G75" s="18">
        <f>AVERAGE(E278:E287)</f>
        <v>0</v>
      </c>
      <c r="H75" s="18">
        <f t="shared" ref="H75:AK75" si="44">AVERAGE(F278:F287)</f>
        <v>9.094551282051281</v>
      </c>
      <c r="I75" s="18">
        <f t="shared" si="44"/>
        <v>345.55288461538464</v>
      </c>
      <c r="J75" s="18">
        <f t="shared" si="44"/>
        <v>9.2948717948717956</v>
      </c>
      <c r="K75" s="18">
        <f t="shared" si="44"/>
        <v>62.038941450706162</v>
      </c>
      <c r="L75" s="18">
        <f t="shared" si="44"/>
        <v>21.780303030303028</v>
      </c>
      <c r="M75" s="18">
        <f t="shared" si="44"/>
        <v>11.363636363636363</v>
      </c>
      <c r="N75" s="18">
        <f t="shared" si="44"/>
        <v>0</v>
      </c>
      <c r="O75" s="18">
        <f t="shared" si="44"/>
        <v>0</v>
      </c>
      <c r="P75" s="18">
        <f t="shared" si="44"/>
        <v>0</v>
      </c>
      <c r="Q75" s="18">
        <f t="shared" si="44"/>
        <v>0</v>
      </c>
      <c r="R75" s="18">
        <f t="shared" si="44"/>
        <v>0</v>
      </c>
      <c r="S75" s="18">
        <f t="shared" si="44"/>
        <v>0</v>
      </c>
      <c r="T75" s="18">
        <f t="shared" si="44"/>
        <v>0</v>
      </c>
      <c r="U75" s="18">
        <f t="shared" si="44"/>
        <v>0</v>
      </c>
      <c r="V75" s="18">
        <f t="shared" si="44"/>
        <v>0</v>
      </c>
      <c r="W75" s="18">
        <f t="shared" si="44"/>
        <v>0</v>
      </c>
      <c r="X75" s="18">
        <f t="shared" si="44"/>
        <v>0</v>
      </c>
      <c r="Y75" s="18">
        <f t="shared" si="44"/>
        <v>0</v>
      </c>
      <c r="Z75" s="18">
        <f t="shared" si="44"/>
        <v>0</v>
      </c>
      <c r="AA75" s="18">
        <f t="shared" si="44"/>
        <v>0</v>
      </c>
      <c r="AB75" s="18">
        <f t="shared" si="44"/>
        <v>0</v>
      </c>
      <c r="AC75" s="18">
        <f t="shared" si="44"/>
        <v>0</v>
      </c>
      <c r="AD75" s="18">
        <f t="shared" si="44"/>
        <v>0</v>
      </c>
      <c r="AE75" s="18">
        <f t="shared" si="44"/>
        <v>0</v>
      </c>
      <c r="AF75" s="18">
        <f t="shared" si="44"/>
        <v>0</v>
      </c>
      <c r="AG75" s="18">
        <f t="shared" si="44"/>
        <v>0</v>
      </c>
      <c r="AH75" s="18">
        <f t="shared" si="44"/>
        <v>0</v>
      </c>
      <c r="AI75" s="18">
        <f t="shared" si="44"/>
        <v>0</v>
      </c>
      <c r="AJ75" s="18">
        <f t="shared" si="44"/>
        <v>0</v>
      </c>
      <c r="AK75" s="18">
        <f t="shared" si="44"/>
        <v>0</v>
      </c>
      <c r="AL75" s="2"/>
      <c r="AM75" s="43">
        <v>59</v>
      </c>
      <c r="AN75">
        <v>294.20081592735914</v>
      </c>
      <c r="AO75">
        <v>92.94464472845776</v>
      </c>
      <c r="AP75">
        <v>704.20071134657019</v>
      </c>
      <c r="AQ75">
        <v>513.83633881301068</v>
      </c>
      <c r="AR75">
        <v>84.275235096624726</v>
      </c>
      <c r="AS75">
        <v>700.9815777147528</v>
      </c>
      <c r="AT75">
        <v>44.044986766832288</v>
      </c>
      <c r="AU75">
        <v>51.897319525066813</v>
      </c>
      <c r="AV75"/>
      <c r="AW75"/>
      <c r="FY75" s="211">
        <v>70</v>
      </c>
      <c r="FZ75">
        <v>25.959733967857893</v>
      </c>
      <c r="GA75">
        <v>58.536719514296493</v>
      </c>
      <c r="GB75">
        <v>86.681054787344607</v>
      </c>
      <c r="GC75">
        <v>54.320198131828434</v>
      </c>
      <c r="GD75">
        <v>16.719092360616301</v>
      </c>
      <c r="GE75">
        <v>29.320390802485942</v>
      </c>
      <c r="GF75">
        <v>49.700257075104297</v>
      </c>
      <c r="GG75">
        <v>40.875335671103358</v>
      </c>
      <c r="GH75">
        <v>36.09471456418364</v>
      </c>
      <c r="GI75">
        <v>51.097258624663723</v>
      </c>
      <c r="GJ75"/>
      <c r="GK75"/>
      <c r="GL75"/>
      <c r="GM75"/>
    </row>
    <row r="76" spans="1:195" s="7" customFormat="1">
      <c r="A76" s="4"/>
      <c r="B76" s="66"/>
      <c r="C76" s="71">
        <f t="shared" si="37"/>
        <v>39847</v>
      </c>
      <c r="D76" s="72">
        <f>SUM(G76:AK76)</f>
        <v>206.38020833333329</v>
      </c>
      <c r="E76" s="64"/>
      <c r="F76" s="64"/>
      <c r="G76" s="18">
        <f>AVERAGE(E288:E297)</f>
        <v>0</v>
      </c>
      <c r="H76" s="18">
        <f t="shared" ref="H76:AK76" si="45">AVERAGE(F288:F297)</f>
        <v>0</v>
      </c>
      <c r="I76" s="18">
        <f t="shared" si="45"/>
        <v>102.29492187499999</v>
      </c>
      <c r="J76" s="18">
        <f t="shared" si="45"/>
        <v>22.922092013888889</v>
      </c>
      <c r="K76" s="18">
        <f t="shared" si="45"/>
        <v>13.020833333333332</v>
      </c>
      <c r="L76" s="18">
        <f t="shared" si="45"/>
        <v>41.232638888888893</v>
      </c>
      <c r="M76" s="18">
        <f t="shared" si="45"/>
        <v>24.305555555555557</v>
      </c>
      <c r="N76" s="18">
        <f t="shared" si="45"/>
        <v>0</v>
      </c>
      <c r="O76" s="18">
        <f t="shared" si="45"/>
        <v>0</v>
      </c>
      <c r="P76" s="18">
        <f t="shared" si="45"/>
        <v>0</v>
      </c>
      <c r="Q76" s="18">
        <f t="shared" si="45"/>
        <v>2.6041666666666665</v>
      </c>
      <c r="R76" s="18">
        <f t="shared" si="45"/>
        <v>0</v>
      </c>
      <c r="S76" s="18">
        <f t="shared" si="45"/>
        <v>0</v>
      </c>
      <c r="T76" s="18">
        <f t="shared" si="45"/>
        <v>0</v>
      </c>
      <c r="U76" s="18">
        <f t="shared" si="45"/>
        <v>0</v>
      </c>
      <c r="V76" s="18">
        <f t="shared" si="45"/>
        <v>0</v>
      </c>
      <c r="W76" s="18">
        <f t="shared" si="45"/>
        <v>0</v>
      </c>
      <c r="X76" s="18">
        <f t="shared" si="45"/>
        <v>0</v>
      </c>
      <c r="Y76" s="18">
        <f t="shared" si="45"/>
        <v>0</v>
      </c>
      <c r="Z76" s="18">
        <f t="shared" si="45"/>
        <v>0</v>
      </c>
      <c r="AA76" s="18">
        <f t="shared" si="45"/>
        <v>0</v>
      </c>
      <c r="AB76" s="18">
        <f t="shared" si="45"/>
        <v>0</v>
      </c>
      <c r="AC76" s="18">
        <f t="shared" si="45"/>
        <v>0</v>
      </c>
      <c r="AD76" s="18">
        <f t="shared" si="45"/>
        <v>0</v>
      </c>
      <c r="AE76" s="18">
        <f t="shared" si="45"/>
        <v>0</v>
      </c>
      <c r="AF76" s="18">
        <f t="shared" si="45"/>
        <v>0</v>
      </c>
      <c r="AG76" s="18">
        <f t="shared" si="45"/>
        <v>0</v>
      </c>
      <c r="AH76" s="18">
        <f t="shared" si="45"/>
        <v>0</v>
      </c>
      <c r="AI76" s="18">
        <f t="shared" si="45"/>
        <v>0</v>
      </c>
      <c r="AJ76" s="18">
        <f t="shared" si="45"/>
        <v>0</v>
      </c>
      <c r="AK76" s="18">
        <f t="shared" si="45"/>
        <v>0</v>
      </c>
      <c r="AL76" s="2"/>
      <c r="AM76" s="43">
        <v>60</v>
      </c>
      <c r="AN76">
        <v>283.5443354775191</v>
      </c>
      <c r="AO76">
        <v>119.28833651234667</v>
      </c>
      <c r="AP76">
        <v>914.7509921615291</v>
      </c>
      <c r="AQ76">
        <v>626.51755440211309</v>
      </c>
      <c r="AR76">
        <v>107.31482374333245</v>
      </c>
      <c r="AS76">
        <v>868.45857572344164</v>
      </c>
      <c r="AT76">
        <v>57.933090749562659</v>
      </c>
      <c r="AU76">
        <v>96.1409048577666</v>
      </c>
      <c r="AV76"/>
      <c r="AW76"/>
      <c r="FY76" s="211">
        <v>71</v>
      </c>
      <c r="FZ76">
        <v>15.849082055927601</v>
      </c>
      <c r="GA76">
        <v>56.949982494002484</v>
      </c>
      <c r="GB76">
        <v>64.616630152078855</v>
      </c>
      <c r="GC76">
        <v>43.155364306140882</v>
      </c>
      <c r="GD76">
        <v>26.764046562976429</v>
      </c>
      <c r="GE76">
        <v>47.839688326600204</v>
      </c>
      <c r="GF76">
        <v>114.99581500996837</v>
      </c>
      <c r="GG76">
        <v>80.134980434730423</v>
      </c>
      <c r="GH76">
        <v>12.806611975722078</v>
      </c>
      <c r="GI76">
        <v>61.873743559361429</v>
      </c>
      <c r="GJ76"/>
      <c r="GK76"/>
      <c r="GL76"/>
      <c r="GM76"/>
    </row>
    <row r="77" spans="1:195" s="7" customFormat="1">
      <c r="A77" s="4"/>
      <c r="B77" s="66"/>
      <c r="C77" s="71">
        <f t="shared" si="37"/>
        <v>39910</v>
      </c>
      <c r="D77" s="72">
        <f>SUM(G77:AK77)</f>
        <v>167.62324330259111</v>
      </c>
      <c r="E77" s="64"/>
      <c r="F77" s="64"/>
      <c r="G77" s="18">
        <f>AVERAGE(E298:E307)</f>
        <v>0</v>
      </c>
      <c r="H77" s="18">
        <f t="shared" ref="H77:AK77" si="46">AVERAGE(F298:F307)</f>
        <v>11.594202898550723</v>
      </c>
      <c r="I77" s="18">
        <f t="shared" si="46"/>
        <v>31.25</v>
      </c>
      <c r="J77" s="18">
        <f t="shared" si="46"/>
        <v>39.236111111111107</v>
      </c>
      <c r="K77" s="18">
        <f t="shared" si="46"/>
        <v>43.402777777777779</v>
      </c>
      <c r="L77" s="18">
        <f t="shared" si="46"/>
        <v>29.640151515151512</v>
      </c>
      <c r="M77" s="18">
        <f t="shared" si="46"/>
        <v>9.375</v>
      </c>
      <c r="N77" s="18">
        <f t="shared" si="46"/>
        <v>0</v>
      </c>
      <c r="O77" s="18">
        <f t="shared" si="46"/>
        <v>2.083333333333333</v>
      </c>
      <c r="P77" s="18">
        <f t="shared" si="46"/>
        <v>0</v>
      </c>
      <c r="Q77" s="18">
        <f t="shared" si="46"/>
        <v>0</v>
      </c>
      <c r="R77" s="18">
        <f t="shared" si="46"/>
        <v>1.0416666666666665</v>
      </c>
      <c r="S77" s="18">
        <f t="shared" si="46"/>
        <v>0</v>
      </c>
      <c r="T77" s="18">
        <f t="shared" si="46"/>
        <v>0</v>
      </c>
      <c r="U77" s="18">
        <f t="shared" si="46"/>
        <v>0</v>
      </c>
      <c r="V77" s="18">
        <f t="shared" si="46"/>
        <v>0</v>
      </c>
      <c r="W77" s="18">
        <f t="shared" si="46"/>
        <v>0</v>
      </c>
      <c r="X77" s="18">
        <f t="shared" si="46"/>
        <v>0</v>
      </c>
      <c r="Y77" s="18">
        <f t="shared" si="46"/>
        <v>0</v>
      </c>
      <c r="Z77" s="18">
        <f t="shared" si="46"/>
        <v>0</v>
      </c>
      <c r="AA77" s="18">
        <f t="shared" si="46"/>
        <v>0</v>
      </c>
      <c r="AB77" s="18">
        <f t="shared" si="46"/>
        <v>0</v>
      </c>
      <c r="AC77" s="18">
        <f t="shared" si="46"/>
        <v>0</v>
      </c>
      <c r="AD77" s="18">
        <f t="shared" si="46"/>
        <v>0</v>
      </c>
      <c r="AE77" s="18">
        <f t="shared" si="46"/>
        <v>0</v>
      </c>
      <c r="AF77" s="18">
        <f t="shared" si="46"/>
        <v>0</v>
      </c>
      <c r="AG77" s="18">
        <f t="shared" si="46"/>
        <v>0</v>
      </c>
      <c r="AH77" s="18">
        <f t="shared" si="46"/>
        <v>0</v>
      </c>
      <c r="AI77" s="18">
        <f t="shared" si="46"/>
        <v>0</v>
      </c>
      <c r="AJ77" s="18">
        <f t="shared" si="46"/>
        <v>0</v>
      </c>
      <c r="AK77" s="18">
        <f t="shared" si="46"/>
        <v>0</v>
      </c>
      <c r="AL77" s="2"/>
      <c r="AM77" s="43">
        <v>61</v>
      </c>
      <c r="AN77">
        <v>257.70120310681398</v>
      </c>
      <c r="AO77">
        <v>73.720418081418131</v>
      </c>
      <c r="AP77">
        <v>491.0408107044712</v>
      </c>
      <c r="AQ77">
        <v>386.94049538643873</v>
      </c>
      <c r="AR77">
        <v>65.512424792603866</v>
      </c>
      <c r="AS77">
        <v>573.34753303249454</v>
      </c>
      <c r="AT77">
        <v>34.50555055360433</v>
      </c>
      <c r="AU77">
        <v>43.385396831680083</v>
      </c>
      <c r="AV77"/>
      <c r="AW77"/>
      <c r="FY77" s="211">
        <v>72</v>
      </c>
      <c r="FZ77">
        <v>20.055552551562123</v>
      </c>
      <c r="GA77">
        <v>46.701936771057589</v>
      </c>
      <c r="GB77">
        <v>74.307375288399172</v>
      </c>
      <c r="GC77">
        <v>43.753054869230546</v>
      </c>
      <c r="GD77">
        <v>15.007760942162022</v>
      </c>
      <c r="GE77">
        <v>38.486191777008543</v>
      </c>
      <c r="GF77">
        <v>73.347984599442313</v>
      </c>
      <c r="GG77">
        <v>31.719575154189144</v>
      </c>
      <c r="GH77">
        <v>2.0564948620268702</v>
      </c>
      <c r="GI77">
        <v>46.82147946002442</v>
      </c>
      <c r="GJ77"/>
      <c r="GK77"/>
      <c r="GL77"/>
      <c r="GM77"/>
    </row>
    <row r="78" spans="1:195" s="7" customFormat="1">
      <c r="A78" s="4"/>
      <c r="B78" s="66"/>
      <c r="C78" s="71">
        <f t="shared" si="37"/>
        <v>39949</v>
      </c>
      <c r="D78" s="72">
        <f>SUM(G78:AK78)</f>
        <v>65.393518518518519</v>
      </c>
      <c r="E78" s="64"/>
      <c r="F78" s="64"/>
      <c r="G78" s="18">
        <f>AVERAGE(E308:E317)</f>
        <v>0</v>
      </c>
      <c r="H78" s="18">
        <f t="shared" ref="H78:AK78" si="47">AVERAGE(F308:F317)</f>
        <v>0</v>
      </c>
      <c r="I78" s="18">
        <f t="shared" si="47"/>
        <v>11.458333333333332</v>
      </c>
      <c r="J78" s="18">
        <f t="shared" si="47"/>
        <v>17.476851851851851</v>
      </c>
      <c r="K78" s="18">
        <f t="shared" si="47"/>
        <v>5.208333333333333</v>
      </c>
      <c r="L78" s="18">
        <f t="shared" si="47"/>
        <v>16.666666666666668</v>
      </c>
      <c r="M78" s="18">
        <f t="shared" si="47"/>
        <v>14.583333333333332</v>
      </c>
      <c r="N78" s="18">
        <f t="shared" si="47"/>
        <v>0</v>
      </c>
      <c r="O78" s="18">
        <f t="shared" si="47"/>
        <v>0</v>
      </c>
      <c r="P78" s="18">
        <f t="shared" si="47"/>
        <v>0</v>
      </c>
      <c r="Q78" s="18">
        <f t="shared" si="47"/>
        <v>0</v>
      </c>
      <c r="R78" s="18">
        <f t="shared" si="47"/>
        <v>0</v>
      </c>
      <c r="S78" s="18">
        <f t="shared" si="47"/>
        <v>0</v>
      </c>
      <c r="T78" s="18">
        <f t="shared" si="47"/>
        <v>0</v>
      </c>
      <c r="U78" s="18">
        <f t="shared" si="47"/>
        <v>0</v>
      </c>
      <c r="V78" s="18">
        <f t="shared" si="47"/>
        <v>0</v>
      </c>
      <c r="W78" s="18">
        <f t="shared" si="47"/>
        <v>0</v>
      </c>
      <c r="X78" s="18">
        <f t="shared" si="47"/>
        <v>0</v>
      </c>
      <c r="Y78" s="18">
        <f t="shared" si="47"/>
        <v>0</v>
      </c>
      <c r="Z78" s="18">
        <f t="shared" si="47"/>
        <v>0</v>
      </c>
      <c r="AA78" s="18">
        <f t="shared" si="47"/>
        <v>0</v>
      </c>
      <c r="AB78" s="18">
        <f t="shared" si="47"/>
        <v>0</v>
      </c>
      <c r="AC78" s="18">
        <f t="shared" si="47"/>
        <v>0</v>
      </c>
      <c r="AD78" s="18">
        <f t="shared" si="47"/>
        <v>0</v>
      </c>
      <c r="AE78" s="18">
        <f t="shared" si="47"/>
        <v>0</v>
      </c>
      <c r="AF78" s="18">
        <f t="shared" si="47"/>
        <v>0</v>
      </c>
      <c r="AG78" s="18">
        <f t="shared" si="47"/>
        <v>0</v>
      </c>
      <c r="AH78" s="18">
        <f t="shared" si="47"/>
        <v>0</v>
      </c>
      <c r="AI78" s="18">
        <f t="shared" si="47"/>
        <v>0</v>
      </c>
      <c r="AJ78" s="18">
        <f t="shared" si="47"/>
        <v>0</v>
      </c>
      <c r="AK78" s="18">
        <f t="shared" si="47"/>
        <v>0</v>
      </c>
      <c r="AL78" s="2"/>
      <c r="AM78" s="43">
        <v>62</v>
      </c>
      <c r="AN78">
        <v>264.30829676649853</v>
      </c>
      <c r="AO78">
        <v>86.311303935035937</v>
      </c>
      <c r="AP78">
        <v>587.96874987428691</v>
      </c>
      <c r="AQ78">
        <v>449.35378177829733</v>
      </c>
      <c r="AR78">
        <v>76.734675685896548</v>
      </c>
      <c r="AS78">
        <v>647.65996581167633</v>
      </c>
      <c r="AT78">
        <v>40.042290232900939</v>
      </c>
      <c r="AU78">
        <v>49.87196621673187</v>
      </c>
      <c r="AV78"/>
      <c r="AW78"/>
      <c r="FY78" s="211">
        <v>73</v>
      </c>
      <c r="FZ78">
        <v>17.730155035354329</v>
      </c>
      <c r="GA78">
        <v>61.815247508136174</v>
      </c>
      <c r="GB78">
        <v>100.20436827233196</v>
      </c>
      <c r="GC78">
        <v>57.9284761848172</v>
      </c>
      <c r="GD78">
        <v>19.172483534931978</v>
      </c>
      <c r="GE78">
        <v>55.992708664377709</v>
      </c>
      <c r="GF78">
        <v>112.61610865188985</v>
      </c>
      <c r="GG78">
        <v>58.153759719073037</v>
      </c>
      <c r="GH78">
        <v>24.201996779114694</v>
      </c>
      <c r="GI78">
        <v>67.025235528823799</v>
      </c>
      <c r="GJ78"/>
      <c r="GK78"/>
      <c r="GL78"/>
      <c r="GM78"/>
    </row>
    <row r="79" spans="1:195" s="7" customFormat="1">
      <c r="A79" s="4"/>
      <c r="B79" s="66"/>
      <c r="C79" s="71">
        <f t="shared" si="37"/>
        <v>39987</v>
      </c>
      <c r="D79" s="72">
        <f>SUM(G79:AK79)</f>
        <v>13.301282051282051</v>
      </c>
      <c r="E79" s="64"/>
      <c r="F79" s="64"/>
      <c r="G79" s="18">
        <f>AVERAGE(E318:E327)</f>
        <v>0</v>
      </c>
      <c r="H79" s="18">
        <f t="shared" ref="H79:AK79" si="48">AVERAGE(F318:F327)</f>
        <v>0</v>
      </c>
      <c r="I79" s="18">
        <f t="shared" si="48"/>
        <v>12.259615384615385</v>
      </c>
      <c r="J79" s="18">
        <f t="shared" si="48"/>
        <v>0</v>
      </c>
      <c r="K79" s="18">
        <f t="shared" si="48"/>
        <v>1.0416666666666665</v>
      </c>
      <c r="L79" s="18">
        <f t="shared" si="48"/>
        <v>0</v>
      </c>
      <c r="M79" s="18">
        <f t="shared" si="48"/>
        <v>0</v>
      </c>
      <c r="N79" s="18">
        <f t="shared" si="48"/>
        <v>0</v>
      </c>
      <c r="O79" s="18">
        <f t="shared" si="48"/>
        <v>0</v>
      </c>
      <c r="P79" s="18">
        <f t="shared" si="48"/>
        <v>0</v>
      </c>
      <c r="Q79" s="18">
        <f t="shared" si="48"/>
        <v>0</v>
      </c>
      <c r="R79" s="18">
        <f t="shared" si="48"/>
        <v>0</v>
      </c>
      <c r="S79" s="18">
        <f t="shared" si="48"/>
        <v>0</v>
      </c>
      <c r="T79" s="18">
        <f t="shared" si="48"/>
        <v>0</v>
      </c>
      <c r="U79" s="18">
        <f t="shared" si="48"/>
        <v>0</v>
      </c>
      <c r="V79" s="18">
        <f t="shared" si="48"/>
        <v>0</v>
      </c>
      <c r="W79" s="18">
        <f t="shared" si="48"/>
        <v>0</v>
      </c>
      <c r="X79" s="18">
        <f t="shared" si="48"/>
        <v>0</v>
      </c>
      <c r="Y79" s="18">
        <f t="shared" si="48"/>
        <v>0</v>
      </c>
      <c r="Z79" s="18">
        <f t="shared" si="48"/>
        <v>0</v>
      </c>
      <c r="AA79" s="18">
        <f t="shared" si="48"/>
        <v>0</v>
      </c>
      <c r="AB79" s="18">
        <f t="shared" si="48"/>
        <v>0</v>
      </c>
      <c r="AC79" s="18">
        <f t="shared" si="48"/>
        <v>0</v>
      </c>
      <c r="AD79" s="18">
        <f t="shared" si="48"/>
        <v>0</v>
      </c>
      <c r="AE79" s="18">
        <f t="shared" si="48"/>
        <v>0</v>
      </c>
      <c r="AF79" s="18">
        <f t="shared" si="48"/>
        <v>0</v>
      </c>
      <c r="AG79" s="18">
        <f t="shared" si="48"/>
        <v>0</v>
      </c>
      <c r="AH79" s="18">
        <f t="shared" si="48"/>
        <v>0</v>
      </c>
      <c r="AI79" s="18">
        <f t="shared" si="48"/>
        <v>0</v>
      </c>
      <c r="AJ79" s="18">
        <f t="shared" si="48"/>
        <v>0</v>
      </c>
      <c r="AK79" s="18">
        <f t="shared" si="48"/>
        <v>0</v>
      </c>
      <c r="AL79" s="2"/>
      <c r="AM79" s="43">
        <v>63</v>
      </c>
      <c r="AN79">
        <v>251.29653820399045</v>
      </c>
      <c r="AO79">
        <v>88.547366867090929</v>
      </c>
      <c r="AP79">
        <v>570.13497093688864</v>
      </c>
      <c r="AQ79">
        <v>451.14104598475166</v>
      </c>
      <c r="AR79">
        <v>79.85829297729714</v>
      </c>
      <c r="AS79">
        <v>663.79395660701005</v>
      </c>
      <c r="AT79">
        <v>45.390838994459102</v>
      </c>
      <c r="AU79">
        <v>236.45077184447808</v>
      </c>
      <c r="AV79"/>
      <c r="AW79"/>
      <c r="FY79" s="211">
        <v>74</v>
      </c>
      <c r="FZ79">
        <v>17.184684633069452</v>
      </c>
      <c r="GA79">
        <v>67.616301990801631</v>
      </c>
      <c r="GB79">
        <v>81.647390063546965</v>
      </c>
      <c r="GC79">
        <v>42.525873277251961</v>
      </c>
      <c r="GD79">
        <v>21.335157874577312</v>
      </c>
      <c r="GE79">
        <v>32.025930252238254</v>
      </c>
      <c r="GF79">
        <v>47.517130168526016</v>
      </c>
      <c r="GG79">
        <v>46.912413498755726</v>
      </c>
      <c r="GH79">
        <v>20.430861004671421</v>
      </c>
      <c r="GI79">
        <v>49.834266410054326</v>
      </c>
      <c r="GJ79"/>
      <c r="GK79"/>
      <c r="GL79"/>
      <c r="GM79"/>
    </row>
    <row r="80" spans="1:195" s="7" customFormat="1">
      <c r="A80" s="4"/>
      <c r="B80" s="66"/>
      <c r="C80" s="71"/>
      <c r="D80" s="72"/>
      <c r="E80" s="64"/>
      <c r="F80" s="64"/>
      <c r="G80" s="18"/>
      <c r="H80" s="18"/>
      <c r="I80" s="18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8"/>
      <c r="V80" s="18"/>
      <c r="W80" s="18"/>
      <c r="X80" s="18"/>
      <c r="Y80" s="18"/>
      <c r="Z80" s="18"/>
      <c r="AA80" s="18"/>
      <c r="AB80" s="18"/>
      <c r="AC80" s="18"/>
      <c r="AD80" s="18"/>
      <c r="AE80" s="18"/>
      <c r="AF80" s="18"/>
      <c r="AG80" s="18"/>
      <c r="AH80" s="18"/>
      <c r="AI80" s="18"/>
      <c r="AJ80" s="18"/>
      <c r="AK80" s="18"/>
      <c r="AL80" s="2"/>
      <c r="AM80" s="43">
        <v>64</v>
      </c>
      <c r="AN80">
        <v>286.71877734074189</v>
      </c>
      <c r="AO80">
        <v>94.089929412834152</v>
      </c>
      <c r="AP80">
        <v>717.30973377136081</v>
      </c>
      <c r="AQ80">
        <v>508.08371910229857</v>
      </c>
      <c r="AR80">
        <v>84.812322868781834</v>
      </c>
      <c r="AS80">
        <v>699.14185375568127</v>
      </c>
      <c r="AT80">
        <v>46.193012435539679</v>
      </c>
      <c r="AU80">
        <v>81.555451962686007</v>
      </c>
      <c r="AV80"/>
      <c r="AW80"/>
      <c r="FY80" s="211">
        <v>75</v>
      </c>
      <c r="FZ80">
        <v>20.156618739310456</v>
      </c>
      <c r="GA80">
        <v>49.452465933907277</v>
      </c>
      <c r="GB80">
        <v>85.664693477788106</v>
      </c>
      <c r="GC80">
        <v>49.594446092954009</v>
      </c>
      <c r="GD80">
        <v>19.427799301986507</v>
      </c>
      <c r="GE80">
        <v>50.09606135349388</v>
      </c>
      <c r="GF80">
        <v>83.792870826872829</v>
      </c>
      <c r="GG80">
        <v>46.014035098490105</v>
      </c>
      <c r="GH80">
        <v>15.786977780780255</v>
      </c>
      <c r="GI80">
        <v>55.671709432545192</v>
      </c>
      <c r="GJ80"/>
      <c r="GK80"/>
      <c r="GL80"/>
      <c r="GM80"/>
    </row>
    <row r="81" spans="1:195" s="7" customFormat="1">
      <c r="A81" s="4"/>
      <c r="B81" s="42"/>
      <c r="C81" s="71"/>
      <c r="D81" s="72"/>
      <c r="E81" s="64"/>
      <c r="F81" s="64"/>
      <c r="G81" s="18"/>
      <c r="H81" s="18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8"/>
      <c r="V81" s="18"/>
      <c r="W81" s="18"/>
      <c r="X81" s="18"/>
      <c r="Y81" s="18"/>
      <c r="Z81" s="18"/>
      <c r="AA81" s="18"/>
      <c r="AB81" s="18"/>
      <c r="AC81" s="18"/>
      <c r="AD81" s="18"/>
      <c r="AE81" s="18"/>
      <c r="AF81" s="18"/>
      <c r="AG81" s="18"/>
      <c r="AH81" s="18"/>
      <c r="AI81" s="18"/>
      <c r="AJ81" s="18"/>
      <c r="AK81" s="18"/>
      <c r="AL81" s="2"/>
      <c r="AM81" s="43">
        <v>65</v>
      </c>
      <c r="AN81">
        <v>200.51629183601253</v>
      </c>
      <c r="AO81">
        <v>74.962639979153579</v>
      </c>
      <c r="AP81">
        <v>585.35995906530195</v>
      </c>
      <c r="AQ81">
        <v>420.29483531360529</v>
      </c>
      <c r="AR81">
        <v>68.780820902528291</v>
      </c>
      <c r="AS81">
        <v>523.69980203738237</v>
      </c>
      <c r="AT81">
        <v>36.755050933429267</v>
      </c>
      <c r="AU81">
        <v>-16.601342546903329</v>
      </c>
      <c r="AV81"/>
      <c r="AW81"/>
      <c r="FY81" s="211">
        <v>76</v>
      </c>
      <c r="FZ81">
        <v>20.839186067770719</v>
      </c>
      <c r="GA81">
        <v>46.717708280048313</v>
      </c>
      <c r="GB81">
        <v>64.186133913146008</v>
      </c>
      <c r="GC81">
        <v>42.71686368769624</v>
      </c>
      <c r="GD81">
        <v>26.760205479365283</v>
      </c>
      <c r="GE81">
        <v>68.74873462380414</v>
      </c>
      <c r="GF81">
        <v>75.940093265247668</v>
      </c>
      <c r="GG81">
        <v>42.189401322785898</v>
      </c>
      <c r="GH81">
        <v>38.68843466375607</v>
      </c>
      <c r="GI81">
        <v>57.409516554451905</v>
      </c>
      <c r="GJ81"/>
      <c r="GK81"/>
      <c r="GL81"/>
      <c r="GM81"/>
    </row>
    <row r="82" spans="1:195" s="7" customFormat="1">
      <c r="A82" s="4"/>
      <c r="B82" s="1"/>
      <c r="C82" s="73"/>
      <c r="D82" s="18"/>
      <c r="E82" s="18"/>
      <c r="F82" s="18"/>
      <c r="G82" s="18"/>
      <c r="H82" s="18"/>
      <c r="I82" s="18"/>
      <c r="J82" s="18"/>
      <c r="K82" s="18"/>
      <c r="L82" s="18"/>
      <c r="M82" s="18"/>
      <c r="N82" s="18"/>
      <c r="O82" s="18"/>
      <c r="P82" s="19"/>
      <c r="Q82" s="19"/>
      <c r="R82" s="19"/>
      <c r="S82" s="19"/>
      <c r="T82" s="19"/>
      <c r="U82" s="19"/>
      <c r="V82" s="19"/>
      <c r="W82" s="19"/>
      <c r="X82" s="19"/>
      <c r="Y82" s="19"/>
      <c r="Z82" s="19"/>
      <c r="AA82" s="19"/>
      <c r="AB82" s="19"/>
      <c r="AC82" s="19"/>
      <c r="AD82" s="19"/>
      <c r="AE82" s="19"/>
      <c r="AF82" s="63"/>
      <c r="AG82" s="63"/>
      <c r="AH82" s="63"/>
      <c r="AI82" s="63"/>
      <c r="AJ82" s="63"/>
      <c r="AK82" s="63"/>
      <c r="AL82" s="2"/>
      <c r="AM82" s="43">
        <v>66</v>
      </c>
      <c r="AN82">
        <v>242.17480930041339</v>
      </c>
      <c r="AO82">
        <v>81.849486540608794</v>
      </c>
      <c r="AP82">
        <v>518.28437603376699</v>
      </c>
      <c r="AQ82">
        <v>415.64602979340975</v>
      </c>
      <c r="AR82">
        <v>74.233131976869444</v>
      </c>
      <c r="AS82">
        <v>614.65192434829476</v>
      </c>
      <c r="AT82">
        <v>42.404717663633072</v>
      </c>
      <c r="AU82">
        <v>110.9914060193526</v>
      </c>
      <c r="AV82"/>
      <c r="AW82"/>
      <c r="FY82" s="211">
        <v>77</v>
      </c>
      <c r="FZ82">
        <v>18.108438930188189</v>
      </c>
      <c r="GA82">
        <v>47.370744341014017</v>
      </c>
      <c r="GB82">
        <v>101.32624061493915</v>
      </c>
      <c r="GC82">
        <v>56.046901384611878</v>
      </c>
      <c r="GD82">
        <v>18.515639688936968</v>
      </c>
      <c r="GE82">
        <v>62.599078568298722</v>
      </c>
      <c r="GF82">
        <v>99.794467865786999</v>
      </c>
      <c r="GG82">
        <v>35.53513616150893</v>
      </c>
      <c r="GH82">
        <v>5.2508631772364751</v>
      </c>
      <c r="GI82">
        <v>60.31178444417678</v>
      </c>
      <c r="GJ82"/>
      <c r="GK82"/>
      <c r="GL82"/>
      <c r="GM82"/>
    </row>
    <row r="83" spans="1:195" s="7" customFormat="1">
      <c r="A83" s="4"/>
      <c r="B83" s="1"/>
      <c r="C83" s="3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  <c r="AG83" s="2"/>
      <c r="AH83" s="2"/>
      <c r="AI83" s="2"/>
      <c r="AJ83" s="2"/>
      <c r="AK83" s="2"/>
      <c r="AL83" s="2"/>
      <c r="AM83" s="43">
        <v>67</v>
      </c>
      <c r="AN83">
        <v>280.74118524615966</v>
      </c>
      <c r="AO83">
        <v>100.30371234391855</v>
      </c>
      <c r="AP83">
        <v>700.87983965937917</v>
      </c>
      <c r="AQ83">
        <v>529.261556630737</v>
      </c>
      <c r="AR83">
        <v>89.061990829147391</v>
      </c>
      <c r="AS83">
        <v>723.66841862666627</v>
      </c>
      <c r="AT83">
        <v>46.687613719302014</v>
      </c>
      <c r="AU83">
        <v>91.868000595335772</v>
      </c>
      <c r="AV83"/>
      <c r="AW83"/>
      <c r="FY83" s="211">
        <v>78</v>
      </c>
      <c r="FZ83">
        <v>17.242009416149727</v>
      </c>
      <c r="GA83">
        <v>62.757535178971004</v>
      </c>
      <c r="GB83">
        <v>92.491255452405056</v>
      </c>
      <c r="GC83">
        <v>47.585966944273501</v>
      </c>
      <c r="GD83">
        <v>18.403088152301358</v>
      </c>
      <c r="GE83">
        <v>36.954901011874149</v>
      </c>
      <c r="GF83">
        <v>71.741959144384396</v>
      </c>
      <c r="GG83">
        <v>54.362093036432782</v>
      </c>
      <c r="GH83">
        <v>15.87994535990175</v>
      </c>
      <c r="GI83">
        <v>55.078527041522179</v>
      </c>
      <c r="GJ83"/>
      <c r="GK83"/>
      <c r="GL83"/>
      <c r="GM83"/>
    </row>
    <row r="84" spans="1:195" s="7" customFormat="1">
      <c r="A84" s="4"/>
      <c r="B84" s="4"/>
      <c r="C84" s="34"/>
      <c r="D84" s="28"/>
      <c r="E84" s="28"/>
      <c r="F84" s="28">
        <v>0.09</v>
      </c>
      <c r="G84" s="28"/>
      <c r="H84" s="28"/>
      <c r="I84" s="28"/>
      <c r="J84" s="28"/>
      <c r="K84" s="28"/>
      <c r="L84" s="28"/>
      <c r="M84" s="28"/>
      <c r="N84" s="28"/>
      <c r="O84" s="28"/>
      <c r="P84" s="28"/>
      <c r="Q84" s="28"/>
      <c r="R84" s="28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>
        <v>3.0028000000000028</v>
      </c>
      <c r="AM84" s="43">
        <v>68</v>
      </c>
      <c r="AN84">
        <v>243.99423624175316</v>
      </c>
      <c r="AO84">
        <v>71.826993317842053</v>
      </c>
      <c r="AP84">
        <v>500.61353569410784</v>
      </c>
      <c r="AQ84">
        <v>401.77510155048481</v>
      </c>
      <c r="AR84">
        <v>65.048736310706772</v>
      </c>
      <c r="AS84">
        <v>596.46262755129237</v>
      </c>
      <c r="AT84">
        <v>35.181116257857632</v>
      </c>
      <c r="AU84">
        <v>103.32523911838911</v>
      </c>
      <c r="AV84"/>
      <c r="AW84"/>
      <c r="AX84" s="157" t="s">
        <v>111</v>
      </c>
      <c r="CJ84" s="157" t="s">
        <v>112</v>
      </c>
      <c r="FY84" s="211">
        <v>79</v>
      </c>
      <c r="FZ84">
        <v>19.343208485686102</v>
      </c>
      <c r="GA84">
        <v>49.137738417687146</v>
      </c>
      <c r="GB84">
        <v>86.651516368940065</v>
      </c>
      <c r="GC84">
        <v>57.448205186809467</v>
      </c>
      <c r="GD84">
        <v>23.578691784964544</v>
      </c>
      <c r="GE84">
        <v>50.014891048917697</v>
      </c>
      <c r="GF84">
        <v>65.884701079297926</v>
      </c>
      <c r="GG84">
        <v>29.338205851634328</v>
      </c>
      <c r="GH84">
        <v>19.507146599458942</v>
      </c>
      <c r="GI84">
        <v>55.424632634696039</v>
      </c>
      <c r="GJ84"/>
      <c r="GK84"/>
      <c r="GL84"/>
      <c r="GM84"/>
    </row>
    <row r="85" spans="1:195" s="7" customFormat="1">
      <c r="A85" s="1"/>
      <c r="B85" s="1"/>
      <c r="C85" s="1"/>
      <c r="D85" s="1"/>
      <c r="E85" s="1"/>
      <c r="F85" s="2"/>
      <c r="G85" s="2"/>
      <c r="H85" s="3"/>
      <c r="I85" s="1"/>
      <c r="J85" s="1"/>
      <c r="K85" s="1"/>
      <c r="L85" s="1"/>
      <c r="M85" s="1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  <c r="AF85" s="2"/>
      <c r="AG85" s="2"/>
      <c r="AH85" s="2"/>
      <c r="AI85" s="2"/>
      <c r="AJ85" s="2"/>
      <c r="AK85" s="80"/>
      <c r="AL85" s="74">
        <v>3.0028000000000028</v>
      </c>
      <c r="AM85" s="43">
        <v>69</v>
      </c>
      <c r="AN85">
        <v>217.3764089943846</v>
      </c>
      <c r="AO85">
        <v>69.335666299244252</v>
      </c>
      <c r="AP85">
        <v>449.73372013999415</v>
      </c>
      <c r="AQ85">
        <v>356.05187621933214</v>
      </c>
      <c r="AR85">
        <v>62.201943871614716</v>
      </c>
      <c r="AS85">
        <v>551.166154025688</v>
      </c>
      <c r="AT85" t="e">
        <v>#DIV/0!</v>
      </c>
      <c r="AU85" t="e">
        <v>#DIV/0!</v>
      </c>
      <c r="AV85"/>
      <c r="AW85"/>
      <c r="AX85" s="146"/>
      <c r="AY85" s="146"/>
      <c r="AZ85" s="146"/>
      <c r="BA85" s="146"/>
      <c r="BB85" s="146"/>
      <c r="BC85" s="147"/>
      <c r="BD85" s="147"/>
      <c r="BE85" s="148"/>
      <c r="BF85" s="146"/>
      <c r="BG85" s="146"/>
      <c r="BH85" s="146"/>
      <c r="BI85" s="146"/>
      <c r="BJ85" s="146"/>
      <c r="BK85" s="147"/>
      <c r="BL85" s="147"/>
      <c r="BM85" s="147"/>
      <c r="BN85" s="147"/>
      <c r="BO85" s="147"/>
      <c r="BP85" s="147"/>
      <c r="BQ85" s="147"/>
      <c r="BR85" s="147"/>
      <c r="BS85" s="147"/>
      <c r="BT85" s="147"/>
      <c r="BU85" s="147"/>
      <c r="BV85" s="147"/>
      <c r="BW85" s="147"/>
      <c r="BX85" s="147"/>
      <c r="BY85" s="147"/>
      <c r="BZ85" s="147"/>
      <c r="CA85" s="147"/>
      <c r="CB85" s="147"/>
      <c r="CC85" s="147"/>
      <c r="CD85" s="147"/>
      <c r="CE85" s="147"/>
      <c r="CF85" s="147"/>
      <c r="CG85" s="147"/>
      <c r="CH85" s="149"/>
      <c r="CJ85" s="146"/>
      <c r="CK85" s="146"/>
      <c r="CL85" s="146"/>
      <c r="CM85" s="146"/>
      <c r="CN85" s="146"/>
      <c r="CO85" s="147"/>
      <c r="CP85" s="147"/>
      <c r="CQ85" s="148"/>
      <c r="CR85" s="146"/>
      <c r="CS85" s="146"/>
      <c r="CT85" s="146"/>
      <c r="CU85" s="146"/>
      <c r="CW85" s="150"/>
      <c r="CX85" s="150"/>
      <c r="CZ85" s="150"/>
      <c r="DB85" s="146"/>
      <c r="DC85" s="146"/>
      <c r="DD85" s="146"/>
      <c r="DE85" s="146"/>
      <c r="DF85" s="146"/>
      <c r="DG85" s="147"/>
      <c r="DH85" s="147"/>
      <c r="DI85" s="148"/>
      <c r="DJ85" s="146"/>
      <c r="DK85" s="146"/>
      <c r="DL85" s="146"/>
      <c r="DM85" s="146"/>
      <c r="DN85" s="146"/>
      <c r="DO85" s="147"/>
      <c r="DP85" s="147"/>
      <c r="DQ85" s="147"/>
      <c r="DR85" s="147"/>
      <c r="DS85" s="147"/>
      <c r="DT85" s="147"/>
      <c r="DU85" s="147"/>
      <c r="DV85" s="147"/>
      <c r="DW85" s="147"/>
      <c r="DX85" s="147"/>
      <c r="DY85" s="147"/>
      <c r="DZ85" s="147"/>
      <c r="EA85" s="147"/>
      <c r="EB85" s="147"/>
      <c r="EC85" s="147"/>
      <c r="ED85" s="147"/>
      <c r="EE85" s="147"/>
      <c r="EF85" s="147"/>
      <c r="EG85" s="147"/>
      <c r="EH85" s="147"/>
      <c r="EI85" s="147"/>
      <c r="EJ85" s="147"/>
      <c r="EK85" s="147"/>
      <c r="EL85" s="149"/>
      <c r="EN85" s="146"/>
      <c r="EO85" s="146"/>
      <c r="EP85" s="146"/>
      <c r="EQ85" s="147"/>
      <c r="ER85" s="147"/>
      <c r="ES85" s="148"/>
      <c r="ET85" s="146"/>
      <c r="EU85" s="146"/>
      <c r="EV85" s="146"/>
      <c r="EW85" s="146"/>
      <c r="EX85" s="146"/>
      <c r="EY85" s="147"/>
      <c r="EZ85" s="147"/>
      <c r="FA85" s="147"/>
      <c r="FB85" s="147"/>
      <c r="FC85" s="147"/>
      <c r="FD85" s="147"/>
      <c r="FE85" s="147"/>
      <c r="FF85" s="147"/>
      <c r="FG85" s="147"/>
      <c r="FH85" s="147"/>
      <c r="FI85" s="147"/>
      <c r="FJ85" s="147"/>
      <c r="FK85" s="147"/>
      <c r="FL85" s="147"/>
      <c r="FM85" s="147"/>
      <c r="FN85" s="147"/>
      <c r="FO85" s="147"/>
      <c r="FP85" s="147"/>
      <c r="FQ85" s="147"/>
      <c r="FR85" s="147"/>
      <c r="FS85" s="147"/>
      <c r="FT85" s="147"/>
      <c r="FU85" s="147"/>
      <c r="FV85" s="149"/>
      <c r="FY85" s="211">
        <v>80</v>
      </c>
      <c r="FZ85">
        <v>16.053939496254074</v>
      </c>
      <c r="GA85">
        <v>57.245904241362297</v>
      </c>
      <c r="GB85">
        <v>94.504920921006331</v>
      </c>
      <c r="GC85">
        <v>59.609456219996815</v>
      </c>
      <c r="GD85">
        <v>25.620148813379366</v>
      </c>
      <c r="GE85">
        <v>31.074258758314333</v>
      </c>
      <c r="GF85">
        <v>63.243151682025271</v>
      </c>
      <c r="GG85">
        <v>65.782111440127977</v>
      </c>
      <c r="GH85">
        <v>29.623331494790584</v>
      </c>
      <c r="GI85">
        <v>59.98816188246812</v>
      </c>
      <c r="GJ85"/>
      <c r="GK85"/>
      <c r="GL85"/>
      <c r="GM85"/>
    </row>
    <row r="86" spans="1:195" s="7" customFormat="1">
      <c r="A86" s="141" t="s">
        <v>109</v>
      </c>
      <c r="B86" s="10"/>
      <c r="C86" s="13"/>
      <c r="D86" s="13"/>
      <c r="E86" s="13" t="s">
        <v>56</v>
      </c>
      <c r="F86" s="21"/>
      <c r="G86" s="14"/>
      <c r="H86" s="21"/>
      <c r="I86" s="13"/>
      <c r="J86" s="13"/>
      <c r="K86" s="13"/>
      <c r="L86" s="13"/>
      <c r="M86" s="13"/>
      <c r="N86" s="14"/>
      <c r="O86" s="14"/>
      <c r="P86" s="14"/>
      <c r="Q86" s="14"/>
      <c r="R86" s="14"/>
      <c r="S86" s="14"/>
      <c r="T86" s="14"/>
      <c r="U86" s="14"/>
      <c r="V86" s="14"/>
      <c r="W86" s="14"/>
      <c r="X86" s="14"/>
      <c r="Y86" s="14"/>
      <c r="Z86" s="14"/>
      <c r="AA86" s="14"/>
      <c r="AB86" s="14"/>
      <c r="AC86" s="14"/>
      <c r="AD86" s="14"/>
      <c r="AE86" s="14"/>
      <c r="AF86" s="14"/>
      <c r="AG86" s="14"/>
      <c r="AH86" s="14"/>
      <c r="AI86" s="14"/>
      <c r="AJ86" s="14"/>
      <c r="AK86" s="80"/>
      <c r="AL86" s="74">
        <v>3.0028000000000028</v>
      </c>
      <c r="AM86" s="43">
        <v>70</v>
      </c>
      <c r="AN86">
        <v>245.70468440418367</v>
      </c>
      <c r="AO86">
        <v>79.249505308828404</v>
      </c>
      <c r="AP86">
        <v>580.64422183441377</v>
      </c>
      <c r="AQ86">
        <v>449.3047554994846</v>
      </c>
      <c r="AR86">
        <v>71.947550111283121</v>
      </c>
      <c r="AS86">
        <v>616.58495615214031</v>
      </c>
      <c r="AT86">
        <v>40.358100852181444</v>
      </c>
      <c r="AU86">
        <v>57.375112435144985</v>
      </c>
      <c r="AV86"/>
      <c r="AW86"/>
      <c r="AX86" s="9" t="s">
        <v>55</v>
      </c>
      <c r="AY86" s="10"/>
      <c r="AZ86" s="13"/>
      <c r="BA86" s="13"/>
      <c r="BB86" s="13" t="s">
        <v>56</v>
      </c>
      <c r="BC86" s="21"/>
      <c r="BD86" s="14"/>
      <c r="BE86" s="21"/>
      <c r="BF86" s="13"/>
      <c r="BG86" s="13"/>
      <c r="BH86" s="13"/>
      <c r="BI86" s="13"/>
      <c r="BJ86" s="13"/>
      <c r="BK86" s="14"/>
      <c r="BL86" s="14"/>
      <c r="BM86" s="14"/>
      <c r="BN86" s="14"/>
      <c r="BO86" s="14"/>
      <c r="BP86" s="14"/>
      <c r="BQ86" s="14"/>
      <c r="BR86" s="14"/>
      <c r="BS86" s="14"/>
      <c r="BT86" s="14"/>
      <c r="BU86" s="14"/>
      <c r="BV86" s="14"/>
      <c r="BW86" s="14"/>
      <c r="BX86" s="14"/>
      <c r="BY86" s="14"/>
      <c r="BZ86" s="14"/>
      <c r="CA86" s="14"/>
      <c r="CB86" s="14"/>
      <c r="CC86" s="14"/>
      <c r="CD86" s="14"/>
      <c r="CE86" s="14"/>
      <c r="CF86" s="14"/>
      <c r="CG86" s="14"/>
      <c r="CH86" s="154"/>
      <c r="CJ86" s="9" t="s">
        <v>55</v>
      </c>
      <c r="CK86" s="10"/>
      <c r="CL86" s="13"/>
      <c r="CM86" s="13"/>
      <c r="CN86" s="13" t="s">
        <v>56</v>
      </c>
      <c r="CO86" s="21"/>
      <c r="CP86" s="14"/>
      <c r="CQ86" s="21"/>
      <c r="CR86" s="13"/>
      <c r="CS86" s="13"/>
      <c r="CT86" s="13"/>
      <c r="CU86" s="13"/>
      <c r="CW86" s="228" t="s">
        <v>123</v>
      </c>
      <c r="CX86" s="228"/>
      <c r="CY86" s="144"/>
      <c r="CZ86" s="156" t="s">
        <v>113</v>
      </c>
      <c r="DB86" s="9" t="s">
        <v>105</v>
      </c>
      <c r="DC86" s="10"/>
      <c r="DD86" s="13"/>
      <c r="DE86" s="13"/>
      <c r="DF86" s="13" t="s">
        <v>56</v>
      </c>
      <c r="DG86" s="21"/>
      <c r="DH86" s="14"/>
      <c r="DI86" s="21"/>
      <c r="DJ86" s="13"/>
      <c r="DK86" s="13"/>
      <c r="DL86" s="13"/>
      <c r="DM86" s="13"/>
      <c r="DN86" s="13"/>
      <c r="DO86" s="14"/>
      <c r="DP86" s="14"/>
      <c r="DQ86" s="14"/>
      <c r="DR86" s="14"/>
      <c r="DS86" s="14"/>
      <c r="DT86" s="14"/>
      <c r="DU86" s="14"/>
      <c r="DV86" s="14"/>
      <c r="DW86" s="14"/>
      <c r="DX86" s="14"/>
      <c r="DY86" s="14"/>
      <c r="DZ86" s="14"/>
      <c r="EA86" s="14"/>
      <c r="EB86" s="14"/>
      <c r="EC86" s="14"/>
      <c r="ED86" s="14"/>
      <c r="EE86" s="14"/>
      <c r="EF86" s="14"/>
      <c r="EG86" s="14"/>
      <c r="EH86" s="14"/>
      <c r="EI86" s="14"/>
      <c r="EJ86" s="14"/>
      <c r="EK86" s="140" t="s">
        <v>108</v>
      </c>
      <c r="EL86" s="154"/>
      <c r="EN86" s="9"/>
      <c r="EO86" s="9" t="s">
        <v>106</v>
      </c>
      <c r="EP86" s="13" t="s">
        <v>56</v>
      </c>
      <c r="EQ86" s="21"/>
      <c r="ER86" s="14"/>
      <c r="ES86" s="21"/>
      <c r="ET86" s="13"/>
      <c r="EU86" s="13"/>
      <c r="EV86" s="13"/>
      <c r="EW86" s="13"/>
      <c r="EX86" s="13"/>
      <c r="EY86" s="14"/>
      <c r="EZ86" s="14"/>
      <c r="FA86" s="14"/>
      <c r="FB86" s="14"/>
      <c r="FC86" s="14"/>
      <c r="FD86" s="14"/>
      <c r="FE86" s="14"/>
      <c r="FF86" s="14"/>
      <c r="FG86" s="14"/>
      <c r="FH86" s="14"/>
      <c r="FI86" s="14"/>
      <c r="FJ86" s="14"/>
      <c r="FK86" s="14"/>
      <c r="FL86" s="14"/>
      <c r="FM86" s="14"/>
      <c r="FN86" s="14"/>
      <c r="FO86" s="14"/>
      <c r="FP86" s="14"/>
      <c r="FQ86" s="14"/>
      <c r="FR86" s="14"/>
      <c r="FS86" s="14"/>
      <c r="FT86" s="14"/>
      <c r="FU86" s="14"/>
      <c r="FV86" s="154"/>
      <c r="FY86" s="211">
        <v>81</v>
      </c>
      <c r="FZ86">
        <v>15.432644710812456</v>
      </c>
      <c r="GA86">
        <v>47.199637853467038</v>
      </c>
      <c r="GB86">
        <v>100.74309515250127</v>
      </c>
      <c r="GC86">
        <v>59.64637084482677</v>
      </c>
      <c r="GD86">
        <v>21.879732228386377</v>
      </c>
      <c r="GE86">
        <v>65.539615336370474</v>
      </c>
      <c r="GF86">
        <v>83.737127569965253</v>
      </c>
      <c r="GG86">
        <v>44.999980508118441</v>
      </c>
      <c r="GH86">
        <v>44.997545666443784</v>
      </c>
      <c r="GI86">
        <v>66.87900416224447</v>
      </c>
      <c r="GJ86"/>
      <c r="GK86"/>
      <c r="GL86"/>
      <c r="GM86"/>
    </row>
    <row r="87" spans="1:195" s="7" customFormat="1">
      <c r="A87" s="9" t="s">
        <v>107</v>
      </c>
      <c r="B87" s="10" t="s">
        <v>58</v>
      </c>
      <c r="C87" s="10" t="s">
        <v>59</v>
      </c>
      <c r="D87" s="75"/>
      <c r="E87" s="76" t="s">
        <v>37</v>
      </c>
      <c r="F87" s="45">
        <v>1</v>
      </c>
      <c r="G87" s="45">
        <v>2</v>
      </c>
      <c r="H87" s="45">
        <v>3</v>
      </c>
      <c r="I87" s="45">
        <v>4</v>
      </c>
      <c r="J87" s="45">
        <v>5</v>
      </c>
      <c r="K87" s="45">
        <v>6</v>
      </c>
      <c r="L87" s="45">
        <v>7</v>
      </c>
      <c r="M87" s="46">
        <v>8</v>
      </c>
      <c r="N87" s="46">
        <v>9</v>
      </c>
      <c r="O87" s="47">
        <v>10</v>
      </c>
      <c r="P87" s="46">
        <v>11</v>
      </c>
      <c r="Q87" s="47">
        <v>12</v>
      </c>
      <c r="R87" s="46">
        <v>13</v>
      </c>
      <c r="S87" s="47">
        <v>14</v>
      </c>
      <c r="T87" s="46">
        <v>15</v>
      </c>
      <c r="U87" s="47">
        <v>16</v>
      </c>
      <c r="V87" s="46">
        <v>17</v>
      </c>
      <c r="W87" s="47">
        <v>18</v>
      </c>
      <c r="X87" s="46">
        <v>19</v>
      </c>
      <c r="Y87" s="47">
        <v>20</v>
      </c>
      <c r="Z87" s="46">
        <v>21</v>
      </c>
      <c r="AA87" s="47">
        <v>22</v>
      </c>
      <c r="AB87" s="46">
        <v>23</v>
      </c>
      <c r="AC87" s="47">
        <v>24</v>
      </c>
      <c r="AD87" s="46">
        <v>25</v>
      </c>
      <c r="AE87" s="47">
        <v>26</v>
      </c>
      <c r="AF87" s="46">
        <v>27</v>
      </c>
      <c r="AG87" s="47">
        <v>28</v>
      </c>
      <c r="AH87" s="46">
        <v>29</v>
      </c>
      <c r="AI87" s="47">
        <v>30</v>
      </c>
      <c r="AJ87" s="12"/>
      <c r="AK87" s="80"/>
      <c r="AL87" s="74">
        <v>3.0028000000000028</v>
      </c>
      <c r="AM87" s="43">
        <v>71</v>
      </c>
      <c r="AN87">
        <v>273.55862193144281</v>
      </c>
      <c r="AO87">
        <v>99.875385314826289</v>
      </c>
      <c r="AP87">
        <v>732.27995325680979</v>
      </c>
      <c r="AQ87">
        <v>524.98594487750881</v>
      </c>
      <c r="AR87">
        <v>90.421030449610456</v>
      </c>
      <c r="AS87">
        <v>783.41564943116623</v>
      </c>
      <c r="AT87">
        <v>46.587005192587895</v>
      </c>
      <c r="AU87">
        <v>39.331380481536677</v>
      </c>
      <c r="AV87"/>
      <c r="AW87"/>
      <c r="AX87" s="9" t="s">
        <v>57</v>
      </c>
      <c r="AY87" s="10" t="s">
        <v>58</v>
      </c>
      <c r="AZ87" s="10" t="s">
        <v>59</v>
      </c>
      <c r="BA87" s="75" t="s">
        <v>21</v>
      </c>
      <c r="BB87" s="76" t="s">
        <v>37</v>
      </c>
      <c r="BC87" s="45">
        <v>1</v>
      </c>
      <c r="BD87" s="45">
        <v>2</v>
      </c>
      <c r="BE87" s="45">
        <v>3</v>
      </c>
      <c r="BF87" s="45">
        <v>4</v>
      </c>
      <c r="BG87" s="45">
        <v>5</v>
      </c>
      <c r="BH87" s="45">
        <v>6</v>
      </c>
      <c r="BI87" s="45">
        <v>7</v>
      </c>
      <c r="BJ87" s="46">
        <v>8</v>
      </c>
      <c r="BK87" s="46">
        <v>9</v>
      </c>
      <c r="BL87" s="47">
        <v>10</v>
      </c>
      <c r="BM87" s="46">
        <v>11</v>
      </c>
      <c r="BN87" s="47">
        <v>12</v>
      </c>
      <c r="BO87" s="46">
        <v>13</v>
      </c>
      <c r="BP87" s="47">
        <v>14</v>
      </c>
      <c r="BQ87" s="46">
        <v>15</v>
      </c>
      <c r="BR87" s="47">
        <v>16</v>
      </c>
      <c r="BS87" s="46">
        <v>17</v>
      </c>
      <c r="BT87" s="47">
        <v>18</v>
      </c>
      <c r="BU87" s="46">
        <v>19</v>
      </c>
      <c r="BV87" s="47">
        <v>20</v>
      </c>
      <c r="BW87" s="46">
        <v>21</v>
      </c>
      <c r="BX87" s="47">
        <v>22</v>
      </c>
      <c r="BY87" s="46">
        <v>23</v>
      </c>
      <c r="BZ87" s="47">
        <v>24</v>
      </c>
      <c r="CA87" s="46">
        <v>25</v>
      </c>
      <c r="CB87" s="47">
        <v>26</v>
      </c>
      <c r="CC87" s="46">
        <v>27</v>
      </c>
      <c r="CD87" s="47">
        <v>28</v>
      </c>
      <c r="CE87" s="46">
        <v>29</v>
      </c>
      <c r="CF87" s="47">
        <v>30</v>
      </c>
      <c r="CG87" s="12"/>
      <c r="CH87" s="154"/>
      <c r="CJ87" s="9" t="s">
        <v>57</v>
      </c>
      <c r="CK87" s="10" t="s">
        <v>58</v>
      </c>
      <c r="CL87" s="10" t="s">
        <v>59</v>
      </c>
      <c r="CM87" s="75" t="s">
        <v>21</v>
      </c>
      <c r="CN87" s="76" t="s">
        <v>37</v>
      </c>
      <c r="CO87" s="45">
        <v>1</v>
      </c>
      <c r="CP87" s="45">
        <v>2</v>
      </c>
      <c r="CQ87" s="45">
        <v>3</v>
      </c>
      <c r="CR87" s="45">
        <v>4</v>
      </c>
      <c r="CS87" s="45">
        <v>5</v>
      </c>
      <c r="CT87" s="45">
        <v>6</v>
      </c>
      <c r="CU87" s="45">
        <v>7</v>
      </c>
      <c r="CW87" s="96" t="s">
        <v>124</v>
      </c>
      <c r="CX87" s="96" t="s">
        <v>125</v>
      </c>
      <c r="CZ87" s="156" t="s">
        <v>114</v>
      </c>
      <c r="DB87" s="9" t="s">
        <v>110</v>
      </c>
      <c r="DC87" s="10" t="s">
        <v>58</v>
      </c>
      <c r="DD87" s="10" t="s">
        <v>59</v>
      </c>
      <c r="DE87" s="75" t="s">
        <v>21</v>
      </c>
      <c r="DF87" s="76" t="s">
        <v>37</v>
      </c>
      <c r="DG87" s="45">
        <v>1</v>
      </c>
      <c r="DH87" s="45">
        <v>2</v>
      </c>
      <c r="DI87" s="45">
        <v>3</v>
      </c>
      <c r="DJ87" s="45">
        <v>4</v>
      </c>
      <c r="DK87" s="45">
        <v>5</v>
      </c>
      <c r="DL87" s="45">
        <v>6</v>
      </c>
      <c r="DM87" s="45">
        <v>7</v>
      </c>
      <c r="DN87" s="46">
        <v>8</v>
      </c>
      <c r="DO87" s="46">
        <v>9</v>
      </c>
      <c r="DP87" s="47">
        <v>10</v>
      </c>
      <c r="DQ87" s="46">
        <v>11</v>
      </c>
      <c r="DR87" s="47">
        <v>12</v>
      </c>
      <c r="DS87" s="46">
        <v>13</v>
      </c>
      <c r="DT87" s="47">
        <v>14</v>
      </c>
      <c r="DU87" s="46">
        <v>15</v>
      </c>
      <c r="DV87" s="47">
        <v>16</v>
      </c>
      <c r="DW87" s="46">
        <v>17</v>
      </c>
      <c r="DX87" s="47">
        <v>18</v>
      </c>
      <c r="DY87" s="46">
        <v>19</v>
      </c>
      <c r="DZ87" s="47">
        <v>20</v>
      </c>
      <c r="EA87" s="46">
        <v>21</v>
      </c>
      <c r="EB87" s="47">
        <v>22</v>
      </c>
      <c r="EC87" s="46">
        <v>23</v>
      </c>
      <c r="ED87" s="47">
        <v>24</v>
      </c>
      <c r="EE87" s="46">
        <v>25</v>
      </c>
      <c r="EF87" s="47">
        <v>26</v>
      </c>
      <c r="EG87" s="46">
        <v>27</v>
      </c>
      <c r="EH87" s="47">
        <v>28</v>
      </c>
      <c r="EI87" s="46">
        <v>29</v>
      </c>
      <c r="EJ87" s="47">
        <v>30</v>
      </c>
      <c r="EK87" s="12"/>
      <c r="EL87" s="154"/>
      <c r="EN87" s="9"/>
      <c r="EO87" s="9"/>
      <c r="EP87" s="76" t="s">
        <v>37</v>
      </c>
      <c r="EQ87" s="45">
        <v>1</v>
      </c>
      <c r="ER87" s="45">
        <v>2</v>
      </c>
      <c r="ES87" s="45">
        <v>3</v>
      </c>
      <c r="ET87" s="45">
        <v>4</v>
      </c>
      <c r="EU87" s="45">
        <v>5</v>
      </c>
      <c r="EV87" s="45">
        <v>6</v>
      </c>
      <c r="EW87" s="45">
        <v>7</v>
      </c>
      <c r="EX87" s="46">
        <v>8</v>
      </c>
      <c r="EY87" s="46">
        <v>9</v>
      </c>
      <c r="EZ87" s="47">
        <v>10</v>
      </c>
      <c r="FA87" s="46">
        <v>11</v>
      </c>
      <c r="FB87" s="47">
        <v>12</v>
      </c>
      <c r="FC87" s="46">
        <v>13</v>
      </c>
      <c r="FD87" s="47">
        <v>14</v>
      </c>
      <c r="FE87" s="46">
        <v>15</v>
      </c>
      <c r="FF87" s="47">
        <v>16</v>
      </c>
      <c r="FG87" s="46">
        <v>17</v>
      </c>
      <c r="FH87" s="47">
        <v>18</v>
      </c>
      <c r="FI87" s="46">
        <v>19</v>
      </c>
      <c r="FJ87" s="47">
        <v>20</v>
      </c>
      <c r="FK87" s="46">
        <v>21</v>
      </c>
      <c r="FL87" s="47">
        <v>22</v>
      </c>
      <c r="FM87" s="46">
        <v>23</v>
      </c>
      <c r="FN87" s="47">
        <v>24</v>
      </c>
      <c r="FO87" s="46">
        <v>25</v>
      </c>
      <c r="FP87" s="47">
        <v>26</v>
      </c>
      <c r="FQ87" s="46">
        <v>27</v>
      </c>
      <c r="FR87" s="47">
        <v>28</v>
      </c>
      <c r="FS87" s="46">
        <v>29</v>
      </c>
      <c r="FT87" s="47">
        <v>30</v>
      </c>
      <c r="FU87" s="12" t="s">
        <v>11</v>
      </c>
      <c r="FV87" s="155"/>
      <c r="FY87" s="211">
        <v>82</v>
      </c>
      <c r="FZ87">
        <v>17.824216590223855</v>
      </c>
      <c r="GA87">
        <v>55.875017326609893</v>
      </c>
      <c r="GB87">
        <v>80.146319953423955</v>
      </c>
      <c r="GC87">
        <v>44.960726364202628</v>
      </c>
      <c r="GD87">
        <v>19.904003314771717</v>
      </c>
      <c r="GE87">
        <v>35.701003810660232</v>
      </c>
      <c r="GF87">
        <v>67.819555911148584</v>
      </c>
      <c r="GG87">
        <v>70.112115193242389</v>
      </c>
      <c r="GH87">
        <v>39.656527912126585</v>
      </c>
      <c r="GI87">
        <v>55.504620336034094</v>
      </c>
      <c r="GJ87"/>
      <c r="GK87"/>
      <c r="GL87"/>
      <c r="GM87"/>
    </row>
    <row r="88" spans="1:195" s="7" customFormat="1">
      <c r="A88" s="128"/>
      <c r="B88" s="76">
        <f ca="1">IF(C88="", "", RAND())</f>
        <v>0.17123208353959862</v>
      </c>
      <c r="C88">
        <v>3</v>
      </c>
      <c r="D88">
        <v>39646</v>
      </c>
      <c r="E88">
        <v>0</v>
      </c>
      <c r="F88">
        <v>20.833333333333332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 s="2"/>
      <c r="AK88" s="80"/>
      <c r="AL88" s="74"/>
      <c r="AM88" s="43">
        <v>72</v>
      </c>
      <c r="AN88">
        <v>248.79994884556749</v>
      </c>
      <c r="AO88">
        <v>74.664981129316004</v>
      </c>
      <c r="AP88">
        <v>543.01011123892579</v>
      </c>
      <c r="AQ88">
        <v>392.25740627510271</v>
      </c>
      <c r="AR88">
        <v>66.663099182209606</v>
      </c>
      <c r="AS88">
        <v>578.49440075572045</v>
      </c>
      <c r="AT88">
        <v>34.282376093123631</v>
      </c>
      <c r="AU88">
        <v>50.803542469170033</v>
      </c>
      <c r="AV88"/>
      <c r="AW88"/>
      <c r="AX88" s="128"/>
      <c r="AY88" s="76">
        <f ca="1">IF(AZ88="", "", RAND())</f>
        <v>0.61797006288316392</v>
      </c>
      <c r="AZ88">
        <v>1</v>
      </c>
      <c r="BA88" s="129">
        <f>IF(AZ88="", "",$C$4)</f>
        <v>39646</v>
      </c>
      <c r="BB88">
        <v>0</v>
      </c>
      <c r="BC88">
        <v>0</v>
      </c>
      <c r="BD88">
        <v>0</v>
      </c>
      <c r="BE88">
        <v>0</v>
      </c>
      <c r="BF88">
        <v>0</v>
      </c>
      <c r="BG88">
        <v>0</v>
      </c>
      <c r="BH88">
        <v>0</v>
      </c>
      <c r="BI88">
        <v>0</v>
      </c>
      <c r="BJ88">
        <v>0</v>
      </c>
      <c r="BK88">
        <v>0</v>
      </c>
      <c r="BL88">
        <v>0</v>
      </c>
      <c r="BM88">
        <v>0</v>
      </c>
      <c r="BN88">
        <v>0</v>
      </c>
      <c r="BO88">
        <v>0</v>
      </c>
      <c r="BP88">
        <v>0</v>
      </c>
      <c r="BQ88">
        <v>0</v>
      </c>
      <c r="BR88">
        <v>0</v>
      </c>
      <c r="BS88">
        <v>0</v>
      </c>
      <c r="BT88">
        <v>0</v>
      </c>
      <c r="BU88">
        <v>0</v>
      </c>
      <c r="BV88">
        <v>0</v>
      </c>
      <c r="BW88">
        <v>0</v>
      </c>
      <c r="BX88">
        <v>0</v>
      </c>
      <c r="BY88">
        <v>0</v>
      </c>
      <c r="BZ88">
        <v>0</v>
      </c>
      <c r="CA88">
        <v>0</v>
      </c>
      <c r="CB88">
        <v>0</v>
      </c>
      <c r="CC88">
        <v>0</v>
      </c>
      <c r="CD88">
        <v>0</v>
      </c>
      <c r="CE88">
        <v>0</v>
      </c>
      <c r="CF88">
        <v>0</v>
      </c>
      <c r="CG88" s="147"/>
      <c r="CH88" s="176"/>
      <c r="CJ88" s="128"/>
      <c r="CK88" s="76">
        <f ca="1">IF(AZ88="", "", RAND())</f>
        <v>0.79568411282939189</v>
      </c>
      <c r="CL88" s="179">
        <f>IF(AZ88="", "", AZ88)</f>
        <v>1</v>
      </c>
      <c r="CM88" s="180">
        <f>IF(AZ88="", "", BA88)</f>
        <v>39646</v>
      </c>
      <c r="CN88">
        <v>0</v>
      </c>
      <c r="CO88">
        <v>0</v>
      </c>
      <c r="CP88">
        <v>2</v>
      </c>
      <c r="CQ88">
        <v>0</v>
      </c>
      <c r="CR88">
        <v>0</v>
      </c>
      <c r="CS88">
        <v>0</v>
      </c>
      <c r="CT88">
        <v>0</v>
      </c>
      <c r="CU88">
        <v>0</v>
      </c>
      <c r="CW88">
        <v>1</v>
      </c>
      <c r="CX88">
        <v>2</v>
      </c>
      <c r="CY88" s="158"/>
      <c r="CZ88" s="177">
        <f>IF(AZ88="", "", $G$15)</f>
        <v>9.6000000000000002E-2</v>
      </c>
      <c r="DB88" s="128"/>
      <c r="DC88" s="76">
        <f t="shared" ref="DC88:DC151" ca="1" si="49">IF(DD88="", "", RAND())</f>
        <v>0.91742682623200178</v>
      </c>
      <c r="DD88">
        <f>IF(AZ88="", "", AZ88)</f>
        <v>1</v>
      </c>
      <c r="DE88" s="129">
        <f t="shared" ref="DE88:DE97" si="50">IF(DD88="", "", $C$4)</f>
        <v>39646</v>
      </c>
      <c r="DF88" s="161">
        <f t="shared" ref="DF88:DM88" si="51">IF($AZ88="", "", ((BB88*$CW88)+(CN88*$CX88))/$CZ88)</f>
        <v>0</v>
      </c>
      <c r="DG88" s="161">
        <f t="shared" si="51"/>
        <v>0</v>
      </c>
      <c r="DH88" s="161">
        <f t="shared" si="51"/>
        <v>41.666666666666664</v>
      </c>
      <c r="DI88" s="161">
        <f t="shared" si="51"/>
        <v>0</v>
      </c>
      <c r="DJ88" s="161">
        <f t="shared" si="51"/>
        <v>0</v>
      </c>
      <c r="DK88" s="161">
        <f t="shared" si="51"/>
        <v>0</v>
      </c>
      <c r="DL88" s="161">
        <f t="shared" si="51"/>
        <v>0</v>
      </c>
      <c r="DM88" s="161">
        <f t="shared" si="51"/>
        <v>0</v>
      </c>
      <c r="DN88" s="161">
        <f t="shared" ref="DN88:EJ88" si="52">IF($AZ88="", "", (BJ88*$CW88)/$CZ88)</f>
        <v>0</v>
      </c>
      <c r="DO88" s="161">
        <f t="shared" si="52"/>
        <v>0</v>
      </c>
      <c r="DP88" s="161">
        <f t="shared" si="52"/>
        <v>0</v>
      </c>
      <c r="DQ88" s="161">
        <f t="shared" si="52"/>
        <v>0</v>
      </c>
      <c r="DR88" s="161">
        <f t="shared" si="52"/>
        <v>0</v>
      </c>
      <c r="DS88" s="161">
        <f t="shared" si="52"/>
        <v>0</v>
      </c>
      <c r="DT88" s="161">
        <f t="shared" si="52"/>
        <v>0</v>
      </c>
      <c r="DU88" s="161">
        <f t="shared" si="52"/>
        <v>0</v>
      </c>
      <c r="DV88" s="161">
        <f t="shared" si="52"/>
        <v>0</v>
      </c>
      <c r="DW88" s="161">
        <f t="shared" si="52"/>
        <v>0</v>
      </c>
      <c r="DX88" s="161">
        <f t="shared" si="52"/>
        <v>0</v>
      </c>
      <c r="DY88" s="161">
        <f t="shared" si="52"/>
        <v>0</v>
      </c>
      <c r="DZ88" s="161">
        <f t="shared" si="52"/>
        <v>0</v>
      </c>
      <c r="EA88" s="161">
        <f t="shared" si="52"/>
        <v>0</v>
      </c>
      <c r="EB88" s="161">
        <f t="shared" si="52"/>
        <v>0</v>
      </c>
      <c r="EC88" s="161">
        <f t="shared" si="52"/>
        <v>0</v>
      </c>
      <c r="ED88" s="161">
        <f t="shared" si="52"/>
        <v>0</v>
      </c>
      <c r="EE88" s="161">
        <f t="shared" si="52"/>
        <v>0</v>
      </c>
      <c r="EF88" s="161">
        <f t="shared" si="52"/>
        <v>0</v>
      </c>
      <c r="EG88" s="161">
        <f t="shared" si="52"/>
        <v>0</v>
      </c>
      <c r="EH88" s="161">
        <f t="shared" si="52"/>
        <v>0</v>
      </c>
      <c r="EI88" s="161">
        <f t="shared" si="52"/>
        <v>0</v>
      </c>
      <c r="EJ88" s="161">
        <f t="shared" si="52"/>
        <v>0</v>
      </c>
      <c r="EK88" s="147">
        <f t="shared" ref="EK88:EK119" si="53">IF(DF88="", "", SUM(DF88:EJ88))</f>
        <v>41.666666666666664</v>
      </c>
      <c r="EL88" s="149"/>
      <c r="EN88" s="146"/>
      <c r="EO88" s="146"/>
      <c r="EP88" s="139">
        <f t="shared" ref="EP88:EP119" si="54">IF(DF88="", "", DF88*G$36)</f>
        <v>0</v>
      </c>
      <c r="EQ88" s="139">
        <f t="shared" ref="EQ88:EQ119" si="55">IF(DG88="", "", DG88*H$36)</f>
        <v>0</v>
      </c>
      <c r="ER88" s="139">
        <f t="shared" ref="ER88:ER119" si="56">IF(DH88="", "", DH88*I$36)</f>
        <v>3.0752580887642362</v>
      </c>
      <c r="ES88" s="139">
        <f t="shared" ref="ES88:ES119" si="57">IF(DI88="", "", DI88*J$36)</f>
        <v>0</v>
      </c>
      <c r="ET88" s="139">
        <f t="shared" ref="ET88:ET119" si="58">IF(DJ88="", "", DJ88*K$36)</f>
        <v>0</v>
      </c>
      <c r="EU88" s="139">
        <f t="shared" ref="EU88:EU119" si="59">IF(DK88="", "", DK88*L$36)</f>
        <v>0</v>
      </c>
      <c r="EV88" s="139">
        <f t="shared" ref="EV88:EV119" si="60">IF(DL88="", "", DL88*M$36)</f>
        <v>0</v>
      </c>
      <c r="EW88" s="139">
        <f t="shared" ref="EW88:EW119" si="61">IF(DM88="", "", DM88*N$36)</f>
        <v>0</v>
      </c>
      <c r="EX88" s="139">
        <f t="shared" ref="EX88:EX119" si="62">IF(DN88="", "", DN88*O$36)</f>
        <v>0</v>
      </c>
      <c r="EY88" s="139">
        <f t="shared" ref="EY88:EY119" si="63">IF(DO88="", "", DO88*P$36)</f>
        <v>0</v>
      </c>
      <c r="EZ88" s="139">
        <f t="shared" ref="EZ88:EZ119" si="64">IF(DP88="", "", DP88*Q$36)</f>
        <v>0</v>
      </c>
      <c r="FA88" s="139">
        <f t="shared" ref="FA88:FA119" si="65">IF(DQ88="", "", DQ88*R$36)</f>
        <v>0</v>
      </c>
      <c r="FB88" s="139">
        <f t="shared" ref="FB88:FB119" si="66">IF(DR88="", "", DR88*S$36)</f>
        <v>0</v>
      </c>
      <c r="FC88" s="139">
        <f t="shared" ref="FC88:FC119" si="67">IF(DS88="", "", DS88*T$36)</f>
        <v>0</v>
      </c>
      <c r="FD88" s="139">
        <f t="shared" ref="FD88:FD119" si="68">IF(DT88="", "", DT88*U$36)</f>
        <v>0</v>
      </c>
      <c r="FE88" s="139">
        <f t="shared" ref="FE88:FE119" si="69">IF(DU88="", "", DU88*V$36)</f>
        <v>0</v>
      </c>
      <c r="FF88" s="139">
        <f t="shared" ref="FF88:FF119" si="70">IF(DV88="", "", DV88*W$36)</f>
        <v>0</v>
      </c>
      <c r="FG88" s="139">
        <f t="shared" ref="FG88:FG119" si="71">IF(DW88="", "", DW88*X$36)</f>
        <v>0</v>
      </c>
      <c r="FH88" s="139">
        <f t="shared" ref="FH88:FH119" si="72">IF(DX88="", "", DX88*Y$36)</f>
        <v>0</v>
      </c>
      <c r="FI88" s="139">
        <f t="shared" ref="FI88:FI119" si="73">IF(DY88="", "", DY88*Z$36)</f>
        <v>0</v>
      </c>
      <c r="FJ88" s="139">
        <f t="shared" ref="FJ88:FJ119" si="74">IF(DZ88="", "", DZ88*AA$36)</f>
        <v>0</v>
      </c>
      <c r="FK88" s="139">
        <f t="shared" ref="FK88:FK119" si="75">IF(EA88="", "", EA88*AB$36)</f>
        <v>0</v>
      </c>
      <c r="FL88" s="139">
        <f t="shared" ref="FL88:FL119" si="76">IF(EB88="", "", EB88*AC$36)</f>
        <v>0</v>
      </c>
      <c r="FM88" s="139">
        <f t="shared" ref="FM88:FM119" si="77">IF(EC88="", "", EC88*AD$36)</f>
        <v>0</v>
      </c>
      <c r="FN88" s="139">
        <f t="shared" ref="FN88:FN119" si="78">IF(ED88="", "", ED88*AE$36)</f>
        <v>0</v>
      </c>
      <c r="FO88" s="139">
        <f t="shared" ref="FO88:FO119" si="79">IF(EE88="", "", EE88*AF$36)</f>
        <v>0</v>
      </c>
      <c r="FP88" s="139">
        <f t="shared" ref="FP88:FP119" si="80">IF(EF88="", "", EF88*AG$36)</f>
        <v>0</v>
      </c>
      <c r="FQ88" s="139">
        <f t="shared" ref="FQ88:FQ119" si="81">IF(EG88="", "", EG88*AH$36)</f>
        <v>0</v>
      </c>
      <c r="FR88" s="139">
        <f t="shared" ref="FR88:FR119" si="82">IF(EH88="", "", EH88*AI$36)</f>
        <v>0</v>
      </c>
      <c r="FS88" s="139">
        <f t="shared" ref="FS88:FS119" si="83">IF(EI88="", "", EI88*AJ$36)</f>
        <v>0</v>
      </c>
      <c r="FT88" s="139">
        <f t="shared" ref="FT88:FT119" si="84">IF(EJ88="", "", EJ88*AK$36)</f>
        <v>0</v>
      </c>
      <c r="FU88" s="148">
        <f t="shared" ref="FU88:FU119" si="85">IF(EP88="","",SUM(EP88:FT88))</f>
        <v>3.0752580887642362</v>
      </c>
      <c r="FV88" s="149"/>
      <c r="FY88" s="211">
        <v>83</v>
      </c>
      <c r="FZ88">
        <v>7.1945389608944694</v>
      </c>
      <c r="GA88">
        <v>35.988599052478754</v>
      </c>
      <c r="GB88">
        <v>49.69690928510272</v>
      </c>
      <c r="GC88">
        <v>29.813621354634826</v>
      </c>
      <c r="GD88">
        <v>16.959548680647913</v>
      </c>
      <c r="GE88">
        <v>42.278029352511659</v>
      </c>
      <c r="GF88">
        <v>54.011904154760749</v>
      </c>
      <c r="GG88">
        <v>29.591033543794548</v>
      </c>
      <c r="GH88">
        <v>23.858603833574186</v>
      </c>
      <c r="GI88">
        <v>39.070056850509353</v>
      </c>
      <c r="GJ88"/>
      <c r="GK88"/>
      <c r="GL88"/>
      <c r="GM88"/>
    </row>
    <row r="89" spans="1:195" s="7" customFormat="1">
      <c r="A89" s="115"/>
      <c r="B89" s="76">
        <f ca="1">IF(C89="", "", RAND())</f>
        <v>0.22040621827021845</v>
      </c>
      <c r="C89">
        <v>8</v>
      </c>
      <c r="D89">
        <v>39646</v>
      </c>
      <c r="E89">
        <v>0</v>
      </c>
      <c r="F89">
        <v>0</v>
      </c>
      <c r="G89">
        <v>20.833333333333332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 s="2"/>
      <c r="AK89" s="80"/>
      <c r="AL89" s="74"/>
      <c r="AM89" s="43">
        <v>73</v>
      </c>
      <c r="AN89">
        <v>347.28040690553684</v>
      </c>
      <c r="AO89">
        <v>106.23561506756589</v>
      </c>
      <c r="AP89">
        <v>791.43234593601369</v>
      </c>
      <c r="AQ89">
        <v>574.84053987885068</v>
      </c>
      <c r="AR89">
        <v>94.443105742580599</v>
      </c>
      <c r="AS89">
        <v>788.85900960276547</v>
      </c>
      <c r="AT89">
        <v>49.593130627094915</v>
      </c>
      <c r="AU89">
        <v>100.60178345444517</v>
      </c>
      <c r="AV89"/>
      <c r="AW89"/>
      <c r="AX89" s="150"/>
      <c r="AY89" s="76">
        <f t="shared" ref="AY89:AY149" ca="1" si="86">IF(AZ89="", "", RAND())</f>
        <v>0.35288440489999662</v>
      </c>
      <c r="AZ89">
        <v>2</v>
      </c>
      <c r="BA89" s="129">
        <f t="shared" ref="BA89:BA97" si="87">IF(AZ89="", "",$C$4)</f>
        <v>39646</v>
      </c>
      <c r="BB89">
        <v>0</v>
      </c>
      <c r="BC89">
        <v>0</v>
      </c>
      <c r="BD89">
        <v>0</v>
      </c>
      <c r="BE89">
        <v>0</v>
      </c>
      <c r="BF89">
        <v>0</v>
      </c>
      <c r="BG89">
        <v>0</v>
      </c>
      <c r="BH89">
        <v>0</v>
      </c>
      <c r="BI89">
        <v>0</v>
      </c>
      <c r="BJ89">
        <v>0</v>
      </c>
      <c r="BK89">
        <v>0</v>
      </c>
      <c r="BL89">
        <v>0</v>
      </c>
      <c r="BM89">
        <v>0</v>
      </c>
      <c r="BN89">
        <v>0</v>
      </c>
      <c r="BO89">
        <v>0</v>
      </c>
      <c r="BP89">
        <v>0</v>
      </c>
      <c r="BQ89">
        <v>0</v>
      </c>
      <c r="BR89">
        <v>0</v>
      </c>
      <c r="BS89">
        <v>0</v>
      </c>
      <c r="BT89">
        <v>0</v>
      </c>
      <c r="BU89">
        <v>0</v>
      </c>
      <c r="BV89">
        <v>0</v>
      </c>
      <c r="BW89">
        <v>0</v>
      </c>
      <c r="BX89">
        <v>0</v>
      </c>
      <c r="BY89">
        <v>0</v>
      </c>
      <c r="BZ89">
        <v>0</v>
      </c>
      <c r="CA89">
        <v>0</v>
      </c>
      <c r="CB89">
        <v>0</v>
      </c>
      <c r="CC89">
        <v>0</v>
      </c>
      <c r="CD89">
        <v>0</v>
      </c>
      <c r="CE89">
        <v>0</v>
      </c>
      <c r="CF89">
        <v>0</v>
      </c>
      <c r="CG89" s="147"/>
      <c r="CH89" s="176"/>
      <c r="CJ89" s="150"/>
      <c r="CK89" s="76">
        <f t="shared" ref="CK89:CK152" ca="1" si="88">IF(AZ89="", "", RAND())</f>
        <v>0.69947101807381906</v>
      </c>
      <c r="CL89" s="179">
        <f t="shared" ref="CL89:CL152" si="89">IF(AZ89="", "", AZ89)</f>
        <v>2</v>
      </c>
      <c r="CM89" s="180">
        <f t="shared" ref="CM89:CM152" si="90">IF(AZ89="", "", BA89)</f>
        <v>39646</v>
      </c>
      <c r="CN89">
        <v>0</v>
      </c>
      <c r="CO89">
        <v>0</v>
      </c>
      <c r="CP89">
        <v>0</v>
      </c>
      <c r="CQ89">
        <v>0</v>
      </c>
      <c r="CR89">
        <v>0</v>
      </c>
      <c r="CS89">
        <v>0</v>
      </c>
      <c r="CT89">
        <v>0</v>
      </c>
      <c r="CU89">
        <v>0</v>
      </c>
      <c r="CW89">
        <v>1</v>
      </c>
      <c r="CX89">
        <f>2/1</f>
        <v>2</v>
      </c>
      <c r="CY89" s="158"/>
      <c r="CZ89" s="177">
        <f t="shared" ref="CZ89:CZ152" si="91">IF(AZ89="", "", $G$15)</f>
        <v>9.6000000000000002E-2</v>
      </c>
      <c r="DB89" s="150"/>
      <c r="DC89" s="76">
        <f t="shared" ca="1" si="49"/>
        <v>0.10125897412506824</v>
      </c>
      <c r="DD89">
        <f t="shared" ref="DD89:DD152" si="92">IF(AZ89="", "", AZ89)</f>
        <v>2</v>
      </c>
      <c r="DE89" s="129">
        <f t="shared" si="50"/>
        <v>39646</v>
      </c>
      <c r="DF89" s="161">
        <f t="shared" ref="DF89:DF152" si="93">IF($AZ89="", "", ((BB89*$CW89)+(CN89*$CX89))/$CZ89)</f>
        <v>0</v>
      </c>
      <c r="DG89" s="161">
        <f t="shared" ref="DG89:DG152" si="94">IF($AZ89="", "", ((BC89*$CW89)+(CO89*$CX89))/$CZ89)</f>
        <v>0</v>
      </c>
      <c r="DH89" s="161">
        <f t="shared" ref="DH89:DH152" si="95">IF($AZ89="", "", ((BD89*$CW89)+(CP89*$CX89))/$CZ89)</f>
        <v>0</v>
      </c>
      <c r="DI89" s="161">
        <f t="shared" ref="DI89:DI152" si="96">IF($AZ89="", "", ((BE89*$CW89)+(CQ89*$CX89))/$CZ89)</f>
        <v>0</v>
      </c>
      <c r="DJ89" s="161">
        <f t="shared" ref="DJ89:DJ152" si="97">IF($AZ89="", "", ((BF89*$CW89)+(CR89*$CX89))/$CZ89)</f>
        <v>0</v>
      </c>
      <c r="DK89" s="161">
        <f t="shared" ref="DK89:DK152" si="98">IF($AZ89="", "", ((BG89*$CW89)+(CS89*$CX89))/$CZ89)</f>
        <v>0</v>
      </c>
      <c r="DL89" s="161">
        <f t="shared" ref="DL89:DL152" si="99">IF($AZ89="", "", ((BH89*$CW89)+(CT89*$CX89))/$CZ89)</f>
        <v>0</v>
      </c>
      <c r="DM89" s="161">
        <f t="shared" ref="DM89:DM152" si="100">IF($AZ89="", "", ((BI89*$CW89)+(CU89*$CX89))/$CZ89)</f>
        <v>0</v>
      </c>
      <c r="DN89" s="161">
        <f t="shared" ref="DN89:DN152" si="101">IF($AZ89="", "", (BJ89*$CW89)/$CZ89)</f>
        <v>0</v>
      </c>
      <c r="DO89" s="161">
        <f t="shared" ref="DO89:DO152" si="102">IF($AZ89="", "", (BK89*$CW89)/$CZ89)</f>
        <v>0</v>
      </c>
      <c r="DP89" s="161">
        <f t="shared" ref="DP89:DP152" si="103">IF($AZ89="", "", (BL89*$CW89)/$CZ89)</f>
        <v>0</v>
      </c>
      <c r="DQ89" s="161">
        <f t="shared" ref="DQ89:DQ152" si="104">IF($AZ89="", "", (BM89*$CW89)/$CZ89)</f>
        <v>0</v>
      </c>
      <c r="DR89" s="161">
        <f t="shared" ref="DR89:DR152" si="105">IF($AZ89="", "", (BN89*$CW89)/$CZ89)</f>
        <v>0</v>
      </c>
      <c r="DS89" s="161">
        <f t="shared" ref="DS89:DS152" si="106">IF($AZ89="", "", (BO89*$CW89)/$CZ89)</f>
        <v>0</v>
      </c>
      <c r="DT89" s="161">
        <f t="shared" ref="DT89:DT152" si="107">IF($AZ89="", "", (BP89*$CW89)/$CZ89)</f>
        <v>0</v>
      </c>
      <c r="DU89" s="161">
        <f t="shared" ref="DU89:DU152" si="108">IF($AZ89="", "", (BQ89*$CW89)/$CZ89)</f>
        <v>0</v>
      </c>
      <c r="DV89" s="161">
        <f t="shared" ref="DV89:DV152" si="109">IF($AZ89="", "", (BR89*$CW89)/$CZ89)</f>
        <v>0</v>
      </c>
      <c r="DW89" s="161">
        <f t="shared" ref="DW89:DW152" si="110">IF($AZ89="", "", (BS89*$CW89)/$CZ89)</f>
        <v>0</v>
      </c>
      <c r="DX89" s="161">
        <f t="shared" ref="DX89:DX152" si="111">IF($AZ89="", "", (BT89*$CW89)/$CZ89)</f>
        <v>0</v>
      </c>
      <c r="DY89" s="161">
        <f t="shared" ref="DY89:DY152" si="112">IF($AZ89="", "", (BU89*$CW89)/$CZ89)</f>
        <v>0</v>
      </c>
      <c r="DZ89" s="161">
        <f t="shared" ref="DZ89:DZ152" si="113">IF($AZ89="", "", (BV89*$CW89)/$CZ89)</f>
        <v>0</v>
      </c>
      <c r="EA89" s="161">
        <f t="shared" ref="EA89:EA152" si="114">IF($AZ89="", "", (BW89*$CW89)/$CZ89)</f>
        <v>0</v>
      </c>
      <c r="EB89" s="161">
        <f t="shared" ref="EB89:EB152" si="115">IF($AZ89="", "", (BX89*$CW89)/$CZ89)</f>
        <v>0</v>
      </c>
      <c r="EC89" s="161">
        <f t="shared" ref="EC89:EC152" si="116">IF($AZ89="", "", (BY89*$CW89)/$CZ89)</f>
        <v>0</v>
      </c>
      <c r="ED89" s="161">
        <f t="shared" ref="ED89:ED152" si="117">IF($AZ89="", "", (BZ89*$CW89)/$CZ89)</f>
        <v>0</v>
      </c>
      <c r="EE89" s="161">
        <f t="shared" ref="EE89:EE152" si="118">IF($AZ89="", "", (CA89*$CW89)/$CZ89)</f>
        <v>0</v>
      </c>
      <c r="EF89" s="161">
        <f t="shared" ref="EF89:EF152" si="119">IF($AZ89="", "", (CB89*$CW89)/$CZ89)</f>
        <v>0</v>
      </c>
      <c r="EG89" s="161">
        <f t="shared" ref="EG89:EG152" si="120">IF($AZ89="", "", (CC89*$CW89)/$CZ89)</f>
        <v>0</v>
      </c>
      <c r="EH89" s="161">
        <f t="shared" ref="EH89:EH152" si="121">IF($AZ89="", "", (CD89*$CW89)/$CZ89)</f>
        <v>0</v>
      </c>
      <c r="EI89" s="161">
        <f t="shared" ref="EI89:EI152" si="122">IF($AZ89="", "", (CE89*$CW89)/$CZ89)</f>
        <v>0</v>
      </c>
      <c r="EJ89" s="161">
        <f t="shared" ref="EJ89:EJ152" si="123">IF($AZ89="", "", (CF89*$CW89)/$CZ89)</f>
        <v>0</v>
      </c>
      <c r="EK89" s="147">
        <f t="shared" si="53"/>
        <v>0</v>
      </c>
      <c r="EL89" s="149"/>
      <c r="EN89" s="150"/>
      <c r="EO89" s="150"/>
      <c r="EP89" s="139">
        <f t="shared" si="54"/>
        <v>0</v>
      </c>
      <c r="EQ89" s="139">
        <f t="shared" si="55"/>
        <v>0</v>
      </c>
      <c r="ER89" s="139">
        <f t="shared" si="56"/>
        <v>0</v>
      </c>
      <c r="ES89" s="139">
        <f t="shared" si="57"/>
        <v>0</v>
      </c>
      <c r="ET89" s="139">
        <f t="shared" si="58"/>
        <v>0</v>
      </c>
      <c r="EU89" s="139">
        <f t="shared" si="59"/>
        <v>0</v>
      </c>
      <c r="EV89" s="139">
        <f t="shared" si="60"/>
        <v>0</v>
      </c>
      <c r="EW89" s="139">
        <f t="shared" si="61"/>
        <v>0</v>
      </c>
      <c r="EX89" s="139">
        <f t="shared" si="62"/>
        <v>0</v>
      </c>
      <c r="EY89" s="139">
        <f t="shared" si="63"/>
        <v>0</v>
      </c>
      <c r="EZ89" s="139">
        <f t="shared" si="64"/>
        <v>0</v>
      </c>
      <c r="FA89" s="139">
        <f t="shared" si="65"/>
        <v>0</v>
      </c>
      <c r="FB89" s="139">
        <f t="shared" si="66"/>
        <v>0</v>
      </c>
      <c r="FC89" s="139">
        <f t="shared" si="67"/>
        <v>0</v>
      </c>
      <c r="FD89" s="139">
        <f t="shared" si="68"/>
        <v>0</v>
      </c>
      <c r="FE89" s="139">
        <f t="shared" si="69"/>
        <v>0</v>
      </c>
      <c r="FF89" s="139">
        <f t="shared" si="70"/>
        <v>0</v>
      </c>
      <c r="FG89" s="139">
        <f t="shared" si="71"/>
        <v>0</v>
      </c>
      <c r="FH89" s="139">
        <f t="shared" si="72"/>
        <v>0</v>
      </c>
      <c r="FI89" s="139">
        <f t="shared" si="73"/>
        <v>0</v>
      </c>
      <c r="FJ89" s="139">
        <f t="shared" si="74"/>
        <v>0</v>
      </c>
      <c r="FK89" s="139">
        <f t="shared" si="75"/>
        <v>0</v>
      </c>
      <c r="FL89" s="139">
        <f t="shared" si="76"/>
        <v>0</v>
      </c>
      <c r="FM89" s="139">
        <f t="shared" si="77"/>
        <v>0</v>
      </c>
      <c r="FN89" s="139">
        <f t="shared" si="78"/>
        <v>0</v>
      </c>
      <c r="FO89" s="139">
        <f t="shared" si="79"/>
        <v>0</v>
      </c>
      <c r="FP89" s="139">
        <f t="shared" si="80"/>
        <v>0</v>
      </c>
      <c r="FQ89" s="139">
        <f t="shared" si="81"/>
        <v>0</v>
      </c>
      <c r="FR89" s="139">
        <f t="shared" si="82"/>
        <v>0</v>
      </c>
      <c r="FS89" s="139">
        <f t="shared" si="83"/>
        <v>0</v>
      </c>
      <c r="FT89" s="139">
        <f t="shared" si="84"/>
        <v>0</v>
      </c>
      <c r="FU89" s="148">
        <f t="shared" si="85"/>
        <v>0</v>
      </c>
      <c r="FV89" s="149"/>
      <c r="FY89" s="211">
        <v>84</v>
      </c>
      <c r="FZ89">
        <v>20.325331145260446</v>
      </c>
      <c r="GA89">
        <v>61.312887860825015</v>
      </c>
      <c r="GB89">
        <v>49.286980691892637</v>
      </c>
      <c r="GC89">
        <v>31.41297728718272</v>
      </c>
      <c r="GD89">
        <v>17.581806908844563</v>
      </c>
      <c r="GE89">
        <v>29.142330564520158</v>
      </c>
      <c r="GF89">
        <v>83.616161513584316</v>
      </c>
      <c r="GG89">
        <v>74.740835441893537</v>
      </c>
      <c r="GH89">
        <v>33.923559211048051</v>
      </c>
      <c r="GI89">
        <v>49.972412700795374</v>
      </c>
      <c r="GJ89"/>
      <c r="GK89"/>
      <c r="GL89"/>
      <c r="GM89"/>
    </row>
    <row r="90" spans="1:195" s="7" customFormat="1">
      <c r="A90" s="115"/>
      <c r="B90" s="76">
        <f ca="1">IF(C90="", "", RAND())</f>
        <v>0.66796403728668596</v>
      </c>
      <c r="C90">
        <v>9</v>
      </c>
      <c r="D90">
        <v>39646</v>
      </c>
      <c r="E90">
        <v>0</v>
      </c>
      <c r="F90">
        <v>10.416666666666666</v>
      </c>
      <c r="G90">
        <v>10.416666666666666</v>
      </c>
      <c r="H90">
        <v>20.833333333333332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 s="2"/>
      <c r="AK90" s="80"/>
      <c r="AL90" s="74"/>
      <c r="AM90" s="43">
        <v>74</v>
      </c>
      <c r="AN90">
        <v>260.69053160542973</v>
      </c>
      <c r="AO90">
        <v>78.764852282273168</v>
      </c>
      <c r="AP90">
        <v>574.96325096187434</v>
      </c>
      <c r="AQ90">
        <v>427.03000917349306</v>
      </c>
      <c r="AR90">
        <v>72.386585955084868</v>
      </c>
      <c r="AS90">
        <v>637.83187253424035</v>
      </c>
      <c r="AT90">
        <v>38.838971050467144</v>
      </c>
      <c r="AU90">
        <v>94.773811776917128</v>
      </c>
      <c r="AV90"/>
      <c r="AW90"/>
      <c r="AX90" s="150"/>
      <c r="AY90" s="76">
        <f t="shared" ca="1" si="86"/>
        <v>0.10571871972153435</v>
      </c>
      <c r="AZ90">
        <v>3</v>
      </c>
      <c r="BA90" s="129">
        <f t="shared" si="87"/>
        <v>39646</v>
      </c>
      <c r="BB90">
        <v>0</v>
      </c>
      <c r="BC90">
        <v>0</v>
      </c>
      <c r="BD90">
        <v>0</v>
      </c>
      <c r="BE90">
        <v>0</v>
      </c>
      <c r="BF90">
        <v>0</v>
      </c>
      <c r="BG90">
        <v>0</v>
      </c>
      <c r="BH90">
        <v>0</v>
      </c>
      <c r="BI90">
        <v>0</v>
      </c>
      <c r="BJ90">
        <v>0</v>
      </c>
      <c r="BK90">
        <v>0</v>
      </c>
      <c r="BL90">
        <v>0</v>
      </c>
      <c r="BM90">
        <v>0</v>
      </c>
      <c r="BN90">
        <v>0</v>
      </c>
      <c r="BO90">
        <v>0</v>
      </c>
      <c r="BP90">
        <v>0</v>
      </c>
      <c r="BQ90">
        <v>0</v>
      </c>
      <c r="BR90">
        <v>0</v>
      </c>
      <c r="BS90">
        <v>0</v>
      </c>
      <c r="BT90">
        <v>0</v>
      </c>
      <c r="BU90">
        <v>0</v>
      </c>
      <c r="BV90">
        <v>0</v>
      </c>
      <c r="BW90">
        <v>0</v>
      </c>
      <c r="BX90">
        <v>0</v>
      </c>
      <c r="BY90">
        <v>0</v>
      </c>
      <c r="BZ90">
        <v>0</v>
      </c>
      <c r="CA90">
        <v>0</v>
      </c>
      <c r="CB90">
        <v>0</v>
      </c>
      <c r="CC90">
        <v>0</v>
      </c>
      <c r="CD90">
        <v>0</v>
      </c>
      <c r="CE90">
        <v>0</v>
      </c>
      <c r="CF90">
        <v>0</v>
      </c>
      <c r="CG90" s="147"/>
      <c r="CH90" s="176"/>
      <c r="CJ90" s="150"/>
      <c r="CK90" s="76">
        <f t="shared" ca="1" si="88"/>
        <v>0.28798038645609791</v>
      </c>
      <c r="CL90" s="179">
        <f t="shared" si="89"/>
        <v>3</v>
      </c>
      <c r="CM90" s="180">
        <f t="shared" si="90"/>
        <v>39646</v>
      </c>
      <c r="CN90">
        <v>0</v>
      </c>
      <c r="CO90">
        <v>2</v>
      </c>
      <c r="CP90">
        <v>0</v>
      </c>
      <c r="CQ90">
        <v>0</v>
      </c>
      <c r="CR90">
        <v>0</v>
      </c>
      <c r="CS90">
        <v>0</v>
      </c>
      <c r="CT90">
        <v>0</v>
      </c>
      <c r="CU90">
        <v>0</v>
      </c>
      <c r="CW90">
        <v>1</v>
      </c>
      <c r="CX90">
        <v>1</v>
      </c>
      <c r="CY90" s="158"/>
      <c r="CZ90" s="177">
        <f t="shared" si="91"/>
        <v>9.6000000000000002E-2</v>
      </c>
      <c r="DB90" s="150"/>
      <c r="DC90" s="76">
        <f t="shared" ca="1" si="49"/>
        <v>0.36908244957350544</v>
      </c>
      <c r="DD90">
        <f t="shared" si="92"/>
        <v>3</v>
      </c>
      <c r="DE90" s="129">
        <f t="shared" si="50"/>
        <v>39646</v>
      </c>
      <c r="DF90" s="161">
        <f t="shared" si="93"/>
        <v>0</v>
      </c>
      <c r="DG90" s="161">
        <f t="shared" si="94"/>
        <v>20.833333333333332</v>
      </c>
      <c r="DH90" s="161">
        <f t="shared" si="95"/>
        <v>0</v>
      </c>
      <c r="DI90" s="161">
        <f t="shared" si="96"/>
        <v>0</v>
      </c>
      <c r="DJ90" s="161">
        <f t="shared" si="97"/>
        <v>0</v>
      </c>
      <c r="DK90" s="161">
        <f t="shared" si="98"/>
        <v>0</v>
      </c>
      <c r="DL90" s="161">
        <f t="shared" si="99"/>
        <v>0</v>
      </c>
      <c r="DM90" s="161">
        <f t="shared" si="100"/>
        <v>0</v>
      </c>
      <c r="DN90" s="161">
        <f t="shared" si="101"/>
        <v>0</v>
      </c>
      <c r="DO90" s="161">
        <f t="shared" si="102"/>
        <v>0</v>
      </c>
      <c r="DP90" s="161">
        <f t="shared" si="103"/>
        <v>0</v>
      </c>
      <c r="DQ90" s="161">
        <f t="shared" si="104"/>
        <v>0</v>
      </c>
      <c r="DR90" s="161">
        <f t="shared" si="105"/>
        <v>0</v>
      </c>
      <c r="DS90" s="161">
        <f t="shared" si="106"/>
        <v>0</v>
      </c>
      <c r="DT90" s="161">
        <f t="shared" si="107"/>
        <v>0</v>
      </c>
      <c r="DU90" s="161">
        <f t="shared" si="108"/>
        <v>0</v>
      </c>
      <c r="DV90" s="161">
        <f t="shared" si="109"/>
        <v>0</v>
      </c>
      <c r="DW90" s="161">
        <f t="shared" si="110"/>
        <v>0</v>
      </c>
      <c r="DX90" s="161">
        <f t="shared" si="111"/>
        <v>0</v>
      </c>
      <c r="DY90" s="161">
        <f t="shared" si="112"/>
        <v>0</v>
      </c>
      <c r="DZ90" s="161">
        <f t="shared" si="113"/>
        <v>0</v>
      </c>
      <c r="EA90" s="161">
        <f t="shared" si="114"/>
        <v>0</v>
      </c>
      <c r="EB90" s="161">
        <f t="shared" si="115"/>
        <v>0</v>
      </c>
      <c r="EC90" s="161">
        <f t="shared" si="116"/>
        <v>0</v>
      </c>
      <c r="ED90" s="161">
        <f t="shared" si="117"/>
        <v>0</v>
      </c>
      <c r="EE90" s="161">
        <f t="shared" si="118"/>
        <v>0</v>
      </c>
      <c r="EF90" s="161">
        <f t="shared" si="119"/>
        <v>0</v>
      </c>
      <c r="EG90" s="161">
        <f t="shared" si="120"/>
        <v>0</v>
      </c>
      <c r="EH90" s="161">
        <f t="shared" si="121"/>
        <v>0</v>
      </c>
      <c r="EI90" s="161">
        <f t="shared" si="122"/>
        <v>0</v>
      </c>
      <c r="EJ90" s="161">
        <f t="shared" si="123"/>
        <v>0</v>
      </c>
      <c r="EK90" s="147">
        <f t="shared" si="53"/>
        <v>20.833333333333332</v>
      </c>
      <c r="EL90" s="149"/>
      <c r="EN90" s="150"/>
      <c r="EO90" s="150"/>
      <c r="EP90" s="139">
        <f t="shared" si="54"/>
        <v>0</v>
      </c>
      <c r="EQ90" s="139">
        <f t="shared" si="55"/>
        <v>0.20557083333333331</v>
      </c>
      <c r="ER90" s="139">
        <f t="shared" si="56"/>
        <v>0</v>
      </c>
      <c r="ES90" s="139">
        <f t="shared" si="57"/>
        <v>0</v>
      </c>
      <c r="ET90" s="139">
        <f t="shared" si="58"/>
        <v>0</v>
      </c>
      <c r="EU90" s="139">
        <f t="shared" si="59"/>
        <v>0</v>
      </c>
      <c r="EV90" s="139">
        <f t="shared" si="60"/>
        <v>0</v>
      </c>
      <c r="EW90" s="139">
        <f t="shared" si="61"/>
        <v>0</v>
      </c>
      <c r="EX90" s="139">
        <f t="shared" si="62"/>
        <v>0</v>
      </c>
      <c r="EY90" s="139">
        <f t="shared" si="63"/>
        <v>0</v>
      </c>
      <c r="EZ90" s="139">
        <f t="shared" si="64"/>
        <v>0</v>
      </c>
      <c r="FA90" s="139">
        <f t="shared" si="65"/>
        <v>0</v>
      </c>
      <c r="FB90" s="139">
        <f t="shared" si="66"/>
        <v>0</v>
      </c>
      <c r="FC90" s="139">
        <f t="shared" si="67"/>
        <v>0</v>
      </c>
      <c r="FD90" s="139">
        <f t="shared" si="68"/>
        <v>0</v>
      </c>
      <c r="FE90" s="139">
        <f t="shared" si="69"/>
        <v>0</v>
      </c>
      <c r="FF90" s="139">
        <f t="shared" si="70"/>
        <v>0</v>
      </c>
      <c r="FG90" s="139">
        <f t="shared" si="71"/>
        <v>0</v>
      </c>
      <c r="FH90" s="139">
        <f t="shared" si="72"/>
        <v>0</v>
      </c>
      <c r="FI90" s="139">
        <f t="shared" si="73"/>
        <v>0</v>
      </c>
      <c r="FJ90" s="139">
        <f t="shared" si="74"/>
        <v>0</v>
      </c>
      <c r="FK90" s="139">
        <f t="shared" si="75"/>
        <v>0</v>
      </c>
      <c r="FL90" s="139">
        <f t="shared" si="76"/>
        <v>0</v>
      </c>
      <c r="FM90" s="139">
        <f t="shared" si="77"/>
        <v>0</v>
      </c>
      <c r="FN90" s="139">
        <f t="shared" si="78"/>
        <v>0</v>
      </c>
      <c r="FO90" s="139">
        <f t="shared" si="79"/>
        <v>0</v>
      </c>
      <c r="FP90" s="139">
        <f t="shared" si="80"/>
        <v>0</v>
      </c>
      <c r="FQ90" s="139">
        <f t="shared" si="81"/>
        <v>0</v>
      </c>
      <c r="FR90" s="139">
        <f t="shared" si="82"/>
        <v>0</v>
      </c>
      <c r="FS90" s="139">
        <f t="shared" si="83"/>
        <v>0</v>
      </c>
      <c r="FT90" s="139">
        <f t="shared" si="84"/>
        <v>0</v>
      </c>
      <c r="FU90" s="148">
        <f t="shared" si="85"/>
        <v>0.20557083333333331</v>
      </c>
      <c r="FV90" s="149"/>
      <c r="FY90" s="211">
        <v>85</v>
      </c>
      <c r="FZ90">
        <v>26.312658050852821</v>
      </c>
      <c r="GA90">
        <v>52.091769674591575</v>
      </c>
      <c r="GB90">
        <v>72.563361967435426</v>
      </c>
      <c r="GC90">
        <v>44.691053200019986</v>
      </c>
      <c r="GD90">
        <v>24.52602593247434</v>
      </c>
      <c r="GE90">
        <v>55.865177948057294</v>
      </c>
      <c r="GF90">
        <v>56.894283040793653</v>
      </c>
      <c r="GG90">
        <v>30.166006514382339</v>
      </c>
      <c r="GH90">
        <v>19.376527521140538</v>
      </c>
      <c r="GI90">
        <v>52.456156815638593</v>
      </c>
      <c r="GJ90"/>
      <c r="GK90"/>
      <c r="GL90"/>
      <c r="GM90"/>
    </row>
    <row r="91" spans="1:195" s="7" customFormat="1">
      <c r="A91" s="77"/>
      <c r="B91" s="76">
        <f ca="1">IF(C91="", "", RAND())</f>
        <v>0.21530619398232087</v>
      </c>
      <c r="C91">
        <v>10</v>
      </c>
      <c r="D91">
        <v>39646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 s="2"/>
      <c r="AK91" s="80"/>
      <c r="AL91" s="74"/>
      <c r="AM91" s="43">
        <v>75</v>
      </c>
      <c r="AN91">
        <v>250.97446229994816</v>
      </c>
      <c r="AO91">
        <v>87.025821512835563</v>
      </c>
      <c r="AP91">
        <v>624.48598450548548</v>
      </c>
      <c r="AQ91">
        <v>475.65767803812867</v>
      </c>
      <c r="AR91">
        <v>78.451572579158253</v>
      </c>
      <c r="AS91">
        <v>662.41532655725405</v>
      </c>
      <c r="AT91">
        <v>43.679077801936138</v>
      </c>
      <c r="AU91">
        <v>50.933324873591388</v>
      </c>
      <c r="AV91"/>
      <c r="AW91"/>
      <c r="AX91" s="151"/>
      <c r="AY91" s="76">
        <f t="shared" ca="1" si="86"/>
        <v>0.94234740829661501</v>
      </c>
      <c r="AZ91">
        <v>4</v>
      </c>
      <c r="BA91" s="129">
        <f t="shared" si="87"/>
        <v>39646</v>
      </c>
      <c r="BB91">
        <v>0</v>
      </c>
      <c r="BC91">
        <v>0</v>
      </c>
      <c r="BD91">
        <v>0</v>
      </c>
      <c r="BE91">
        <v>0</v>
      </c>
      <c r="BF91">
        <v>0</v>
      </c>
      <c r="BG91">
        <v>0</v>
      </c>
      <c r="BH91">
        <v>0</v>
      </c>
      <c r="BI91">
        <v>0</v>
      </c>
      <c r="BJ91">
        <v>0</v>
      </c>
      <c r="BK91">
        <v>0</v>
      </c>
      <c r="BL91">
        <v>0</v>
      </c>
      <c r="BM91">
        <v>0</v>
      </c>
      <c r="BN91">
        <v>0</v>
      </c>
      <c r="BO91">
        <v>0</v>
      </c>
      <c r="BP91">
        <v>0</v>
      </c>
      <c r="BQ91">
        <v>0</v>
      </c>
      <c r="BR91">
        <v>0</v>
      </c>
      <c r="BS91">
        <v>0</v>
      </c>
      <c r="BT91">
        <v>0</v>
      </c>
      <c r="BU91">
        <v>0</v>
      </c>
      <c r="BV91">
        <v>0</v>
      </c>
      <c r="BW91">
        <v>0</v>
      </c>
      <c r="BX91">
        <v>0</v>
      </c>
      <c r="BY91">
        <v>0</v>
      </c>
      <c r="BZ91">
        <v>0</v>
      </c>
      <c r="CA91">
        <v>0</v>
      </c>
      <c r="CB91">
        <v>0</v>
      </c>
      <c r="CC91">
        <v>0</v>
      </c>
      <c r="CD91">
        <v>0</v>
      </c>
      <c r="CE91">
        <v>0</v>
      </c>
      <c r="CF91">
        <v>0</v>
      </c>
      <c r="CG91" s="147"/>
      <c r="CH91" s="176"/>
      <c r="CJ91" s="151"/>
      <c r="CK91" s="76">
        <f t="shared" ca="1" si="88"/>
        <v>0.48576191840638394</v>
      </c>
      <c r="CL91" s="179">
        <f t="shared" si="89"/>
        <v>4</v>
      </c>
      <c r="CM91" s="180">
        <f t="shared" si="90"/>
        <v>39646</v>
      </c>
      <c r="CN91">
        <v>0</v>
      </c>
      <c r="CO91">
        <v>0</v>
      </c>
      <c r="CP91">
        <v>1</v>
      </c>
      <c r="CQ91">
        <v>0</v>
      </c>
      <c r="CR91">
        <v>0</v>
      </c>
      <c r="CS91">
        <v>0</v>
      </c>
      <c r="CT91">
        <v>0</v>
      </c>
      <c r="CU91">
        <v>0</v>
      </c>
      <c r="CW91">
        <v>1</v>
      </c>
      <c r="CX91">
        <v>1</v>
      </c>
      <c r="CY91" s="158"/>
      <c r="CZ91" s="177">
        <f t="shared" si="91"/>
        <v>9.6000000000000002E-2</v>
      </c>
      <c r="DB91" s="151"/>
      <c r="DC91" s="76">
        <f t="shared" ca="1" si="49"/>
        <v>2.4654443796512382E-3</v>
      </c>
      <c r="DD91">
        <f t="shared" si="92"/>
        <v>4</v>
      </c>
      <c r="DE91" s="129">
        <f t="shared" si="50"/>
        <v>39646</v>
      </c>
      <c r="DF91" s="161">
        <f t="shared" si="93"/>
        <v>0</v>
      </c>
      <c r="DG91" s="161">
        <f t="shared" si="94"/>
        <v>0</v>
      </c>
      <c r="DH91" s="161">
        <f t="shared" si="95"/>
        <v>10.416666666666666</v>
      </c>
      <c r="DI91" s="161">
        <f t="shared" si="96"/>
        <v>0</v>
      </c>
      <c r="DJ91" s="161">
        <f t="shared" si="97"/>
        <v>0</v>
      </c>
      <c r="DK91" s="161">
        <f t="shared" si="98"/>
        <v>0</v>
      </c>
      <c r="DL91" s="161">
        <f t="shared" si="99"/>
        <v>0</v>
      </c>
      <c r="DM91" s="161">
        <f t="shared" si="100"/>
        <v>0</v>
      </c>
      <c r="DN91" s="161">
        <f t="shared" si="101"/>
        <v>0</v>
      </c>
      <c r="DO91" s="161">
        <f t="shared" si="102"/>
        <v>0</v>
      </c>
      <c r="DP91" s="161">
        <f t="shared" si="103"/>
        <v>0</v>
      </c>
      <c r="DQ91" s="161">
        <f t="shared" si="104"/>
        <v>0</v>
      </c>
      <c r="DR91" s="161">
        <f t="shared" si="105"/>
        <v>0</v>
      </c>
      <c r="DS91" s="161">
        <f t="shared" si="106"/>
        <v>0</v>
      </c>
      <c r="DT91" s="161">
        <f t="shared" si="107"/>
        <v>0</v>
      </c>
      <c r="DU91" s="161">
        <f t="shared" si="108"/>
        <v>0</v>
      </c>
      <c r="DV91" s="161">
        <f t="shared" si="109"/>
        <v>0</v>
      </c>
      <c r="DW91" s="161">
        <f t="shared" si="110"/>
        <v>0</v>
      </c>
      <c r="DX91" s="161">
        <f t="shared" si="111"/>
        <v>0</v>
      </c>
      <c r="DY91" s="161">
        <f t="shared" si="112"/>
        <v>0</v>
      </c>
      <c r="DZ91" s="161">
        <f t="shared" si="113"/>
        <v>0</v>
      </c>
      <c r="EA91" s="161">
        <f t="shared" si="114"/>
        <v>0</v>
      </c>
      <c r="EB91" s="161">
        <f t="shared" si="115"/>
        <v>0</v>
      </c>
      <c r="EC91" s="161">
        <f t="shared" si="116"/>
        <v>0</v>
      </c>
      <c r="ED91" s="161">
        <f t="shared" si="117"/>
        <v>0</v>
      </c>
      <c r="EE91" s="161">
        <f t="shared" si="118"/>
        <v>0</v>
      </c>
      <c r="EF91" s="161">
        <f t="shared" si="119"/>
        <v>0</v>
      </c>
      <c r="EG91" s="161">
        <f t="shared" si="120"/>
        <v>0</v>
      </c>
      <c r="EH91" s="161">
        <f t="shared" si="121"/>
        <v>0</v>
      </c>
      <c r="EI91" s="161">
        <f t="shared" si="122"/>
        <v>0</v>
      </c>
      <c r="EJ91" s="161">
        <f t="shared" si="123"/>
        <v>0</v>
      </c>
      <c r="EK91" s="147">
        <f t="shared" si="53"/>
        <v>10.416666666666666</v>
      </c>
      <c r="EL91" s="149"/>
      <c r="EN91" s="151"/>
      <c r="EO91" s="151"/>
      <c r="EP91" s="139">
        <f t="shared" si="54"/>
        <v>0</v>
      </c>
      <c r="EQ91" s="139">
        <f t="shared" si="55"/>
        <v>0</v>
      </c>
      <c r="ER91" s="139">
        <f t="shared" si="56"/>
        <v>0.76881452219105906</v>
      </c>
      <c r="ES91" s="139">
        <f t="shared" si="57"/>
        <v>0</v>
      </c>
      <c r="ET91" s="139">
        <f t="shared" si="58"/>
        <v>0</v>
      </c>
      <c r="EU91" s="139">
        <f t="shared" si="59"/>
        <v>0</v>
      </c>
      <c r="EV91" s="139">
        <f t="shared" si="60"/>
        <v>0</v>
      </c>
      <c r="EW91" s="139">
        <f t="shared" si="61"/>
        <v>0</v>
      </c>
      <c r="EX91" s="139">
        <f t="shared" si="62"/>
        <v>0</v>
      </c>
      <c r="EY91" s="139">
        <f t="shared" si="63"/>
        <v>0</v>
      </c>
      <c r="EZ91" s="139">
        <f t="shared" si="64"/>
        <v>0</v>
      </c>
      <c r="FA91" s="139">
        <f t="shared" si="65"/>
        <v>0</v>
      </c>
      <c r="FB91" s="139">
        <f t="shared" si="66"/>
        <v>0</v>
      </c>
      <c r="FC91" s="139">
        <f t="shared" si="67"/>
        <v>0</v>
      </c>
      <c r="FD91" s="139">
        <f t="shared" si="68"/>
        <v>0</v>
      </c>
      <c r="FE91" s="139">
        <f t="shared" si="69"/>
        <v>0</v>
      </c>
      <c r="FF91" s="139">
        <f t="shared" si="70"/>
        <v>0</v>
      </c>
      <c r="FG91" s="139">
        <f t="shared" si="71"/>
        <v>0</v>
      </c>
      <c r="FH91" s="139">
        <f t="shared" si="72"/>
        <v>0</v>
      </c>
      <c r="FI91" s="139">
        <f t="shared" si="73"/>
        <v>0</v>
      </c>
      <c r="FJ91" s="139">
        <f t="shared" si="74"/>
        <v>0</v>
      </c>
      <c r="FK91" s="139">
        <f t="shared" si="75"/>
        <v>0</v>
      </c>
      <c r="FL91" s="139">
        <f t="shared" si="76"/>
        <v>0</v>
      </c>
      <c r="FM91" s="139">
        <f t="shared" si="77"/>
        <v>0</v>
      </c>
      <c r="FN91" s="139">
        <f t="shared" si="78"/>
        <v>0</v>
      </c>
      <c r="FO91" s="139">
        <f t="shared" si="79"/>
        <v>0</v>
      </c>
      <c r="FP91" s="139">
        <f t="shared" si="80"/>
        <v>0</v>
      </c>
      <c r="FQ91" s="139">
        <f t="shared" si="81"/>
        <v>0</v>
      </c>
      <c r="FR91" s="139">
        <f t="shared" si="82"/>
        <v>0</v>
      </c>
      <c r="FS91" s="139">
        <f t="shared" si="83"/>
        <v>0</v>
      </c>
      <c r="FT91" s="139">
        <f t="shared" si="84"/>
        <v>0</v>
      </c>
      <c r="FU91" s="148">
        <f t="shared" si="85"/>
        <v>0.76881452219105906</v>
      </c>
      <c r="FV91" s="149"/>
      <c r="FY91" s="211">
        <v>86</v>
      </c>
      <c r="FZ91">
        <v>22.312183125342823</v>
      </c>
      <c r="GA91">
        <v>58.212166686881929</v>
      </c>
      <c r="GB91">
        <v>86.57742212664462</v>
      </c>
      <c r="GC91">
        <v>50.305203975231116</v>
      </c>
      <c r="GD91">
        <v>26.55914350347804</v>
      </c>
      <c r="GE91">
        <v>65.64468885540883</v>
      </c>
      <c r="GF91">
        <v>66.664629803885234</v>
      </c>
      <c r="GG91">
        <v>57.181329047316495</v>
      </c>
      <c r="GH91">
        <v>60.401532428030322</v>
      </c>
      <c r="GI91">
        <v>65.17655631700768</v>
      </c>
      <c r="GJ91"/>
      <c r="GK91"/>
      <c r="GL91"/>
      <c r="GM91"/>
    </row>
    <row r="92" spans="1:195" s="7" customFormat="1">
      <c r="A92" s="77"/>
      <c r="B92" s="76">
        <f ca="1">IF(C92="", "", RAND())</f>
        <v>0.35510239959369083</v>
      </c>
      <c r="C92">
        <v>1</v>
      </c>
      <c r="D92">
        <v>39646</v>
      </c>
      <c r="E92">
        <v>0</v>
      </c>
      <c r="F92">
        <v>0</v>
      </c>
      <c r="G92">
        <v>41.666666666666664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 s="2"/>
      <c r="AK92" s="80"/>
      <c r="AL92" s="74"/>
      <c r="AM92" s="43">
        <v>76</v>
      </c>
      <c r="AN92">
        <v>275.34855487623668</v>
      </c>
      <c r="AO92">
        <v>90.173814170226379</v>
      </c>
      <c r="AP92">
        <v>607.14379844857604</v>
      </c>
      <c r="AQ92">
        <v>484.19627785807222</v>
      </c>
      <c r="AR92">
        <v>80.213071844131363</v>
      </c>
      <c r="AS92">
        <v>680.74648516472246</v>
      </c>
      <c r="AT92">
        <v>44.248568496327387</v>
      </c>
      <c r="AU92">
        <v>43.842856015320365</v>
      </c>
      <c r="AV92"/>
      <c r="AW92"/>
      <c r="AX92" s="151"/>
      <c r="AY92" s="76">
        <f t="shared" ca="1" si="86"/>
        <v>0.7860602450302232</v>
      </c>
      <c r="AZ92">
        <v>5</v>
      </c>
      <c r="BA92" s="129">
        <f t="shared" si="87"/>
        <v>39646</v>
      </c>
      <c r="BB92" s="217">
        <v>0</v>
      </c>
      <c r="BC92" s="217">
        <v>0</v>
      </c>
      <c r="BD92" s="217">
        <v>0</v>
      </c>
      <c r="BE92" s="217">
        <v>0</v>
      </c>
      <c r="BF92" s="217">
        <v>0</v>
      </c>
      <c r="BG92" s="217">
        <v>0</v>
      </c>
      <c r="BH92" s="217">
        <v>0</v>
      </c>
      <c r="BI92" s="217">
        <v>0</v>
      </c>
      <c r="BJ92" s="217">
        <v>0</v>
      </c>
      <c r="BK92">
        <v>0</v>
      </c>
      <c r="BL92">
        <v>0</v>
      </c>
      <c r="BM92">
        <v>0</v>
      </c>
      <c r="BN92">
        <v>0</v>
      </c>
      <c r="BO92">
        <v>0</v>
      </c>
      <c r="BP92">
        <v>0</v>
      </c>
      <c r="BQ92">
        <v>0</v>
      </c>
      <c r="BR92">
        <v>0</v>
      </c>
      <c r="BS92">
        <v>0</v>
      </c>
      <c r="BT92">
        <v>0</v>
      </c>
      <c r="BU92">
        <v>0</v>
      </c>
      <c r="BV92">
        <v>0</v>
      </c>
      <c r="BW92">
        <v>0</v>
      </c>
      <c r="BX92">
        <v>0</v>
      </c>
      <c r="BY92">
        <v>0</v>
      </c>
      <c r="BZ92">
        <v>0</v>
      </c>
      <c r="CA92">
        <v>0</v>
      </c>
      <c r="CB92">
        <v>0</v>
      </c>
      <c r="CC92">
        <v>0</v>
      </c>
      <c r="CD92">
        <v>0</v>
      </c>
      <c r="CE92">
        <v>0</v>
      </c>
      <c r="CF92">
        <v>0</v>
      </c>
      <c r="CG92" s="147"/>
      <c r="CH92" s="176"/>
      <c r="CJ92" s="151"/>
      <c r="CK92" s="76">
        <f t="shared" ca="1" si="88"/>
        <v>0.97576094656235335</v>
      </c>
      <c r="CL92" s="179">
        <f t="shared" si="89"/>
        <v>5</v>
      </c>
      <c r="CM92" s="180">
        <f t="shared" si="90"/>
        <v>39646</v>
      </c>
      <c r="CN92">
        <v>0</v>
      </c>
      <c r="CO92">
        <v>0</v>
      </c>
      <c r="CP92">
        <v>0</v>
      </c>
      <c r="CQ92">
        <v>0</v>
      </c>
      <c r="CR92">
        <v>0</v>
      </c>
      <c r="CS92">
        <v>0</v>
      </c>
      <c r="CT92">
        <v>0</v>
      </c>
      <c r="CU92">
        <v>0</v>
      </c>
      <c r="CW92">
        <v>1</v>
      </c>
      <c r="CX92">
        <v>1</v>
      </c>
      <c r="CY92" s="158"/>
      <c r="CZ92" s="177">
        <f t="shared" si="91"/>
        <v>9.6000000000000002E-2</v>
      </c>
      <c r="DB92" s="151"/>
      <c r="DC92" s="76">
        <f t="shared" ca="1" si="49"/>
        <v>0.20252666750952475</v>
      </c>
      <c r="DD92">
        <f t="shared" si="92"/>
        <v>5</v>
      </c>
      <c r="DE92" s="129">
        <f t="shared" si="50"/>
        <v>39646</v>
      </c>
      <c r="DF92" s="161">
        <f t="shared" si="93"/>
        <v>0</v>
      </c>
      <c r="DG92" s="161">
        <f t="shared" si="94"/>
        <v>0</v>
      </c>
      <c r="DH92" s="161">
        <f t="shared" si="95"/>
        <v>0</v>
      </c>
      <c r="DI92" s="161">
        <f t="shared" si="96"/>
        <v>0</v>
      </c>
      <c r="DJ92" s="161">
        <f t="shared" si="97"/>
        <v>0</v>
      </c>
      <c r="DK92" s="161">
        <f t="shared" si="98"/>
        <v>0</v>
      </c>
      <c r="DL92" s="161">
        <f t="shared" si="99"/>
        <v>0</v>
      </c>
      <c r="DM92" s="161">
        <f t="shared" si="100"/>
        <v>0</v>
      </c>
      <c r="DN92" s="161">
        <f t="shared" si="101"/>
        <v>0</v>
      </c>
      <c r="DO92" s="161">
        <f t="shared" si="102"/>
        <v>0</v>
      </c>
      <c r="DP92" s="161">
        <f t="shared" si="103"/>
        <v>0</v>
      </c>
      <c r="DQ92" s="161">
        <f t="shared" si="104"/>
        <v>0</v>
      </c>
      <c r="DR92" s="161">
        <f t="shared" si="105"/>
        <v>0</v>
      </c>
      <c r="DS92" s="161">
        <f t="shared" si="106"/>
        <v>0</v>
      </c>
      <c r="DT92" s="161">
        <f t="shared" si="107"/>
        <v>0</v>
      </c>
      <c r="DU92" s="161">
        <f t="shared" si="108"/>
        <v>0</v>
      </c>
      <c r="DV92" s="161">
        <f t="shared" si="109"/>
        <v>0</v>
      </c>
      <c r="DW92" s="161">
        <f t="shared" si="110"/>
        <v>0</v>
      </c>
      <c r="DX92" s="161">
        <f t="shared" si="111"/>
        <v>0</v>
      </c>
      <c r="DY92" s="161">
        <f t="shared" si="112"/>
        <v>0</v>
      </c>
      <c r="DZ92" s="161">
        <f t="shared" si="113"/>
        <v>0</v>
      </c>
      <c r="EA92" s="161">
        <f t="shared" si="114"/>
        <v>0</v>
      </c>
      <c r="EB92" s="161">
        <f t="shared" si="115"/>
        <v>0</v>
      </c>
      <c r="EC92" s="161">
        <f t="shared" si="116"/>
        <v>0</v>
      </c>
      <c r="ED92" s="161">
        <f t="shared" si="117"/>
        <v>0</v>
      </c>
      <c r="EE92" s="161">
        <f t="shared" si="118"/>
        <v>0</v>
      </c>
      <c r="EF92" s="161">
        <f t="shared" si="119"/>
        <v>0</v>
      </c>
      <c r="EG92" s="161">
        <f t="shared" si="120"/>
        <v>0</v>
      </c>
      <c r="EH92" s="161">
        <f t="shared" si="121"/>
        <v>0</v>
      </c>
      <c r="EI92" s="161">
        <f t="shared" si="122"/>
        <v>0</v>
      </c>
      <c r="EJ92" s="161">
        <f t="shared" si="123"/>
        <v>0</v>
      </c>
      <c r="EK92" s="147">
        <f t="shared" si="53"/>
        <v>0</v>
      </c>
      <c r="EL92" s="149"/>
      <c r="EN92" s="151"/>
      <c r="EO92" s="151"/>
      <c r="EP92" s="139">
        <f t="shared" si="54"/>
        <v>0</v>
      </c>
      <c r="EQ92" s="139">
        <f t="shared" si="55"/>
        <v>0</v>
      </c>
      <c r="ER92" s="139">
        <f t="shared" si="56"/>
        <v>0</v>
      </c>
      <c r="ES92" s="139">
        <f t="shared" si="57"/>
        <v>0</v>
      </c>
      <c r="ET92" s="139">
        <f t="shared" si="58"/>
        <v>0</v>
      </c>
      <c r="EU92" s="139">
        <f t="shared" si="59"/>
        <v>0</v>
      </c>
      <c r="EV92" s="139">
        <f t="shared" si="60"/>
        <v>0</v>
      </c>
      <c r="EW92" s="139">
        <f t="shared" si="61"/>
        <v>0</v>
      </c>
      <c r="EX92" s="139">
        <f t="shared" si="62"/>
        <v>0</v>
      </c>
      <c r="EY92" s="139">
        <f t="shared" si="63"/>
        <v>0</v>
      </c>
      <c r="EZ92" s="139">
        <f t="shared" si="64"/>
        <v>0</v>
      </c>
      <c r="FA92" s="139">
        <f t="shared" si="65"/>
        <v>0</v>
      </c>
      <c r="FB92" s="139">
        <f t="shared" si="66"/>
        <v>0</v>
      </c>
      <c r="FC92" s="139">
        <f t="shared" si="67"/>
        <v>0</v>
      </c>
      <c r="FD92" s="139">
        <f t="shared" si="68"/>
        <v>0</v>
      </c>
      <c r="FE92" s="139">
        <f t="shared" si="69"/>
        <v>0</v>
      </c>
      <c r="FF92" s="139">
        <f t="shared" si="70"/>
        <v>0</v>
      </c>
      <c r="FG92" s="139">
        <f t="shared" si="71"/>
        <v>0</v>
      </c>
      <c r="FH92" s="139">
        <f t="shared" si="72"/>
        <v>0</v>
      </c>
      <c r="FI92" s="139">
        <f t="shared" si="73"/>
        <v>0</v>
      </c>
      <c r="FJ92" s="139">
        <f t="shared" si="74"/>
        <v>0</v>
      </c>
      <c r="FK92" s="139">
        <f t="shared" si="75"/>
        <v>0</v>
      </c>
      <c r="FL92" s="139">
        <f t="shared" si="76"/>
        <v>0</v>
      </c>
      <c r="FM92" s="139">
        <f t="shared" si="77"/>
        <v>0</v>
      </c>
      <c r="FN92" s="139">
        <f t="shared" si="78"/>
        <v>0</v>
      </c>
      <c r="FO92" s="139">
        <f t="shared" si="79"/>
        <v>0</v>
      </c>
      <c r="FP92" s="139">
        <f t="shared" si="80"/>
        <v>0</v>
      </c>
      <c r="FQ92" s="139">
        <f t="shared" si="81"/>
        <v>0</v>
      </c>
      <c r="FR92" s="139">
        <f t="shared" si="82"/>
        <v>0</v>
      </c>
      <c r="FS92" s="139">
        <f t="shared" si="83"/>
        <v>0</v>
      </c>
      <c r="FT92" s="139">
        <f t="shared" si="84"/>
        <v>0</v>
      </c>
      <c r="FU92" s="148">
        <f t="shared" si="85"/>
        <v>0</v>
      </c>
      <c r="FV92" s="149"/>
      <c r="FY92" s="211">
        <v>87</v>
      </c>
      <c r="FZ92">
        <v>28.718463634278795</v>
      </c>
      <c r="GA92">
        <v>67.321048986873819</v>
      </c>
      <c r="GB92">
        <v>82.419165263192838</v>
      </c>
      <c r="GC92">
        <v>47.20010712465649</v>
      </c>
      <c r="GD92">
        <v>26.222639607861446</v>
      </c>
      <c r="GE92">
        <v>49.8317944565337</v>
      </c>
      <c r="GF92">
        <v>54.639032102237302</v>
      </c>
      <c r="GG92">
        <v>54.361764129820088</v>
      </c>
      <c r="GH92">
        <v>38.210488757332691</v>
      </c>
      <c r="GI92">
        <v>58.97392425949883</v>
      </c>
      <c r="GJ92"/>
      <c r="GK92"/>
      <c r="GL92"/>
      <c r="GM92"/>
    </row>
    <row r="93" spans="1:195" s="7" customFormat="1">
      <c r="A93" s="77"/>
      <c r="B93" s="76">
        <f ca="1">IF(C93="", "", RAND())</f>
        <v>0.91262009602260541</v>
      </c>
      <c r="C93">
        <v>4</v>
      </c>
      <c r="D93">
        <v>39646</v>
      </c>
      <c r="E93">
        <v>0</v>
      </c>
      <c r="F93">
        <v>0</v>
      </c>
      <c r="G93">
        <v>10.416666666666666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 s="2"/>
      <c r="AK93" s="80"/>
      <c r="AL93" s="74"/>
      <c r="AM93" s="43">
        <v>77</v>
      </c>
      <c r="AN93">
        <v>279.44675955967398</v>
      </c>
      <c r="AO93">
        <v>94.003917191326479</v>
      </c>
      <c r="AP93">
        <v>663.68752804838846</v>
      </c>
      <c r="AQ93">
        <v>504.85929517669814</v>
      </c>
      <c r="AR93">
        <v>83.793319795327463</v>
      </c>
      <c r="AS93">
        <v>693.23656762810458</v>
      </c>
      <c r="AT93">
        <v>45.91695628987938</v>
      </c>
      <c r="AU93">
        <v>55.215444495827143</v>
      </c>
      <c r="AV93"/>
      <c r="AW93"/>
      <c r="AX93" s="151"/>
      <c r="AY93" s="76">
        <f t="shared" ca="1" si="86"/>
        <v>0.60093573223514873</v>
      </c>
      <c r="AZ93">
        <v>6</v>
      </c>
      <c r="BA93" s="129">
        <f t="shared" si="87"/>
        <v>39646</v>
      </c>
      <c r="BB93">
        <v>0</v>
      </c>
      <c r="BC93">
        <v>0</v>
      </c>
      <c r="BD93">
        <v>0</v>
      </c>
      <c r="BE93">
        <v>0</v>
      </c>
      <c r="BF93">
        <v>0</v>
      </c>
      <c r="BG93">
        <v>0</v>
      </c>
      <c r="BH93">
        <v>0</v>
      </c>
      <c r="BI93">
        <v>0</v>
      </c>
      <c r="BJ93">
        <v>0</v>
      </c>
      <c r="BK93">
        <v>0</v>
      </c>
      <c r="BL93">
        <v>0</v>
      </c>
      <c r="BM93">
        <v>0</v>
      </c>
      <c r="BN93">
        <v>0</v>
      </c>
      <c r="BO93">
        <v>0</v>
      </c>
      <c r="BP93">
        <v>0</v>
      </c>
      <c r="BQ93">
        <v>0</v>
      </c>
      <c r="BR93">
        <v>0</v>
      </c>
      <c r="BS93">
        <v>0</v>
      </c>
      <c r="BT93">
        <v>0</v>
      </c>
      <c r="BU93">
        <v>0</v>
      </c>
      <c r="BV93">
        <v>0</v>
      </c>
      <c r="BW93">
        <v>0</v>
      </c>
      <c r="BX93">
        <v>0</v>
      </c>
      <c r="BY93">
        <v>0</v>
      </c>
      <c r="BZ93">
        <v>0</v>
      </c>
      <c r="CA93">
        <v>0</v>
      </c>
      <c r="CB93">
        <v>0</v>
      </c>
      <c r="CC93">
        <v>0</v>
      </c>
      <c r="CD93">
        <v>0</v>
      </c>
      <c r="CE93">
        <v>0</v>
      </c>
      <c r="CF93">
        <v>0</v>
      </c>
      <c r="CG93" s="147"/>
      <c r="CH93" s="176"/>
      <c r="CJ93" s="151"/>
      <c r="CK93" s="76">
        <f t="shared" ca="1" si="88"/>
        <v>0.77768372121445251</v>
      </c>
      <c r="CL93" s="179">
        <f t="shared" si="89"/>
        <v>6</v>
      </c>
      <c r="CM93" s="180">
        <f t="shared" si="90"/>
        <v>39646</v>
      </c>
      <c r="CN93" s="220">
        <v>0</v>
      </c>
      <c r="CO93" s="220">
        <v>1</v>
      </c>
      <c r="CP93" s="220">
        <v>0</v>
      </c>
      <c r="CQ93" s="220">
        <v>0</v>
      </c>
      <c r="CR93" s="220">
        <v>0</v>
      </c>
      <c r="CS93" s="220">
        <v>0</v>
      </c>
      <c r="CT93">
        <v>0</v>
      </c>
      <c r="CU93">
        <v>0</v>
      </c>
      <c r="CW93">
        <v>1</v>
      </c>
      <c r="CX93">
        <v>2</v>
      </c>
      <c r="CY93" s="159"/>
      <c r="CZ93" s="177">
        <f t="shared" si="91"/>
        <v>9.6000000000000002E-2</v>
      </c>
      <c r="DB93" s="151"/>
      <c r="DC93" s="76">
        <f t="shared" ca="1" si="49"/>
        <v>0.4178571149654231</v>
      </c>
      <c r="DD93">
        <f t="shared" si="92"/>
        <v>6</v>
      </c>
      <c r="DE93" s="129">
        <f t="shared" si="50"/>
        <v>39646</v>
      </c>
      <c r="DF93" s="161">
        <f t="shared" si="93"/>
        <v>0</v>
      </c>
      <c r="DG93" s="161">
        <f t="shared" si="94"/>
        <v>20.833333333333332</v>
      </c>
      <c r="DH93" s="161">
        <f t="shared" si="95"/>
        <v>0</v>
      </c>
      <c r="DI93" s="161">
        <f t="shared" si="96"/>
        <v>0</v>
      </c>
      <c r="DJ93" s="161">
        <f t="shared" si="97"/>
        <v>0</v>
      </c>
      <c r="DK93" s="161">
        <f t="shared" si="98"/>
        <v>0</v>
      </c>
      <c r="DL93" s="161">
        <f t="shared" si="99"/>
        <v>0</v>
      </c>
      <c r="DM93" s="161">
        <f t="shared" si="100"/>
        <v>0</v>
      </c>
      <c r="DN93" s="161">
        <f t="shared" si="101"/>
        <v>0</v>
      </c>
      <c r="DO93" s="161">
        <f t="shared" si="102"/>
        <v>0</v>
      </c>
      <c r="DP93" s="161">
        <f t="shared" si="103"/>
        <v>0</v>
      </c>
      <c r="DQ93" s="161">
        <f t="shared" si="104"/>
        <v>0</v>
      </c>
      <c r="DR93" s="161">
        <f t="shared" si="105"/>
        <v>0</v>
      </c>
      <c r="DS93" s="161">
        <f t="shared" si="106"/>
        <v>0</v>
      </c>
      <c r="DT93" s="161">
        <f t="shared" si="107"/>
        <v>0</v>
      </c>
      <c r="DU93" s="161">
        <f t="shared" si="108"/>
        <v>0</v>
      </c>
      <c r="DV93" s="161">
        <f t="shared" si="109"/>
        <v>0</v>
      </c>
      <c r="DW93" s="161">
        <f t="shared" si="110"/>
        <v>0</v>
      </c>
      <c r="DX93" s="161">
        <f t="shared" si="111"/>
        <v>0</v>
      </c>
      <c r="DY93" s="161">
        <f t="shared" si="112"/>
        <v>0</v>
      </c>
      <c r="DZ93" s="161">
        <f t="shared" si="113"/>
        <v>0</v>
      </c>
      <c r="EA93" s="161">
        <f t="shared" si="114"/>
        <v>0</v>
      </c>
      <c r="EB93" s="161">
        <f t="shared" si="115"/>
        <v>0</v>
      </c>
      <c r="EC93" s="161">
        <f t="shared" si="116"/>
        <v>0</v>
      </c>
      <c r="ED93" s="161">
        <f t="shared" si="117"/>
        <v>0</v>
      </c>
      <c r="EE93" s="161">
        <f t="shared" si="118"/>
        <v>0</v>
      </c>
      <c r="EF93" s="161">
        <f t="shared" si="119"/>
        <v>0</v>
      </c>
      <c r="EG93" s="161">
        <f t="shared" si="120"/>
        <v>0</v>
      </c>
      <c r="EH93" s="161">
        <f t="shared" si="121"/>
        <v>0</v>
      </c>
      <c r="EI93" s="161">
        <f t="shared" si="122"/>
        <v>0</v>
      </c>
      <c r="EJ93" s="161">
        <f t="shared" si="123"/>
        <v>0</v>
      </c>
      <c r="EK93" s="147">
        <f t="shared" si="53"/>
        <v>20.833333333333332</v>
      </c>
      <c r="EL93" s="149"/>
      <c r="EN93" s="151"/>
      <c r="EO93" s="151"/>
      <c r="EP93" s="139">
        <f t="shared" si="54"/>
        <v>0</v>
      </c>
      <c r="EQ93" s="139">
        <f t="shared" si="55"/>
        <v>0.20557083333333331</v>
      </c>
      <c r="ER93" s="139">
        <f t="shared" si="56"/>
        <v>0</v>
      </c>
      <c r="ES93" s="139">
        <f t="shared" si="57"/>
        <v>0</v>
      </c>
      <c r="ET93" s="139">
        <f t="shared" si="58"/>
        <v>0</v>
      </c>
      <c r="EU93" s="139">
        <f t="shared" si="59"/>
        <v>0</v>
      </c>
      <c r="EV93" s="139">
        <f t="shared" si="60"/>
        <v>0</v>
      </c>
      <c r="EW93" s="139">
        <f t="shared" si="61"/>
        <v>0</v>
      </c>
      <c r="EX93" s="139">
        <f t="shared" si="62"/>
        <v>0</v>
      </c>
      <c r="EY93" s="139">
        <f t="shared" si="63"/>
        <v>0</v>
      </c>
      <c r="EZ93" s="139">
        <f t="shared" si="64"/>
        <v>0</v>
      </c>
      <c r="FA93" s="139">
        <f t="shared" si="65"/>
        <v>0</v>
      </c>
      <c r="FB93" s="139">
        <f t="shared" si="66"/>
        <v>0</v>
      </c>
      <c r="FC93" s="139">
        <f t="shared" si="67"/>
        <v>0</v>
      </c>
      <c r="FD93" s="139">
        <f t="shared" si="68"/>
        <v>0</v>
      </c>
      <c r="FE93" s="139">
        <f t="shared" si="69"/>
        <v>0</v>
      </c>
      <c r="FF93" s="139">
        <f t="shared" si="70"/>
        <v>0</v>
      </c>
      <c r="FG93" s="139">
        <f t="shared" si="71"/>
        <v>0</v>
      </c>
      <c r="FH93" s="139">
        <f t="shared" si="72"/>
        <v>0</v>
      </c>
      <c r="FI93" s="139">
        <f t="shared" si="73"/>
        <v>0</v>
      </c>
      <c r="FJ93" s="139">
        <f t="shared" si="74"/>
        <v>0</v>
      </c>
      <c r="FK93" s="139">
        <f t="shared" si="75"/>
        <v>0</v>
      </c>
      <c r="FL93" s="139">
        <f t="shared" si="76"/>
        <v>0</v>
      </c>
      <c r="FM93" s="139">
        <f t="shared" si="77"/>
        <v>0</v>
      </c>
      <c r="FN93" s="139">
        <f t="shared" si="78"/>
        <v>0</v>
      </c>
      <c r="FO93" s="139">
        <f t="shared" si="79"/>
        <v>0</v>
      </c>
      <c r="FP93" s="139">
        <f t="shared" si="80"/>
        <v>0</v>
      </c>
      <c r="FQ93" s="139">
        <f t="shared" si="81"/>
        <v>0</v>
      </c>
      <c r="FR93" s="139">
        <f t="shared" si="82"/>
        <v>0</v>
      </c>
      <c r="FS93" s="139">
        <f t="shared" si="83"/>
        <v>0</v>
      </c>
      <c r="FT93" s="139">
        <f t="shared" si="84"/>
        <v>0</v>
      </c>
      <c r="FU93" s="148">
        <f t="shared" si="85"/>
        <v>0.20557083333333331</v>
      </c>
      <c r="FV93" s="149"/>
      <c r="FY93" s="211">
        <v>88</v>
      </c>
      <c r="FZ93">
        <v>8.0787566606165893</v>
      </c>
      <c r="GA93">
        <v>33.646674371105988</v>
      </c>
      <c r="GB93">
        <v>72.548626944759221</v>
      </c>
      <c r="GC93">
        <v>41.601336070302196</v>
      </c>
      <c r="GD93">
        <v>15.19369864010309</v>
      </c>
      <c r="GE93">
        <v>37.266864218342953</v>
      </c>
      <c r="GF93">
        <v>106.28485706176177</v>
      </c>
      <c r="GG93">
        <v>72.192472045186165</v>
      </c>
      <c r="GH93">
        <v>10.343528241062909</v>
      </c>
      <c r="GI93">
        <v>53.021482875273207</v>
      </c>
      <c r="GJ93"/>
      <c r="GK93"/>
      <c r="GL93"/>
      <c r="GM93"/>
    </row>
    <row r="94" spans="1:195" s="7" customFormat="1">
      <c r="A94" s="77"/>
      <c r="B94" s="76">
        <f ca="1">IF(C94="", "", RAND())</f>
        <v>0.71589479119375765</v>
      </c>
      <c r="C94">
        <v>2</v>
      </c>
      <c r="D94">
        <v>39646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 s="2"/>
      <c r="AK94" s="80"/>
      <c r="AL94" s="74"/>
      <c r="AM94" s="43">
        <v>78</v>
      </c>
      <c r="AN94">
        <v>262.14791831206287</v>
      </c>
      <c r="AO94">
        <v>87.428630667736712</v>
      </c>
      <c r="AP94">
        <v>650.3563490159263</v>
      </c>
      <c r="AQ94">
        <v>472.49728073821592</v>
      </c>
      <c r="AR94">
        <v>79.37221404444</v>
      </c>
      <c r="AS94">
        <v>648.24742333408346</v>
      </c>
      <c r="AT94">
        <v>44.840906535346363</v>
      </c>
      <c r="AU94">
        <v>110.05852579529926</v>
      </c>
      <c r="AV94"/>
      <c r="AW94"/>
      <c r="AX94" s="151"/>
      <c r="AY94" s="76">
        <f t="shared" ca="1" si="86"/>
        <v>6.535532410158762E-2</v>
      </c>
      <c r="AZ94">
        <v>7</v>
      </c>
      <c r="BA94" s="129">
        <f t="shared" si="87"/>
        <v>39646</v>
      </c>
      <c r="BB94">
        <v>0</v>
      </c>
      <c r="BC94">
        <v>0</v>
      </c>
      <c r="BD94">
        <v>0</v>
      </c>
      <c r="BE94">
        <v>0</v>
      </c>
      <c r="BF94">
        <v>0</v>
      </c>
      <c r="BG94">
        <v>0</v>
      </c>
      <c r="BH94">
        <v>0</v>
      </c>
      <c r="BI94">
        <v>0</v>
      </c>
      <c r="BJ94">
        <v>0</v>
      </c>
      <c r="BK94">
        <v>0</v>
      </c>
      <c r="BL94">
        <v>0</v>
      </c>
      <c r="BM94">
        <v>0</v>
      </c>
      <c r="BN94">
        <v>0</v>
      </c>
      <c r="BO94">
        <v>0</v>
      </c>
      <c r="BP94">
        <v>0</v>
      </c>
      <c r="BQ94">
        <v>0</v>
      </c>
      <c r="BR94">
        <v>0</v>
      </c>
      <c r="BS94">
        <v>0</v>
      </c>
      <c r="BT94">
        <v>0</v>
      </c>
      <c r="BU94">
        <v>0</v>
      </c>
      <c r="BV94">
        <v>0</v>
      </c>
      <c r="BW94">
        <v>0</v>
      </c>
      <c r="BX94">
        <v>0</v>
      </c>
      <c r="BY94">
        <v>0</v>
      </c>
      <c r="BZ94">
        <v>0</v>
      </c>
      <c r="CA94">
        <v>0</v>
      </c>
      <c r="CB94">
        <v>0</v>
      </c>
      <c r="CC94">
        <v>0</v>
      </c>
      <c r="CD94">
        <v>0</v>
      </c>
      <c r="CE94">
        <v>0</v>
      </c>
      <c r="CF94">
        <v>0</v>
      </c>
      <c r="CG94" s="147"/>
      <c r="CH94" s="176"/>
      <c r="CJ94" s="151"/>
      <c r="CK94" s="76">
        <f t="shared" ca="1" si="88"/>
        <v>0.7029547131867826</v>
      </c>
      <c r="CL94" s="179">
        <f t="shared" si="89"/>
        <v>7</v>
      </c>
      <c r="CM94" s="180">
        <f t="shared" si="90"/>
        <v>39646</v>
      </c>
      <c r="CN94">
        <v>0</v>
      </c>
      <c r="CO94">
        <v>0</v>
      </c>
      <c r="CP94">
        <v>2</v>
      </c>
      <c r="CQ94">
        <v>2</v>
      </c>
      <c r="CR94">
        <v>0</v>
      </c>
      <c r="CS94">
        <v>0</v>
      </c>
      <c r="CT94">
        <v>0</v>
      </c>
      <c r="CU94">
        <v>0</v>
      </c>
      <c r="CV94" s="160"/>
      <c r="CW94">
        <v>1</v>
      </c>
      <c r="CX94">
        <v>2</v>
      </c>
      <c r="CY94" s="164"/>
      <c r="CZ94" s="177">
        <f t="shared" si="91"/>
        <v>9.6000000000000002E-2</v>
      </c>
      <c r="DB94" s="151"/>
      <c r="DC94" s="76">
        <f t="shared" ca="1" si="49"/>
        <v>0.53277462894455163</v>
      </c>
      <c r="DD94">
        <f t="shared" si="92"/>
        <v>7</v>
      </c>
      <c r="DE94" s="129">
        <f t="shared" si="50"/>
        <v>39646</v>
      </c>
      <c r="DF94" s="161">
        <f t="shared" si="93"/>
        <v>0</v>
      </c>
      <c r="DG94" s="161">
        <f t="shared" si="94"/>
        <v>0</v>
      </c>
      <c r="DH94" s="161">
        <f t="shared" si="95"/>
        <v>41.666666666666664</v>
      </c>
      <c r="DI94" s="161">
        <f t="shared" si="96"/>
        <v>41.666666666666664</v>
      </c>
      <c r="DJ94" s="161">
        <f t="shared" si="97"/>
        <v>0</v>
      </c>
      <c r="DK94" s="161">
        <f t="shared" si="98"/>
        <v>0</v>
      </c>
      <c r="DL94" s="161">
        <f t="shared" si="99"/>
        <v>0</v>
      </c>
      <c r="DM94" s="161">
        <f t="shared" si="100"/>
        <v>0</v>
      </c>
      <c r="DN94" s="161">
        <f t="shared" si="101"/>
        <v>0</v>
      </c>
      <c r="DO94" s="161">
        <f t="shared" si="102"/>
        <v>0</v>
      </c>
      <c r="DP94" s="161">
        <f t="shared" si="103"/>
        <v>0</v>
      </c>
      <c r="DQ94" s="161">
        <f t="shared" si="104"/>
        <v>0</v>
      </c>
      <c r="DR94" s="161">
        <f t="shared" si="105"/>
        <v>0</v>
      </c>
      <c r="DS94" s="161">
        <f t="shared" si="106"/>
        <v>0</v>
      </c>
      <c r="DT94" s="161">
        <f t="shared" si="107"/>
        <v>0</v>
      </c>
      <c r="DU94" s="161">
        <f t="shared" si="108"/>
        <v>0</v>
      </c>
      <c r="DV94" s="161">
        <f t="shared" si="109"/>
        <v>0</v>
      </c>
      <c r="DW94" s="161">
        <f t="shared" si="110"/>
        <v>0</v>
      </c>
      <c r="DX94" s="161">
        <f t="shared" si="111"/>
        <v>0</v>
      </c>
      <c r="DY94" s="161">
        <f t="shared" si="112"/>
        <v>0</v>
      </c>
      <c r="DZ94" s="161">
        <f t="shared" si="113"/>
        <v>0</v>
      </c>
      <c r="EA94" s="161">
        <f t="shared" si="114"/>
        <v>0</v>
      </c>
      <c r="EB94" s="161">
        <f t="shared" si="115"/>
        <v>0</v>
      </c>
      <c r="EC94" s="161">
        <f t="shared" si="116"/>
        <v>0</v>
      </c>
      <c r="ED94" s="161">
        <f t="shared" si="117"/>
        <v>0</v>
      </c>
      <c r="EE94" s="161">
        <f t="shared" si="118"/>
        <v>0</v>
      </c>
      <c r="EF94" s="161">
        <f t="shared" si="119"/>
        <v>0</v>
      </c>
      <c r="EG94" s="161">
        <f t="shared" si="120"/>
        <v>0</v>
      </c>
      <c r="EH94" s="161">
        <f t="shared" si="121"/>
        <v>0</v>
      </c>
      <c r="EI94" s="161">
        <f t="shared" si="122"/>
        <v>0</v>
      </c>
      <c r="EJ94" s="161">
        <f t="shared" si="123"/>
        <v>0</v>
      </c>
      <c r="EK94" s="147">
        <f t="shared" si="53"/>
        <v>83.333333333333329</v>
      </c>
      <c r="EL94" s="149"/>
      <c r="EN94" s="151"/>
      <c r="EO94" s="151"/>
      <c r="EP94" s="139">
        <f t="shared" si="54"/>
        <v>0</v>
      </c>
      <c r="EQ94" s="139">
        <f t="shared" si="55"/>
        <v>0</v>
      </c>
      <c r="ER94" s="139">
        <f t="shared" si="56"/>
        <v>3.0752580887642362</v>
      </c>
      <c r="ES94" s="139">
        <f t="shared" si="57"/>
        <v>9.9787121397165972</v>
      </c>
      <c r="ET94" s="139">
        <f t="shared" si="58"/>
        <v>0</v>
      </c>
      <c r="EU94" s="139">
        <f t="shared" si="59"/>
        <v>0</v>
      </c>
      <c r="EV94" s="139">
        <f t="shared" si="60"/>
        <v>0</v>
      </c>
      <c r="EW94" s="139">
        <f t="shared" si="61"/>
        <v>0</v>
      </c>
      <c r="EX94" s="139">
        <f t="shared" si="62"/>
        <v>0</v>
      </c>
      <c r="EY94" s="139">
        <f t="shared" si="63"/>
        <v>0</v>
      </c>
      <c r="EZ94" s="139">
        <f t="shared" si="64"/>
        <v>0</v>
      </c>
      <c r="FA94" s="139">
        <f t="shared" si="65"/>
        <v>0</v>
      </c>
      <c r="FB94" s="139">
        <f t="shared" si="66"/>
        <v>0</v>
      </c>
      <c r="FC94" s="139">
        <f t="shared" si="67"/>
        <v>0</v>
      </c>
      <c r="FD94" s="139">
        <f t="shared" si="68"/>
        <v>0</v>
      </c>
      <c r="FE94" s="139">
        <f t="shared" si="69"/>
        <v>0</v>
      </c>
      <c r="FF94" s="139">
        <f t="shared" si="70"/>
        <v>0</v>
      </c>
      <c r="FG94" s="139">
        <f t="shared" si="71"/>
        <v>0</v>
      </c>
      <c r="FH94" s="139">
        <f t="shared" si="72"/>
        <v>0</v>
      </c>
      <c r="FI94" s="139">
        <f t="shared" si="73"/>
        <v>0</v>
      </c>
      <c r="FJ94" s="139">
        <f t="shared" si="74"/>
        <v>0</v>
      </c>
      <c r="FK94" s="139">
        <f t="shared" si="75"/>
        <v>0</v>
      </c>
      <c r="FL94" s="139">
        <f t="shared" si="76"/>
        <v>0</v>
      </c>
      <c r="FM94" s="139">
        <f t="shared" si="77"/>
        <v>0</v>
      </c>
      <c r="FN94" s="139">
        <f t="shared" si="78"/>
        <v>0</v>
      </c>
      <c r="FO94" s="139">
        <f t="shared" si="79"/>
        <v>0</v>
      </c>
      <c r="FP94" s="139">
        <f t="shared" si="80"/>
        <v>0</v>
      </c>
      <c r="FQ94" s="139">
        <f t="shared" si="81"/>
        <v>0</v>
      </c>
      <c r="FR94" s="139">
        <f t="shared" si="82"/>
        <v>0</v>
      </c>
      <c r="FS94" s="139">
        <f t="shared" si="83"/>
        <v>0</v>
      </c>
      <c r="FT94" s="139">
        <f t="shared" si="84"/>
        <v>0</v>
      </c>
      <c r="FU94" s="148">
        <f t="shared" si="85"/>
        <v>13.053970228480834</v>
      </c>
      <c r="FV94" s="149"/>
      <c r="FY94" s="211">
        <v>89</v>
      </c>
      <c r="FZ94">
        <v>16.622051219649649</v>
      </c>
      <c r="GA94">
        <v>53.263613550397253</v>
      </c>
      <c r="GB94">
        <v>103.80567720977064</v>
      </c>
      <c r="GC94">
        <v>54.929611166748622</v>
      </c>
      <c r="GD94">
        <v>17.493991483596986</v>
      </c>
      <c r="GE94">
        <v>43.495012860639932</v>
      </c>
      <c r="GF94">
        <v>91.652292790045806</v>
      </c>
      <c r="GG94">
        <v>58.230271919263608</v>
      </c>
      <c r="GH94">
        <v>8.6735960654493738</v>
      </c>
      <c r="GI94">
        <v>59.862725965436951</v>
      </c>
      <c r="GJ94"/>
      <c r="GK94"/>
      <c r="GL94"/>
      <c r="GM94"/>
    </row>
    <row r="95" spans="1:195" s="7" customFormat="1">
      <c r="A95" s="77"/>
      <c r="B95" s="76">
        <f ca="1">IF(C95="", "", RAND())</f>
        <v>0.53098052673525498</v>
      </c>
      <c r="C95">
        <v>7</v>
      </c>
      <c r="D95">
        <v>39646</v>
      </c>
      <c r="E95">
        <v>0</v>
      </c>
      <c r="F95">
        <v>0</v>
      </c>
      <c r="G95">
        <v>41.666666666666664</v>
      </c>
      <c r="H95">
        <v>41.666666666666664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 s="2"/>
      <c r="AK95" s="80"/>
      <c r="AL95" s="74"/>
      <c r="AM95" s="43">
        <v>79</v>
      </c>
      <c r="AN95">
        <v>244.9462947950646</v>
      </c>
      <c r="AO95">
        <v>86.503103745266657</v>
      </c>
      <c r="AP95">
        <v>579.50989362506834</v>
      </c>
      <c r="AQ95">
        <v>456.3289374580923</v>
      </c>
      <c r="AR95">
        <v>77.527511511703139</v>
      </c>
      <c r="AS95">
        <v>650.12572958071883</v>
      </c>
      <c r="AT95">
        <v>41.965120187049472</v>
      </c>
      <c r="AU95">
        <v>43.608848514300625</v>
      </c>
      <c r="AV95"/>
      <c r="AW95"/>
      <c r="AX95" s="151"/>
      <c r="AY95" s="76">
        <f t="shared" ca="1" si="86"/>
        <v>0.37613916133875946</v>
      </c>
      <c r="AZ95">
        <v>8</v>
      </c>
      <c r="BA95" s="129">
        <f t="shared" si="87"/>
        <v>39646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0</v>
      </c>
      <c r="BH95">
        <v>0</v>
      </c>
      <c r="BI95">
        <v>0</v>
      </c>
      <c r="BJ95">
        <v>0</v>
      </c>
      <c r="BK95">
        <v>0</v>
      </c>
      <c r="BL95">
        <v>0</v>
      </c>
      <c r="BM95">
        <v>0</v>
      </c>
      <c r="BN95">
        <v>0</v>
      </c>
      <c r="BO95">
        <v>0</v>
      </c>
      <c r="BP95">
        <v>0</v>
      </c>
      <c r="BQ95">
        <v>0</v>
      </c>
      <c r="BR95">
        <v>0</v>
      </c>
      <c r="BS95">
        <v>0</v>
      </c>
      <c r="BT95">
        <v>0</v>
      </c>
      <c r="BU95">
        <v>0</v>
      </c>
      <c r="BV95">
        <v>0</v>
      </c>
      <c r="BW95">
        <v>0</v>
      </c>
      <c r="BX95">
        <v>0</v>
      </c>
      <c r="BY95">
        <v>0</v>
      </c>
      <c r="BZ95">
        <v>0</v>
      </c>
      <c r="CA95">
        <v>0</v>
      </c>
      <c r="CB95">
        <v>0</v>
      </c>
      <c r="CC95">
        <v>0</v>
      </c>
      <c r="CD95">
        <v>0</v>
      </c>
      <c r="CE95">
        <v>0</v>
      </c>
      <c r="CF95">
        <v>0</v>
      </c>
      <c r="CG95" s="147"/>
      <c r="CH95" s="176"/>
      <c r="CJ95" s="151"/>
      <c r="CK95" s="76">
        <f t="shared" ca="1" si="88"/>
        <v>0.29723945778144989</v>
      </c>
      <c r="CL95" s="179">
        <f t="shared" si="89"/>
        <v>8</v>
      </c>
      <c r="CM95" s="180">
        <f t="shared" si="90"/>
        <v>39646</v>
      </c>
      <c r="CN95">
        <v>0</v>
      </c>
      <c r="CO95">
        <v>0</v>
      </c>
      <c r="CP95">
        <v>1</v>
      </c>
      <c r="CQ95">
        <v>0</v>
      </c>
      <c r="CR95">
        <v>0</v>
      </c>
      <c r="CS95">
        <v>0</v>
      </c>
      <c r="CT95">
        <v>0</v>
      </c>
      <c r="CU95">
        <v>0</v>
      </c>
      <c r="CV95" s="160"/>
      <c r="CW95">
        <v>1</v>
      </c>
      <c r="CX95">
        <v>2</v>
      </c>
      <c r="CY95" s="164"/>
      <c r="CZ95" s="177">
        <f t="shared" si="91"/>
        <v>9.6000000000000002E-2</v>
      </c>
      <c r="DB95" s="151"/>
      <c r="DC95" s="76">
        <f t="shared" ca="1" si="49"/>
        <v>0.47727389281332222</v>
      </c>
      <c r="DD95">
        <f t="shared" si="92"/>
        <v>8</v>
      </c>
      <c r="DE95" s="129">
        <f t="shared" si="50"/>
        <v>39646</v>
      </c>
      <c r="DF95" s="161">
        <f t="shared" si="93"/>
        <v>0</v>
      </c>
      <c r="DG95" s="161">
        <f t="shared" si="94"/>
        <v>0</v>
      </c>
      <c r="DH95" s="161">
        <f t="shared" si="95"/>
        <v>20.833333333333332</v>
      </c>
      <c r="DI95" s="161">
        <f t="shared" si="96"/>
        <v>0</v>
      </c>
      <c r="DJ95" s="161">
        <f t="shared" si="97"/>
        <v>0</v>
      </c>
      <c r="DK95" s="161">
        <f t="shared" si="98"/>
        <v>0</v>
      </c>
      <c r="DL95" s="161">
        <f t="shared" si="99"/>
        <v>0</v>
      </c>
      <c r="DM95" s="161">
        <f t="shared" si="100"/>
        <v>0</v>
      </c>
      <c r="DN95" s="161">
        <f t="shared" si="101"/>
        <v>0</v>
      </c>
      <c r="DO95" s="161">
        <f t="shared" si="102"/>
        <v>0</v>
      </c>
      <c r="DP95" s="161">
        <f t="shared" si="103"/>
        <v>0</v>
      </c>
      <c r="DQ95" s="161">
        <f t="shared" si="104"/>
        <v>0</v>
      </c>
      <c r="DR95" s="161">
        <f t="shared" si="105"/>
        <v>0</v>
      </c>
      <c r="DS95" s="161">
        <f t="shared" si="106"/>
        <v>0</v>
      </c>
      <c r="DT95" s="161">
        <f t="shared" si="107"/>
        <v>0</v>
      </c>
      <c r="DU95" s="161">
        <f t="shared" si="108"/>
        <v>0</v>
      </c>
      <c r="DV95" s="161">
        <f t="shared" si="109"/>
        <v>0</v>
      </c>
      <c r="DW95" s="161">
        <f t="shared" si="110"/>
        <v>0</v>
      </c>
      <c r="DX95" s="161">
        <f t="shared" si="111"/>
        <v>0</v>
      </c>
      <c r="DY95" s="161">
        <f t="shared" si="112"/>
        <v>0</v>
      </c>
      <c r="DZ95" s="161">
        <f t="shared" si="113"/>
        <v>0</v>
      </c>
      <c r="EA95" s="161">
        <f t="shared" si="114"/>
        <v>0</v>
      </c>
      <c r="EB95" s="161">
        <f t="shared" si="115"/>
        <v>0</v>
      </c>
      <c r="EC95" s="161">
        <f t="shared" si="116"/>
        <v>0</v>
      </c>
      <c r="ED95" s="161">
        <f t="shared" si="117"/>
        <v>0</v>
      </c>
      <c r="EE95" s="161">
        <f t="shared" si="118"/>
        <v>0</v>
      </c>
      <c r="EF95" s="161">
        <f t="shared" si="119"/>
        <v>0</v>
      </c>
      <c r="EG95" s="161">
        <f t="shared" si="120"/>
        <v>0</v>
      </c>
      <c r="EH95" s="161">
        <f t="shared" si="121"/>
        <v>0</v>
      </c>
      <c r="EI95" s="161">
        <f t="shared" si="122"/>
        <v>0</v>
      </c>
      <c r="EJ95" s="161">
        <f t="shared" si="123"/>
        <v>0</v>
      </c>
      <c r="EK95" s="147">
        <f t="shared" si="53"/>
        <v>20.833333333333332</v>
      </c>
      <c r="EL95" s="149"/>
      <c r="EN95" s="151"/>
      <c r="EO95" s="151"/>
      <c r="EP95" s="139">
        <f t="shared" si="54"/>
        <v>0</v>
      </c>
      <c r="EQ95" s="139">
        <f t="shared" si="55"/>
        <v>0</v>
      </c>
      <c r="ER95" s="139">
        <f t="shared" si="56"/>
        <v>1.5376290443821181</v>
      </c>
      <c r="ES95" s="139">
        <f t="shared" si="57"/>
        <v>0</v>
      </c>
      <c r="ET95" s="139">
        <f t="shared" si="58"/>
        <v>0</v>
      </c>
      <c r="EU95" s="139">
        <f t="shared" si="59"/>
        <v>0</v>
      </c>
      <c r="EV95" s="139">
        <f t="shared" si="60"/>
        <v>0</v>
      </c>
      <c r="EW95" s="139">
        <f t="shared" si="61"/>
        <v>0</v>
      </c>
      <c r="EX95" s="139">
        <f t="shared" si="62"/>
        <v>0</v>
      </c>
      <c r="EY95" s="139">
        <f t="shared" si="63"/>
        <v>0</v>
      </c>
      <c r="EZ95" s="139">
        <f t="shared" si="64"/>
        <v>0</v>
      </c>
      <c r="FA95" s="139">
        <f t="shared" si="65"/>
        <v>0</v>
      </c>
      <c r="FB95" s="139">
        <f t="shared" si="66"/>
        <v>0</v>
      </c>
      <c r="FC95" s="139">
        <f t="shared" si="67"/>
        <v>0</v>
      </c>
      <c r="FD95" s="139">
        <f t="shared" si="68"/>
        <v>0</v>
      </c>
      <c r="FE95" s="139">
        <f t="shared" si="69"/>
        <v>0</v>
      </c>
      <c r="FF95" s="139">
        <f t="shared" si="70"/>
        <v>0</v>
      </c>
      <c r="FG95" s="139">
        <f t="shared" si="71"/>
        <v>0</v>
      </c>
      <c r="FH95" s="139">
        <f t="shared" si="72"/>
        <v>0</v>
      </c>
      <c r="FI95" s="139">
        <f t="shared" si="73"/>
        <v>0</v>
      </c>
      <c r="FJ95" s="139">
        <f t="shared" si="74"/>
        <v>0</v>
      </c>
      <c r="FK95" s="139">
        <f t="shared" si="75"/>
        <v>0</v>
      </c>
      <c r="FL95" s="139">
        <f t="shared" si="76"/>
        <v>0</v>
      </c>
      <c r="FM95" s="139">
        <f t="shared" si="77"/>
        <v>0</v>
      </c>
      <c r="FN95" s="139">
        <f t="shared" si="78"/>
        <v>0</v>
      </c>
      <c r="FO95" s="139">
        <f t="shared" si="79"/>
        <v>0</v>
      </c>
      <c r="FP95" s="139">
        <f t="shared" si="80"/>
        <v>0</v>
      </c>
      <c r="FQ95" s="139">
        <f t="shared" si="81"/>
        <v>0</v>
      </c>
      <c r="FR95" s="139">
        <f t="shared" si="82"/>
        <v>0</v>
      </c>
      <c r="FS95" s="139">
        <f t="shared" si="83"/>
        <v>0</v>
      </c>
      <c r="FT95" s="139">
        <f t="shared" si="84"/>
        <v>0</v>
      </c>
      <c r="FU95" s="148">
        <f t="shared" si="85"/>
        <v>1.5376290443821181</v>
      </c>
      <c r="FV95" s="149"/>
      <c r="FY95" s="211">
        <v>90</v>
      </c>
      <c r="FZ95">
        <v>20.261743678112801</v>
      </c>
      <c r="GA95">
        <v>66.96276362368728</v>
      </c>
      <c r="GB95">
        <v>80.82239704245913</v>
      </c>
      <c r="GC95">
        <v>42.594497297252545</v>
      </c>
      <c r="GD95">
        <v>24.146251978086728</v>
      </c>
      <c r="GE95">
        <v>60.78255897037441</v>
      </c>
      <c r="GF95">
        <v>87.293914568269926</v>
      </c>
      <c r="GG95">
        <v>57.270216731994189</v>
      </c>
      <c r="GH95">
        <v>27.066625571544204</v>
      </c>
      <c r="GI95">
        <v>60.534112821548867</v>
      </c>
      <c r="GJ95"/>
      <c r="GK95"/>
      <c r="GL95"/>
      <c r="GM95"/>
    </row>
    <row r="96" spans="1:195" s="7" customFormat="1">
      <c r="A96" s="77"/>
      <c r="B96" s="76">
        <f ca="1">IF(C96="", "", RAND())</f>
        <v>2.2590501896361026E-2</v>
      </c>
      <c r="C96">
        <v>5</v>
      </c>
      <c r="D96">
        <v>39646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 s="2"/>
      <c r="AK96" s="80"/>
      <c r="AL96" s="74"/>
      <c r="AM96" s="43">
        <v>80</v>
      </c>
      <c r="AN96">
        <v>257.50428599881241</v>
      </c>
      <c r="AO96">
        <v>94.898042090586699</v>
      </c>
      <c r="AP96">
        <v>674.91439732124388</v>
      </c>
      <c r="AQ96">
        <v>502.74538494972523</v>
      </c>
      <c r="AR96">
        <v>87.322958180227232</v>
      </c>
      <c r="AS96">
        <v>718.89338697866401</v>
      </c>
      <c r="AT96">
        <v>48.946529107817355</v>
      </c>
      <c r="AU96">
        <v>134.94362491122331</v>
      </c>
      <c r="AV96"/>
      <c r="AW96"/>
      <c r="AX96" s="151"/>
      <c r="AY96" s="76">
        <f t="shared" ca="1" si="86"/>
        <v>8.8598407251708311E-2</v>
      </c>
      <c r="AZ96">
        <v>9</v>
      </c>
      <c r="BA96" s="129">
        <f t="shared" si="87"/>
        <v>39646</v>
      </c>
      <c r="BB96">
        <v>0</v>
      </c>
      <c r="BC96">
        <v>0</v>
      </c>
      <c r="BD96">
        <v>0</v>
      </c>
      <c r="BE96">
        <v>0</v>
      </c>
      <c r="BF96">
        <v>0</v>
      </c>
      <c r="BG96">
        <v>0</v>
      </c>
      <c r="BH96">
        <v>0</v>
      </c>
      <c r="BI96">
        <v>0</v>
      </c>
      <c r="BJ96">
        <v>0</v>
      </c>
      <c r="BK96">
        <v>0</v>
      </c>
      <c r="BL96">
        <v>0</v>
      </c>
      <c r="BM96">
        <v>0</v>
      </c>
      <c r="BN96">
        <v>0</v>
      </c>
      <c r="BO96">
        <v>0</v>
      </c>
      <c r="BP96">
        <v>0</v>
      </c>
      <c r="BQ96">
        <v>0</v>
      </c>
      <c r="BR96">
        <v>0</v>
      </c>
      <c r="BS96">
        <v>0</v>
      </c>
      <c r="BT96">
        <v>0</v>
      </c>
      <c r="BU96">
        <v>0</v>
      </c>
      <c r="BV96">
        <v>0</v>
      </c>
      <c r="BW96">
        <v>0</v>
      </c>
      <c r="BX96">
        <v>0</v>
      </c>
      <c r="BY96">
        <v>0</v>
      </c>
      <c r="BZ96">
        <v>0</v>
      </c>
      <c r="CA96">
        <v>0</v>
      </c>
      <c r="CB96">
        <v>0</v>
      </c>
      <c r="CC96">
        <v>0</v>
      </c>
      <c r="CD96">
        <v>0</v>
      </c>
      <c r="CE96">
        <v>0</v>
      </c>
      <c r="CF96">
        <v>0</v>
      </c>
      <c r="CG96" s="147"/>
      <c r="CH96" s="176"/>
      <c r="CJ96" s="151"/>
      <c r="CK96" s="76">
        <f t="shared" ca="1" si="88"/>
        <v>0.84617439882149892</v>
      </c>
      <c r="CL96" s="179">
        <f t="shared" si="89"/>
        <v>9</v>
      </c>
      <c r="CM96" s="180">
        <f t="shared" si="90"/>
        <v>39646</v>
      </c>
      <c r="CN96">
        <v>0</v>
      </c>
      <c r="CO96">
        <v>1</v>
      </c>
      <c r="CP96">
        <v>1</v>
      </c>
      <c r="CQ96">
        <v>2</v>
      </c>
      <c r="CR96">
        <v>0</v>
      </c>
      <c r="CS96">
        <v>0</v>
      </c>
      <c r="CT96">
        <v>0</v>
      </c>
      <c r="CU96">
        <v>0</v>
      </c>
      <c r="CV96" s="160"/>
      <c r="CW96">
        <v>1</v>
      </c>
      <c r="CX96">
        <v>1</v>
      </c>
      <c r="CY96" s="164"/>
      <c r="CZ96" s="177">
        <f t="shared" si="91"/>
        <v>9.6000000000000002E-2</v>
      </c>
      <c r="DB96" s="151"/>
      <c r="DC96" s="76">
        <f t="shared" ca="1" si="49"/>
        <v>0.65927647800755129</v>
      </c>
      <c r="DD96">
        <f t="shared" si="92"/>
        <v>9</v>
      </c>
      <c r="DE96" s="129">
        <f t="shared" si="50"/>
        <v>39646</v>
      </c>
      <c r="DF96" s="161">
        <f t="shared" si="93"/>
        <v>0</v>
      </c>
      <c r="DG96" s="161">
        <f t="shared" si="94"/>
        <v>10.416666666666666</v>
      </c>
      <c r="DH96" s="161">
        <f t="shared" si="95"/>
        <v>10.416666666666666</v>
      </c>
      <c r="DI96" s="161">
        <f t="shared" si="96"/>
        <v>20.833333333333332</v>
      </c>
      <c r="DJ96" s="161">
        <f t="shared" si="97"/>
        <v>0</v>
      </c>
      <c r="DK96" s="161">
        <f t="shared" si="98"/>
        <v>0</v>
      </c>
      <c r="DL96" s="161">
        <f t="shared" si="99"/>
        <v>0</v>
      </c>
      <c r="DM96" s="161">
        <f t="shared" si="100"/>
        <v>0</v>
      </c>
      <c r="DN96" s="161">
        <f t="shared" si="101"/>
        <v>0</v>
      </c>
      <c r="DO96" s="161">
        <f t="shared" si="102"/>
        <v>0</v>
      </c>
      <c r="DP96" s="161">
        <f t="shared" si="103"/>
        <v>0</v>
      </c>
      <c r="DQ96" s="161">
        <f t="shared" si="104"/>
        <v>0</v>
      </c>
      <c r="DR96" s="161">
        <f t="shared" si="105"/>
        <v>0</v>
      </c>
      <c r="DS96" s="161">
        <f t="shared" si="106"/>
        <v>0</v>
      </c>
      <c r="DT96" s="161">
        <f t="shared" si="107"/>
        <v>0</v>
      </c>
      <c r="DU96" s="161">
        <f t="shared" si="108"/>
        <v>0</v>
      </c>
      <c r="DV96" s="161">
        <f t="shared" si="109"/>
        <v>0</v>
      </c>
      <c r="DW96" s="161">
        <f t="shared" si="110"/>
        <v>0</v>
      </c>
      <c r="DX96" s="161">
        <f t="shared" si="111"/>
        <v>0</v>
      </c>
      <c r="DY96" s="161">
        <f t="shared" si="112"/>
        <v>0</v>
      </c>
      <c r="DZ96" s="161">
        <f t="shared" si="113"/>
        <v>0</v>
      </c>
      <c r="EA96" s="161">
        <f t="shared" si="114"/>
        <v>0</v>
      </c>
      <c r="EB96" s="161">
        <f t="shared" si="115"/>
        <v>0</v>
      </c>
      <c r="EC96" s="161">
        <f t="shared" si="116"/>
        <v>0</v>
      </c>
      <c r="ED96" s="161">
        <f t="shared" si="117"/>
        <v>0</v>
      </c>
      <c r="EE96" s="161">
        <f t="shared" si="118"/>
        <v>0</v>
      </c>
      <c r="EF96" s="161">
        <f t="shared" si="119"/>
        <v>0</v>
      </c>
      <c r="EG96" s="161">
        <f t="shared" si="120"/>
        <v>0</v>
      </c>
      <c r="EH96" s="161">
        <f t="shared" si="121"/>
        <v>0</v>
      </c>
      <c r="EI96" s="161">
        <f t="shared" si="122"/>
        <v>0</v>
      </c>
      <c r="EJ96" s="161">
        <f t="shared" si="123"/>
        <v>0</v>
      </c>
      <c r="EK96" s="147">
        <f t="shared" si="53"/>
        <v>41.666666666666664</v>
      </c>
      <c r="EL96" s="149"/>
      <c r="EN96" s="151"/>
      <c r="EO96" s="151"/>
      <c r="EP96" s="139">
        <f t="shared" si="54"/>
        <v>0</v>
      </c>
      <c r="EQ96" s="139">
        <f t="shared" si="55"/>
        <v>0.10278541666666666</v>
      </c>
      <c r="ER96" s="139">
        <f t="shared" si="56"/>
        <v>0.76881452219105906</v>
      </c>
      <c r="ES96" s="139">
        <f t="shared" si="57"/>
        <v>4.9893560698582986</v>
      </c>
      <c r="ET96" s="139">
        <f t="shared" si="58"/>
        <v>0</v>
      </c>
      <c r="EU96" s="139">
        <f t="shared" si="59"/>
        <v>0</v>
      </c>
      <c r="EV96" s="139">
        <f t="shared" si="60"/>
        <v>0</v>
      </c>
      <c r="EW96" s="139">
        <f t="shared" si="61"/>
        <v>0</v>
      </c>
      <c r="EX96" s="139">
        <f t="shared" si="62"/>
        <v>0</v>
      </c>
      <c r="EY96" s="139">
        <f t="shared" si="63"/>
        <v>0</v>
      </c>
      <c r="EZ96" s="139">
        <f t="shared" si="64"/>
        <v>0</v>
      </c>
      <c r="FA96" s="139">
        <f t="shared" si="65"/>
        <v>0</v>
      </c>
      <c r="FB96" s="139">
        <f t="shared" si="66"/>
        <v>0</v>
      </c>
      <c r="FC96" s="139">
        <f t="shared" si="67"/>
        <v>0</v>
      </c>
      <c r="FD96" s="139">
        <f t="shared" si="68"/>
        <v>0</v>
      </c>
      <c r="FE96" s="139">
        <f t="shared" si="69"/>
        <v>0</v>
      </c>
      <c r="FF96" s="139">
        <f t="shared" si="70"/>
        <v>0</v>
      </c>
      <c r="FG96" s="139">
        <f t="shared" si="71"/>
        <v>0</v>
      </c>
      <c r="FH96" s="139">
        <f t="shared" si="72"/>
        <v>0</v>
      </c>
      <c r="FI96" s="139">
        <f t="shared" si="73"/>
        <v>0</v>
      </c>
      <c r="FJ96" s="139">
        <f t="shared" si="74"/>
        <v>0</v>
      </c>
      <c r="FK96" s="139">
        <f t="shared" si="75"/>
        <v>0</v>
      </c>
      <c r="FL96" s="139">
        <f t="shared" si="76"/>
        <v>0</v>
      </c>
      <c r="FM96" s="139">
        <f t="shared" si="77"/>
        <v>0</v>
      </c>
      <c r="FN96" s="139">
        <f t="shared" si="78"/>
        <v>0</v>
      </c>
      <c r="FO96" s="139">
        <f t="shared" si="79"/>
        <v>0</v>
      </c>
      <c r="FP96" s="139">
        <f t="shared" si="80"/>
        <v>0</v>
      </c>
      <c r="FQ96" s="139">
        <f t="shared" si="81"/>
        <v>0</v>
      </c>
      <c r="FR96" s="139">
        <f t="shared" si="82"/>
        <v>0</v>
      </c>
      <c r="FS96" s="139">
        <f t="shared" si="83"/>
        <v>0</v>
      </c>
      <c r="FT96" s="139">
        <f t="shared" si="84"/>
        <v>0</v>
      </c>
      <c r="FU96" s="148">
        <f t="shared" si="85"/>
        <v>5.8609560087160242</v>
      </c>
      <c r="FV96" s="149"/>
      <c r="FY96" s="211">
        <v>91</v>
      </c>
      <c r="FZ96">
        <v>17.802469061493873</v>
      </c>
      <c r="GA96">
        <v>50.049995242251939</v>
      </c>
      <c r="GB96">
        <v>77.518104808145821</v>
      </c>
      <c r="GC96">
        <v>47.345021928936347</v>
      </c>
      <c r="GD96">
        <v>21.684641680048983</v>
      </c>
      <c r="GE96">
        <v>34.504835621388182</v>
      </c>
      <c r="GF96">
        <v>63.390483936904552</v>
      </c>
      <c r="GG96">
        <v>55.288023584991691</v>
      </c>
      <c r="GH96">
        <v>23.061661476442005</v>
      </c>
      <c r="GI96">
        <v>52.540422121992457</v>
      </c>
      <c r="GJ96"/>
      <c r="GK96"/>
      <c r="GL96"/>
      <c r="GM96"/>
    </row>
    <row r="97" spans="1:195" s="7" customFormat="1">
      <c r="A97" s="77"/>
      <c r="B97" s="76">
        <f ca="1">IF(C97="", "", RAND())</f>
        <v>0.20007719702033544</v>
      </c>
      <c r="C97">
        <v>6</v>
      </c>
      <c r="D97">
        <v>39646</v>
      </c>
      <c r="E97">
        <v>0</v>
      </c>
      <c r="F97">
        <v>20.833333333333332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 s="2"/>
      <c r="AK97" s="80"/>
      <c r="AL97" s="74"/>
      <c r="AM97" s="43">
        <v>81</v>
      </c>
      <c r="AN97">
        <v>286.46020658905434</v>
      </c>
      <c r="AO97">
        <v>106.72120914499756</v>
      </c>
      <c r="AP97">
        <v>750.70115795110132</v>
      </c>
      <c r="AQ97">
        <v>551.05475403313631</v>
      </c>
      <c r="AR97">
        <v>94.176761493688915</v>
      </c>
      <c r="AS97">
        <v>722.07911135697861</v>
      </c>
      <c r="AT97">
        <v>52.324259315798919</v>
      </c>
      <c r="AU97">
        <v>103.56112585398867</v>
      </c>
      <c r="AV97"/>
      <c r="AW97"/>
      <c r="AX97" s="151"/>
      <c r="AY97" s="76">
        <f t="shared" ca="1" si="86"/>
        <v>0.57286301990388222</v>
      </c>
      <c r="AZ97">
        <v>10</v>
      </c>
      <c r="BA97" s="129">
        <f t="shared" si="87"/>
        <v>39646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0</v>
      </c>
      <c r="BJ97">
        <v>0</v>
      </c>
      <c r="BK97">
        <v>0</v>
      </c>
      <c r="BL97">
        <v>0</v>
      </c>
      <c r="BM97">
        <v>0</v>
      </c>
      <c r="BN97">
        <v>0</v>
      </c>
      <c r="BO97">
        <v>0</v>
      </c>
      <c r="BP97">
        <v>0</v>
      </c>
      <c r="BQ97">
        <v>0</v>
      </c>
      <c r="BR97">
        <v>0</v>
      </c>
      <c r="BS97">
        <v>0</v>
      </c>
      <c r="BT97">
        <v>0</v>
      </c>
      <c r="BU97">
        <v>0</v>
      </c>
      <c r="BV97">
        <v>0</v>
      </c>
      <c r="BW97">
        <v>0</v>
      </c>
      <c r="BX97">
        <v>0</v>
      </c>
      <c r="BY97">
        <v>0</v>
      </c>
      <c r="BZ97">
        <v>0</v>
      </c>
      <c r="CA97">
        <v>0</v>
      </c>
      <c r="CB97">
        <v>0</v>
      </c>
      <c r="CC97">
        <v>0</v>
      </c>
      <c r="CD97">
        <v>0</v>
      </c>
      <c r="CE97">
        <v>0</v>
      </c>
      <c r="CF97">
        <v>0</v>
      </c>
      <c r="CG97" s="147"/>
      <c r="CH97" s="176"/>
      <c r="CJ97" s="151"/>
      <c r="CK97" s="76">
        <f t="shared" ca="1" si="88"/>
        <v>0.75655694976617482</v>
      </c>
      <c r="CL97" s="179">
        <f t="shared" si="89"/>
        <v>10</v>
      </c>
      <c r="CM97" s="180">
        <f t="shared" si="90"/>
        <v>39646</v>
      </c>
      <c r="CN97">
        <v>0</v>
      </c>
      <c r="CO97">
        <v>0</v>
      </c>
      <c r="CP97">
        <v>0</v>
      </c>
      <c r="CQ97">
        <v>0</v>
      </c>
      <c r="CR97">
        <v>0</v>
      </c>
      <c r="CS97">
        <v>0</v>
      </c>
      <c r="CT97">
        <v>0</v>
      </c>
      <c r="CU97">
        <v>0</v>
      </c>
      <c r="CV97" s="160"/>
      <c r="CW97">
        <v>1</v>
      </c>
      <c r="CX97">
        <v>2</v>
      </c>
      <c r="CY97" s="164"/>
      <c r="CZ97" s="177">
        <f t="shared" si="91"/>
        <v>9.6000000000000002E-2</v>
      </c>
      <c r="DB97" s="151"/>
      <c r="DC97" s="76">
        <f t="shared" ca="1" si="49"/>
        <v>0.87960799111632504</v>
      </c>
      <c r="DD97">
        <f t="shared" si="92"/>
        <v>10</v>
      </c>
      <c r="DE97" s="129">
        <f t="shared" si="50"/>
        <v>39646</v>
      </c>
      <c r="DF97" s="161">
        <f t="shared" si="93"/>
        <v>0</v>
      </c>
      <c r="DG97" s="161">
        <f t="shared" si="94"/>
        <v>0</v>
      </c>
      <c r="DH97" s="161">
        <f t="shared" si="95"/>
        <v>0</v>
      </c>
      <c r="DI97" s="161">
        <f t="shared" si="96"/>
        <v>0</v>
      </c>
      <c r="DJ97" s="161">
        <f t="shared" si="97"/>
        <v>0</v>
      </c>
      <c r="DK97" s="161">
        <f t="shared" si="98"/>
        <v>0</v>
      </c>
      <c r="DL97" s="161">
        <f t="shared" si="99"/>
        <v>0</v>
      </c>
      <c r="DM97" s="161">
        <f t="shared" si="100"/>
        <v>0</v>
      </c>
      <c r="DN97" s="161">
        <f t="shared" si="101"/>
        <v>0</v>
      </c>
      <c r="DO97" s="161">
        <f t="shared" si="102"/>
        <v>0</v>
      </c>
      <c r="DP97" s="161">
        <f t="shared" si="103"/>
        <v>0</v>
      </c>
      <c r="DQ97" s="161">
        <f t="shared" si="104"/>
        <v>0</v>
      </c>
      <c r="DR97" s="161">
        <f t="shared" si="105"/>
        <v>0</v>
      </c>
      <c r="DS97" s="161">
        <f t="shared" si="106"/>
        <v>0</v>
      </c>
      <c r="DT97" s="161">
        <f t="shared" si="107"/>
        <v>0</v>
      </c>
      <c r="DU97" s="161">
        <f t="shared" si="108"/>
        <v>0</v>
      </c>
      <c r="DV97" s="161">
        <f t="shared" si="109"/>
        <v>0</v>
      </c>
      <c r="DW97" s="161">
        <f t="shared" si="110"/>
        <v>0</v>
      </c>
      <c r="DX97" s="161">
        <f t="shared" si="111"/>
        <v>0</v>
      </c>
      <c r="DY97" s="161">
        <f t="shared" si="112"/>
        <v>0</v>
      </c>
      <c r="DZ97" s="161">
        <f t="shared" si="113"/>
        <v>0</v>
      </c>
      <c r="EA97" s="161">
        <f t="shared" si="114"/>
        <v>0</v>
      </c>
      <c r="EB97" s="161">
        <f t="shared" si="115"/>
        <v>0</v>
      </c>
      <c r="EC97" s="161">
        <f t="shared" si="116"/>
        <v>0</v>
      </c>
      <c r="ED97" s="161">
        <f t="shared" si="117"/>
        <v>0</v>
      </c>
      <c r="EE97" s="161">
        <f t="shared" si="118"/>
        <v>0</v>
      </c>
      <c r="EF97" s="161">
        <f t="shared" si="119"/>
        <v>0</v>
      </c>
      <c r="EG97" s="161">
        <f t="shared" si="120"/>
        <v>0</v>
      </c>
      <c r="EH97" s="161">
        <f t="shared" si="121"/>
        <v>0</v>
      </c>
      <c r="EI97" s="161">
        <f t="shared" si="122"/>
        <v>0</v>
      </c>
      <c r="EJ97" s="161">
        <f t="shared" si="123"/>
        <v>0</v>
      </c>
      <c r="EK97" s="147">
        <f t="shared" si="53"/>
        <v>0</v>
      </c>
      <c r="EL97" s="149"/>
      <c r="EN97" s="151"/>
      <c r="EO97" s="151"/>
      <c r="EP97" s="139">
        <f t="shared" si="54"/>
        <v>0</v>
      </c>
      <c r="EQ97" s="139">
        <f t="shared" si="55"/>
        <v>0</v>
      </c>
      <c r="ER97" s="139">
        <f t="shared" si="56"/>
        <v>0</v>
      </c>
      <c r="ES97" s="139">
        <f t="shared" si="57"/>
        <v>0</v>
      </c>
      <c r="ET97" s="139">
        <f t="shared" si="58"/>
        <v>0</v>
      </c>
      <c r="EU97" s="139">
        <f t="shared" si="59"/>
        <v>0</v>
      </c>
      <c r="EV97" s="139">
        <f t="shared" si="60"/>
        <v>0</v>
      </c>
      <c r="EW97" s="139">
        <f t="shared" si="61"/>
        <v>0</v>
      </c>
      <c r="EX97" s="139">
        <f t="shared" si="62"/>
        <v>0</v>
      </c>
      <c r="EY97" s="139">
        <f t="shared" si="63"/>
        <v>0</v>
      </c>
      <c r="EZ97" s="139">
        <f t="shared" si="64"/>
        <v>0</v>
      </c>
      <c r="FA97" s="139">
        <f t="shared" si="65"/>
        <v>0</v>
      </c>
      <c r="FB97" s="139">
        <f t="shared" si="66"/>
        <v>0</v>
      </c>
      <c r="FC97" s="139">
        <f t="shared" si="67"/>
        <v>0</v>
      </c>
      <c r="FD97" s="139">
        <f t="shared" si="68"/>
        <v>0</v>
      </c>
      <c r="FE97" s="139">
        <f t="shared" si="69"/>
        <v>0</v>
      </c>
      <c r="FF97" s="139">
        <f t="shared" si="70"/>
        <v>0</v>
      </c>
      <c r="FG97" s="139">
        <f t="shared" si="71"/>
        <v>0</v>
      </c>
      <c r="FH97" s="139">
        <f t="shared" si="72"/>
        <v>0</v>
      </c>
      <c r="FI97" s="139">
        <f t="shared" si="73"/>
        <v>0</v>
      </c>
      <c r="FJ97" s="139">
        <f t="shared" si="74"/>
        <v>0</v>
      </c>
      <c r="FK97" s="139">
        <f t="shared" si="75"/>
        <v>0</v>
      </c>
      <c r="FL97" s="139">
        <f t="shared" si="76"/>
        <v>0</v>
      </c>
      <c r="FM97" s="139">
        <f t="shared" si="77"/>
        <v>0</v>
      </c>
      <c r="FN97" s="139">
        <f t="shared" si="78"/>
        <v>0</v>
      </c>
      <c r="FO97" s="139">
        <f t="shared" si="79"/>
        <v>0</v>
      </c>
      <c r="FP97" s="139">
        <f t="shared" si="80"/>
        <v>0</v>
      </c>
      <c r="FQ97" s="139">
        <f t="shared" si="81"/>
        <v>0</v>
      </c>
      <c r="FR97" s="139">
        <f t="shared" si="82"/>
        <v>0</v>
      </c>
      <c r="FS97" s="139">
        <f t="shared" si="83"/>
        <v>0</v>
      </c>
      <c r="FT97" s="139">
        <f t="shared" si="84"/>
        <v>0</v>
      </c>
      <c r="FU97" s="148">
        <f t="shared" si="85"/>
        <v>0</v>
      </c>
      <c r="FV97" s="149"/>
      <c r="FY97" s="211">
        <v>92</v>
      </c>
      <c r="FZ97">
        <v>22.638627945028816</v>
      </c>
      <c r="GA97">
        <v>55.289032641867408</v>
      </c>
      <c r="GB97">
        <v>96.308448691533798</v>
      </c>
      <c r="GC97">
        <v>53.558556953486743</v>
      </c>
      <c r="GD97">
        <v>23.918107995710677</v>
      </c>
      <c r="GE97">
        <v>63.014578794437909</v>
      </c>
      <c r="GF97">
        <v>83.570660560595911</v>
      </c>
      <c r="GG97">
        <v>56.647396395942941</v>
      </c>
      <c r="GH97">
        <v>33.691727026538274</v>
      </c>
      <c r="GI97">
        <v>65.254798304188668</v>
      </c>
      <c r="GJ97"/>
      <c r="GK97"/>
      <c r="GL97"/>
      <c r="GM97"/>
    </row>
    <row r="98" spans="1:195" s="7" customFormat="1">
      <c r="A98" s="128"/>
      <c r="B98" s="76">
        <f ca="1">IF(C98="", "", RAND())</f>
        <v>0.50549503224453307</v>
      </c>
      <c r="C98">
        <v>9</v>
      </c>
      <c r="D98">
        <v>39673</v>
      </c>
      <c r="E98">
        <v>0</v>
      </c>
      <c r="F98">
        <v>10.416666666666666</v>
      </c>
      <c r="G98">
        <v>52.083333333333336</v>
      </c>
      <c r="H98">
        <v>0</v>
      </c>
      <c r="I98">
        <v>0</v>
      </c>
      <c r="J98">
        <v>0</v>
      </c>
      <c r="K98">
        <v>0</v>
      </c>
      <c r="L98">
        <v>72.916666666666671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 s="2"/>
      <c r="AK98" s="80"/>
      <c r="AL98" s="74"/>
      <c r="AM98" s="43">
        <v>82</v>
      </c>
      <c r="AN98">
        <v>266.440042974601</v>
      </c>
      <c r="AO98">
        <v>87.68920421426273</v>
      </c>
      <c r="AP98">
        <v>655.69298837748727</v>
      </c>
      <c r="AQ98">
        <v>487.50410671244401</v>
      </c>
      <c r="AR98">
        <v>80.062277363909431</v>
      </c>
      <c r="AS98">
        <v>679.82308369984332</v>
      </c>
      <c r="AT98">
        <v>45.366500453688523</v>
      </c>
      <c r="AU98">
        <v>81.879180919685666</v>
      </c>
      <c r="AV98"/>
      <c r="AW98"/>
      <c r="AX98" s="128"/>
      <c r="AY98" s="76">
        <f t="shared" ca="1" si="86"/>
        <v>0.59313917111807068</v>
      </c>
      <c r="AZ98">
        <v>1</v>
      </c>
      <c r="BA98" s="129">
        <f>IF(AZ98="", "",$C$5)</f>
        <v>39673</v>
      </c>
      <c r="BB98">
        <v>0</v>
      </c>
      <c r="BC98">
        <v>0</v>
      </c>
      <c r="BD98">
        <v>1</v>
      </c>
      <c r="BE98">
        <v>0</v>
      </c>
      <c r="BF98">
        <v>0</v>
      </c>
      <c r="BG98">
        <v>0</v>
      </c>
      <c r="BH98">
        <v>0</v>
      </c>
      <c r="BI98">
        <v>0</v>
      </c>
      <c r="BJ98">
        <v>0</v>
      </c>
      <c r="BK98">
        <v>0</v>
      </c>
      <c r="BL98">
        <v>0</v>
      </c>
      <c r="BM98">
        <v>0</v>
      </c>
      <c r="BN98">
        <v>0</v>
      </c>
      <c r="BO98">
        <v>0</v>
      </c>
      <c r="BP98">
        <v>0</v>
      </c>
      <c r="BQ98">
        <v>0</v>
      </c>
      <c r="BR98">
        <v>0</v>
      </c>
      <c r="BS98">
        <v>0</v>
      </c>
      <c r="BT98">
        <v>0</v>
      </c>
      <c r="BU98">
        <v>0</v>
      </c>
      <c r="BV98">
        <v>0</v>
      </c>
      <c r="BW98">
        <v>0</v>
      </c>
      <c r="BX98">
        <v>0</v>
      </c>
      <c r="BY98">
        <v>0</v>
      </c>
      <c r="BZ98">
        <v>0</v>
      </c>
      <c r="CA98">
        <v>0</v>
      </c>
      <c r="CB98">
        <v>0</v>
      </c>
      <c r="CC98">
        <v>0</v>
      </c>
      <c r="CD98">
        <v>0</v>
      </c>
      <c r="CE98">
        <v>0</v>
      </c>
      <c r="CF98">
        <v>0</v>
      </c>
      <c r="CG98" s="147"/>
      <c r="CH98" s="176"/>
      <c r="CJ98" s="128"/>
      <c r="CK98" s="76">
        <f t="shared" ca="1" si="88"/>
        <v>0.45437937589624955</v>
      </c>
      <c r="CL98" s="179">
        <f t="shared" si="89"/>
        <v>1</v>
      </c>
      <c r="CM98" s="180">
        <f t="shared" si="90"/>
        <v>39673</v>
      </c>
      <c r="CN98">
        <v>0</v>
      </c>
      <c r="CO98">
        <v>0</v>
      </c>
      <c r="CP98">
        <v>0</v>
      </c>
      <c r="CQ98">
        <v>0</v>
      </c>
      <c r="CR98">
        <v>0</v>
      </c>
      <c r="CS98">
        <v>0</v>
      </c>
      <c r="CT98">
        <v>0</v>
      </c>
      <c r="CU98">
        <v>0</v>
      </c>
      <c r="CW98">
        <v>1</v>
      </c>
      <c r="CX98">
        <v>1</v>
      </c>
      <c r="CY98" s="158"/>
      <c r="CZ98" s="177">
        <f t="shared" si="91"/>
        <v>9.6000000000000002E-2</v>
      </c>
      <c r="DB98" s="128"/>
      <c r="DC98" s="76">
        <f t="shared" ca="1" si="49"/>
        <v>0.87694475939352934</v>
      </c>
      <c r="DD98">
        <f t="shared" si="92"/>
        <v>1</v>
      </c>
      <c r="DE98" s="129">
        <f t="shared" ref="DE98:DE107" si="124">IF((DD98)="", "", $C$5)</f>
        <v>39673</v>
      </c>
      <c r="DF98" s="161">
        <f t="shared" si="93"/>
        <v>0</v>
      </c>
      <c r="DG98" s="161">
        <f t="shared" si="94"/>
        <v>0</v>
      </c>
      <c r="DH98" s="161">
        <f t="shared" si="95"/>
        <v>10.416666666666666</v>
      </c>
      <c r="DI98" s="161">
        <f t="shared" si="96"/>
        <v>0</v>
      </c>
      <c r="DJ98" s="161">
        <f t="shared" si="97"/>
        <v>0</v>
      </c>
      <c r="DK98" s="161">
        <f t="shared" si="98"/>
        <v>0</v>
      </c>
      <c r="DL98" s="161">
        <f t="shared" si="99"/>
        <v>0</v>
      </c>
      <c r="DM98" s="161">
        <f t="shared" si="100"/>
        <v>0</v>
      </c>
      <c r="DN98" s="161">
        <f t="shared" si="101"/>
        <v>0</v>
      </c>
      <c r="DO98" s="161">
        <f t="shared" si="102"/>
        <v>0</v>
      </c>
      <c r="DP98" s="161">
        <f t="shared" si="103"/>
        <v>0</v>
      </c>
      <c r="DQ98" s="161">
        <f t="shared" si="104"/>
        <v>0</v>
      </c>
      <c r="DR98" s="161">
        <f t="shared" si="105"/>
        <v>0</v>
      </c>
      <c r="DS98" s="161">
        <f t="shared" si="106"/>
        <v>0</v>
      </c>
      <c r="DT98" s="161">
        <f t="shared" si="107"/>
        <v>0</v>
      </c>
      <c r="DU98" s="161">
        <f t="shared" si="108"/>
        <v>0</v>
      </c>
      <c r="DV98" s="161">
        <f t="shared" si="109"/>
        <v>0</v>
      </c>
      <c r="DW98" s="161">
        <f t="shared" si="110"/>
        <v>0</v>
      </c>
      <c r="DX98" s="161">
        <f t="shared" si="111"/>
        <v>0</v>
      </c>
      <c r="DY98" s="161">
        <f t="shared" si="112"/>
        <v>0</v>
      </c>
      <c r="DZ98" s="161">
        <f t="shared" si="113"/>
        <v>0</v>
      </c>
      <c r="EA98" s="161">
        <f t="shared" si="114"/>
        <v>0</v>
      </c>
      <c r="EB98" s="161">
        <f t="shared" si="115"/>
        <v>0</v>
      </c>
      <c r="EC98" s="161">
        <f t="shared" si="116"/>
        <v>0</v>
      </c>
      <c r="ED98" s="161">
        <f t="shared" si="117"/>
        <v>0</v>
      </c>
      <c r="EE98" s="161">
        <f t="shared" si="118"/>
        <v>0</v>
      </c>
      <c r="EF98" s="161">
        <f t="shared" si="119"/>
        <v>0</v>
      </c>
      <c r="EG98" s="161">
        <f t="shared" si="120"/>
        <v>0</v>
      </c>
      <c r="EH98" s="161">
        <f t="shared" si="121"/>
        <v>0</v>
      </c>
      <c r="EI98" s="161">
        <f t="shared" si="122"/>
        <v>0</v>
      </c>
      <c r="EJ98" s="161">
        <f t="shared" si="123"/>
        <v>0</v>
      </c>
      <c r="EK98" s="147">
        <f t="shared" si="53"/>
        <v>10.416666666666666</v>
      </c>
      <c r="EL98" s="149"/>
      <c r="EN98" s="146"/>
      <c r="EO98" s="146"/>
      <c r="EP98" s="139">
        <f t="shared" si="54"/>
        <v>0</v>
      </c>
      <c r="EQ98" s="139">
        <f t="shared" si="55"/>
        <v>0</v>
      </c>
      <c r="ER98" s="139">
        <f t="shared" si="56"/>
        <v>0.76881452219105906</v>
      </c>
      <c r="ES98" s="139">
        <f t="shared" si="57"/>
        <v>0</v>
      </c>
      <c r="ET98" s="139">
        <f t="shared" si="58"/>
        <v>0</v>
      </c>
      <c r="EU98" s="139">
        <f t="shared" si="59"/>
        <v>0</v>
      </c>
      <c r="EV98" s="139">
        <f t="shared" si="60"/>
        <v>0</v>
      </c>
      <c r="EW98" s="139">
        <f t="shared" si="61"/>
        <v>0</v>
      </c>
      <c r="EX98" s="139">
        <f t="shared" si="62"/>
        <v>0</v>
      </c>
      <c r="EY98" s="139">
        <f t="shared" si="63"/>
        <v>0</v>
      </c>
      <c r="EZ98" s="139">
        <f t="shared" si="64"/>
        <v>0</v>
      </c>
      <c r="FA98" s="139">
        <f t="shared" si="65"/>
        <v>0</v>
      </c>
      <c r="FB98" s="139">
        <f t="shared" si="66"/>
        <v>0</v>
      </c>
      <c r="FC98" s="139">
        <f t="shared" si="67"/>
        <v>0</v>
      </c>
      <c r="FD98" s="139">
        <f t="shared" si="68"/>
        <v>0</v>
      </c>
      <c r="FE98" s="139">
        <f t="shared" si="69"/>
        <v>0</v>
      </c>
      <c r="FF98" s="139">
        <f t="shared" si="70"/>
        <v>0</v>
      </c>
      <c r="FG98" s="139">
        <f t="shared" si="71"/>
        <v>0</v>
      </c>
      <c r="FH98" s="139">
        <f t="shared" si="72"/>
        <v>0</v>
      </c>
      <c r="FI98" s="139">
        <f t="shared" si="73"/>
        <v>0</v>
      </c>
      <c r="FJ98" s="139">
        <f t="shared" si="74"/>
        <v>0</v>
      </c>
      <c r="FK98" s="139">
        <f t="shared" si="75"/>
        <v>0</v>
      </c>
      <c r="FL98" s="139">
        <f t="shared" si="76"/>
        <v>0</v>
      </c>
      <c r="FM98" s="139">
        <f t="shared" si="77"/>
        <v>0</v>
      </c>
      <c r="FN98" s="139">
        <f t="shared" si="78"/>
        <v>0</v>
      </c>
      <c r="FO98" s="139">
        <f t="shared" si="79"/>
        <v>0</v>
      </c>
      <c r="FP98" s="139">
        <f t="shared" si="80"/>
        <v>0</v>
      </c>
      <c r="FQ98" s="139">
        <f t="shared" si="81"/>
        <v>0</v>
      </c>
      <c r="FR98" s="139">
        <f t="shared" si="82"/>
        <v>0</v>
      </c>
      <c r="FS98" s="139">
        <f t="shared" si="83"/>
        <v>0</v>
      </c>
      <c r="FT98" s="139">
        <f t="shared" si="84"/>
        <v>0</v>
      </c>
      <c r="FU98" s="148">
        <f t="shared" si="85"/>
        <v>0.76881452219105906</v>
      </c>
      <c r="FV98" s="149"/>
      <c r="FY98" s="211">
        <v>93</v>
      </c>
      <c r="FZ98">
        <v>11.463988271717529</v>
      </c>
      <c r="GA98">
        <v>50.149992127163571</v>
      </c>
      <c r="GB98">
        <v>68.130220545452318</v>
      </c>
      <c r="GC98">
        <v>34.937202352547445</v>
      </c>
      <c r="GD98">
        <v>12.05324351460043</v>
      </c>
      <c r="GE98">
        <v>24.343544739470403</v>
      </c>
      <c r="GF98">
        <v>73.072400157061693</v>
      </c>
      <c r="GG98">
        <v>64.736935990342857</v>
      </c>
      <c r="GH98">
        <v>23.954776462108985</v>
      </c>
      <c r="GI98">
        <v>44.811480392858044</v>
      </c>
      <c r="GJ98"/>
      <c r="GK98"/>
      <c r="GL98"/>
      <c r="GM98"/>
    </row>
    <row r="99" spans="1:195" s="7" customFormat="1">
      <c r="A99" s="1"/>
      <c r="B99" s="76">
        <f ca="1">IF(C99="", "", RAND())</f>
        <v>8.8035832107902223E-3</v>
      </c>
      <c r="C99">
        <v>8</v>
      </c>
      <c r="D99">
        <v>39673</v>
      </c>
      <c r="E99">
        <v>0</v>
      </c>
      <c r="F99">
        <v>187.5</v>
      </c>
      <c r="G99">
        <v>83.333333333333329</v>
      </c>
      <c r="H99">
        <v>0</v>
      </c>
      <c r="I99">
        <v>0</v>
      </c>
      <c r="J99">
        <v>10.416666666666666</v>
      </c>
      <c r="K99">
        <v>0</v>
      </c>
      <c r="L99">
        <v>20.833333333333332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 s="2"/>
      <c r="AK99" s="80"/>
      <c r="AL99" s="74"/>
      <c r="AM99" s="43">
        <v>83</v>
      </c>
      <c r="AN99">
        <v>188.01291824909146</v>
      </c>
      <c r="AO99">
        <v>61.051214880491237</v>
      </c>
      <c r="AP99">
        <v>422.09288404111271</v>
      </c>
      <c r="AQ99">
        <v>328.46284506890913</v>
      </c>
      <c r="AR99">
        <v>54.338005996234379</v>
      </c>
      <c r="AS99">
        <v>467.07575190210576</v>
      </c>
      <c r="AT99">
        <v>30.780649489561</v>
      </c>
      <c r="AU99">
        <v>49.100606297386221</v>
      </c>
      <c r="AV99"/>
      <c r="AW99"/>
      <c r="AX99" s="146"/>
      <c r="AY99" s="76">
        <f t="shared" ca="1" si="86"/>
        <v>0.35170536021140464</v>
      </c>
      <c r="AZ99">
        <v>2</v>
      </c>
      <c r="BA99" s="129">
        <f t="shared" ref="BA99:BA107" si="125">IF(AZ99="", "",$C$5)</f>
        <v>39673</v>
      </c>
      <c r="BB99">
        <v>0</v>
      </c>
      <c r="BC99">
        <v>0</v>
      </c>
      <c r="BD99">
        <v>0</v>
      </c>
      <c r="BE99">
        <v>0</v>
      </c>
      <c r="BF99">
        <v>0</v>
      </c>
      <c r="BG99">
        <v>0</v>
      </c>
      <c r="BH99">
        <v>0</v>
      </c>
      <c r="BI99">
        <v>0</v>
      </c>
      <c r="BJ99">
        <v>0</v>
      </c>
      <c r="BK99">
        <v>0</v>
      </c>
      <c r="BL99">
        <v>0</v>
      </c>
      <c r="BM99">
        <v>0</v>
      </c>
      <c r="BN99">
        <v>0</v>
      </c>
      <c r="BO99">
        <v>0</v>
      </c>
      <c r="BP99">
        <v>0</v>
      </c>
      <c r="BQ99">
        <v>0</v>
      </c>
      <c r="BR99">
        <v>0</v>
      </c>
      <c r="BS99">
        <v>0</v>
      </c>
      <c r="BT99">
        <v>0</v>
      </c>
      <c r="BU99">
        <v>0</v>
      </c>
      <c r="BV99">
        <v>0</v>
      </c>
      <c r="BW99">
        <v>0</v>
      </c>
      <c r="BX99">
        <v>0</v>
      </c>
      <c r="BY99">
        <v>0</v>
      </c>
      <c r="BZ99">
        <v>0</v>
      </c>
      <c r="CA99">
        <v>0</v>
      </c>
      <c r="CB99">
        <v>0</v>
      </c>
      <c r="CC99">
        <v>0</v>
      </c>
      <c r="CD99">
        <v>0</v>
      </c>
      <c r="CE99">
        <v>0</v>
      </c>
      <c r="CF99">
        <v>0</v>
      </c>
      <c r="CG99" s="147"/>
      <c r="CH99" s="176"/>
      <c r="CJ99" s="146"/>
      <c r="CK99" s="76">
        <f t="shared" ca="1" si="88"/>
        <v>0.31436008256190906</v>
      </c>
      <c r="CL99" s="179">
        <f t="shared" si="89"/>
        <v>2</v>
      </c>
      <c r="CM99" s="180">
        <f t="shared" si="90"/>
        <v>39673</v>
      </c>
      <c r="CN99">
        <v>0</v>
      </c>
      <c r="CO99">
        <v>0</v>
      </c>
      <c r="CP99">
        <v>1</v>
      </c>
      <c r="CQ99">
        <v>1</v>
      </c>
      <c r="CR99">
        <v>0</v>
      </c>
      <c r="CS99">
        <v>0</v>
      </c>
      <c r="CT99">
        <v>0</v>
      </c>
      <c r="CU99">
        <v>0</v>
      </c>
      <c r="CW99">
        <v>1</v>
      </c>
      <c r="CX99">
        <v>6</v>
      </c>
      <c r="CY99" s="158"/>
      <c r="CZ99" s="177">
        <f t="shared" si="91"/>
        <v>9.6000000000000002E-2</v>
      </c>
      <c r="DB99" s="146"/>
      <c r="DC99" s="76">
        <f t="shared" ca="1" si="49"/>
        <v>0.36241569217536251</v>
      </c>
      <c r="DD99">
        <f t="shared" si="92"/>
        <v>2</v>
      </c>
      <c r="DE99" s="129">
        <f t="shared" si="124"/>
        <v>39673</v>
      </c>
      <c r="DF99" s="161">
        <f t="shared" si="93"/>
        <v>0</v>
      </c>
      <c r="DG99" s="161">
        <f t="shared" si="94"/>
        <v>0</v>
      </c>
      <c r="DH99" s="161">
        <f t="shared" si="95"/>
        <v>62.5</v>
      </c>
      <c r="DI99" s="161">
        <f t="shared" si="96"/>
        <v>62.5</v>
      </c>
      <c r="DJ99" s="161">
        <f t="shared" si="97"/>
        <v>0</v>
      </c>
      <c r="DK99" s="161">
        <f t="shared" si="98"/>
        <v>0</v>
      </c>
      <c r="DL99" s="161">
        <f t="shared" si="99"/>
        <v>0</v>
      </c>
      <c r="DM99" s="161">
        <f t="shared" si="100"/>
        <v>0</v>
      </c>
      <c r="DN99" s="161">
        <f t="shared" si="101"/>
        <v>0</v>
      </c>
      <c r="DO99" s="161">
        <f t="shared" si="102"/>
        <v>0</v>
      </c>
      <c r="DP99" s="161">
        <f t="shared" si="103"/>
        <v>0</v>
      </c>
      <c r="DQ99" s="161">
        <f t="shared" si="104"/>
        <v>0</v>
      </c>
      <c r="DR99" s="161">
        <f t="shared" si="105"/>
        <v>0</v>
      </c>
      <c r="DS99" s="161">
        <f t="shared" si="106"/>
        <v>0</v>
      </c>
      <c r="DT99" s="161">
        <f t="shared" si="107"/>
        <v>0</v>
      </c>
      <c r="DU99" s="161">
        <f t="shared" si="108"/>
        <v>0</v>
      </c>
      <c r="DV99" s="161">
        <f t="shared" si="109"/>
        <v>0</v>
      </c>
      <c r="DW99" s="161">
        <f t="shared" si="110"/>
        <v>0</v>
      </c>
      <c r="DX99" s="161">
        <f t="shared" si="111"/>
        <v>0</v>
      </c>
      <c r="DY99" s="161">
        <f t="shared" si="112"/>
        <v>0</v>
      </c>
      <c r="DZ99" s="161">
        <f t="shared" si="113"/>
        <v>0</v>
      </c>
      <c r="EA99" s="161">
        <f t="shared" si="114"/>
        <v>0</v>
      </c>
      <c r="EB99" s="161">
        <f t="shared" si="115"/>
        <v>0</v>
      </c>
      <c r="EC99" s="161">
        <f t="shared" si="116"/>
        <v>0</v>
      </c>
      <c r="ED99" s="161">
        <f t="shared" si="117"/>
        <v>0</v>
      </c>
      <c r="EE99" s="161">
        <f t="shared" si="118"/>
        <v>0</v>
      </c>
      <c r="EF99" s="161">
        <f t="shared" si="119"/>
        <v>0</v>
      </c>
      <c r="EG99" s="161">
        <f t="shared" si="120"/>
        <v>0</v>
      </c>
      <c r="EH99" s="161">
        <f t="shared" si="121"/>
        <v>0</v>
      </c>
      <c r="EI99" s="161">
        <f t="shared" si="122"/>
        <v>0</v>
      </c>
      <c r="EJ99" s="161">
        <f t="shared" si="123"/>
        <v>0</v>
      </c>
      <c r="EK99" s="147">
        <f t="shared" si="53"/>
        <v>125</v>
      </c>
      <c r="EL99" s="149"/>
      <c r="EN99" s="146"/>
      <c r="EO99" s="146"/>
      <c r="EP99" s="139">
        <f t="shared" si="54"/>
        <v>0</v>
      </c>
      <c r="EQ99" s="139">
        <f t="shared" si="55"/>
        <v>0</v>
      </c>
      <c r="ER99" s="139">
        <f t="shared" si="56"/>
        <v>4.612887133146355</v>
      </c>
      <c r="ES99" s="139">
        <f t="shared" si="57"/>
        <v>14.968068209574897</v>
      </c>
      <c r="ET99" s="139">
        <f t="shared" si="58"/>
        <v>0</v>
      </c>
      <c r="EU99" s="139">
        <f t="shared" si="59"/>
        <v>0</v>
      </c>
      <c r="EV99" s="139">
        <f t="shared" si="60"/>
        <v>0</v>
      </c>
      <c r="EW99" s="139">
        <f t="shared" si="61"/>
        <v>0</v>
      </c>
      <c r="EX99" s="139">
        <f t="shared" si="62"/>
        <v>0</v>
      </c>
      <c r="EY99" s="139">
        <f t="shared" si="63"/>
        <v>0</v>
      </c>
      <c r="EZ99" s="139">
        <f t="shared" si="64"/>
        <v>0</v>
      </c>
      <c r="FA99" s="139">
        <f t="shared" si="65"/>
        <v>0</v>
      </c>
      <c r="FB99" s="139">
        <f t="shared" si="66"/>
        <v>0</v>
      </c>
      <c r="FC99" s="139">
        <f t="shared" si="67"/>
        <v>0</v>
      </c>
      <c r="FD99" s="139">
        <f t="shared" si="68"/>
        <v>0</v>
      </c>
      <c r="FE99" s="139">
        <f t="shared" si="69"/>
        <v>0</v>
      </c>
      <c r="FF99" s="139">
        <f t="shared" si="70"/>
        <v>0</v>
      </c>
      <c r="FG99" s="139">
        <f t="shared" si="71"/>
        <v>0</v>
      </c>
      <c r="FH99" s="139">
        <f t="shared" si="72"/>
        <v>0</v>
      </c>
      <c r="FI99" s="139">
        <f t="shared" si="73"/>
        <v>0</v>
      </c>
      <c r="FJ99" s="139">
        <f t="shared" si="74"/>
        <v>0</v>
      </c>
      <c r="FK99" s="139">
        <f t="shared" si="75"/>
        <v>0</v>
      </c>
      <c r="FL99" s="139">
        <f t="shared" si="76"/>
        <v>0</v>
      </c>
      <c r="FM99" s="139">
        <f t="shared" si="77"/>
        <v>0</v>
      </c>
      <c r="FN99" s="139">
        <f t="shared" si="78"/>
        <v>0</v>
      </c>
      <c r="FO99" s="139">
        <f t="shared" si="79"/>
        <v>0</v>
      </c>
      <c r="FP99" s="139">
        <f t="shared" si="80"/>
        <v>0</v>
      </c>
      <c r="FQ99" s="139">
        <f t="shared" si="81"/>
        <v>0</v>
      </c>
      <c r="FR99" s="139">
        <f t="shared" si="82"/>
        <v>0</v>
      </c>
      <c r="FS99" s="139">
        <f t="shared" si="83"/>
        <v>0</v>
      </c>
      <c r="FT99" s="139">
        <f t="shared" si="84"/>
        <v>0</v>
      </c>
      <c r="FU99" s="148">
        <f t="shared" si="85"/>
        <v>19.580955342721253</v>
      </c>
      <c r="FV99" s="149"/>
      <c r="FY99" s="211">
        <v>94</v>
      </c>
      <c r="FZ99">
        <v>6.0931211510616574</v>
      </c>
      <c r="GA99">
        <v>34.155355094637308</v>
      </c>
      <c r="GB99">
        <v>75.85066480202147</v>
      </c>
      <c r="GC99">
        <v>44.40597279563714</v>
      </c>
      <c r="GD99">
        <v>13.802737614514317</v>
      </c>
      <c r="GE99">
        <v>34.018565681729839</v>
      </c>
      <c r="GF99">
        <v>69.840325746679824</v>
      </c>
      <c r="GG99">
        <v>48.449337902826272</v>
      </c>
      <c r="GH99">
        <v>26.778923466705951</v>
      </c>
      <c r="GI99">
        <v>48.233059530983887</v>
      </c>
      <c r="GJ99"/>
      <c r="GK99"/>
      <c r="GL99"/>
      <c r="GM99"/>
    </row>
    <row r="100" spans="1:195" s="7" customFormat="1">
      <c r="A100" s="1"/>
      <c r="B100" s="76">
        <f ca="1">IF(C100="", "", RAND())</f>
        <v>2.425596159800758E-3</v>
      </c>
      <c r="C100">
        <v>5</v>
      </c>
      <c r="D100">
        <v>39673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 s="2"/>
      <c r="AK100" s="80"/>
      <c r="AL100" s="74"/>
      <c r="AM100" s="43">
        <v>84</v>
      </c>
      <c r="AN100">
        <v>234.36131651242968</v>
      </c>
      <c r="AO100">
        <v>80.754611524117493</v>
      </c>
      <c r="AP100">
        <v>635.29693390558327</v>
      </c>
      <c r="AQ100">
        <v>451.31528332584674</v>
      </c>
      <c r="AR100">
        <v>72.718772496200913</v>
      </c>
      <c r="AS100">
        <v>594.31836681458913</v>
      </c>
      <c r="AT100">
        <v>41.71834139367612</v>
      </c>
      <c r="AU100">
        <v>88.283019911858958</v>
      </c>
      <c r="AV100"/>
      <c r="AW100"/>
      <c r="AX100" s="146"/>
      <c r="AY100" s="76">
        <f t="shared" ca="1" si="86"/>
        <v>0.94035642354910465</v>
      </c>
      <c r="AZ100">
        <v>3</v>
      </c>
      <c r="BA100" s="129">
        <f t="shared" si="125"/>
        <v>39673</v>
      </c>
      <c r="BB100">
        <v>0</v>
      </c>
      <c r="BC100">
        <v>0</v>
      </c>
      <c r="BD100">
        <v>0</v>
      </c>
      <c r="BE100">
        <v>0</v>
      </c>
      <c r="BF100">
        <v>0</v>
      </c>
      <c r="BG100">
        <v>0</v>
      </c>
      <c r="BH100">
        <v>0</v>
      </c>
      <c r="BI100">
        <v>0</v>
      </c>
      <c r="BJ100">
        <v>0</v>
      </c>
      <c r="BK100">
        <v>0</v>
      </c>
      <c r="BL100">
        <v>0</v>
      </c>
      <c r="BM100">
        <v>0</v>
      </c>
      <c r="BN100">
        <v>0</v>
      </c>
      <c r="BO100">
        <v>0</v>
      </c>
      <c r="BP100">
        <v>0</v>
      </c>
      <c r="BQ100">
        <v>0</v>
      </c>
      <c r="BR100">
        <v>0</v>
      </c>
      <c r="BS100">
        <v>0</v>
      </c>
      <c r="BT100">
        <v>0</v>
      </c>
      <c r="BU100">
        <v>0</v>
      </c>
      <c r="BV100">
        <v>0</v>
      </c>
      <c r="BW100">
        <v>0</v>
      </c>
      <c r="BX100">
        <v>0</v>
      </c>
      <c r="BY100">
        <v>0</v>
      </c>
      <c r="BZ100">
        <v>0</v>
      </c>
      <c r="CA100">
        <v>0</v>
      </c>
      <c r="CB100">
        <v>0</v>
      </c>
      <c r="CC100">
        <v>0</v>
      </c>
      <c r="CD100">
        <v>0</v>
      </c>
      <c r="CE100">
        <v>0</v>
      </c>
      <c r="CF100">
        <v>0</v>
      </c>
      <c r="CG100" s="147"/>
      <c r="CH100" s="176"/>
      <c r="CJ100" s="146"/>
      <c r="CK100" s="76">
        <f t="shared" ca="1" si="88"/>
        <v>0.23844745949850954</v>
      </c>
      <c r="CL100" s="179">
        <f t="shared" si="89"/>
        <v>3</v>
      </c>
      <c r="CM100" s="180">
        <f t="shared" si="90"/>
        <v>39673</v>
      </c>
      <c r="CN100">
        <v>0</v>
      </c>
      <c r="CO100">
        <v>0</v>
      </c>
      <c r="CP100">
        <v>2</v>
      </c>
      <c r="CQ100">
        <v>1</v>
      </c>
      <c r="CR100">
        <v>0</v>
      </c>
      <c r="CS100">
        <v>0</v>
      </c>
      <c r="CT100">
        <v>0</v>
      </c>
      <c r="CU100">
        <v>0</v>
      </c>
      <c r="CW100">
        <v>1</v>
      </c>
      <c r="CX100">
        <f>350/51</f>
        <v>6.8627450980392153</v>
      </c>
      <c r="CY100" s="158"/>
      <c r="CZ100" s="177">
        <f t="shared" si="91"/>
        <v>9.6000000000000002E-2</v>
      </c>
      <c r="DB100" s="146"/>
      <c r="DC100" s="76">
        <f t="shared" ca="1" si="49"/>
        <v>7.4833972921326541E-2</v>
      </c>
      <c r="DD100">
        <f t="shared" si="92"/>
        <v>3</v>
      </c>
      <c r="DE100" s="129">
        <f t="shared" si="124"/>
        <v>39673</v>
      </c>
      <c r="DF100" s="161">
        <f t="shared" si="93"/>
        <v>0</v>
      </c>
      <c r="DG100" s="161">
        <f t="shared" si="94"/>
        <v>0</v>
      </c>
      <c r="DH100" s="161">
        <f t="shared" si="95"/>
        <v>142.97385620915031</v>
      </c>
      <c r="DI100" s="161">
        <f t="shared" si="96"/>
        <v>71.486928104575156</v>
      </c>
      <c r="DJ100" s="161">
        <f t="shared" si="97"/>
        <v>0</v>
      </c>
      <c r="DK100" s="161">
        <f t="shared" si="98"/>
        <v>0</v>
      </c>
      <c r="DL100" s="161">
        <f t="shared" si="99"/>
        <v>0</v>
      </c>
      <c r="DM100" s="161">
        <f t="shared" si="100"/>
        <v>0</v>
      </c>
      <c r="DN100" s="161">
        <f t="shared" si="101"/>
        <v>0</v>
      </c>
      <c r="DO100" s="161">
        <f t="shared" si="102"/>
        <v>0</v>
      </c>
      <c r="DP100" s="161">
        <f t="shared" si="103"/>
        <v>0</v>
      </c>
      <c r="DQ100" s="161">
        <f t="shared" si="104"/>
        <v>0</v>
      </c>
      <c r="DR100" s="161">
        <f t="shared" si="105"/>
        <v>0</v>
      </c>
      <c r="DS100" s="161">
        <f t="shared" si="106"/>
        <v>0</v>
      </c>
      <c r="DT100" s="161">
        <f t="shared" si="107"/>
        <v>0</v>
      </c>
      <c r="DU100" s="161">
        <f t="shared" si="108"/>
        <v>0</v>
      </c>
      <c r="DV100" s="161">
        <f t="shared" si="109"/>
        <v>0</v>
      </c>
      <c r="DW100" s="161">
        <f t="shared" si="110"/>
        <v>0</v>
      </c>
      <c r="DX100" s="161">
        <f t="shared" si="111"/>
        <v>0</v>
      </c>
      <c r="DY100" s="161">
        <f t="shared" si="112"/>
        <v>0</v>
      </c>
      <c r="DZ100" s="161">
        <f t="shared" si="113"/>
        <v>0</v>
      </c>
      <c r="EA100" s="161">
        <f t="shared" si="114"/>
        <v>0</v>
      </c>
      <c r="EB100" s="161">
        <f t="shared" si="115"/>
        <v>0</v>
      </c>
      <c r="EC100" s="161">
        <f t="shared" si="116"/>
        <v>0</v>
      </c>
      <c r="ED100" s="161">
        <f t="shared" si="117"/>
        <v>0</v>
      </c>
      <c r="EE100" s="161">
        <f t="shared" si="118"/>
        <v>0</v>
      </c>
      <c r="EF100" s="161">
        <f t="shared" si="119"/>
        <v>0</v>
      </c>
      <c r="EG100" s="161">
        <f t="shared" si="120"/>
        <v>0</v>
      </c>
      <c r="EH100" s="161">
        <f t="shared" si="121"/>
        <v>0</v>
      </c>
      <c r="EI100" s="161">
        <f t="shared" si="122"/>
        <v>0</v>
      </c>
      <c r="EJ100" s="161">
        <f t="shared" si="123"/>
        <v>0</v>
      </c>
      <c r="EK100" s="147">
        <f t="shared" si="53"/>
        <v>214.46078431372547</v>
      </c>
      <c r="EL100" s="149"/>
      <c r="EN100" s="146"/>
      <c r="EO100" s="146"/>
      <c r="EP100" s="139">
        <f t="shared" si="54"/>
        <v>0</v>
      </c>
      <c r="EQ100" s="139">
        <f t="shared" si="55"/>
        <v>0</v>
      </c>
      <c r="ER100" s="139">
        <f t="shared" si="56"/>
        <v>10.552356186936104</v>
      </c>
      <c r="ES100" s="139">
        <f t="shared" si="57"/>
        <v>17.12033945539612</v>
      </c>
      <c r="ET100" s="139">
        <f t="shared" si="58"/>
        <v>0</v>
      </c>
      <c r="EU100" s="139">
        <f t="shared" si="59"/>
        <v>0</v>
      </c>
      <c r="EV100" s="139">
        <f t="shared" si="60"/>
        <v>0</v>
      </c>
      <c r="EW100" s="139">
        <f t="shared" si="61"/>
        <v>0</v>
      </c>
      <c r="EX100" s="139">
        <f t="shared" si="62"/>
        <v>0</v>
      </c>
      <c r="EY100" s="139">
        <f t="shared" si="63"/>
        <v>0</v>
      </c>
      <c r="EZ100" s="139">
        <f t="shared" si="64"/>
        <v>0</v>
      </c>
      <c r="FA100" s="139">
        <f t="shared" si="65"/>
        <v>0</v>
      </c>
      <c r="FB100" s="139">
        <f t="shared" si="66"/>
        <v>0</v>
      </c>
      <c r="FC100" s="139">
        <f t="shared" si="67"/>
        <v>0</v>
      </c>
      <c r="FD100" s="139">
        <f t="shared" si="68"/>
        <v>0</v>
      </c>
      <c r="FE100" s="139">
        <f t="shared" si="69"/>
        <v>0</v>
      </c>
      <c r="FF100" s="139">
        <f t="shared" si="70"/>
        <v>0</v>
      </c>
      <c r="FG100" s="139">
        <f t="shared" si="71"/>
        <v>0</v>
      </c>
      <c r="FH100" s="139">
        <f t="shared" si="72"/>
        <v>0</v>
      </c>
      <c r="FI100" s="139">
        <f t="shared" si="73"/>
        <v>0</v>
      </c>
      <c r="FJ100" s="139">
        <f t="shared" si="74"/>
        <v>0</v>
      </c>
      <c r="FK100" s="139">
        <f t="shared" si="75"/>
        <v>0</v>
      </c>
      <c r="FL100" s="139">
        <f t="shared" si="76"/>
        <v>0</v>
      </c>
      <c r="FM100" s="139">
        <f t="shared" si="77"/>
        <v>0</v>
      </c>
      <c r="FN100" s="139">
        <f t="shared" si="78"/>
        <v>0</v>
      </c>
      <c r="FO100" s="139">
        <f t="shared" si="79"/>
        <v>0</v>
      </c>
      <c r="FP100" s="139">
        <f t="shared" si="80"/>
        <v>0</v>
      </c>
      <c r="FQ100" s="139">
        <f t="shared" si="81"/>
        <v>0</v>
      </c>
      <c r="FR100" s="139">
        <f t="shared" si="82"/>
        <v>0</v>
      </c>
      <c r="FS100" s="139">
        <f t="shared" si="83"/>
        <v>0</v>
      </c>
      <c r="FT100" s="139">
        <f t="shared" si="84"/>
        <v>0</v>
      </c>
      <c r="FU100" s="148">
        <f t="shared" si="85"/>
        <v>27.672695642332222</v>
      </c>
      <c r="FV100" s="149"/>
      <c r="FY100" s="211">
        <v>95</v>
      </c>
      <c r="FZ100">
        <v>13.058103885518044</v>
      </c>
      <c r="GA100">
        <v>50.438952901735277</v>
      </c>
      <c r="GB100">
        <v>80.683992286502502</v>
      </c>
      <c r="GC100">
        <v>48.438574929686496</v>
      </c>
      <c r="GD100">
        <v>18.145118615264089</v>
      </c>
      <c r="GE100">
        <v>31.108289803742839</v>
      </c>
      <c r="GF100">
        <v>100.83651248643498</v>
      </c>
      <c r="GG100">
        <v>98.709416254896524</v>
      </c>
      <c r="GH100">
        <v>45.084038499976785</v>
      </c>
      <c r="GI100">
        <v>61.997358908218189</v>
      </c>
      <c r="GJ100"/>
      <c r="GK100"/>
      <c r="GL100"/>
      <c r="GM100"/>
    </row>
    <row r="101" spans="1:195" s="7" customFormat="1">
      <c r="A101" s="1"/>
      <c r="B101" s="76">
        <f ca="1">IF(C101="", "", RAND())</f>
        <v>0.20926458698219008</v>
      </c>
      <c r="C101">
        <v>3</v>
      </c>
      <c r="D101">
        <v>39673</v>
      </c>
      <c r="E101">
        <v>0</v>
      </c>
      <c r="F101">
        <v>0</v>
      </c>
      <c r="G101">
        <v>142.97385620915031</v>
      </c>
      <c r="H101">
        <v>71.486928104575156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 s="2"/>
      <c r="AK101" s="80"/>
      <c r="AL101" s="74"/>
      <c r="AM101" s="43">
        <v>85</v>
      </c>
      <c r="AN101">
        <v>223.60794826440556</v>
      </c>
      <c r="AO101">
        <v>82.806046030102607</v>
      </c>
      <c r="AP101">
        <v>553.40375196434138</v>
      </c>
      <c r="AQ101">
        <v>434.94302066538648</v>
      </c>
      <c r="AR101">
        <v>74.420670401506527</v>
      </c>
      <c r="AS101">
        <v>597.38401932521515</v>
      </c>
      <c r="AT101">
        <v>40.149820714496428</v>
      </c>
      <c r="AU101">
        <v>63.715832045318919</v>
      </c>
      <c r="AV101"/>
      <c r="AW101"/>
      <c r="AX101" s="146"/>
      <c r="AY101" s="76">
        <f t="shared" ca="1" si="86"/>
        <v>0.26567177978651157</v>
      </c>
      <c r="AZ101">
        <v>4</v>
      </c>
      <c r="BA101" s="129">
        <f t="shared" si="125"/>
        <v>39673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0</v>
      </c>
      <c r="BK101">
        <v>0</v>
      </c>
      <c r="BL101">
        <v>0</v>
      </c>
      <c r="BM101">
        <v>0</v>
      </c>
      <c r="BN101">
        <v>0</v>
      </c>
      <c r="BO101">
        <v>0</v>
      </c>
      <c r="BP101">
        <v>0</v>
      </c>
      <c r="BQ101">
        <v>0</v>
      </c>
      <c r="BR101">
        <v>0</v>
      </c>
      <c r="BS101">
        <v>0</v>
      </c>
      <c r="BT101">
        <v>0</v>
      </c>
      <c r="BU101">
        <v>0</v>
      </c>
      <c r="BV101">
        <v>0</v>
      </c>
      <c r="BW101">
        <v>0</v>
      </c>
      <c r="BX101">
        <v>0</v>
      </c>
      <c r="BY101">
        <v>0</v>
      </c>
      <c r="BZ101">
        <v>0</v>
      </c>
      <c r="CA101">
        <v>0</v>
      </c>
      <c r="CB101">
        <v>0</v>
      </c>
      <c r="CC101">
        <v>0</v>
      </c>
      <c r="CD101">
        <v>0</v>
      </c>
      <c r="CE101">
        <v>0</v>
      </c>
      <c r="CF101">
        <v>0</v>
      </c>
      <c r="CG101" s="147"/>
      <c r="CH101" s="176"/>
      <c r="CJ101" s="146"/>
      <c r="CK101" s="76">
        <f t="shared" ca="1" si="88"/>
        <v>0.38686111287218905</v>
      </c>
      <c r="CL101" s="179">
        <f t="shared" si="89"/>
        <v>4</v>
      </c>
      <c r="CM101" s="180">
        <f t="shared" si="90"/>
        <v>39673</v>
      </c>
      <c r="CN101">
        <v>0</v>
      </c>
      <c r="CO101">
        <v>0</v>
      </c>
      <c r="CP101">
        <v>0</v>
      </c>
      <c r="CQ101">
        <v>0</v>
      </c>
      <c r="CR101">
        <v>0</v>
      </c>
      <c r="CS101">
        <v>0</v>
      </c>
      <c r="CT101">
        <v>0</v>
      </c>
      <c r="CU101">
        <v>0</v>
      </c>
      <c r="CW101">
        <v>1</v>
      </c>
      <c r="CX101">
        <f>355/50</f>
        <v>7.1</v>
      </c>
      <c r="CY101" s="158"/>
      <c r="CZ101" s="177">
        <f t="shared" si="91"/>
        <v>9.6000000000000002E-2</v>
      </c>
      <c r="DB101" s="146"/>
      <c r="DC101" s="76">
        <f t="shared" ca="1" si="49"/>
        <v>0.55787061484595357</v>
      </c>
      <c r="DD101">
        <f t="shared" si="92"/>
        <v>4</v>
      </c>
      <c r="DE101" s="129">
        <f t="shared" si="124"/>
        <v>39673</v>
      </c>
      <c r="DF101" s="161">
        <f t="shared" si="93"/>
        <v>0</v>
      </c>
      <c r="DG101" s="161">
        <f t="shared" si="94"/>
        <v>0</v>
      </c>
      <c r="DH101" s="161">
        <f t="shared" si="95"/>
        <v>0</v>
      </c>
      <c r="DI101" s="161">
        <f t="shared" si="96"/>
        <v>0</v>
      </c>
      <c r="DJ101" s="161">
        <f t="shared" si="97"/>
        <v>0</v>
      </c>
      <c r="DK101" s="161">
        <f t="shared" si="98"/>
        <v>0</v>
      </c>
      <c r="DL101" s="161">
        <f t="shared" si="99"/>
        <v>0</v>
      </c>
      <c r="DM101" s="161">
        <f t="shared" si="100"/>
        <v>0</v>
      </c>
      <c r="DN101" s="161">
        <f t="shared" si="101"/>
        <v>0</v>
      </c>
      <c r="DO101" s="161">
        <f t="shared" si="102"/>
        <v>0</v>
      </c>
      <c r="DP101" s="161">
        <f t="shared" si="103"/>
        <v>0</v>
      </c>
      <c r="DQ101" s="161">
        <f t="shared" si="104"/>
        <v>0</v>
      </c>
      <c r="DR101" s="161">
        <f t="shared" si="105"/>
        <v>0</v>
      </c>
      <c r="DS101" s="161">
        <f t="shared" si="106"/>
        <v>0</v>
      </c>
      <c r="DT101" s="161">
        <f t="shared" si="107"/>
        <v>0</v>
      </c>
      <c r="DU101" s="161">
        <f t="shared" si="108"/>
        <v>0</v>
      </c>
      <c r="DV101" s="161">
        <f t="shared" si="109"/>
        <v>0</v>
      </c>
      <c r="DW101" s="161">
        <f t="shared" si="110"/>
        <v>0</v>
      </c>
      <c r="DX101" s="161">
        <f t="shared" si="111"/>
        <v>0</v>
      </c>
      <c r="DY101" s="161">
        <f t="shared" si="112"/>
        <v>0</v>
      </c>
      <c r="DZ101" s="161">
        <f t="shared" si="113"/>
        <v>0</v>
      </c>
      <c r="EA101" s="161">
        <f t="shared" si="114"/>
        <v>0</v>
      </c>
      <c r="EB101" s="161">
        <f t="shared" si="115"/>
        <v>0</v>
      </c>
      <c r="EC101" s="161">
        <f t="shared" si="116"/>
        <v>0</v>
      </c>
      <c r="ED101" s="161">
        <f t="shared" si="117"/>
        <v>0</v>
      </c>
      <c r="EE101" s="161">
        <f t="shared" si="118"/>
        <v>0</v>
      </c>
      <c r="EF101" s="161">
        <f t="shared" si="119"/>
        <v>0</v>
      </c>
      <c r="EG101" s="161">
        <f t="shared" si="120"/>
        <v>0</v>
      </c>
      <c r="EH101" s="161">
        <f t="shared" si="121"/>
        <v>0</v>
      </c>
      <c r="EI101" s="161">
        <f t="shared" si="122"/>
        <v>0</v>
      </c>
      <c r="EJ101" s="161">
        <f t="shared" si="123"/>
        <v>0</v>
      </c>
      <c r="EK101" s="147">
        <f t="shared" si="53"/>
        <v>0</v>
      </c>
      <c r="EL101" s="149"/>
      <c r="EN101" s="146"/>
      <c r="EO101" s="146"/>
      <c r="EP101" s="139">
        <f t="shared" si="54"/>
        <v>0</v>
      </c>
      <c r="EQ101" s="139">
        <f t="shared" si="55"/>
        <v>0</v>
      </c>
      <c r="ER101" s="139">
        <f t="shared" si="56"/>
        <v>0</v>
      </c>
      <c r="ES101" s="139">
        <f t="shared" si="57"/>
        <v>0</v>
      </c>
      <c r="ET101" s="139">
        <f t="shared" si="58"/>
        <v>0</v>
      </c>
      <c r="EU101" s="139">
        <f t="shared" si="59"/>
        <v>0</v>
      </c>
      <c r="EV101" s="139">
        <f t="shared" si="60"/>
        <v>0</v>
      </c>
      <c r="EW101" s="139">
        <f t="shared" si="61"/>
        <v>0</v>
      </c>
      <c r="EX101" s="139">
        <f t="shared" si="62"/>
        <v>0</v>
      </c>
      <c r="EY101" s="139">
        <f t="shared" si="63"/>
        <v>0</v>
      </c>
      <c r="EZ101" s="139">
        <f t="shared" si="64"/>
        <v>0</v>
      </c>
      <c r="FA101" s="139">
        <f t="shared" si="65"/>
        <v>0</v>
      </c>
      <c r="FB101" s="139">
        <f t="shared" si="66"/>
        <v>0</v>
      </c>
      <c r="FC101" s="139">
        <f t="shared" si="67"/>
        <v>0</v>
      </c>
      <c r="FD101" s="139">
        <f t="shared" si="68"/>
        <v>0</v>
      </c>
      <c r="FE101" s="139">
        <f t="shared" si="69"/>
        <v>0</v>
      </c>
      <c r="FF101" s="139">
        <f t="shared" si="70"/>
        <v>0</v>
      </c>
      <c r="FG101" s="139">
        <f t="shared" si="71"/>
        <v>0</v>
      </c>
      <c r="FH101" s="139">
        <f t="shared" si="72"/>
        <v>0</v>
      </c>
      <c r="FI101" s="139">
        <f t="shared" si="73"/>
        <v>0</v>
      </c>
      <c r="FJ101" s="139">
        <f t="shared" si="74"/>
        <v>0</v>
      </c>
      <c r="FK101" s="139">
        <f t="shared" si="75"/>
        <v>0</v>
      </c>
      <c r="FL101" s="139">
        <f t="shared" si="76"/>
        <v>0</v>
      </c>
      <c r="FM101" s="139">
        <f t="shared" si="77"/>
        <v>0</v>
      </c>
      <c r="FN101" s="139">
        <f t="shared" si="78"/>
        <v>0</v>
      </c>
      <c r="FO101" s="139">
        <f t="shared" si="79"/>
        <v>0</v>
      </c>
      <c r="FP101" s="139">
        <f t="shared" si="80"/>
        <v>0</v>
      </c>
      <c r="FQ101" s="139">
        <f t="shared" si="81"/>
        <v>0</v>
      </c>
      <c r="FR101" s="139">
        <f t="shared" si="82"/>
        <v>0</v>
      </c>
      <c r="FS101" s="139">
        <f t="shared" si="83"/>
        <v>0</v>
      </c>
      <c r="FT101" s="139">
        <f t="shared" si="84"/>
        <v>0</v>
      </c>
      <c r="FU101" s="148">
        <f t="shared" si="85"/>
        <v>0</v>
      </c>
      <c r="FV101" s="149"/>
      <c r="FY101" s="211">
        <v>96</v>
      </c>
      <c r="FZ101">
        <v>17.336210057888891</v>
      </c>
      <c r="GA101">
        <v>50.530498937074</v>
      </c>
      <c r="GB101">
        <v>71.635735033276575</v>
      </c>
      <c r="GC101">
        <v>51.960163272124191</v>
      </c>
      <c r="GD101">
        <v>22.896068101376287</v>
      </c>
      <c r="GE101">
        <v>41.882931911080725</v>
      </c>
      <c r="GF101">
        <v>71.221537553703072</v>
      </c>
      <c r="GG101">
        <v>50.438627018013143</v>
      </c>
      <c r="GH101">
        <v>38.547051221233176</v>
      </c>
      <c r="GI101">
        <v>55.23637533335345</v>
      </c>
      <c r="GJ101"/>
      <c r="GK101"/>
      <c r="GL101"/>
      <c r="GM101"/>
    </row>
    <row r="102" spans="1:195" s="7" customFormat="1">
      <c r="A102" s="1"/>
      <c r="B102" s="76">
        <f ca="1">IF(C102="", "", RAND())</f>
        <v>0.84506615742192714</v>
      </c>
      <c r="C102">
        <v>1</v>
      </c>
      <c r="D102">
        <v>39673</v>
      </c>
      <c r="E102">
        <v>0</v>
      </c>
      <c r="F102">
        <v>0</v>
      </c>
      <c r="G102">
        <v>10.416666666666666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 s="2"/>
      <c r="AK102" s="80"/>
      <c r="AL102" s="74"/>
      <c r="AM102" s="43">
        <v>86</v>
      </c>
      <c r="AN102">
        <v>231.88643218449297</v>
      </c>
      <c r="AO102">
        <v>103.03645263335322</v>
      </c>
      <c r="AP102">
        <v>721.87032839388007</v>
      </c>
      <c r="AQ102">
        <v>559.03485586922716</v>
      </c>
      <c r="AR102">
        <v>92.492519409029782</v>
      </c>
      <c r="AS102">
        <v>715.84720872135722</v>
      </c>
      <c r="AT102">
        <v>54.028836697537777</v>
      </c>
      <c r="AU102">
        <v>53.532781795618142</v>
      </c>
      <c r="AV102"/>
      <c r="AW102"/>
      <c r="AX102" s="146"/>
      <c r="AY102" s="76">
        <f t="shared" ca="1" si="86"/>
        <v>0.84018008580756831</v>
      </c>
      <c r="AZ102">
        <v>5</v>
      </c>
      <c r="BA102" s="129">
        <f t="shared" si="125"/>
        <v>39673</v>
      </c>
      <c r="BB102">
        <v>0</v>
      </c>
      <c r="BC102">
        <v>0</v>
      </c>
      <c r="BD102">
        <v>0</v>
      </c>
      <c r="BE102">
        <v>0</v>
      </c>
      <c r="BF102">
        <v>0</v>
      </c>
      <c r="BG102">
        <v>0</v>
      </c>
      <c r="BH102">
        <v>0</v>
      </c>
      <c r="BI102">
        <v>0</v>
      </c>
      <c r="BJ102">
        <v>0</v>
      </c>
      <c r="BK102">
        <v>0</v>
      </c>
      <c r="BL102">
        <v>0</v>
      </c>
      <c r="BM102">
        <v>0</v>
      </c>
      <c r="BN102">
        <v>0</v>
      </c>
      <c r="BO102">
        <v>0</v>
      </c>
      <c r="BP102">
        <v>0</v>
      </c>
      <c r="BQ102">
        <v>0</v>
      </c>
      <c r="BR102">
        <v>0</v>
      </c>
      <c r="BS102">
        <v>0</v>
      </c>
      <c r="BT102">
        <v>0</v>
      </c>
      <c r="BU102">
        <v>0</v>
      </c>
      <c r="BV102">
        <v>0</v>
      </c>
      <c r="BW102">
        <v>0</v>
      </c>
      <c r="BX102">
        <v>0</v>
      </c>
      <c r="BY102">
        <v>0</v>
      </c>
      <c r="BZ102">
        <v>0</v>
      </c>
      <c r="CA102">
        <v>0</v>
      </c>
      <c r="CB102">
        <v>0</v>
      </c>
      <c r="CC102">
        <v>0</v>
      </c>
      <c r="CD102">
        <v>0</v>
      </c>
      <c r="CE102">
        <v>0</v>
      </c>
      <c r="CF102">
        <v>0</v>
      </c>
      <c r="CG102" s="147"/>
      <c r="CH102" s="176"/>
      <c r="CJ102" s="146"/>
      <c r="CK102" s="76">
        <f t="shared" ca="1" si="88"/>
        <v>0.31771006136501834</v>
      </c>
      <c r="CL102" s="179">
        <f t="shared" si="89"/>
        <v>5</v>
      </c>
      <c r="CM102" s="180">
        <f t="shared" si="90"/>
        <v>39673</v>
      </c>
      <c r="CN102">
        <v>0</v>
      </c>
      <c r="CO102">
        <v>0</v>
      </c>
      <c r="CP102">
        <v>0</v>
      </c>
      <c r="CQ102">
        <v>0</v>
      </c>
      <c r="CR102">
        <v>0</v>
      </c>
      <c r="CS102">
        <v>0</v>
      </c>
      <c r="CT102">
        <v>0</v>
      </c>
      <c r="CU102">
        <v>0</v>
      </c>
      <c r="CW102">
        <v>1</v>
      </c>
      <c r="CX102">
        <v>1</v>
      </c>
      <c r="CY102" s="164"/>
      <c r="CZ102" s="177">
        <f t="shared" si="91"/>
        <v>9.6000000000000002E-2</v>
      </c>
      <c r="DB102" s="146"/>
      <c r="DC102" s="76">
        <f t="shared" ca="1" si="49"/>
        <v>0.88488311379642504</v>
      </c>
      <c r="DD102">
        <f t="shared" si="92"/>
        <v>5</v>
      </c>
      <c r="DE102" s="129">
        <f t="shared" si="124"/>
        <v>39673</v>
      </c>
      <c r="DF102" s="161">
        <f t="shared" si="93"/>
        <v>0</v>
      </c>
      <c r="DG102" s="161">
        <f t="shared" si="94"/>
        <v>0</v>
      </c>
      <c r="DH102" s="161">
        <f t="shared" si="95"/>
        <v>0</v>
      </c>
      <c r="DI102" s="161">
        <f t="shared" si="96"/>
        <v>0</v>
      </c>
      <c r="DJ102" s="161">
        <f t="shared" si="97"/>
        <v>0</v>
      </c>
      <c r="DK102" s="161">
        <f t="shared" si="98"/>
        <v>0</v>
      </c>
      <c r="DL102" s="161">
        <f t="shared" si="99"/>
        <v>0</v>
      </c>
      <c r="DM102" s="161">
        <f t="shared" si="100"/>
        <v>0</v>
      </c>
      <c r="DN102" s="161">
        <f t="shared" si="101"/>
        <v>0</v>
      </c>
      <c r="DO102" s="161">
        <f t="shared" si="102"/>
        <v>0</v>
      </c>
      <c r="DP102" s="161">
        <f t="shared" si="103"/>
        <v>0</v>
      </c>
      <c r="DQ102" s="161">
        <f t="shared" si="104"/>
        <v>0</v>
      </c>
      <c r="DR102" s="161">
        <f t="shared" si="105"/>
        <v>0</v>
      </c>
      <c r="DS102" s="161">
        <f t="shared" si="106"/>
        <v>0</v>
      </c>
      <c r="DT102" s="161">
        <f t="shared" si="107"/>
        <v>0</v>
      </c>
      <c r="DU102" s="161">
        <f t="shared" si="108"/>
        <v>0</v>
      </c>
      <c r="DV102" s="161">
        <f t="shared" si="109"/>
        <v>0</v>
      </c>
      <c r="DW102" s="161">
        <f t="shared" si="110"/>
        <v>0</v>
      </c>
      <c r="DX102" s="161">
        <f t="shared" si="111"/>
        <v>0</v>
      </c>
      <c r="DY102" s="161">
        <f t="shared" si="112"/>
        <v>0</v>
      </c>
      <c r="DZ102" s="161">
        <f t="shared" si="113"/>
        <v>0</v>
      </c>
      <c r="EA102" s="161">
        <f t="shared" si="114"/>
        <v>0</v>
      </c>
      <c r="EB102" s="161">
        <f t="shared" si="115"/>
        <v>0</v>
      </c>
      <c r="EC102" s="161">
        <f t="shared" si="116"/>
        <v>0</v>
      </c>
      <c r="ED102" s="161">
        <f t="shared" si="117"/>
        <v>0</v>
      </c>
      <c r="EE102" s="161">
        <f t="shared" si="118"/>
        <v>0</v>
      </c>
      <c r="EF102" s="161">
        <f t="shared" si="119"/>
        <v>0</v>
      </c>
      <c r="EG102" s="161">
        <f t="shared" si="120"/>
        <v>0</v>
      </c>
      <c r="EH102" s="161">
        <f t="shared" si="121"/>
        <v>0</v>
      </c>
      <c r="EI102" s="161">
        <f t="shared" si="122"/>
        <v>0</v>
      </c>
      <c r="EJ102" s="161">
        <f t="shared" si="123"/>
        <v>0</v>
      </c>
      <c r="EK102" s="147">
        <f t="shared" si="53"/>
        <v>0</v>
      </c>
      <c r="EL102" s="149"/>
      <c r="EN102" s="146"/>
      <c r="EO102" s="146"/>
      <c r="EP102" s="139">
        <f t="shared" si="54"/>
        <v>0</v>
      </c>
      <c r="EQ102" s="139">
        <f t="shared" si="55"/>
        <v>0</v>
      </c>
      <c r="ER102" s="139">
        <f t="shared" si="56"/>
        <v>0</v>
      </c>
      <c r="ES102" s="139">
        <f t="shared" si="57"/>
        <v>0</v>
      </c>
      <c r="ET102" s="139">
        <f t="shared" si="58"/>
        <v>0</v>
      </c>
      <c r="EU102" s="139">
        <f t="shared" si="59"/>
        <v>0</v>
      </c>
      <c r="EV102" s="139">
        <f t="shared" si="60"/>
        <v>0</v>
      </c>
      <c r="EW102" s="139">
        <f t="shared" si="61"/>
        <v>0</v>
      </c>
      <c r="EX102" s="139">
        <f t="shared" si="62"/>
        <v>0</v>
      </c>
      <c r="EY102" s="139">
        <f t="shared" si="63"/>
        <v>0</v>
      </c>
      <c r="EZ102" s="139">
        <f t="shared" si="64"/>
        <v>0</v>
      </c>
      <c r="FA102" s="139">
        <f t="shared" si="65"/>
        <v>0</v>
      </c>
      <c r="FB102" s="139">
        <f t="shared" si="66"/>
        <v>0</v>
      </c>
      <c r="FC102" s="139">
        <f t="shared" si="67"/>
        <v>0</v>
      </c>
      <c r="FD102" s="139">
        <f t="shared" si="68"/>
        <v>0</v>
      </c>
      <c r="FE102" s="139">
        <f t="shared" si="69"/>
        <v>0</v>
      </c>
      <c r="FF102" s="139">
        <f t="shared" si="70"/>
        <v>0</v>
      </c>
      <c r="FG102" s="139">
        <f t="shared" si="71"/>
        <v>0</v>
      </c>
      <c r="FH102" s="139">
        <f t="shared" si="72"/>
        <v>0</v>
      </c>
      <c r="FI102" s="139">
        <f t="shared" si="73"/>
        <v>0</v>
      </c>
      <c r="FJ102" s="139">
        <f t="shared" si="74"/>
        <v>0</v>
      </c>
      <c r="FK102" s="139">
        <f t="shared" si="75"/>
        <v>0</v>
      </c>
      <c r="FL102" s="139">
        <f t="shared" si="76"/>
        <v>0</v>
      </c>
      <c r="FM102" s="139">
        <f t="shared" si="77"/>
        <v>0</v>
      </c>
      <c r="FN102" s="139">
        <f t="shared" si="78"/>
        <v>0</v>
      </c>
      <c r="FO102" s="139">
        <f t="shared" si="79"/>
        <v>0</v>
      </c>
      <c r="FP102" s="139">
        <f t="shared" si="80"/>
        <v>0</v>
      </c>
      <c r="FQ102" s="139">
        <f t="shared" si="81"/>
        <v>0</v>
      </c>
      <c r="FR102" s="139">
        <f t="shared" si="82"/>
        <v>0</v>
      </c>
      <c r="FS102" s="139">
        <f t="shared" si="83"/>
        <v>0</v>
      </c>
      <c r="FT102" s="139">
        <f t="shared" si="84"/>
        <v>0</v>
      </c>
      <c r="FU102" s="148">
        <f t="shared" si="85"/>
        <v>0</v>
      </c>
      <c r="FV102" s="149"/>
      <c r="FY102" s="211">
        <v>97</v>
      </c>
      <c r="FZ102">
        <v>8.7206699371757761</v>
      </c>
      <c r="GA102">
        <v>37.320670474285052</v>
      </c>
      <c r="GB102">
        <v>73.014377988732008</v>
      </c>
      <c r="GC102">
        <v>44.794636153438688</v>
      </c>
      <c r="GD102">
        <v>20.466283370854473</v>
      </c>
      <c r="GE102">
        <v>27.565698105693205</v>
      </c>
      <c r="GF102">
        <v>21.052764314438068</v>
      </c>
      <c r="GG102">
        <v>19.058970657237076</v>
      </c>
      <c r="GH102">
        <v>12.208026092106149</v>
      </c>
      <c r="GI102">
        <v>38.710349178094276</v>
      </c>
      <c r="GJ102"/>
      <c r="GK102"/>
      <c r="GL102"/>
      <c r="GM102"/>
    </row>
    <row r="103" spans="1:195" s="7" customFormat="1">
      <c r="A103" s="1"/>
      <c r="B103" s="76">
        <f ca="1">IF(C103="", "", RAND())</f>
        <v>0.82672077032830216</v>
      </c>
      <c r="C103">
        <v>6</v>
      </c>
      <c r="D103">
        <v>39673</v>
      </c>
      <c r="E103">
        <v>0</v>
      </c>
      <c r="F103">
        <v>0</v>
      </c>
      <c r="G103">
        <v>41.666666666666664</v>
      </c>
      <c r="H103">
        <v>10.416666666666666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 s="2"/>
      <c r="AK103" s="80"/>
      <c r="AL103" s="74"/>
      <c r="AM103" s="43">
        <v>87</v>
      </c>
      <c r="AN103">
        <v>266.55160258350645</v>
      </c>
      <c r="AO103">
        <v>93.627583839307121</v>
      </c>
      <c r="AP103">
        <v>663.86649436825712</v>
      </c>
      <c r="AQ103">
        <v>507.89842832228601</v>
      </c>
      <c r="AR103">
        <v>85.290764026602915</v>
      </c>
      <c r="AS103">
        <v>668.56975578845879</v>
      </c>
      <c r="AT103">
        <v>45.359211146402721</v>
      </c>
      <c r="AU103">
        <v>115.98985327771277</v>
      </c>
      <c r="AV103"/>
      <c r="AW103"/>
      <c r="AX103" s="146"/>
      <c r="AY103" s="76">
        <f ca="1">IF(AZ103="", "", RAND())</f>
        <v>0.89752133068639162</v>
      </c>
      <c r="AZ103">
        <v>6</v>
      </c>
      <c r="BA103" s="129">
        <f t="shared" si="125"/>
        <v>39673</v>
      </c>
      <c r="BB103">
        <v>0</v>
      </c>
      <c r="BC103">
        <v>0</v>
      </c>
      <c r="BD103">
        <v>0</v>
      </c>
      <c r="BE103">
        <v>0</v>
      </c>
      <c r="BF103">
        <v>0</v>
      </c>
      <c r="BG103">
        <v>0</v>
      </c>
      <c r="BH103">
        <v>0</v>
      </c>
      <c r="BI103">
        <v>0</v>
      </c>
      <c r="BJ103">
        <v>0</v>
      </c>
      <c r="BK103">
        <v>0</v>
      </c>
      <c r="BL103">
        <v>0</v>
      </c>
      <c r="BM103">
        <v>0</v>
      </c>
      <c r="BN103">
        <v>0</v>
      </c>
      <c r="BO103">
        <v>0</v>
      </c>
      <c r="BP103">
        <v>0</v>
      </c>
      <c r="BQ103">
        <v>0</v>
      </c>
      <c r="BR103">
        <v>0</v>
      </c>
      <c r="BS103">
        <v>0</v>
      </c>
      <c r="BT103">
        <v>0</v>
      </c>
      <c r="BU103">
        <v>0</v>
      </c>
      <c r="BV103">
        <v>0</v>
      </c>
      <c r="BW103">
        <v>0</v>
      </c>
      <c r="BX103">
        <v>0</v>
      </c>
      <c r="BY103">
        <v>0</v>
      </c>
      <c r="BZ103">
        <v>0</v>
      </c>
      <c r="CA103">
        <v>0</v>
      </c>
      <c r="CB103">
        <v>0</v>
      </c>
      <c r="CC103">
        <v>0</v>
      </c>
      <c r="CD103">
        <v>0</v>
      </c>
      <c r="CE103">
        <v>0</v>
      </c>
      <c r="CF103">
        <v>0</v>
      </c>
      <c r="CG103" s="147"/>
      <c r="CH103" s="176"/>
      <c r="CJ103" s="146"/>
      <c r="CK103" s="76">
        <f t="shared" ca="1" si="88"/>
        <v>4.5655508567508107E-2</v>
      </c>
      <c r="CL103" s="179">
        <f t="shared" si="89"/>
        <v>6</v>
      </c>
      <c r="CM103" s="180">
        <f t="shared" si="90"/>
        <v>39673</v>
      </c>
      <c r="CN103">
        <v>0</v>
      </c>
      <c r="CO103">
        <v>0</v>
      </c>
      <c r="CP103">
        <v>4</v>
      </c>
      <c r="CQ103">
        <v>1</v>
      </c>
      <c r="CR103">
        <v>0</v>
      </c>
      <c r="CS103">
        <v>0</v>
      </c>
      <c r="CT103">
        <v>0</v>
      </c>
      <c r="CU103">
        <v>0</v>
      </c>
      <c r="CV103" s="160"/>
      <c r="CW103">
        <v>1</v>
      </c>
      <c r="CX103">
        <v>1</v>
      </c>
      <c r="CY103" s="164"/>
      <c r="CZ103" s="177">
        <f t="shared" si="91"/>
        <v>9.6000000000000002E-2</v>
      </c>
      <c r="DB103" s="146"/>
      <c r="DC103" s="76">
        <f t="shared" ca="1" si="49"/>
        <v>7.2901482486539049E-2</v>
      </c>
      <c r="DD103">
        <f>IF(AZ103="", "", AZ103)</f>
        <v>6</v>
      </c>
      <c r="DE103" s="129">
        <f t="shared" si="124"/>
        <v>39673</v>
      </c>
      <c r="DF103" s="161">
        <f t="shared" si="93"/>
        <v>0</v>
      </c>
      <c r="DG103" s="161">
        <f t="shared" si="94"/>
        <v>0</v>
      </c>
      <c r="DH103" s="161">
        <f t="shared" si="95"/>
        <v>41.666666666666664</v>
      </c>
      <c r="DI103" s="161">
        <f t="shared" si="96"/>
        <v>10.416666666666666</v>
      </c>
      <c r="DJ103" s="161">
        <f t="shared" si="97"/>
        <v>0</v>
      </c>
      <c r="DK103" s="161">
        <f t="shared" si="98"/>
        <v>0</v>
      </c>
      <c r="DL103" s="161">
        <f t="shared" si="99"/>
        <v>0</v>
      </c>
      <c r="DM103" s="161">
        <f t="shared" si="100"/>
        <v>0</v>
      </c>
      <c r="DN103" s="161">
        <f t="shared" si="101"/>
        <v>0</v>
      </c>
      <c r="DO103" s="161">
        <f t="shared" si="102"/>
        <v>0</v>
      </c>
      <c r="DP103" s="161">
        <f t="shared" si="103"/>
        <v>0</v>
      </c>
      <c r="DQ103" s="161">
        <f t="shared" si="104"/>
        <v>0</v>
      </c>
      <c r="DR103" s="161">
        <f t="shared" si="105"/>
        <v>0</v>
      </c>
      <c r="DS103" s="161">
        <f t="shared" si="106"/>
        <v>0</v>
      </c>
      <c r="DT103" s="161">
        <f t="shared" si="107"/>
        <v>0</v>
      </c>
      <c r="DU103" s="161">
        <f t="shared" si="108"/>
        <v>0</v>
      </c>
      <c r="DV103" s="161">
        <f t="shared" si="109"/>
        <v>0</v>
      </c>
      <c r="DW103" s="161">
        <f t="shared" si="110"/>
        <v>0</v>
      </c>
      <c r="DX103" s="161">
        <f t="shared" si="111"/>
        <v>0</v>
      </c>
      <c r="DY103" s="161">
        <f t="shared" si="112"/>
        <v>0</v>
      </c>
      <c r="DZ103" s="161">
        <f t="shared" si="113"/>
        <v>0</v>
      </c>
      <c r="EA103" s="161">
        <f t="shared" si="114"/>
        <v>0</v>
      </c>
      <c r="EB103" s="161">
        <f t="shared" si="115"/>
        <v>0</v>
      </c>
      <c r="EC103" s="161">
        <f t="shared" si="116"/>
        <v>0</v>
      </c>
      <c r="ED103" s="161">
        <f t="shared" si="117"/>
        <v>0</v>
      </c>
      <c r="EE103" s="161">
        <f t="shared" si="118"/>
        <v>0</v>
      </c>
      <c r="EF103" s="161">
        <f t="shared" si="119"/>
        <v>0</v>
      </c>
      <c r="EG103" s="161">
        <f t="shared" si="120"/>
        <v>0</v>
      </c>
      <c r="EH103" s="161">
        <f t="shared" si="121"/>
        <v>0</v>
      </c>
      <c r="EI103" s="161">
        <f t="shared" si="122"/>
        <v>0</v>
      </c>
      <c r="EJ103" s="161">
        <f t="shared" si="123"/>
        <v>0</v>
      </c>
      <c r="EK103" s="147">
        <f t="shared" si="53"/>
        <v>52.083333333333329</v>
      </c>
      <c r="EL103" s="149"/>
      <c r="EN103" s="146"/>
      <c r="EO103" s="146"/>
      <c r="EP103" s="139">
        <f t="shared" si="54"/>
        <v>0</v>
      </c>
      <c r="EQ103" s="139">
        <f t="shared" si="55"/>
        <v>0</v>
      </c>
      <c r="ER103" s="139">
        <f t="shared" si="56"/>
        <v>3.0752580887642362</v>
      </c>
      <c r="ES103" s="139">
        <f t="shared" si="57"/>
        <v>2.4946780349291493</v>
      </c>
      <c r="ET103" s="139">
        <f t="shared" si="58"/>
        <v>0</v>
      </c>
      <c r="EU103" s="139">
        <f t="shared" si="59"/>
        <v>0</v>
      </c>
      <c r="EV103" s="139">
        <f t="shared" si="60"/>
        <v>0</v>
      </c>
      <c r="EW103" s="139">
        <f t="shared" si="61"/>
        <v>0</v>
      </c>
      <c r="EX103" s="139">
        <f t="shared" si="62"/>
        <v>0</v>
      </c>
      <c r="EY103" s="139">
        <f t="shared" si="63"/>
        <v>0</v>
      </c>
      <c r="EZ103" s="139">
        <f t="shared" si="64"/>
        <v>0</v>
      </c>
      <c r="FA103" s="139">
        <f t="shared" si="65"/>
        <v>0</v>
      </c>
      <c r="FB103" s="139">
        <f t="shared" si="66"/>
        <v>0</v>
      </c>
      <c r="FC103" s="139">
        <f t="shared" si="67"/>
        <v>0</v>
      </c>
      <c r="FD103" s="139">
        <f t="shared" si="68"/>
        <v>0</v>
      </c>
      <c r="FE103" s="139">
        <f t="shared" si="69"/>
        <v>0</v>
      </c>
      <c r="FF103" s="139">
        <f t="shared" si="70"/>
        <v>0</v>
      </c>
      <c r="FG103" s="139">
        <f t="shared" si="71"/>
        <v>0</v>
      </c>
      <c r="FH103" s="139">
        <f t="shared" si="72"/>
        <v>0</v>
      </c>
      <c r="FI103" s="139">
        <f t="shared" si="73"/>
        <v>0</v>
      </c>
      <c r="FJ103" s="139">
        <f t="shared" si="74"/>
        <v>0</v>
      </c>
      <c r="FK103" s="139">
        <f t="shared" si="75"/>
        <v>0</v>
      </c>
      <c r="FL103" s="139">
        <f t="shared" si="76"/>
        <v>0</v>
      </c>
      <c r="FM103" s="139">
        <f t="shared" si="77"/>
        <v>0</v>
      </c>
      <c r="FN103" s="139">
        <f t="shared" si="78"/>
        <v>0</v>
      </c>
      <c r="FO103" s="139">
        <f t="shared" si="79"/>
        <v>0</v>
      </c>
      <c r="FP103" s="139">
        <f t="shared" si="80"/>
        <v>0</v>
      </c>
      <c r="FQ103" s="139">
        <f t="shared" si="81"/>
        <v>0</v>
      </c>
      <c r="FR103" s="139">
        <f t="shared" si="82"/>
        <v>0</v>
      </c>
      <c r="FS103" s="139">
        <f t="shared" si="83"/>
        <v>0</v>
      </c>
      <c r="FT103" s="139">
        <f t="shared" si="84"/>
        <v>0</v>
      </c>
      <c r="FU103" s="148">
        <f t="shared" si="85"/>
        <v>5.5699361236933855</v>
      </c>
      <c r="FV103" s="149"/>
      <c r="FY103" s="211">
        <v>98</v>
      </c>
      <c r="FZ103">
        <v>10.211886443333764</v>
      </c>
      <c r="GA103">
        <v>33.515685702549767</v>
      </c>
      <c r="GB103">
        <v>76.07600862808134</v>
      </c>
      <c r="GC103">
        <v>47.429744049630756</v>
      </c>
      <c r="GD103">
        <v>19.99143368561132</v>
      </c>
      <c r="GE103">
        <v>41.478689509485342</v>
      </c>
      <c r="GF103">
        <v>73.918593462235521</v>
      </c>
      <c r="GG103">
        <v>44.14523902662598</v>
      </c>
      <c r="GH103">
        <v>9.7942419350277117</v>
      </c>
      <c r="GI103">
        <v>49.59360134374738</v>
      </c>
      <c r="GJ103"/>
      <c r="GK103"/>
      <c r="GL103"/>
      <c r="GM103"/>
    </row>
    <row r="104" spans="1:195" s="7" customFormat="1">
      <c r="A104" s="1"/>
      <c r="B104" s="76">
        <f ca="1">IF(C104="", "", RAND())</f>
        <v>0.42631908224544013</v>
      </c>
      <c r="C104">
        <v>2</v>
      </c>
      <c r="D104">
        <v>39673</v>
      </c>
      <c r="E104">
        <v>0</v>
      </c>
      <c r="F104">
        <v>0</v>
      </c>
      <c r="G104">
        <v>62.5</v>
      </c>
      <c r="H104">
        <v>62.5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 s="2"/>
      <c r="AK104" s="80"/>
      <c r="AL104" s="74"/>
      <c r="AM104" s="43">
        <v>88</v>
      </c>
      <c r="AN104">
        <v>238.90329657320825</v>
      </c>
      <c r="AO104">
        <v>85.592617574174454</v>
      </c>
      <c r="AP104">
        <v>652.94852138238082</v>
      </c>
      <c r="AQ104">
        <v>450.17829712851409</v>
      </c>
      <c r="AR104">
        <v>77.266164260942034</v>
      </c>
      <c r="AS104">
        <v>660.95110880212235</v>
      </c>
      <c r="AT104">
        <v>42.028803375790616</v>
      </c>
      <c r="AU104">
        <v>39.645081855037567</v>
      </c>
      <c r="AV104"/>
      <c r="AW104"/>
      <c r="AX104" s="146"/>
      <c r="AY104" s="76">
        <f ca="1">IF(AZ104="", "", RAND())</f>
        <v>0.80425036061551736</v>
      </c>
      <c r="AZ104">
        <v>7</v>
      </c>
      <c r="BA104" s="129">
        <f t="shared" si="125"/>
        <v>39673</v>
      </c>
      <c r="BB104">
        <v>0</v>
      </c>
      <c r="BC104">
        <v>0</v>
      </c>
      <c r="BD104">
        <v>0</v>
      </c>
      <c r="BE104">
        <v>0</v>
      </c>
      <c r="BF104">
        <v>0</v>
      </c>
      <c r="BG104">
        <v>0</v>
      </c>
      <c r="BH104">
        <v>0</v>
      </c>
      <c r="BI104">
        <v>0</v>
      </c>
      <c r="BJ104">
        <v>0</v>
      </c>
      <c r="BK104">
        <v>0</v>
      </c>
      <c r="BL104">
        <v>0</v>
      </c>
      <c r="BM104">
        <v>0</v>
      </c>
      <c r="BN104">
        <v>0</v>
      </c>
      <c r="BO104">
        <v>0</v>
      </c>
      <c r="BP104">
        <v>0</v>
      </c>
      <c r="BQ104">
        <v>0</v>
      </c>
      <c r="BR104">
        <v>0</v>
      </c>
      <c r="BS104">
        <v>0</v>
      </c>
      <c r="BT104">
        <v>0</v>
      </c>
      <c r="BU104">
        <v>0</v>
      </c>
      <c r="BV104">
        <v>0</v>
      </c>
      <c r="BW104">
        <v>0</v>
      </c>
      <c r="BX104">
        <v>0</v>
      </c>
      <c r="BY104">
        <v>0</v>
      </c>
      <c r="BZ104">
        <v>0</v>
      </c>
      <c r="CA104">
        <v>0</v>
      </c>
      <c r="CB104">
        <v>0</v>
      </c>
      <c r="CC104">
        <v>0</v>
      </c>
      <c r="CD104">
        <v>0</v>
      </c>
      <c r="CE104">
        <v>0</v>
      </c>
      <c r="CF104">
        <v>0</v>
      </c>
      <c r="CG104" s="147"/>
      <c r="CH104" s="176"/>
      <c r="CJ104" s="146"/>
      <c r="CK104" s="76">
        <f t="shared" ca="1" si="88"/>
        <v>0.40610976033707447</v>
      </c>
      <c r="CL104" s="179">
        <f t="shared" si="89"/>
        <v>7</v>
      </c>
      <c r="CM104" s="180">
        <f t="shared" si="90"/>
        <v>39673</v>
      </c>
      <c r="CN104">
        <v>0</v>
      </c>
      <c r="CO104">
        <v>0</v>
      </c>
      <c r="CP104">
        <v>0</v>
      </c>
      <c r="CQ104">
        <v>0</v>
      </c>
      <c r="CR104">
        <v>0</v>
      </c>
      <c r="CS104">
        <v>0</v>
      </c>
      <c r="CT104">
        <v>0</v>
      </c>
      <c r="CU104">
        <v>0</v>
      </c>
      <c r="CV104" s="160"/>
      <c r="CW104">
        <v>1</v>
      </c>
      <c r="CX104">
        <v>1</v>
      </c>
      <c r="CY104" s="164"/>
      <c r="CZ104" s="177">
        <f t="shared" si="91"/>
        <v>9.6000000000000002E-2</v>
      </c>
      <c r="DB104" s="146"/>
      <c r="DC104" s="76">
        <f t="shared" ca="1" si="49"/>
        <v>0.744114383397813</v>
      </c>
      <c r="DD104">
        <f>IF(AZ104="", "", AZ104)</f>
        <v>7</v>
      </c>
      <c r="DE104" s="129">
        <f t="shared" si="124"/>
        <v>39673</v>
      </c>
      <c r="DF104" s="161">
        <f t="shared" si="93"/>
        <v>0</v>
      </c>
      <c r="DG104" s="161">
        <f t="shared" si="94"/>
        <v>0</v>
      </c>
      <c r="DH104" s="161">
        <f t="shared" si="95"/>
        <v>0</v>
      </c>
      <c r="DI104" s="161">
        <f t="shared" si="96"/>
        <v>0</v>
      </c>
      <c r="DJ104" s="161">
        <f t="shared" si="97"/>
        <v>0</v>
      </c>
      <c r="DK104" s="161">
        <f t="shared" si="98"/>
        <v>0</v>
      </c>
      <c r="DL104" s="161">
        <f t="shared" si="99"/>
        <v>0</v>
      </c>
      <c r="DM104" s="161">
        <f t="shared" si="100"/>
        <v>0</v>
      </c>
      <c r="DN104" s="161">
        <f t="shared" si="101"/>
        <v>0</v>
      </c>
      <c r="DO104" s="161">
        <f t="shared" si="102"/>
        <v>0</v>
      </c>
      <c r="DP104" s="161">
        <f t="shared" si="103"/>
        <v>0</v>
      </c>
      <c r="DQ104" s="161">
        <f t="shared" si="104"/>
        <v>0</v>
      </c>
      <c r="DR104" s="161">
        <f t="shared" si="105"/>
        <v>0</v>
      </c>
      <c r="DS104" s="161">
        <f t="shared" si="106"/>
        <v>0</v>
      </c>
      <c r="DT104" s="161">
        <f t="shared" si="107"/>
        <v>0</v>
      </c>
      <c r="DU104" s="161">
        <f t="shared" si="108"/>
        <v>0</v>
      </c>
      <c r="DV104" s="161">
        <f t="shared" si="109"/>
        <v>0</v>
      </c>
      <c r="DW104" s="161">
        <f t="shared" si="110"/>
        <v>0</v>
      </c>
      <c r="DX104" s="161">
        <f t="shared" si="111"/>
        <v>0</v>
      </c>
      <c r="DY104" s="161">
        <f t="shared" si="112"/>
        <v>0</v>
      </c>
      <c r="DZ104" s="161">
        <f t="shared" si="113"/>
        <v>0</v>
      </c>
      <c r="EA104" s="161">
        <f t="shared" si="114"/>
        <v>0</v>
      </c>
      <c r="EB104" s="161">
        <f t="shared" si="115"/>
        <v>0</v>
      </c>
      <c r="EC104" s="161">
        <f t="shared" si="116"/>
        <v>0</v>
      </c>
      <c r="ED104" s="161">
        <f t="shared" si="117"/>
        <v>0</v>
      </c>
      <c r="EE104" s="161">
        <f t="shared" si="118"/>
        <v>0</v>
      </c>
      <c r="EF104" s="161">
        <f t="shared" si="119"/>
        <v>0</v>
      </c>
      <c r="EG104" s="161">
        <f t="shared" si="120"/>
        <v>0</v>
      </c>
      <c r="EH104" s="161">
        <f t="shared" si="121"/>
        <v>0</v>
      </c>
      <c r="EI104" s="161">
        <f t="shared" si="122"/>
        <v>0</v>
      </c>
      <c r="EJ104" s="161">
        <f t="shared" si="123"/>
        <v>0</v>
      </c>
      <c r="EK104" s="147">
        <f t="shared" si="53"/>
        <v>0</v>
      </c>
      <c r="EL104" s="149"/>
      <c r="EN104" s="146"/>
      <c r="EO104" s="146"/>
      <c r="EP104" s="139">
        <f t="shared" si="54"/>
        <v>0</v>
      </c>
      <c r="EQ104" s="139">
        <f t="shared" si="55"/>
        <v>0</v>
      </c>
      <c r="ER104" s="139">
        <f t="shared" si="56"/>
        <v>0</v>
      </c>
      <c r="ES104" s="139">
        <f t="shared" si="57"/>
        <v>0</v>
      </c>
      <c r="ET104" s="139">
        <f t="shared" si="58"/>
        <v>0</v>
      </c>
      <c r="EU104" s="139">
        <f t="shared" si="59"/>
        <v>0</v>
      </c>
      <c r="EV104" s="139">
        <f t="shared" si="60"/>
        <v>0</v>
      </c>
      <c r="EW104" s="139">
        <f t="shared" si="61"/>
        <v>0</v>
      </c>
      <c r="EX104" s="139">
        <f t="shared" si="62"/>
        <v>0</v>
      </c>
      <c r="EY104" s="139">
        <f t="shared" si="63"/>
        <v>0</v>
      </c>
      <c r="EZ104" s="139">
        <f t="shared" si="64"/>
        <v>0</v>
      </c>
      <c r="FA104" s="139">
        <f t="shared" si="65"/>
        <v>0</v>
      </c>
      <c r="FB104" s="139">
        <f t="shared" si="66"/>
        <v>0</v>
      </c>
      <c r="FC104" s="139">
        <f t="shared" si="67"/>
        <v>0</v>
      </c>
      <c r="FD104" s="139">
        <f t="shared" si="68"/>
        <v>0</v>
      </c>
      <c r="FE104" s="139">
        <f t="shared" si="69"/>
        <v>0</v>
      </c>
      <c r="FF104" s="139">
        <f t="shared" si="70"/>
        <v>0</v>
      </c>
      <c r="FG104" s="139">
        <f t="shared" si="71"/>
        <v>0</v>
      </c>
      <c r="FH104" s="139">
        <f t="shared" si="72"/>
        <v>0</v>
      </c>
      <c r="FI104" s="139">
        <f t="shared" si="73"/>
        <v>0</v>
      </c>
      <c r="FJ104" s="139">
        <f t="shared" si="74"/>
        <v>0</v>
      </c>
      <c r="FK104" s="139">
        <f t="shared" si="75"/>
        <v>0</v>
      </c>
      <c r="FL104" s="139">
        <f t="shared" si="76"/>
        <v>0</v>
      </c>
      <c r="FM104" s="139">
        <f t="shared" si="77"/>
        <v>0</v>
      </c>
      <c r="FN104" s="139">
        <f t="shared" si="78"/>
        <v>0</v>
      </c>
      <c r="FO104" s="139">
        <f t="shared" si="79"/>
        <v>0</v>
      </c>
      <c r="FP104" s="139">
        <f t="shared" si="80"/>
        <v>0</v>
      </c>
      <c r="FQ104" s="139">
        <f t="shared" si="81"/>
        <v>0</v>
      </c>
      <c r="FR104" s="139">
        <f t="shared" si="82"/>
        <v>0</v>
      </c>
      <c r="FS104" s="139">
        <f t="shared" si="83"/>
        <v>0</v>
      </c>
      <c r="FT104" s="139">
        <f t="shared" si="84"/>
        <v>0</v>
      </c>
      <c r="FU104" s="148">
        <f t="shared" si="85"/>
        <v>0</v>
      </c>
      <c r="FV104" s="149"/>
      <c r="FY104" s="211">
        <v>99</v>
      </c>
      <c r="FZ104">
        <v>15.377220994531566</v>
      </c>
      <c r="GA104">
        <v>40.191224254182025</v>
      </c>
      <c r="GB104">
        <v>51.753811387182111</v>
      </c>
      <c r="GC104">
        <v>35.626434991580872</v>
      </c>
      <c r="GD104">
        <v>23.407272426922155</v>
      </c>
      <c r="GE104">
        <v>48.866761524868643</v>
      </c>
      <c r="GF104">
        <v>66.422881404677838</v>
      </c>
      <c r="GG104">
        <v>41.462713560120108</v>
      </c>
      <c r="GH104">
        <v>21.278819206976031</v>
      </c>
      <c r="GI104">
        <v>46.628327805692692</v>
      </c>
      <c r="GJ104"/>
      <c r="GK104"/>
      <c r="GL104"/>
      <c r="GM104"/>
    </row>
    <row r="105" spans="1:195" s="7" customFormat="1">
      <c r="A105" s="1"/>
      <c r="B105" s="76">
        <f ca="1">IF(C105="", "", RAND())</f>
        <v>0.35037305221678605</v>
      </c>
      <c r="C105">
        <v>4</v>
      </c>
      <c r="D105">
        <v>39673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 s="2"/>
      <c r="AK105" s="80"/>
      <c r="AL105" s="74"/>
      <c r="AM105" s="43">
        <v>89</v>
      </c>
      <c r="AN105">
        <v>250.78187272818917</v>
      </c>
      <c r="AO105">
        <v>94.988868918410816</v>
      </c>
      <c r="AP105">
        <v>706.26632847972735</v>
      </c>
      <c r="AQ105">
        <v>508.0288442309988</v>
      </c>
      <c r="AR105">
        <v>86.121208791760253</v>
      </c>
      <c r="AS105">
        <v>725.41732827956628</v>
      </c>
      <c r="AT105">
        <v>48.747632281214401</v>
      </c>
      <c r="AU105">
        <v>29.391631199155224</v>
      </c>
      <c r="AV105"/>
      <c r="AW105"/>
      <c r="AX105" s="146"/>
      <c r="AY105" s="76">
        <f ca="1">IF(AZ105="", "", RAND())</f>
        <v>0.74158566400393733</v>
      </c>
      <c r="AZ105">
        <v>8</v>
      </c>
      <c r="BA105" s="129">
        <f t="shared" si="125"/>
        <v>39673</v>
      </c>
      <c r="BB105">
        <v>0</v>
      </c>
      <c r="BC105" s="216">
        <v>0</v>
      </c>
      <c r="BD105" s="216">
        <v>0</v>
      </c>
      <c r="BE105" s="216">
        <v>0</v>
      </c>
      <c r="BF105" s="216">
        <v>0</v>
      </c>
      <c r="BG105" s="216">
        <v>1</v>
      </c>
      <c r="BH105" s="216">
        <v>0</v>
      </c>
      <c r="BI105">
        <v>2</v>
      </c>
      <c r="BJ105">
        <v>0</v>
      </c>
      <c r="BK105">
        <v>0</v>
      </c>
      <c r="BL105">
        <v>0</v>
      </c>
      <c r="BM105">
        <v>0</v>
      </c>
      <c r="BN105">
        <v>0</v>
      </c>
      <c r="BO105">
        <v>0</v>
      </c>
      <c r="BP105">
        <v>0</v>
      </c>
      <c r="BQ105">
        <v>0</v>
      </c>
      <c r="BR105">
        <v>0</v>
      </c>
      <c r="BS105">
        <v>0</v>
      </c>
      <c r="BT105">
        <v>0</v>
      </c>
      <c r="BU105">
        <v>0</v>
      </c>
      <c r="BV105">
        <v>0</v>
      </c>
      <c r="BW105">
        <v>0</v>
      </c>
      <c r="BX105">
        <v>0</v>
      </c>
      <c r="BY105">
        <v>0</v>
      </c>
      <c r="BZ105">
        <v>0</v>
      </c>
      <c r="CA105">
        <v>0</v>
      </c>
      <c r="CB105">
        <v>0</v>
      </c>
      <c r="CC105">
        <v>0</v>
      </c>
      <c r="CD105">
        <v>0</v>
      </c>
      <c r="CE105">
        <v>0</v>
      </c>
      <c r="CF105">
        <v>0</v>
      </c>
      <c r="CG105" s="147"/>
      <c r="CH105" s="176"/>
      <c r="CJ105" s="146"/>
      <c r="CK105" s="76">
        <f t="shared" ca="1" si="88"/>
        <v>0.33614613944683125</v>
      </c>
      <c r="CL105" s="179">
        <f t="shared" si="89"/>
        <v>8</v>
      </c>
      <c r="CM105" s="180">
        <f t="shared" si="90"/>
        <v>39673</v>
      </c>
      <c r="CN105" s="224">
        <v>0</v>
      </c>
      <c r="CO105" s="224">
        <v>9</v>
      </c>
      <c r="CP105" s="224">
        <v>4</v>
      </c>
      <c r="CQ105" s="224">
        <v>0</v>
      </c>
      <c r="CR105" s="224">
        <v>0</v>
      </c>
      <c r="CS105" s="224">
        <v>0</v>
      </c>
      <c r="CT105">
        <v>0</v>
      </c>
      <c r="CU105">
        <v>0</v>
      </c>
      <c r="CV105" s="160"/>
      <c r="CW105">
        <v>1</v>
      </c>
      <c r="CX105">
        <v>2</v>
      </c>
      <c r="CY105" s="164"/>
      <c r="CZ105" s="177">
        <f t="shared" si="91"/>
        <v>9.6000000000000002E-2</v>
      </c>
      <c r="DB105" s="146"/>
      <c r="DC105" s="76">
        <f t="shared" ca="1" si="49"/>
        <v>0.13083007441503414</v>
      </c>
      <c r="DD105">
        <f>IF(AZ105="", "", AZ105)</f>
        <v>8</v>
      </c>
      <c r="DE105" s="129">
        <f t="shared" si="124"/>
        <v>39673</v>
      </c>
      <c r="DF105" s="161">
        <f t="shared" si="93"/>
        <v>0</v>
      </c>
      <c r="DG105" s="161">
        <f t="shared" si="94"/>
        <v>187.5</v>
      </c>
      <c r="DH105" s="161">
        <f t="shared" si="95"/>
        <v>83.333333333333329</v>
      </c>
      <c r="DI105" s="161">
        <f t="shared" si="96"/>
        <v>0</v>
      </c>
      <c r="DJ105" s="161">
        <f t="shared" si="97"/>
        <v>0</v>
      </c>
      <c r="DK105" s="161">
        <f t="shared" si="98"/>
        <v>10.416666666666666</v>
      </c>
      <c r="DL105" s="161">
        <f t="shared" si="99"/>
        <v>0</v>
      </c>
      <c r="DM105" s="161">
        <f t="shared" si="100"/>
        <v>20.833333333333332</v>
      </c>
      <c r="DN105" s="161">
        <f t="shared" si="101"/>
        <v>0</v>
      </c>
      <c r="DO105" s="161">
        <f t="shared" si="102"/>
        <v>0</v>
      </c>
      <c r="DP105" s="161">
        <f t="shared" si="103"/>
        <v>0</v>
      </c>
      <c r="DQ105" s="161">
        <f t="shared" si="104"/>
        <v>0</v>
      </c>
      <c r="DR105" s="161">
        <f t="shared" si="105"/>
        <v>0</v>
      </c>
      <c r="DS105" s="161">
        <f t="shared" si="106"/>
        <v>0</v>
      </c>
      <c r="DT105" s="161">
        <f t="shared" si="107"/>
        <v>0</v>
      </c>
      <c r="DU105" s="161">
        <f t="shared" si="108"/>
        <v>0</v>
      </c>
      <c r="DV105" s="161">
        <f t="shared" si="109"/>
        <v>0</v>
      </c>
      <c r="DW105" s="161">
        <f t="shared" si="110"/>
        <v>0</v>
      </c>
      <c r="DX105" s="161">
        <f t="shared" si="111"/>
        <v>0</v>
      </c>
      <c r="DY105" s="161">
        <f t="shared" si="112"/>
        <v>0</v>
      </c>
      <c r="DZ105" s="161">
        <f t="shared" si="113"/>
        <v>0</v>
      </c>
      <c r="EA105" s="161">
        <f t="shared" si="114"/>
        <v>0</v>
      </c>
      <c r="EB105" s="161">
        <f t="shared" si="115"/>
        <v>0</v>
      </c>
      <c r="EC105" s="161">
        <f t="shared" si="116"/>
        <v>0</v>
      </c>
      <c r="ED105" s="161">
        <f t="shared" si="117"/>
        <v>0</v>
      </c>
      <c r="EE105" s="161">
        <f t="shared" si="118"/>
        <v>0</v>
      </c>
      <c r="EF105" s="161">
        <f t="shared" si="119"/>
        <v>0</v>
      </c>
      <c r="EG105" s="161">
        <f t="shared" si="120"/>
        <v>0</v>
      </c>
      <c r="EH105" s="161">
        <f t="shared" si="121"/>
        <v>0</v>
      </c>
      <c r="EI105" s="161">
        <f t="shared" si="122"/>
        <v>0</v>
      </c>
      <c r="EJ105" s="161">
        <f t="shared" si="123"/>
        <v>0</v>
      </c>
      <c r="EK105" s="147">
        <f t="shared" si="53"/>
        <v>302.08333333333331</v>
      </c>
      <c r="EL105" s="149"/>
      <c r="EN105" s="146"/>
      <c r="EO105" s="146"/>
      <c r="EP105" s="139">
        <f t="shared" si="54"/>
        <v>0</v>
      </c>
      <c r="EQ105" s="139">
        <f t="shared" si="55"/>
        <v>1.8501375</v>
      </c>
      <c r="ER105" s="139">
        <f t="shared" si="56"/>
        <v>6.1505161775284725</v>
      </c>
      <c r="ES105" s="139">
        <f t="shared" si="57"/>
        <v>0</v>
      </c>
      <c r="ET105" s="139">
        <f t="shared" si="58"/>
        <v>0</v>
      </c>
      <c r="EU105" s="139">
        <f t="shared" si="59"/>
        <v>10.991106684284548</v>
      </c>
      <c r="EV105" s="139">
        <f t="shared" si="60"/>
        <v>0</v>
      </c>
      <c r="EW105" s="139">
        <f t="shared" si="61"/>
        <v>58.382287408123581</v>
      </c>
      <c r="EX105" s="139">
        <f t="shared" si="62"/>
        <v>0</v>
      </c>
      <c r="EY105" s="139">
        <f t="shared" si="63"/>
        <v>0</v>
      </c>
      <c r="EZ105" s="139">
        <f t="shared" si="64"/>
        <v>0</v>
      </c>
      <c r="FA105" s="139">
        <f t="shared" si="65"/>
        <v>0</v>
      </c>
      <c r="FB105" s="139">
        <f t="shared" si="66"/>
        <v>0</v>
      </c>
      <c r="FC105" s="139">
        <f t="shared" si="67"/>
        <v>0</v>
      </c>
      <c r="FD105" s="139">
        <f t="shared" si="68"/>
        <v>0</v>
      </c>
      <c r="FE105" s="139">
        <f t="shared" si="69"/>
        <v>0</v>
      </c>
      <c r="FF105" s="139">
        <f t="shared" si="70"/>
        <v>0</v>
      </c>
      <c r="FG105" s="139">
        <f t="shared" si="71"/>
        <v>0</v>
      </c>
      <c r="FH105" s="139">
        <f t="shared" si="72"/>
        <v>0</v>
      </c>
      <c r="FI105" s="139">
        <f t="shared" si="73"/>
        <v>0</v>
      </c>
      <c r="FJ105" s="139">
        <f t="shared" si="74"/>
        <v>0</v>
      </c>
      <c r="FK105" s="139">
        <f t="shared" si="75"/>
        <v>0</v>
      </c>
      <c r="FL105" s="139">
        <f t="shared" si="76"/>
        <v>0</v>
      </c>
      <c r="FM105" s="139">
        <f t="shared" si="77"/>
        <v>0</v>
      </c>
      <c r="FN105" s="139">
        <f t="shared" si="78"/>
        <v>0</v>
      </c>
      <c r="FO105" s="139">
        <f t="shared" si="79"/>
        <v>0</v>
      </c>
      <c r="FP105" s="139">
        <f t="shared" si="80"/>
        <v>0</v>
      </c>
      <c r="FQ105" s="139">
        <f t="shared" si="81"/>
        <v>0</v>
      </c>
      <c r="FR105" s="139">
        <f t="shared" si="82"/>
        <v>0</v>
      </c>
      <c r="FS105" s="139">
        <f t="shared" si="83"/>
        <v>0</v>
      </c>
      <c r="FT105" s="139">
        <f t="shared" si="84"/>
        <v>0</v>
      </c>
      <c r="FU105" s="148">
        <f t="shared" si="85"/>
        <v>77.374047769936595</v>
      </c>
      <c r="FV105" s="149"/>
      <c r="FY105" s="211">
        <v>100</v>
      </c>
      <c r="FZ105">
        <v>25.094707438036743</v>
      </c>
      <c r="GA105">
        <v>48.299777019292236</v>
      </c>
      <c r="GB105">
        <v>56.85189182713637</v>
      </c>
      <c r="GC105">
        <v>41.373695110106297</v>
      </c>
      <c r="GD105">
        <v>26.56774995730736</v>
      </c>
      <c r="GE105">
        <v>38.492625477025115</v>
      </c>
      <c r="GF105">
        <v>46.780528641701032</v>
      </c>
      <c r="GG105">
        <v>29.920363867308303</v>
      </c>
      <c r="GH105">
        <v>3.1841560532777291</v>
      </c>
      <c r="GI105">
        <v>45.19098786235709</v>
      </c>
      <c r="GJ105"/>
      <c r="GK105"/>
      <c r="GL105"/>
      <c r="GM105"/>
    </row>
    <row r="106" spans="1:195" s="7" customFormat="1">
      <c r="A106" s="1"/>
      <c r="B106" s="76">
        <f ca="1">IF(C106="", "", RAND())</f>
        <v>0.58502770782658042</v>
      </c>
      <c r="C106">
        <v>7</v>
      </c>
      <c r="D106">
        <v>39673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 s="2"/>
      <c r="AK106" s="80"/>
      <c r="AL106" s="74"/>
      <c r="AM106" s="43">
        <v>90</v>
      </c>
      <c r="AN106">
        <v>266.17068113615903</v>
      </c>
      <c r="AO106">
        <v>95.437837463525156</v>
      </c>
      <c r="AP106">
        <v>691.5700033222754</v>
      </c>
      <c r="AQ106">
        <v>527.73508228333014</v>
      </c>
      <c r="AR106">
        <v>86.009916105217258</v>
      </c>
      <c r="AS106">
        <v>709.21901145699712</v>
      </c>
      <c r="AT106">
        <v>46.11255859822424</v>
      </c>
      <c r="AU106">
        <v>69.317544259567271</v>
      </c>
      <c r="AV106"/>
      <c r="AW106"/>
      <c r="AX106" s="146"/>
      <c r="AY106" s="76">
        <f t="shared" ca="1" si="86"/>
        <v>0.18184023285105977</v>
      </c>
      <c r="AZ106">
        <v>9</v>
      </c>
      <c r="BA106" s="129">
        <f t="shared" si="125"/>
        <v>39673</v>
      </c>
      <c r="BB106">
        <v>0</v>
      </c>
      <c r="BC106">
        <v>0</v>
      </c>
      <c r="BD106">
        <v>0</v>
      </c>
      <c r="BE106">
        <v>0</v>
      </c>
      <c r="BF106">
        <v>0</v>
      </c>
      <c r="BG106">
        <v>0</v>
      </c>
      <c r="BH106">
        <v>0</v>
      </c>
      <c r="BI106">
        <v>7</v>
      </c>
      <c r="BJ106">
        <v>0</v>
      </c>
      <c r="BK106">
        <v>0</v>
      </c>
      <c r="BL106">
        <v>0</v>
      </c>
      <c r="BM106">
        <v>0</v>
      </c>
      <c r="BN106">
        <v>0</v>
      </c>
      <c r="BO106">
        <v>0</v>
      </c>
      <c r="BP106">
        <v>0</v>
      </c>
      <c r="BQ106">
        <v>0</v>
      </c>
      <c r="BR106">
        <v>0</v>
      </c>
      <c r="BS106">
        <v>0</v>
      </c>
      <c r="BT106">
        <v>0</v>
      </c>
      <c r="BU106">
        <v>0</v>
      </c>
      <c r="BV106">
        <v>0</v>
      </c>
      <c r="BW106">
        <v>0</v>
      </c>
      <c r="BX106">
        <v>0</v>
      </c>
      <c r="BY106">
        <v>0</v>
      </c>
      <c r="BZ106">
        <v>0</v>
      </c>
      <c r="CA106">
        <v>0</v>
      </c>
      <c r="CB106">
        <v>0</v>
      </c>
      <c r="CC106">
        <v>0</v>
      </c>
      <c r="CD106">
        <v>0</v>
      </c>
      <c r="CE106">
        <v>0</v>
      </c>
      <c r="CF106">
        <v>0</v>
      </c>
      <c r="CG106" s="147"/>
      <c r="CH106" s="176"/>
      <c r="CJ106" s="146"/>
      <c r="CK106" s="76">
        <f t="shared" ca="1" si="88"/>
        <v>0.48842197291333544</v>
      </c>
      <c r="CL106" s="179">
        <f t="shared" si="89"/>
        <v>9</v>
      </c>
      <c r="CM106" s="180">
        <f t="shared" si="90"/>
        <v>39673</v>
      </c>
      <c r="CN106">
        <v>0</v>
      </c>
      <c r="CO106">
        <v>1</v>
      </c>
      <c r="CP106">
        <v>5</v>
      </c>
      <c r="CQ106">
        <v>0</v>
      </c>
      <c r="CR106">
        <v>0</v>
      </c>
      <c r="CS106">
        <v>0</v>
      </c>
      <c r="CT106">
        <v>0</v>
      </c>
      <c r="CU106">
        <v>0</v>
      </c>
      <c r="CV106" s="160"/>
      <c r="CW106">
        <v>1</v>
      </c>
      <c r="CX106">
        <v>1</v>
      </c>
      <c r="CY106" s="164"/>
      <c r="CZ106" s="177">
        <f t="shared" si="91"/>
        <v>9.6000000000000002E-2</v>
      </c>
      <c r="DB106" s="146"/>
      <c r="DC106" s="76">
        <f t="shared" ca="1" si="49"/>
        <v>0.3514831226850621</v>
      </c>
      <c r="DD106">
        <f t="shared" si="92"/>
        <v>9</v>
      </c>
      <c r="DE106" s="129">
        <f t="shared" si="124"/>
        <v>39673</v>
      </c>
      <c r="DF106" s="161">
        <f t="shared" si="93"/>
        <v>0</v>
      </c>
      <c r="DG106" s="161">
        <f t="shared" si="94"/>
        <v>10.416666666666666</v>
      </c>
      <c r="DH106" s="161">
        <f t="shared" si="95"/>
        <v>52.083333333333336</v>
      </c>
      <c r="DI106" s="161">
        <f t="shared" si="96"/>
        <v>0</v>
      </c>
      <c r="DJ106" s="161">
        <f t="shared" si="97"/>
        <v>0</v>
      </c>
      <c r="DK106" s="161">
        <f t="shared" si="98"/>
        <v>0</v>
      </c>
      <c r="DL106" s="161">
        <f t="shared" si="99"/>
        <v>0</v>
      </c>
      <c r="DM106" s="161">
        <f t="shared" si="100"/>
        <v>72.916666666666671</v>
      </c>
      <c r="DN106" s="161">
        <f t="shared" si="101"/>
        <v>0</v>
      </c>
      <c r="DO106" s="161">
        <f t="shared" si="102"/>
        <v>0</v>
      </c>
      <c r="DP106" s="161">
        <f t="shared" si="103"/>
        <v>0</v>
      </c>
      <c r="DQ106" s="161">
        <f t="shared" si="104"/>
        <v>0</v>
      </c>
      <c r="DR106" s="161">
        <f t="shared" si="105"/>
        <v>0</v>
      </c>
      <c r="DS106" s="161">
        <f t="shared" si="106"/>
        <v>0</v>
      </c>
      <c r="DT106" s="161">
        <f t="shared" si="107"/>
        <v>0</v>
      </c>
      <c r="DU106" s="161">
        <f t="shared" si="108"/>
        <v>0</v>
      </c>
      <c r="DV106" s="161">
        <f t="shared" si="109"/>
        <v>0</v>
      </c>
      <c r="DW106" s="161">
        <f t="shared" si="110"/>
        <v>0</v>
      </c>
      <c r="DX106" s="161">
        <f t="shared" si="111"/>
        <v>0</v>
      </c>
      <c r="DY106" s="161">
        <f t="shared" si="112"/>
        <v>0</v>
      </c>
      <c r="DZ106" s="161">
        <f t="shared" si="113"/>
        <v>0</v>
      </c>
      <c r="EA106" s="161">
        <f t="shared" si="114"/>
        <v>0</v>
      </c>
      <c r="EB106" s="161">
        <f t="shared" si="115"/>
        <v>0</v>
      </c>
      <c r="EC106" s="161">
        <f t="shared" si="116"/>
        <v>0</v>
      </c>
      <c r="ED106" s="161">
        <f t="shared" si="117"/>
        <v>0</v>
      </c>
      <c r="EE106" s="161">
        <f t="shared" si="118"/>
        <v>0</v>
      </c>
      <c r="EF106" s="161">
        <f t="shared" si="119"/>
        <v>0</v>
      </c>
      <c r="EG106" s="161">
        <f t="shared" si="120"/>
        <v>0</v>
      </c>
      <c r="EH106" s="161">
        <f t="shared" si="121"/>
        <v>0</v>
      </c>
      <c r="EI106" s="161">
        <f t="shared" si="122"/>
        <v>0</v>
      </c>
      <c r="EJ106" s="161">
        <f t="shared" si="123"/>
        <v>0</v>
      </c>
      <c r="EK106" s="147">
        <f t="shared" si="53"/>
        <v>135.41666666666669</v>
      </c>
      <c r="EL106" s="149"/>
      <c r="EN106" s="146"/>
      <c r="EO106" s="146"/>
      <c r="EP106" s="139">
        <f t="shared" si="54"/>
        <v>0</v>
      </c>
      <c r="EQ106" s="139">
        <f t="shared" si="55"/>
        <v>0.10278541666666666</v>
      </c>
      <c r="ER106" s="139">
        <f t="shared" si="56"/>
        <v>3.8440726109552958</v>
      </c>
      <c r="ES106" s="139">
        <f t="shared" si="57"/>
        <v>0</v>
      </c>
      <c r="ET106" s="139">
        <f t="shared" si="58"/>
        <v>0</v>
      </c>
      <c r="EU106" s="139">
        <f t="shared" si="59"/>
        <v>0</v>
      </c>
      <c r="EV106" s="139">
        <f t="shared" si="60"/>
        <v>0</v>
      </c>
      <c r="EW106" s="139">
        <f t="shared" si="61"/>
        <v>204.33800592843255</v>
      </c>
      <c r="EX106" s="139">
        <f t="shared" si="62"/>
        <v>0</v>
      </c>
      <c r="EY106" s="139">
        <f t="shared" si="63"/>
        <v>0</v>
      </c>
      <c r="EZ106" s="139">
        <f t="shared" si="64"/>
        <v>0</v>
      </c>
      <c r="FA106" s="139">
        <f t="shared" si="65"/>
        <v>0</v>
      </c>
      <c r="FB106" s="139">
        <f t="shared" si="66"/>
        <v>0</v>
      </c>
      <c r="FC106" s="139">
        <f t="shared" si="67"/>
        <v>0</v>
      </c>
      <c r="FD106" s="139">
        <f t="shared" si="68"/>
        <v>0</v>
      </c>
      <c r="FE106" s="139">
        <f t="shared" si="69"/>
        <v>0</v>
      </c>
      <c r="FF106" s="139">
        <f t="shared" si="70"/>
        <v>0</v>
      </c>
      <c r="FG106" s="139">
        <f t="shared" si="71"/>
        <v>0</v>
      </c>
      <c r="FH106" s="139">
        <f t="shared" si="72"/>
        <v>0</v>
      </c>
      <c r="FI106" s="139">
        <f t="shared" si="73"/>
        <v>0</v>
      </c>
      <c r="FJ106" s="139">
        <f t="shared" si="74"/>
        <v>0</v>
      </c>
      <c r="FK106" s="139">
        <f t="shared" si="75"/>
        <v>0</v>
      </c>
      <c r="FL106" s="139">
        <f t="shared" si="76"/>
        <v>0</v>
      </c>
      <c r="FM106" s="139">
        <f t="shared" si="77"/>
        <v>0</v>
      </c>
      <c r="FN106" s="139">
        <f t="shared" si="78"/>
        <v>0</v>
      </c>
      <c r="FO106" s="139">
        <f t="shared" si="79"/>
        <v>0</v>
      </c>
      <c r="FP106" s="139">
        <f t="shared" si="80"/>
        <v>0</v>
      </c>
      <c r="FQ106" s="139">
        <f t="shared" si="81"/>
        <v>0</v>
      </c>
      <c r="FR106" s="139">
        <f t="shared" si="82"/>
        <v>0</v>
      </c>
      <c r="FS106" s="139">
        <f t="shared" si="83"/>
        <v>0</v>
      </c>
      <c r="FT106" s="139">
        <f t="shared" si="84"/>
        <v>0</v>
      </c>
      <c r="FU106" s="148">
        <f t="shared" si="85"/>
        <v>208.28486395605452</v>
      </c>
      <c r="FV106" s="149"/>
      <c r="FY106" s="211">
        <v>101</v>
      </c>
      <c r="FZ106">
        <v>25.146428505937276</v>
      </c>
      <c r="GA106">
        <v>58.113299623841783</v>
      </c>
      <c r="GB106">
        <v>67.872799464455028</v>
      </c>
      <c r="GC106">
        <v>39.498469019137474</v>
      </c>
      <c r="GD106">
        <v>13.923428840883226</v>
      </c>
      <c r="GE106">
        <v>44.45622185501702</v>
      </c>
      <c r="GF106">
        <v>88.735931742253385</v>
      </c>
      <c r="GG106">
        <v>60.868670744880276</v>
      </c>
      <c r="GH106">
        <v>39.461709903942854</v>
      </c>
      <c r="GI106">
        <v>53.456625321367916</v>
      </c>
      <c r="GJ106"/>
      <c r="GK106"/>
      <c r="GL106"/>
      <c r="GM106"/>
    </row>
    <row r="107" spans="1:195" s="7" customFormat="1">
      <c r="A107" s="1"/>
      <c r="B107" s="76">
        <f ca="1">IF(C107="", "", RAND())</f>
        <v>0.69527854535100708</v>
      </c>
      <c r="C107">
        <v>10</v>
      </c>
      <c r="D107">
        <v>39673</v>
      </c>
      <c r="E107">
        <v>0</v>
      </c>
      <c r="F107">
        <v>0</v>
      </c>
      <c r="G107">
        <v>297.61904761904765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 s="2"/>
      <c r="AK107" s="80"/>
      <c r="AL107" s="74"/>
      <c r="AM107" s="43">
        <v>91</v>
      </c>
      <c r="AN107">
        <v>233.93379966479415</v>
      </c>
      <c r="AO107">
        <v>82.922605760740794</v>
      </c>
      <c r="AP107">
        <v>592.96595623941573</v>
      </c>
      <c r="AQ107">
        <v>443.18565946259582</v>
      </c>
      <c r="AR107">
        <v>75.860203182555352</v>
      </c>
      <c r="AS107">
        <v>657.48011623201592</v>
      </c>
      <c r="AT107">
        <v>42.000051435286323</v>
      </c>
      <c r="AU107">
        <v>85.419536878790382</v>
      </c>
      <c r="AV107"/>
      <c r="AW107"/>
      <c r="AX107" s="146"/>
      <c r="AY107" s="76">
        <f t="shared" ca="1" si="86"/>
        <v>0.2388204390831572</v>
      </c>
      <c r="AZ107">
        <v>10</v>
      </c>
      <c r="BA107" s="129">
        <f t="shared" si="125"/>
        <v>39673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0</v>
      </c>
      <c r="BI107">
        <v>0</v>
      </c>
      <c r="BJ107">
        <v>0</v>
      </c>
      <c r="BK107">
        <v>0</v>
      </c>
      <c r="BL107">
        <v>0</v>
      </c>
      <c r="BM107">
        <v>0</v>
      </c>
      <c r="BN107">
        <v>0</v>
      </c>
      <c r="BO107">
        <v>0</v>
      </c>
      <c r="BP107">
        <v>0</v>
      </c>
      <c r="BQ107">
        <v>0</v>
      </c>
      <c r="BR107">
        <v>0</v>
      </c>
      <c r="BS107">
        <v>0</v>
      </c>
      <c r="BT107">
        <v>0</v>
      </c>
      <c r="BU107">
        <v>0</v>
      </c>
      <c r="BV107">
        <v>0</v>
      </c>
      <c r="BW107">
        <v>0</v>
      </c>
      <c r="BX107">
        <v>0</v>
      </c>
      <c r="BY107">
        <v>0</v>
      </c>
      <c r="BZ107">
        <v>0</v>
      </c>
      <c r="CA107">
        <v>0</v>
      </c>
      <c r="CB107">
        <v>0</v>
      </c>
      <c r="CC107">
        <v>0</v>
      </c>
      <c r="CD107">
        <v>0</v>
      </c>
      <c r="CE107">
        <v>0</v>
      </c>
      <c r="CF107">
        <v>0</v>
      </c>
      <c r="CG107" s="147"/>
      <c r="CH107" s="176"/>
      <c r="CJ107" s="146"/>
      <c r="CK107" s="76">
        <f t="shared" ca="1" si="88"/>
        <v>0.29556028170010773</v>
      </c>
      <c r="CL107" s="179">
        <f t="shared" si="89"/>
        <v>10</v>
      </c>
      <c r="CM107" s="180">
        <f t="shared" si="90"/>
        <v>39673</v>
      </c>
      <c r="CN107">
        <v>0</v>
      </c>
      <c r="CO107">
        <v>0</v>
      </c>
      <c r="CP107">
        <v>2</v>
      </c>
      <c r="CQ107">
        <v>0</v>
      </c>
      <c r="CR107">
        <v>0</v>
      </c>
      <c r="CS107">
        <v>0</v>
      </c>
      <c r="CT107">
        <v>0</v>
      </c>
      <c r="CU107">
        <v>0</v>
      </c>
      <c r="CV107" s="160"/>
      <c r="CW107">
        <f>18/10</f>
        <v>1.8</v>
      </c>
      <c r="CX107">
        <f>100/7</f>
        <v>14.285714285714286</v>
      </c>
      <c r="CY107" s="164"/>
      <c r="CZ107" s="177">
        <f t="shared" si="91"/>
        <v>9.6000000000000002E-2</v>
      </c>
      <c r="DB107" s="146"/>
      <c r="DC107" s="76">
        <f t="shared" ca="1" si="49"/>
        <v>0.17782256792151507</v>
      </c>
      <c r="DD107">
        <f t="shared" si="92"/>
        <v>10</v>
      </c>
      <c r="DE107" s="129">
        <f t="shared" si="124"/>
        <v>39673</v>
      </c>
      <c r="DF107" s="161">
        <f t="shared" si="93"/>
        <v>0</v>
      </c>
      <c r="DG107" s="161">
        <f t="shared" si="94"/>
        <v>0</v>
      </c>
      <c r="DH107" s="161">
        <f t="shared" si="95"/>
        <v>297.61904761904765</v>
      </c>
      <c r="DI107" s="161">
        <f t="shared" si="96"/>
        <v>0</v>
      </c>
      <c r="DJ107" s="161">
        <f t="shared" si="97"/>
        <v>0</v>
      </c>
      <c r="DK107" s="161">
        <f t="shared" si="98"/>
        <v>0</v>
      </c>
      <c r="DL107" s="161">
        <f t="shared" si="99"/>
        <v>0</v>
      </c>
      <c r="DM107" s="161">
        <f t="shared" si="100"/>
        <v>0</v>
      </c>
      <c r="DN107" s="161">
        <f t="shared" si="101"/>
        <v>0</v>
      </c>
      <c r="DO107" s="161">
        <f t="shared" si="102"/>
        <v>0</v>
      </c>
      <c r="DP107" s="161">
        <f t="shared" si="103"/>
        <v>0</v>
      </c>
      <c r="DQ107" s="161">
        <f t="shared" si="104"/>
        <v>0</v>
      </c>
      <c r="DR107" s="161">
        <f t="shared" si="105"/>
        <v>0</v>
      </c>
      <c r="DS107" s="161">
        <f t="shared" si="106"/>
        <v>0</v>
      </c>
      <c r="DT107" s="161">
        <f t="shared" si="107"/>
        <v>0</v>
      </c>
      <c r="DU107" s="161">
        <f t="shared" si="108"/>
        <v>0</v>
      </c>
      <c r="DV107" s="161">
        <f t="shared" si="109"/>
        <v>0</v>
      </c>
      <c r="DW107" s="161">
        <f t="shared" si="110"/>
        <v>0</v>
      </c>
      <c r="DX107" s="161">
        <f t="shared" si="111"/>
        <v>0</v>
      </c>
      <c r="DY107" s="161">
        <f t="shared" si="112"/>
        <v>0</v>
      </c>
      <c r="DZ107" s="161">
        <f t="shared" si="113"/>
        <v>0</v>
      </c>
      <c r="EA107" s="161">
        <f t="shared" si="114"/>
        <v>0</v>
      </c>
      <c r="EB107" s="161">
        <f t="shared" si="115"/>
        <v>0</v>
      </c>
      <c r="EC107" s="161">
        <f t="shared" si="116"/>
        <v>0</v>
      </c>
      <c r="ED107" s="161">
        <f t="shared" si="117"/>
        <v>0</v>
      </c>
      <c r="EE107" s="161">
        <f t="shared" si="118"/>
        <v>0</v>
      </c>
      <c r="EF107" s="161">
        <f t="shared" si="119"/>
        <v>0</v>
      </c>
      <c r="EG107" s="161">
        <f t="shared" si="120"/>
        <v>0</v>
      </c>
      <c r="EH107" s="161">
        <f t="shared" si="121"/>
        <v>0</v>
      </c>
      <c r="EI107" s="161">
        <f t="shared" si="122"/>
        <v>0</v>
      </c>
      <c r="EJ107" s="161">
        <f t="shared" si="123"/>
        <v>0</v>
      </c>
      <c r="EK107" s="147">
        <f t="shared" si="53"/>
        <v>297.61904761904765</v>
      </c>
      <c r="EL107" s="149"/>
      <c r="EN107" s="146"/>
      <c r="EO107" s="146"/>
      <c r="EP107" s="139">
        <f t="shared" si="54"/>
        <v>0</v>
      </c>
      <c r="EQ107" s="139">
        <f t="shared" si="55"/>
        <v>0</v>
      </c>
      <c r="ER107" s="139">
        <f t="shared" si="56"/>
        <v>21.966129205458834</v>
      </c>
      <c r="ES107" s="139">
        <f t="shared" si="57"/>
        <v>0</v>
      </c>
      <c r="ET107" s="139">
        <f t="shared" si="58"/>
        <v>0</v>
      </c>
      <c r="EU107" s="139">
        <f t="shared" si="59"/>
        <v>0</v>
      </c>
      <c r="EV107" s="139">
        <f t="shared" si="60"/>
        <v>0</v>
      </c>
      <c r="EW107" s="139">
        <f t="shared" si="61"/>
        <v>0</v>
      </c>
      <c r="EX107" s="139">
        <f t="shared" si="62"/>
        <v>0</v>
      </c>
      <c r="EY107" s="139">
        <f t="shared" si="63"/>
        <v>0</v>
      </c>
      <c r="EZ107" s="139">
        <f t="shared" si="64"/>
        <v>0</v>
      </c>
      <c r="FA107" s="139">
        <f t="shared" si="65"/>
        <v>0</v>
      </c>
      <c r="FB107" s="139">
        <f t="shared" si="66"/>
        <v>0</v>
      </c>
      <c r="FC107" s="139">
        <f t="shared" si="67"/>
        <v>0</v>
      </c>
      <c r="FD107" s="139">
        <f t="shared" si="68"/>
        <v>0</v>
      </c>
      <c r="FE107" s="139">
        <f t="shared" si="69"/>
        <v>0</v>
      </c>
      <c r="FF107" s="139">
        <f t="shared" si="70"/>
        <v>0</v>
      </c>
      <c r="FG107" s="139">
        <f t="shared" si="71"/>
        <v>0</v>
      </c>
      <c r="FH107" s="139">
        <f t="shared" si="72"/>
        <v>0</v>
      </c>
      <c r="FI107" s="139">
        <f t="shared" si="73"/>
        <v>0</v>
      </c>
      <c r="FJ107" s="139">
        <f t="shared" si="74"/>
        <v>0</v>
      </c>
      <c r="FK107" s="139">
        <f t="shared" si="75"/>
        <v>0</v>
      </c>
      <c r="FL107" s="139">
        <f t="shared" si="76"/>
        <v>0</v>
      </c>
      <c r="FM107" s="139">
        <f t="shared" si="77"/>
        <v>0</v>
      </c>
      <c r="FN107" s="139">
        <f t="shared" si="78"/>
        <v>0</v>
      </c>
      <c r="FO107" s="139">
        <f t="shared" si="79"/>
        <v>0</v>
      </c>
      <c r="FP107" s="139">
        <f t="shared" si="80"/>
        <v>0</v>
      </c>
      <c r="FQ107" s="139">
        <f t="shared" si="81"/>
        <v>0</v>
      </c>
      <c r="FR107" s="139">
        <f t="shared" si="82"/>
        <v>0</v>
      </c>
      <c r="FS107" s="139">
        <f t="shared" si="83"/>
        <v>0</v>
      </c>
      <c r="FT107" s="139">
        <f t="shared" si="84"/>
        <v>0</v>
      </c>
      <c r="FU107" s="148">
        <f t="shared" si="85"/>
        <v>21.966129205458834</v>
      </c>
      <c r="FV107" s="149"/>
      <c r="FY107" s="211">
        <v>102</v>
      </c>
      <c r="FZ107">
        <v>5.7487251308097918</v>
      </c>
      <c r="GA107">
        <v>45.113400712439436</v>
      </c>
      <c r="GB107">
        <v>56.930639566427459</v>
      </c>
      <c r="GC107">
        <v>32.083877449500982</v>
      </c>
      <c r="GD107">
        <v>13.460705010497943</v>
      </c>
      <c r="GE107">
        <v>28.255931287007542</v>
      </c>
      <c r="GF107">
        <v>68.112662706529051</v>
      </c>
      <c r="GG107">
        <v>40.167514221047419</v>
      </c>
      <c r="GH107">
        <v>9.330626455415997</v>
      </c>
      <c r="GI107">
        <v>38.34696712447451</v>
      </c>
      <c r="GJ107"/>
      <c r="GK107"/>
      <c r="GL107"/>
      <c r="GM107"/>
    </row>
    <row r="108" spans="1:195" s="7" customFormat="1">
      <c r="A108" s="128"/>
      <c r="B108" s="76">
        <f ca="1">IF(C108="", "", RAND())</f>
        <v>0.69842982946911203</v>
      </c>
      <c r="C108">
        <v>7</v>
      </c>
      <c r="D108">
        <v>39714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 s="2"/>
      <c r="AK108" s="80"/>
      <c r="AL108" s="74"/>
      <c r="AM108" s="43">
        <v>92</v>
      </c>
      <c r="AN108">
        <v>280.7919077063143</v>
      </c>
      <c r="AO108">
        <v>103.47081828977279</v>
      </c>
      <c r="AP108">
        <v>736.64414864566936</v>
      </c>
      <c r="AQ108">
        <v>553.89193530933119</v>
      </c>
      <c r="AR108">
        <v>93.132346762804275</v>
      </c>
      <c r="AS108">
        <v>761.27494921719608</v>
      </c>
      <c r="AT108">
        <v>50.034416475293916</v>
      </c>
      <c r="AU108">
        <v>116.87652684558959</v>
      </c>
      <c r="AV108"/>
      <c r="AW108"/>
      <c r="AX108" s="128"/>
      <c r="AY108" s="76">
        <f t="shared" ca="1" si="86"/>
        <v>0.14741165272807355</v>
      </c>
      <c r="AZ108">
        <v>1</v>
      </c>
      <c r="BA108" s="129">
        <f>IF(AZ108="", "",$C$6)</f>
        <v>39714</v>
      </c>
      <c r="BB108">
        <v>0</v>
      </c>
      <c r="BC108">
        <v>0</v>
      </c>
      <c r="BD108">
        <v>1</v>
      </c>
      <c r="BE108">
        <v>7</v>
      </c>
      <c r="BF108">
        <v>0</v>
      </c>
      <c r="BG108">
        <v>0</v>
      </c>
      <c r="BH108">
        <v>0</v>
      </c>
      <c r="BI108">
        <v>0</v>
      </c>
      <c r="BJ108">
        <v>0</v>
      </c>
      <c r="BK108">
        <v>0</v>
      </c>
      <c r="BL108">
        <v>0</v>
      </c>
      <c r="BM108">
        <v>0</v>
      </c>
      <c r="BN108">
        <v>0</v>
      </c>
      <c r="BO108">
        <v>0</v>
      </c>
      <c r="BP108">
        <v>0</v>
      </c>
      <c r="BQ108">
        <v>0</v>
      </c>
      <c r="BR108">
        <v>0</v>
      </c>
      <c r="BS108">
        <v>0</v>
      </c>
      <c r="BT108">
        <v>0</v>
      </c>
      <c r="BU108">
        <v>0</v>
      </c>
      <c r="BV108">
        <v>0</v>
      </c>
      <c r="BW108">
        <v>0</v>
      </c>
      <c r="BX108">
        <v>0</v>
      </c>
      <c r="BY108">
        <v>0</v>
      </c>
      <c r="BZ108">
        <v>0</v>
      </c>
      <c r="CA108">
        <v>0</v>
      </c>
      <c r="CB108">
        <v>0</v>
      </c>
      <c r="CC108">
        <v>0</v>
      </c>
      <c r="CD108">
        <v>0</v>
      </c>
      <c r="CE108">
        <v>0</v>
      </c>
      <c r="CF108">
        <v>0</v>
      </c>
      <c r="CG108" s="147"/>
      <c r="CH108" s="176"/>
      <c r="CJ108" s="128"/>
      <c r="CK108" s="76">
        <f t="shared" ca="1" si="88"/>
        <v>0.59840982727922576</v>
      </c>
      <c r="CL108" s="179">
        <f t="shared" si="89"/>
        <v>1</v>
      </c>
      <c r="CM108" s="180">
        <f t="shared" si="90"/>
        <v>39714</v>
      </c>
      <c r="CN108">
        <v>0</v>
      </c>
      <c r="CO108">
        <v>0</v>
      </c>
      <c r="CP108">
        <v>1</v>
      </c>
      <c r="CQ108">
        <v>0</v>
      </c>
      <c r="CR108">
        <v>0</v>
      </c>
      <c r="CS108">
        <v>0</v>
      </c>
      <c r="CT108">
        <v>0</v>
      </c>
      <c r="CU108">
        <v>0</v>
      </c>
      <c r="CW108">
        <v>1</v>
      </c>
      <c r="CX108">
        <f>300/48</f>
        <v>6.25</v>
      </c>
      <c r="CY108" s="158"/>
      <c r="CZ108" s="177">
        <f t="shared" si="91"/>
        <v>9.6000000000000002E-2</v>
      </c>
      <c r="DB108" s="128"/>
      <c r="DC108" s="76">
        <f t="shared" ca="1" si="49"/>
        <v>0.91447128178072279</v>
      </c>
      <c r="DD108">
        <f t="shared" si="92"/>
        <v>1</v>
      </c>
      <c r="DE108" s="129">
        <f t="shared" ref="DE108:DE117" si="126">IF((DD108)="", "", $C$6)</f>
        <v>39714</v>
      </c>
      <c r="DF108" s="161">
        <f t="shared" si="93"/>
        <v>0</v>
      </c>
      <c r="DG108" s="161">
        <f t="shared" si="94"/>
        <v>0</v>
      </c>
      <c r="DH108" s="161">
        <f t="shared" si="95"/>
        <v>75.520833333333329</v>
      </c>
      <c r="DI108" s="161">
        <f t="shared" si="96"/>
        <v>72.916666666666671</v>
      </c>
      <c r="DJ108" s="161">
        <f t="shared" si="97"/>
        <v>0</v>
      </c>
      <c r="DK108" s="161">
        <f t="shared" si="98"/>
        <v>0</v>
      </c>
      <c r="DL108" s="161">
        <f t="shared" si="99"/>
        <v>0</v>
      </c>
      <c r="DM108" s="161">
        <f t="shared" si="100"/>
        <v>0</v>
      </c>
      <c r="DN108" s="161">
        <f t="shared" si="101"/>
        <v>0</v>
      </c>
      <c r="DO108" s="161">
        <f t="shared" si="102"/>
        <v>0</v>
      </c>
      <c r="DP108" s="161">
        <f t="shared" si="103"/>
        <v>0</v>
      </c>
      <c r="DQ108" s="161">
        <f t="shared" si="104"/>
        <v>0</v>
      </c>
      <c r="DR108" s="161">
        <f t="shared" si="105"/>
        <v>0</v>
      </c>
      <c r="DS108" s="161">
        <f t="shared" si="106"/>
        <v>0</v>
      </c>
      <c r="DT108" s="161">
        <f t="shared" si="107"/>
        <v>0</v>
      </c>
      <c r="DU108" s="161">
        <f t="shared" si="108"/>
        <v>0</v>
      </c>
      <c r="DV108" s="161">
        <f t="shared" si="109"/>
        <v>0</v>
      </c>
      <c r="DW108" s="161">
        <f t="shared" si="110"/>
        <v>0</v>
      </c>
      <c r="DX108" s="161">
        <f t="shared" si="111"/>
        <v>0</v>
      </c>
      <c r="DY108" s="161">
        <f t="shared" si="112"/>
        <v>0</v>
      </c>
      <c r="DZ108" s="161">
        <f t="shared" si="113"/>
        <v>0</v>
      </c>
      <c r="EA108" s="161">
        <f t="shared" si="114"/>
        <v>0</v>
      </c>
      <c r="EB108" s="161">
        <f t="shared" si="115"/>
        <v>0</v>
      </c>
      <c r="EC108" s="161">
        <f t="shared" si="116"/>
        <v>0</v>
      </c>
      <c r="ED108" s="161">
        <f t="shared" si="117"/>
        <v>0</v>
      </c>
      <c r="EE108" s="161">
        <f t="shared" si="118"/>
        <v>0</v>
      </c>
      <c r="EF108" s="161">
        <f t="shared" si="119"/>
        <v>0</v>
      </c>
      <c r="EG108" s="161">
        <f t="shared" si="120"/>
        <v>0</v>
      </c>
      <c r="EH108" s="161">
        <f t="shared" si="121"/>
        <v>0</v>
      </c>
      <c r="EI108" s="161">
        <f t="shared" si="122"/>
        <v>0</v>
      </c>
      <c r="EJ108" s="161">
        <f t="shared" si="123"/>
        <v>0</v>
      </c>
      <c r="EK108" s="147">
        <f t="shared" si="53"/>
        <v>148.4375</v>
      </c>
      <c r="EL108" s="149"/>
      <c r="EN108" s="146"/>
      <c r="EO108" s="146"/>
      <c r="EP108" s="139">
        <f t="shared" si="54"/>
        <v>0</v>
      </c>
      <c r="EQ108" s="139">
        <f t="shared" si="55"/>
        <v>0</v>
      </c>
      <c r="ER108" s="139">
        <f t="shared" si="56"/>
        <v>5.5739052858851785</v>
      </c>
      <c r="ES108" s="139">
        <f t="shared" si="57"/>
        <v>17.462746244504046</v>
      </c>
      <c r="ET108" s="139">
        <f t="shared" si="58"/>
        <v>0</v>
      </c>
      <c r="EU108" s="139">
        <f t="shared" si="59"/>
        <v>0</v>
      </c>
      <c r="EV108" s="139">
        <f t="shared" si="60"/>
        <v>0</v>
      </c>
      <c r="EW108" s="139">
        <f t="shared" si="61"/>
        <v>0</v>
      </c>
      <c r="EX108" s="139">
        <f t="shared" si="62"/>
        <v>0</v>
      </c>
      <c r="EY108" s="139">
        <f t="shared" si="63"/>
        <v>0</v>
      </c>
      <c r="EZ108" s="139">
        <f t="shared" si="64"/>
        <v>0</v>
      </c>
      <c r="FA108" s="139">
        <f t="shared" si="65"/>
        <v>0</v>
      </c>
      <c r="FB108" s="139">
        <f t="shared" si="66"/>
        <v>0</v>
      </c>
      <c r="FC108" s="139">
        <f t="shared" si="67"/>
        <v>0</v>
      </c>
      <c r="FD108" s="139">
        <f t="shared" si="68"/>
        <v>0</v>
      </c>
      <c r="FE108" s="139">
        <f t="shared" si="69"/>
        <v>0</v>
      </c>
      <c r="FF108" s="139">
        <f t="shared" si="70"/>
        <v>0</v>
      </c>
      <c r="FG108" s="139">
        <f t="shared" si="71"/>
        <v>0</v>
      </c>
      <c r="FH108" s="139">
        <f t="shared" si="72"/>
        <v>0</v>
      </c>
      <c r="FI108" s="139">
        <f t="shared" si="73"/>
        <v>0</v>
      </c>
      <c r="FJ108" s="139">
        <f t="shared" si="74"/>
        <v>0</v>
      </c>
      <c r="FK108" s="139">
        <f t="shared" si="75"/>
        <v>0</v>
      </c>
      <c r="FL108" s="139">
        <f t="shared" si="76"/>
        <v>0</v>
      </c>
      <c r="FM108" s="139">
        <f t="shared" si="77"/>
        <v>0</v>
      </c>
      <c r="FN108" s="139">
        <f t="shared" si="78"/>
        <v>0</v>
      </c>
      <c r="FO108" s="139">
        <f t="shared" si="79"/>
        <v>0</v>
      </c>
      <c r="FP108" s="139">
        <f t="shared" si="80"/>
        <v>0</v>
      </c>
      <c r="FQ108" s="139">
        <f t="shared" si="81"/>
        <v>0</v>
      </c>
      <c r="FR108" s="139">
        <f t="shared" si="82"/>
        <v>0</v>
      </c>
      <c r="FS108" s="139">
        <f t="shared" si="83"/>
        <v>0</v>
      </c>
      <c r="FT108" s="139">
        <f t="shared" si="84"/>
        <v>0</v>
      </c>
      <c r="FU108" s="148">
        <f t="shared" si="85"/>
        <v>23.036651530389225</v>
      </c>
      <c r="FV108" s="149"/>
      <c r="FY108" s="211">
        <v>103</v>
      </c>
      <c r="FZ108">
        <v>14.188444207740087</v>
      </c>
      <c r="GA108">
        <v>41.854562070519748</v>
      </c>
      <c r="GB108">
        <v>90.622907693481054</v>
      </c>
      <c r="GC108">
        <v>52.970213259295598</v>
      </c>
      <c r="GD108">
        <v>24.164336402119908</v>
      </c>
      <c r="GE108">
        <v>43.452891459191989</v>
      </c>
      <c r="GF108">
        <v>31.233149405965253</v>
      </c>
      <c r="GG108">
        <v>12.037028579781307</v>
      </c>
      <c r="GH108">
        <v>1.9176964525106874</v>
      </c>
      <c r="GI108">
        <v>46.911192101435716</v>
      </c>
      <c r="GJ108"/>
      <c r="GK108"/>
      <c r="GL108"/>
      <c r="GM108"/>
    </row>
    <row r="109" spans="1:195" s="7" customFormat="1">
      <c r="A109" s="1"/>
      <c r="B109" s="76">
        <f ca="1">IF(C109="", "", RAND())</f>
        <v>0.61020126083262971</v>
      </c>
      <c r="C109">
        <v>4</v>
      </c>
      <c r="D109">
        <v>39714</v>
      </c>
      <c r="E109">
        <v>0</v>
      </c>
      <c r="F109">
        <v>0</v>
      </c>
      <c r="G109">
        <v>52.083333333333336</v>
      </c>
      <c r="H109">
        <v>83.333333333333329</v>
      </c>
      <c r="I109">
        <v>10.416666666666666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 s="2"/>
      <c r="AK109" s="80"/>
      <c r="AL109" s="74"/>
      <c r="AM109" s="43">
        <v>93</v>
      </c>
      <c r="AN109">
        <v>210.30039969637482</v>
      </c>
      <c r="AO109">
        <v>70.515096755836808</v>
      </c>
      <c r="AP109">
        <v>563.19221027608876</v>
      </c>
      <c r="AQ109">
        <v>407.65378455332336</v>
      </c>
      <c r="AR109">
        <v>64.424679509610399</v>
      </c>
      <c r="AS109">
        <v>579.0715088565978</v>
      </c>
      <c r="AT109">
        <v>37.096875434522978</v>
      </c>
      <c r="AU109">
        <v>31.388397860293541</v>
      </c>
      <c r="AV109"/>
      <c r="AW109"/>
      <c r="AX109" s="146"/>
      <c r="AY109" s="76">
        <f t="shared" ca="1" si="86"/>
        <v>0.51102096892107252</v>
      </c>
      <c r="AZ109">
        <v>2</v>
      </c>
      <c r="BA109" s="129">
        <f t="shared" ref="BA109:BA117" si="127">IF(AZ109="", "",$C$6)</f>
        <v>39714</v>
      </c>
      <c r="BB109">
        <v>0</v>
      </c>
      <c r="BC109">
        <v>0</v>
      </c>
      <c r="BD109">
        <v>9</v>
      </c>
      <c r="BE109">
        <v>15</v>
      </c>
      <c r="BF109">
        <v>0</v>
      </c>
      <c r="BG109">
        <v>0</v>
      </c>
      <c r="BH109">
        <v>0</v>
      </c>
      <c r="BI109">
        <v>0</v>
      </c>
      <c r="BJ109">
        <v>0</v>
      </c>
      <c r="BK109">
        <v>0</v>
      </c>
      <c r="BL109">
        <v>0</v>
      </c>
      <c r="BM109">
        <v>0</v>
      </c>
      <c r="BN109">
        <v>0</v>
      </c>
      <c r="BO109">
        <v>0</v>
      </c>
      <c r="BP109">
        <v>0</v>
      </c>
      <c r="BQ109">
        <v>0</v>
      </c>
      <c r="BR109">
        <v>0</v>
      </c>
      <c r="BS109">
        <v>0</v>
      </c>
      <c r="BT109">
        <v>0</v>
      </c>
      <c r="BU109">
        <v>0</v>
      </c>
      <c r="BV109">
        <v>0</v>
      </c>
      <c r="BW109">
        <v>0</v>
      </c>
      <c r="BX109">
        <v>0</v>
      </c>
      <c r="BY109">
        <v>0</v>
      </c>
      <c r="BZ109">
        <v>0</v>
      </c>
      <c r="CA109">
        <v>0</v>
      </c>
      <c r="CB109">
        <v>0</v>
      </c>
      <c r="CC109">
        <v>0</v>
      </c>
      <c r="CD109">
        <v>0</v>
      </c>
      <c r="CE109">
        <v>0</v>
      </c>
      <c r="CF109">
        <v>0</v>
      </c>
      <c r="CG109" s="147"/>
      <c r="CH109" s="176"/>
      <c r="CJ109" s="146"/>
      <c r="CK109" s="76">
        <f t="shared" ca="1" si="88"/>
        <v>0.94617220855684359</v>
      </c>
      <c r="CL109" s="179">
        <f t="shared" si="89"/>
        <v>2</v>
      </c>
      <c r="CM109" s="180">
        <f t="shared" si="90"/>
        <v>39714</v>
      </c>
      <c r="CN109">
        <v>0</v>
      </c>
      <c r="CO109">
        <v>0</v>
      </c>
      <c r="CP109">
        <v>0</v>
      </c>
      <c r="CQ109">
        <v>0</v>
      </c>
      <c r="CR109">
        <v>0</v>
      </c>
      <c r="CS109">
        <v>0</v>
      </c>
      <c r="CT109">
        <v>0</v>
      </c>
      <c r="CU109">
        <v>0</v>
      </c>
      <c r="CW109">
        <v>1</v>
      </c>
      <c r="CX109">
        <v>1</v>
      </c>
      <c r="CY109" s="158"/>
      <c r="CZ109" s="177">
        <f t="shared" si="91"/>
        <v>9.6000000000000002E-2</v>
      </c>
      <c r="DB109" s="146"/>
      <c r="DC109" s="76">
        <f t="shared" ca="1" si="49"/>
        <v>0.39584823030098337</v>
      </c>
      <c r="DD109">
        <f t="shared" si="92"/>
        <v>2</v>
      </c>
      <c r="DE109" s="129">
        <f t="shared" si="126"/>
        <v>39714</v>
      </c>
      <c r="DF109" s="161">
        <f t="shared" si="93"/>
        <v>0</v>
      </c>
      <c r="DG109" s="161">
        <f t="shared" si="94"/>
        <v>0</v>
      </c>
      <c r="DH109" s="161">
        <f t="shared" si="95"/>
        <v>93.75</v>
      </c>
      <c r="DI109" s="161">
        <f t="shared" si="96"/>
        <v>156.25</v>
      </c>
      <c r="DJ109" s="161">
        <f t="shared" si="97"/>
        <v>0</v>
      </c>
      <c r="DK109" s="161">
        <f t="shared" si="98"/>
        <v>0</v>
      </c>
      <c r="DL109" s="161">
        <f t="shared" si="99"/>
        <v>0</v>
      </c>
      <c r="DM109" s="161">
        <f t="shared" si="100"/>
        <v>0</v>
      </c>
      <c r="DN109" s="161">
        <f t="shared" si="101"/>
        <v>0</v>
      </c>
      <c r="DO109" s="161">
        <f t="shared" si="102"/>
        <v>0</v>
      </c>
      <c r="DP109" s="161">
        <f t="shared" si="103"/>
        <v>0</v>
      </c>
      <c r="DQ109" s="161">
        <f t="shared" si="104"/>
        <v>0</v>
      </c>
      <c r="DR109" s="161">
        <f t="shared" si="105"/>
        <v>0</v>
      </c>
      <c r="DS109" s="161">
        <f t="shared" si="106"/>
        <v>0</v>
      </c>
      <c r="DT109" s="161">
        <f t="shared" si="107"/>
        <v>0</v>
      </c>
      <c r="DU109" s="161">
        <f t="shared" si="108"/>
        <v>0</v>
      </c>
      <c r="DV109" s="161">
        <f t="shared" si="109"/>
        <v>0</v>
      </c>
      <c r="DW109" s="161">
        <f t="shared" si="110"/>
        <v>0</v>
      </c>
      <c r="DX109" s="161">
        <f t="shared" si="111"/>
        <v>0</v>
      </c>
      <c r="DY109" s="161">
        <f t="shared" si="112"/>
        <v>0</v>
      </c>
      <c r="DZ109" s="161">
        <f t="shared" si="113"/>
        <v>0</v>
      </c>
      <c r="EA109" s="161">
        <f t="shared" si="114"/>
        <v>0</v>
      </c>
      <c r="EB109" s="161">
        <f t="shared" si="115"/>
        <v>0</v>
      </c>
      <c r="EC109" s="161">
        <f t="shared" si="116"/>
        <v>0</v>
      </c>
      <c r="ED109" s="161">
        <f t="shared" si="117"/>
        <v>0</v>
      </c>
      <c r="EE109" s="161">
        <f t="shared" si="118"/>
        <v>0</v>
      </c>
      <c r="EF109" s="161">
        <f t="shared" si="119"/>
        <v>0</v>
      </c>
      <c r="EG109" s="161">
        <f t="shared" si="120"/>
        <v>0</v>
      </c>
      <c r="EH109" s="161">
        <f t="shared" si="121"/>
        <v>0</v>
      </c>
      <c r="EI109" s="161">
        <f t="shared" si="122"/>
        <v>0</v>
      </c>
      <c r="EJ109" s="161">
        <f t="shared" si="123"/>
        <v>0</v>
      </c>
      <c r="EK109" s="147">
        <f t="shared" si="53"/>
        <v>250</v>
      </c>
      <c r="EL109" s="149"/>
      <c r="EN109" s="146"/>
      <c r="EO109" s="146"/>
      <c r="EP109" s="139">
        <f t="shared" si="54"/>
        <v>0</v>
      </c>
      <c r="EQ109" s="139">
        <f t="shared" si="55"/>
        <v>0</v>
      </c>
      <c r="ER109" s="139">
        <f t="shared" si="56"/>
        <v>6.9193306997195316</v>
      </c>
      <c r="ES109" s="139">
        <f t="shared" si="57"/>
        <v>37.420170523937244</v>
      </c>
      <c r="ET109" s="139">
        <f t="shared" si="58"/>
        <v>0</v>
      </c>
      <c r="EU109" s="139">
        <f t="shared" si="59"/>
        <v>0</v>
      </c>
      <c r="EV109" s="139">
        <f t="shared" si="60"/>
        <v>0</v>
      </c>
      <c r="EW109" s="139">
        <f t="shared" si="61"/>
        <v>0</v>
      </c>
      <c r="EX109" s="139">
        <f t="shared" si="62"/>
        <v>0</v>
      </c>
      <c r="EY109" s="139">
        <f t="shared" si="63"/>
        <v>0</v>
      </c>
      <c r="EZ109" s="139">
        <f t="shared" si="64"/>
        <v>0</v>
      </c>
      <c r="FA109" s="139">
        <f t="shared" si="65"/>
        <v>0</v>
      </c>
      <c r="FB109" s="139">
        <f t="shared" si="66"/>
        <v>0</v>
      </c>
      <c r="FC109" s="139">
        <f t="shared" si="67"/>
        <v>0</v>
      </c>
      <c r="FD109" s="139">
        <f t="shared" si="68"/>
        <v>0</v>
      </c>
      <c r="FE109" s="139">
        <f t="shared" si="69"/>
        <v>0</v>
      </c>
      <c r="FF109" s="139">
        <f t="shared" si="70"/>
        <v>0</v>
      </c>
      <c r="FG109" s="139">
        <f t="shared" si="71"/>
        <v>0</v>
      </c>
      <c r="FH109" s="139">
        <f t="shared" si="72"/>
        <v>0</v>
      </c>
      <c r="FI109" s="139">
        <f t="shared" si="73"/>
        <v>0</v>
      </c>
      <c r="FJ109" s="139">
        <f t="shared" si="74"/>
        <v>0</v>
      </c>
      <c r="FK109" s="139">
        <f t="shared" si="75"/>
        <v>0</v>
      </c>
      <c r="FL109" s="139">
        <f t="shared" si="76"/>
        <v>0</v>
      </c>
      <c r="FM109" s="139">
        <f t="shared" si="77"/>
        <v>0</v>
      </c>
      <c r="FN109" s="139">
        <f t="shared" si="78"/>
        <v>0</v>
      </c>
      <c r="FO109" s="139">
        <f t="shared" si="79"/>
        <v>0</v>
      </c>
      <c r="FP109" s="139">
        <f t="shared" si="80"/>
        <v>0</v>
      </c>
      <c r="FQ109" s="139">
        <f t="shared" si="81"/>
        <v>0</v>
      </c>
      <c r="FR109" s="139">
        <f t="shared" si="82"/>
        <v>0</v>
      </c>
      <c r="FS109" s="139">
        <f t="shared" si="83"/>
        <v>0</v>
      </c>
      <c r="FT109" s="139">
        <f t="shared" si="84"/>
        <v>0</v>
      </c>
      <c r="FU109" s="148">
        <f t="shared" si="85"/>
        <v>44.339501223656775</v>
      </c>
      <c r="FV109" s="149"/>
      <c r="FY109" s="211">
        <v>104</v>
      </c>
      <c r="FZ109">
        <v>11.807283771849587</v>
      </c>
      <c r="GA109">
        <v>65.759173161219394</v>
      </c>
      <c r="GB109">
        <v>77.545400107336192</v>
      </c>
      <c r="GC109">
        <v>42.553090531623397</v>
      </c>
      <c r="GD109">
        <v>32.219951643446713</v>
      </c>
      <c r="GE109">
        <v>74.337002771974156</v>
      </c>
      <c r="GF109">
        <v>89.79528390221985</v>
      </c>
      <c r="GG109">
        <v>38.087532879047572</v>
      </c>
      <c r="GH109">
        <v>6.5936074056970577</v>
      </c>
      <c r="GI109">
        <v>61.009401863264095</v>
      </c>
      <c r="GJ109"/>
      <c r="GK109"/>
      <c r="GL109"/>
      <c r="GM109"/>
    </row>
    <row r="110" spans="1:195" s="7" customFormat="1">
      <c r="A110" s="1"/>
      <c r="B110" s="76">
        <f ca="1">IF(C110="", "", RAND())</f>
        <v>0.46958847362671374</v>
      </c>
      <c r="C110">
        <v>1</v>
      </c>
      <c r="D110">
        <v>39714</v>
      </c>
      <c r="E110">
        <v>0</v>
      </c>
      <c r="F110">
        <v>0</v>
      </c>
      <c r="G110">
        <v>75.520833333333329</v>
      </c>
      <c r="H110">
        <v>72.916666666666671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 s="2"/>
      <c r="AK110" s="80"/>
      <c r="AL110" s="74"/>
      <c r="AM110" s="43">
        <v>94</v>
      </c>
      <c r="AN110">
        <v>237.79896193614908</v>
      </c>
      <c r="AO110">
        <v>77.400512915048438</v>
      </c>
      <c r="AP110">
        <v>570.72495274578</v>
      </c>
      <c r="AQ110">
        <v>401.62806378679772</v>
      </c>
      <c r="AR110">
        <v>68.994309267349749</v>
      </c>
      <c r="AS110">
        <v>579.9078358969291</v>
      </c>
      <c r="AT110">
        <v>37.423015471727311</v>
      </c>
      <c r="AU110">
        <v>46.132045173376277</v>
      </c>
      <c r="AV110"/>
      <c r="AW110"/>
      <c r="AX110" s="146"/>
      <c r="AY110" s="76">
        <f t="shared" ca="1" si="86"/>
        <v>0.14138652118479111</v>
      </c>
      <c r="AZ110">
        <v>3</v>
      </c>
      <c r="BA110" s="129">
        <f t="shared" si="127"/>
        <v>39714</v>
      </c>
      <c r="BB110">
        <v>0</v>
      </c>
      <c r="BC110">
        <v>0</v>
      </c>
      <c r="BD110">
        <v>4</v>
      </c>
      <c r="BE110">
        <v>22</v>
      </c>
      <c r="BF110">
        <v>2</v>
      </c>
      <c r="BG110">
        <v>0</v>
      </c>
      <c r="BH110">
        <v>0</v>
      </c>
      <c r="BI110">
        <v>0</v>
      </c>
      <c r="BJ110">
        <v>0</v>
      </c>
      <c r="BK110">
        <v>0</v>
      </c>
      <c r="BL110">
        <v>0</v>
      </c>
      <c r="BM110">
        <v>0</v>
      </c>
      <c r="BN110">
        <v>0</v>
      </c>
      <c r="BO110">
        <v>0</v>
      </c>
      <c r="BP110">
        <v>0</v>
      </c>
      <c r="BQ110">
        <v>0</v>
      </c>
      <c r="BR110">
        <v>0</v>
      </c>
      <c r="BS110">
        <v>0</v>
      </c>
      <c r="BT110">
        <v>0</v>
      </c>
      <c r="BU110">
        <v>0</v>
      </c>
      <c r="BV110">
        <v>0</v>
      </c>
      <c r="BW110">
        <v>0</v>
      </c>
      <c r="BX110">
        <v>0</v>
      </c>
      <c r="BY110">
        <v>0</v>
      </c>
      <c r="BZ110">
        <v>0</v>
      </c>
      <c r="CA110">
        <v>0</v>
      </c>
      <c r="CB110">
        <v>0</v>
      </c>
      <c r="CC110">
        <v>0</v>
      </c>
      <c r="CD110">
        <v>0</v>
      </c>
      <c r="CE110">
        <v>0</v>
      </c>
      <c r="CF110">
        <v>0</v>
      </c>
      <c r="CG110" s="147"/>
      <c r="CH110" s="176"/>
      <c r="CJ110" s="146"/>
      <c r="CK110" s="76">
        <f t="shared" ca="1" si="88"/>
        <v>0.74946718242884414</v>
      </c>
      <c r="CL110" s="179">
        <f t="shared" si="89"/>
        <v>3</v>
      </c>
      <c r="CM110" s="180">
        <f t="shared" si="90"/>
        <v>39714</v>
      </c>
      <c r="CN110">
        <v>0</v>
      </c>
      <c r="CO110">
        <v>0</v>
      </c>
      <c r="CP110">
        <v>2</v>
      </c>
      <c r="CQ110">
        <v>0</v>
      </c>
      <c r="CR110">
        <v>0</v>
      </c>
      <c r="CS110">
        <v>0</v>
      </c>
      <c r="CT110">
        <v>0</v>
      </c>
      <c r="CU110">
        <v>0</v>
      </c>
      <c r="CW110">
        <v>1</v>
      </c>
      <c r="CX110">
        <f>300/32</f>
        <v>9.375</v>
      </c>
      <c r="CY110" s="158"/>
      <c r="CZ110" s="177">
        <f t="shared" si="91"/>
        <v>9.6000000000000002E-2</v>
      </c>
      <c r="DB110" s="146"/>
      <c r="DC110" s="76">
        <f t="shared" ca="1" si="49"/>
        <v>0.97176025250408049</v>
      </c>
      <c r="DD110">
        <f t="shared" si="92"/>
        <v>3</v>
      </c>
      <c r="DE110" s="129">
        <f t="shared" si="126"/>
        <v>39714</v>
      </c>
      <c r="DF110" s="161">
        <f t="shared" si="93"/>
        <v>0</v>
      </c>
      <c r="DG110" s="161">
        <f t="shared" si="94"/>
        <v>0</v>
      </c>
      <c r="DH110" s="161">
        <f t="shared" si="95"/>
        <v>236.97916666666666</v>
      </c>
      <c r="DI110" s="161">
        <f t="shared" si="96"/>
        <v>229.16666666666666</v>
      </c>
      <c r="DJ110" s="161">
        <f t="shared" si="97"/>
        <v>20.833333333333332</v>
      </c>
      <c r="DK110" s="161">
        <f t="shared" si="98"/>
        <v>0</v>
      </c>
      <c r="DL110" s="161">
        <f t="shared" si="99"/>
        <v>0</v>
      </c>
      <c r="DM110" s="161">
        <f t="shared" si="100"/>
        <v>0</v>
      </c>
      <c r="DN110" s="161">
        <f t="shared" si="101"/>
        <v>0</v>
      </c>
      <c r="DO110" s="161">
        <f t="shared" si="102"/>
        <v>0</v>
      </c>
      <c r="DP110" s="161">
        <f t="shared" si="103"/>
        <v>0</v>
      </c>
      <c r="DQ110" s="161">
        <f t="shared" si="104"/>
        <v>0</v>
      </c>
      <c r="DR110" s="161">
        <f t="shared" si="105"/>
        <v>0</v>
      </c>
      <c r="DS110" s="161">
        <f t="shared" si="106"/>
        <v>0</v>
      </c>
      <c r="DT110" s="161">
        <f t="shared" si="107"/>
        <v>0</v>
      </c>
      <c r="DU110" s="161">
        <f t="shared" si="108"/>
        <v>0</v>
      </c>
      <c r="DV110" s="161">
        <f t="shared" si="109"/>
        <v>0</v>
      </c>
      <c r="DW110" s="161">
        <f t="shared" si="110"/>
        <v>0</v>
      </c>
      <c r="DX110" s="161">
        <f t="shared" si="111"/>
        <v>0</v>
      </c>
      <c r="DY110" s="161">
        <f t="shared" si="112"/>
        <v>0</v>
      </c>
      <c r="DZ110" s="161">
        <f t="shared" si="113"/>
        <v>0</v>
      </c>
      <c r="EA110" s="161">
        <f t="shared" si="114"/>
        <v>0</v>
      </c>
      <c r="EB110" s="161">
        <f t="shared" si="115"/>
        <v>0</v>
      </c>
      <c r="EC110" s="161">
        <f t="shared" si="116"/>
        <v>0</v>
      </c>
      <c r="ED110" s="161">
        <f t="shared" si="117"/>
        <v>0</v>
      </c>
      <c r="EE110" s="161">
        <f t="shared" si="118"/>
        <v>0</v>
      </c>
      <c r="EF110" s="161">
        <f t="shared" si="119"/>
        <v>0</v>
      </c>
      <c r="EG110" s="161">
        <f t="shared" si="120"/>
        <v>0</v>
      </c>
      <c r="EH110" s="161">
        <f t="shared" si="121"/>
        <v>0</v>
      </c>
      <c r="EI110" s="161">
        <f t="shared" si="122"/>
        <v>0</v>
      </c>
      <c r="EJ110" s="161">
        <f t="shared" si="123"/>
        <v>0</v>
      </c>
      <c r="EK110" s="147">
        <f t="shared" si="53"/>
        <v>486.97916666666663</v>
      </c>
      <c r="EL110" s="149"/>
      <c r="EN110" s="146"/>
      <c r="EO110" s="146"/>
      <c r="EP110" s="139">
        <f t="shared" si="54"/>
        <v>0</v>
      </c>
      <c r="EQ110" s="139">
        <f t="shared" si="55"/>
        <v>0</v>
      </c>
      <c r="ER110" s="139">
        <f t="shared" si="56"/>
        <v>17.490530379846593</v>
      </c>
      <c r="ES110" s="139">
        <f t="shared" si="57"/>
        <v>54.882916768441284</v>
      </c>
      <c r="ET110" s="139">
        <f t="shared" si="58"/>
        <v>11.501160158716418</v>
      </c>
      <c r="EU110" s="139">
        <f t="shared" si="59"/>
        <v>0</v>
      </c>
      <c r="EV110" s="139">
        <f t="shared" si="60"/>
        <v>0</v>
      </c>
      <c r="EW110" s="139">
        <f t="shared" si="61"/>
        <v>0</v>
      </c>
      <c r="EX110" s="139">
        <f t="shared" si="62"/>
        <v>0</v>
      </c>
      <c r="EY110" s="139">
        <f t="shared" si="63"/>
        <v>0</v>
      </c>
      <c r="EZ110" s="139">
        <f t="shared" si="64"/>
        <v>0</v>
      </c>
      <c r="FA110" s="139">
        <f t="shared" si="65"/>
        <v>0</v>
      </c>
      <c r="FB110" s="139">
        <f t="shared" si="66"/>
        <v>0</v>
      </c>
      <c r="FC110" s="139">
        <f t="shared" si="67"/>
        <v>0</v>
      </c>
      <c r="FD110" s="139">
        <f t="shared" si="68"/>
        <v>0</v>
      </c>
      <c r="FE110" s="139">
        <f t="shared" si="69"/>
        <v>0</v>
      </c>
      <c r="FF110" s="139">
        <f t="shared" si="70"/>
        <v>0</v>
      </c>
      <c r="FG110" s="139">
        <f t="shared" si="71"/>
        <v>0</v>
      </c>
      <c r="FH110" s="139">
        <f t="shared" si="72"/>
        <v>0</v>
      </c>
      <c r="FI110" s="139">
        <f t="shared" si="73"/>
        <v>0</v>
      </c>
      <c r="FJ110" s="139">
        <f t="shared" si="74"/>
        <v>0</v>
      </c>
      <c r="FK110" s="139">
        <f t="shared" si="75"/>
        <v>0</v>
      </c>
      <c r="FL110" s="139">
        <f t="shared" si="76"/>
        <v>0</v>
      </c>
      <c r="FM110" s="139">
        <f t="shared" si="77"/>
        <v>0</v>
      </c>
      <c r="FN110" s="139">
        <f t="shared" si="78"/>
        <v>0</v>
      </c>
      <c r="FO110" s="139">
        <f t="shared" si="79"/>
        <v>0</v>
      </c>
      <c r="FP110" s="139">
        <f t="shared" si="80"/>
        <v>0</v>
      </c>
      <c r="FQ110" s="139">
        <f t="shared" si="81"/>
        <v>0</v>
      </c>
      <c r="FR110" s="139">
        <f t="shared" si="82"/>
        <v>0</v>
      </c>
      <c r="FS110" s="139">
        <f t="shared" si="83"/>
        <v>0</v>
      </c>
      <c r="FT110" s="139">
        <f t="shared" si="84"/>
        <v>0</v>
      </c>
      <c r="FU110" s="148">
        <f t="shared" si="85"/>
        <v>83.874607307004297</v>
      </c>
      <c r="FV110" s="149"/>
      <c r="FY110" s="211">
        <v>105</v>
      </c>
      <c r="FZ110">
        <v>11.078464086978146</v>
      </c>
      <c r="GA110">
        <v>41.270664688871079</v>
      </c>
      <c r="GB110">
        <v>71.76577238932768</v>
      </c>
      <c r="GC110">
        <v>42.553467831816988</v>
      </c>
      <c r="GD110">
        <v>25.109850857612741</v>
      </c>
      <c r="GE110">
        <v>58.097220517113144</v>
      </c>
      <c r="GF110">
        <v>77.948919856813646</v>
      </c>
      <c r="GG110">
        <v>50.791440474359661</v>
      </c>
      <c r="GH110">
        <v>24.997649405436128</v>
      </c>
      <c r="GI110">
        <v>55.864509944831632</v>
      </c>
      <c r="GJ110"/>
      <c r="GK110"/>
      <c r="GL110"/>
      <c r="GM110"/>
    </row>
    <row r="111" spans="1:195" s="7" customFormat="1">
      <c r="A111" s="1"/>
      <c r="B111" s="76">
        <f ca="1">IF(C111="", "", RAND())</f>
        <v>0.16667055913867657</v>
      </c>
      <c r="C111">
        <v>2</v>
      </c>
      <c r="D111">
        <v>39714</v>
      </c>
      <c r="E111">
        <v>0</v>
      </c>
      <c r="F111">
        <v>0</v>
      </c>
      <c r="G111">
        <v>93.75</v>
      </c>
      <c r="H111">
        <v>156.25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 s="2"/>
      <c r="AK111" s="80"/>
      <c r="AL111" s="74"/>
      <c r="AM111" s="43">
        <v>95</v>
      </c>
      <c r="AN111">
        <v>270.41169696554664</v>
      </c>
      <c r="AO111">
        <v>99.484436979983229</v>
      </c>
      <c r="AP111">
        <v>781.71064681280177</v>
      </c>
      <c r="AQ111">
        <v>548.50035857197577</v>
      </c>
      <c r="AR111">
        <v>90.701985425728424</v>
      </c>
      <c r="AS111">
        <v>757.25018505238108</v>
      </c>
      <c r="AT111">
        <v>52.797442690214297</v>
      </c>
      <c r="AU111">
        <v>161.44048945229255</v>
      </c>
      <c r="AV111"/>
      <c r="AW111"/>
      <c r="AX111" s="146"/>
      <c r="AY111" s="76">
        <f t="shared" ca="1" si="86"/>
        <v>0.5557435084062885</v>
      </c>
      <c r="AZ111">
        <v>4</v>
      </c>
      <c r="BA111" s="129">
        <f t="shared" si="127"/>
        <v>39714</v>
      </c>
      <c r="BB111">
        <v>0</v>
      </c>
      <c r="BC111">
        <v>0</v>
      </c>
      <c r="BD111">
        <v>5</v>
      </c>
      <c r="BE111">
        <v>8</v>
      </c>
      <c r="BF111">
        <v>1</v>
      </c>
      <c r="BG111">
        <v>0</v>
      </c>
      <c r="BH111">
        <v>0</v>
      </c>
      <c r="BI111">
        <v>0</v>
      </c>
      <c r="BJ111">
        <v>0</v>
      </c>
      <c r="BK111">
        <v>0</v>
      </c>
      <c r="BL111">
        <v>0</v>
      </c>
      <c r="BM111">
        <v>0</v>
      </c>
      <c r="BN111">
        <v>0</v>
      </c>
      <c r="BO111">
        <v>0</v>
      </c>
      <c r="BP111">
        <v>0</v>
      </c>
      <c r="BQ111">
        <v>0</v>
      </c>
      <c r="BR111">
        <v>0</v>
      </c>
      <c r="BS111">
        <v>0</v>
      </c>
      <c r="BT111">
        <v>0</v>
      </c>
      <c r="BU111">
        <v>0</v>
      </c>
      <c r="BV111">
        <v>0</v>
      </c>
      <c r="BW111">
        <v>0</v>
      </c>
      <c r="BX111">
        <v>0</v>
      </c>
      <c r="BY111">
        <v>0</v>
      </c>
      <c r="BZ111">
        <v>0</v>
      </c>
      <c r="CA111">
        <v>0</v>
      </c>
      <c r="CB111">
        <v>0</v>
      </c>
      <c r="CC111">
        <v>0</v>
      </c>
      <c r="CD111">
        <v>0</v>
      </c>
      <c r="CE111">
        <v>0</v>
      </c>
      <c r="CF111">
        <v>0</v>
      </c>
      <c r="CG111" s="147"/>
      <c r="CH111" s="176"/>
      <c r="CJ111" s="146"/>
      <c r="CK111" s="76">
        <f t="shared" ca="1" si="88"/>
        <v>0.78115248119287806</v>
      </c>
      <c r="CL111" s="179">
        <f t="shared" si="89"/>
        <v>4</v>
      </c>
      <c r="CM111" s="180">
        <f t="shared" si="90"/>
        <v>39714</v>
      </c>
      <c r="CN111">
        <v>0</v>
      </c>
      <c r="CO111">
        <v>0</v>
      </c>
      <c r="CP111">
        <v>0</v>
      </c>
      <c r="CQ111">
        <v>0</v>
      </c>
      <c r="CR111">
        <v>0</v>
      </c>
      <c r="CS111">
        <v>0</v>
      </c>
      <c r="CT111">
        <v>0</v>
      </c>
      <c r="CU111">
        <v>0</v>
      </c>
      <c r="CW111">
        <v>1</v>
      </c>
      <c r="CX111">
        <v>1</v>
      </c>
      <c r="CY111" s="158"/>
      <c r="CZ111" s="177">
        <f t="shared" si="91"/>
        <v>9.6000000000000002E-2</v>
      </c>
      <c r="DB111" s="146"/>
      <c r="DC111" s="76">
        <f t="shared" ca="1" si="49"/>
        <v>0.11868981406587631</v>
      </c>
      <c r="DD111">
        <f t="shared" si="92"/>
        <v>4</v>
      </c>
      <c r="DE111" s="129">
        <f t="shared" si="126"/>
        <v>39714</v>
      </c>
      <c r="DF111" s="161">
        <f t="shared" si="93"/>
        <v>0</v>
      </c>
      <c r="DG111" s="161">
        <f t="shared" si="94"/>
        <v>0</v>
      </c>
      <c r="DH111" s="161">
        <f t="shared" si="95"/>
        <v>52.083333333333336</v>
      </c>
      <c r="DI111" s="161">
        <f t="shared" si="96"/>
        <v>83.333333333333329</v>
      </c>
      <c r="DJ111" s="161">
        <f t="shared" si="97"/>
        <v>10.416666666666666</v>
      </c>
      <c r="DK111" s="161">
        <f t="shared" si="98"/>
        <v>0</v>
      </c>
      <c r="DL111" s="161">
        <f t="shared" si="99"/>
        <v>0</v>
      </c>
      <c r="DM111" s="161">
        <f t="shared" si="100"/>
        <v>0</v>
      </c>
      <c r="DN111" s="161">
        <f t="shared" si="101"/>
        <v>0</v>
      </c>
      <c r="DO111" s="161">
        <f t="shared" si="102"/>
        <v>0</v>
      </c>
      <c r="DP111" s="161">
        <f t="shared" si="103"/>
        <v>0</v>
      </c>
      <c r="DQ111" s="161">
        <f t="shared" si="104"/>
        <v>0</v>
      </c>
      <c r="DR111" s="161">
        <f t="shared" si="105"/>
        <v>0</v>
      </c>
      <c r="DS111" s="161">
        <f t="shared" si="106"/>
        <v>0</v>
      </c>
      <c r="DT111" s="161">
        <f t="shared" si="107"/>
        <v>0</v>
      </c>
      <c r="DU111" s="161">
        <f t="shared" si="108"/>
        <v>0</v>
      </c>
      <c r="DV111" s="161">
        <f t="shared" si="109"/>
        <v>0</v>
      </c>
      <c r="DW111" s="161">
        <f t="shared" si="110"/>
        <v>0</v>
      </c>
      <c r="DX111" s="161">
        <f t="shared" si="111"/>
        <v>0</v>
      </c>
      <c r="DY111" s="161">
        <f t="shared" si="112"/>
        <v>0</v>
      </c>
      <c r="DZ111" s="161">
        <f t="shared" si="113"/>
        <v>0</v>
      </c>
      <c r="EA111" s="161">
        <f t="shared" si="114"/>
        <v>0</v>
      </c>
      <c r="EB111" s="161">
        <f t="shared" si="115"/>
        <v>0</v>
      </c>
      <c r="EC111" s="161">
        <f t="shared" si="116"/>
        <v>0</v>
      </c>
      <c r="ED111" s="161">
        <f t="shared" si="117"/>
        <v>0</v>
      </c>
      <c r="EE111" s="161">
        <f t="shared" si="118"/>
        <v>0</v>
      </c>
      <c r="EF111" s="161">
        <f t="shared" si="119"/>
        <v>0</v>
      </c>
      <c r="EG111" s="161">
        <f t="shared" si="120"/>
        <v>0</v>
      </c>
      <c r="EH111" s="161">
        <f t="shared" si="121"/>
        <v>0</v>
      </c>
      <c r="EI111" s="161">
        <f t="shared" si="122"/>
        <v>0</v>
      </c>
      <c r="EJ111" s="161">
        <f t="shared" si="123"/>
        <v>0</v>
      </c>
      <c r="EK111" s="147">
        <f t="shared" si="53"/>
        <v>145.83333333333331</v>
      </c>
      <c r="EL111" s="149"/>
      <c r="EN111" s="146"/>
      <c r="EO111" s="146"/>
      <c r="EP111" s="139">
        <f t="shared" si="54"/>
        <v>0</v>
      </c>
      <c r="EQ111" s="139">
        <f t="shared" si="55"/>
        <v>0</v>
      </c>
      <c r="ER111" s="139">
        <f t="shared" si="56"/>
        <v>3.8440726109552958</v>
      </c>
      <c r="ES111" s="139">
        <f t="shared" si="57"/>
        <v>19.957424279433194</v>
      </c>
      <c r="ET111" s="139">
        <f t="shared" si="58"/>
        <v>5.7505800793582091</v>
      </c>
      <c r="EU111" s="139">
        <f t="shared" si="59"/>
        <v>0</v>
      </c>
      <c r="EV111" s="139">
        <f t="shared" si="60"/>
        <v>0</v>
      </c>
      <c r="EW111" s="139">
        <f t="shared" si="61"/>
        <v>0</v>
      </c>
      <c r="EX111" s="139">
        <f t="shared" si="62"/>
        <v>0</v>
      </c>
      <c r="EY111" s="139">
        <f t="shared" si="63"/>
        <v>0</v>
      </c>
      <c r="EZ111" s="139">
        <f t="shared" si="64"/>
        <v>0</v>
      </c>
      <c r="FA111" s="139">
        <f t="shared" si="65"/>
        <v>0</v>
      </c>
      <c r="FB111" s="139">
        <f t="shared" si="66"/>
        <v>0</v>
      </c>
      <c r="FC111" s="139">
        <f t="shared" si="67"/>
        <v>0</v>
      </c>
      <c r="FD111" s="139">
        <f t="shared" si="68"/>
        <v>0</v>
      </c>
      <c r="FE111" s="139">
        <f t="shared" si="69"/>
        <v>0</v>
      </c>
      <c r="FF111" s="139">
        <f t="shared" si="70"/>
        <v>0</v>
      </c>
      <c r="FG111" s="139">
        <f t="shared" si="71"/>
        <v>0</v>
      </c>
      <c r="FH111" s="139">
        <f t="shared" si="72"/>
        <v>0</v>
      </c>
      <c r="FI111" s="139">
        <f t="shared" si="73"/>
        <v>0</v>
      </c>
      <c r="FJ111" s="139">
        <f t="shared" si="74"/>
        <v>0</v>
      </c>
      <c r="FK111" s="139">
        <f t="shared" si="75"/>
        <v>0</v>
      </c>
      <c r="FL111" s="139">
        <f t="shared" si="76"/>
        <v>0</v>
      </c>
      <c r="FM111" s="139">
        <f t="shared" si="77"/>
        <v>0</v>
      </c>
      <c r="FN111" s="139">
        <f t="shared" si="78"/>
        <v>0</v>
      </c>
      <c r="FO111" s="139">
        <f t="shared" si="79"/>
        <v>0</v>
      </c>
      <c r="FP111" s="139">
        <f t="shared" si="80"/>
        <v>0</v>
      </c>
      <c r="FQ111" s="139">
        <f t="shared" si="81"/>
        <v>0</v>
      </c>
      <c r="FR111" s="139">
        <f t="shared" si="82"/>
        <v>0</v>
      </c>
      <c r="FS111" s="139">
        <f t="shared" si="83"/>
        <v>0</v>
      </c>
      <c r="FT111" s="139">
        <f t="shared" si="84"/>
        <v>0</v>
      </c>
      <c r="FU111" s="148">
        <f t="shared" si="85"/>
        <v>29.5520769697467</v>
      </c>
      <c r="FV111" s="149"/>
      <c r="FY111" s="211">
        <v>106</v>
      </c>
      <c r="FZ111">
        <v>15.568123304033753</v>
      </c>
      <c r="GA111">
        <v>42.992036136835061</v>
      </c>
      <c r="GB111">
        <v>78.432690940541335</v>
      </c>
      <c r="GC111">
        <v>47.290428731558904</v>
      </c>
      <c r="GD111">
        <v>15.812784384567248</v>
      </c>
      <c r="GE111">
        <v>33.82780647322668</v>
      </c>
      <c r="GF111">
        <v>43.880918538983138</v>
      </c>
      <c r="GG111">
        <v>34.544707741502592</v>
      </c>
      <c r="GH111">
        <v>33.663642388034972</v>
      </c>
      <c r="GI111">
        <v>46.189713144918386</v>
      </c>
      <c r="GJ111"/>
      <c r="GK111"/>
      <c r="GL111"/>
      <c r="GM111"/>
    </row>
    <row r="112" spans="1:195" s="7" customFormat="1">
      <c r="A112" s="1"/>
      <c r="B112" s="76">
        <f ca="1">IF(C112="", "", RAND())</f>
        <v>0.63915529167533092</v>
      </c>
      <c r="C112">
        <v>3</v>
      </c>
      <c r="D112">
        <v>39714</v>
      </c>
      <c r="E112">
        <v>0</v>
      </c>
      <c r="F112">
        <v>0</v>
      </c>
      <c r="G112">
        <v>236.97916666666666</v>
      </c>
      <c r="H112">
        <v>229.16666666666666</v>
      </c>
      <c r="I112">
        <v>20.833333333333332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 s="2"/>
      <c r="AK112" s="80"/>
      <c r="AL112" s="74"/>
      <c r="AM112" s="43">
        <v>96</v>
      </c>
      <c r="AN112">
        <v>266.14450411200482</v>
      </c>
      <c r="AO112">
        <v>86.656581754742703</v>
      </c>
      <c r="AP112">
        <v>610.40334709846707</v>
      </c>
      <c r="AQ112">
        <v>471.68519843912355</v>
      </c>
      <c r="AR112">
        <v>77.571207442066381</v>
      </c>
      <c r="AS112">
        <v>672.14348417486292</v>
      </c>
      <c r="AT112" t="e">
        <v>#DIV/0!</v>
      </c>
      <c r="AU112" t="e">
        <v>#DIV/0!</v>
      </c>
      <c r="AV112"/>
      <c r="AW112"/>
      <c r="AX112" s="146"/>
      <c r="AY112" s="76">
        <f t="shared" ca="1" si="86"/>
        <v>0.11607996199293602</v>
      </c>
      <c r="AZ112">
        <v>5</v>
      </c>
      <c r="BA112" s="129">
        <f t="shared" si="127"/>
        <v>39714</v>
      </c>
      <c r="BB112">
        <v>0</v>
      </c>
      <c r="BC112">
        <v>0</v>
      </c>
      <c r="BD112">
        <v>0</v>
      </c>
      <c r="BE112">
        <v>7</v>
      </c>
      <c r="BF112">
        <v>0</v>
      </c>
      <c r="BG112">
        <v>0</v>
      </c>
      <c r="BH112">
        <v>0</v>
      </c>
      <c r="BI112">
        <v>0</v>
      </c>
      <c r="BJ112">
        <v>0</v>
      </c>
      <c r="BK112">
        <v>0</v>
      </c>
      <c r="BL112">
        <v>0</v>
      </c>
      <c r="BM112">
        <v>0</v>
      </c>
      <c r="BN112">
        <v>0</v>
      </c>
      <c r="BO112">
        <v>0</v>
      </c>
      <c r="BP112">
        <v>0</v>
      </c>
      <c r="BQ112">
        <v>0</v>
      </c>
      <c r="BR112">
        <v>0</v>
      </c>
      <c r="BS112">
        <v>0</v>
      </c>
      <c r="BT112">
        <v>0</v>
      </c>
      <c r="BU112">
        <v>0</v>
      </c>
      <c r="BV112">
        <v>0</v>
      </c>
      <c r="BW112">
        <v>0</v>
      </c>
      <c r="BX112">
        <v>0</v>
      </c>
      <c r="BY112">
        <v>0</v>
      </c>
      <c r="BZ112">
        <v>0</v>
      </c>
      <c r="CA112">
        <v>0</v>
      </c>
      <c r="CB112">
        <v>0</v>
      </c>
      <c r="CC112">
        <v>0</v>
      </c>
      <c r="CD112">
        <v>0</v>
      </c>
      <c r="CE112">
        <v>0</v>
      </c>
      <c r="CF112">
        <v>0</v>
      </c>
      <c r="CG112" s="147"/>
      <c r="CH112" s="176"/>
      <c r="CJ112" s="146"/>
      <c r="CK112" s="76">
        <f t="shared" ca="1" si="88"/>
        <v>0.72942645350088764</v>
      </c>
      <c r="CL112" s="179">
        <f t="shared" si="89"/>
        <v>5</v>
      </c>
      <c r="CM112" s="180">
        <f t="shared" si="90"/>
        <v>39714</v>
      </c>
      <c r="CN112">
        <v>0</v>
      </c>
      <c r="CO112">
        <v>0</v>
      </c>
      <c r="CP112">
        <v>0</v>
      </c>
      <c r="CQ112">
        <v>0</v>
      </c>
      <c r="CR112">
        <v>0</v>
      </c>
      <c r="CS112">
        <v>0</v>
      </c>
      <c r="CT112">
        <v>0</v>
      </c>
      <c r="CU112">
        <v>0</v>
      </c>
      <c r="CW112">
        <v>1</v>
      </c>
      <c r="CX112">
        <v>1</v>
      </c>
      <c r="CY112" s="158"/>
      <c r="CZ112" s="177">
        <f t="shared" si="91"/>
        <v>9.6000000000000002E-2</v>
      </c>
      <c r="DB112" s="146"/>
      <c r="DC112" s="76">
        <f t="shared" ca="1" si="49"/>
        <v>0.73124088848381774</v>
      </c>
      <c r="DD112">
        <f t="shared" si="92"/>
        <v>5</v>
      </c>
      <c r="DE112" s="129">
        <f t="shared" si="126"/>
        <v>39714</v>
      </c>
      <c r="DF112" s="161">
        <f t="shared" si="93"/>
        <v>0</v>
      </c>
      <c r="DG112" s="161">
        <f t="shared" si="94"/>
        <v>0</v>
      </c>
      <c r="DH112" s="161">
        <f t="shared" si="95"/>
        <v>0</v>
      </c>
      <c r="DI112" s="161">
        <f t="shared" si="96"/>
        <v>72.916666666666671</v>
      </c>
      <c r="DJ112" s="161">
        <f t="shared" si="97"/>
        <v>0</v>
      </c>
      <c r="DK112" s="161">
        <f t="shared" si="98"/>
        <v>0</v>
      </c>
      <c r="DL112" s="161">
        <f t="shared" si="99"/>
        <v>0</v>
      </c>
      <c r="DM112" s="161">
        <f t="shared" si="100"/>
        <v>0</v>
      </c>
      <c r="DN112" s="161">
        <f t="shared" si="101"/>
        <v>0</v>
      </c>
      <c r="DO112" s="161">
        <f t="shared" si="102"/>
        <v>0</v>
      </c>
      <c r="DP112" s="161">
        <f t="shared" si="103"/>
        <v>0</v>
      </c>
      <c r="DQ112" s="161">
        <f t="shared" si="104"/>
        <v>0</v>
      </c>
      <c r="DR112" s="161">
        <f t="shared" si="105"/>
        <v>0</v>
      </c>
      <c r="DS112" s="161">
        <f t="shared" si="106"/>
        <v>0</v>
      </c>
      <c r="DT112" s="161">
        <f t="shared" si="107"/>
        <v>0</v>
      </c>
      <c r="DU112" s="161">
        <f t="shared" si="108"/>
        <v>0</v>
      </c>
      <c r="DV112" s="161">
        <f t="shared" si="109"/>
        <v>0</v>
      </c>
      <c r="DW112" s="161">
        <f t="shared" si="110"/>
        <v>0</v>
      </c>
      <c r="DX112" s="161">
        <f t="shared" si="111"/>
        <v>0</v>
      </c>
      <c r="DY112" s="161">
        <f t="shared" si="112"/>
        <v>0</v>
      </c>
      <c r="DZ112" s="161">
        <f t="shared" si="113"/>
        <v>0</v>
      </c>
      <c r="EA112" s="161">
        <f t="shared" si="114"/>
        <v>0</v>
      </c>
      <c r="EB112" s="161">
        <f t="shared" si="115"/>
        <v>0</v>
      </c>
      <c r="EC112" s="161">
        <f t="shared" si="116"/>
        <v>0</v>
      </c>
      <c r="ED112" s="161">
        <f t="shared" si="117"/>
        <v>0</v>
      </c>
      <c r="EE112" s="161">
        <f t="shared" si="118"/>
        <v>0</v>
      </c>
      <c r="EF112" s="161">
        <f t="shared" si="119"/>
        <v>0</v>
      </c>
      <c r="EG112" s="161">
        <f t="shared" si="120"/>
        <v>0</v>
      </c>
      <c r="EH112" s="161">
        <f t="shared" si="121"/>
        <v>0</v>
      </c>
      <c r="EI112" s="161">
        <f t="shared" si="122"/>
        <v>0</v>
      </c>
      <c r="EJ112" s="161">
        <f t="shared" si="123"/>
        <v>0</v>
      </c>
      <c r="EK112" s="147">
        <f t="shared" si="53"/>
        <v>72.916666666666671</v>
      </c>
      <c r="EL112" s="149"/>
      <c r="EN112" s="146"/>
      <c r="EO112" s="146"/>
      <c r="EP112" s="139">
        <f t="shared" si="54"/>
        <v>0</v>
      </c>
      <c r="EQ112" s="139">
        <f t="shared" si="55"/>
        <v>0</v>
      </c>
      <c r="ER112" s="139">
        <f t="shared" si="56"/>
        <v>0</v>
      </c>
      <c r="ES112" s="139">
        <f t="shared" si="57"/>
        <v>17.462746244504046</v>
      </c>
      <c r="ET112" s="139">
        <f t="shared" si="58"/>
        <v>0</v>
      </c>
      <c r="EU112" s="139">
        <f t="shared" si="59"/>
        <v>0</v>
      </c>
      <c r="EV112" s="139">
        <f t="shared" si="60"/>
        <v>0</v>
      </c>
      <c r="EW112" s="139">
        <f t="shared" si="61"/>
        <v>0</v>
      </c>
      <c r="EX112" s="139">
        <f t="shared" si="62"/>
        <v>0</v>
      </c>
      <c r="EY112" s="139">
        <f t="shared" si="63"/>
        <v>0</v>
      </c>
      <c r="EZ112" s="139">
        <f t="shared" si="64"/>
        <v>0</v>
      </c>
      <c r="FA112" s="139">
        <f t="shared" si="65"/>
        <v>0</v>
      </c>
      <c r="FB112" s="139">
        <f t="shared" si="66"/>
        <v>0</v>
      </c>
      <c r="FC112" s="139">
        <f t="shared" si="67"/>
        <v>0</v>
      </c>
      <c r="FD112" s="139">
        <f t="shared" si="68"/>
        <v>0</v>
      </c>
      <c r="FE112" s="139">
        <f t="shared" si="69"/>
        <v>0</v>
      </c>
      <c r="FF112" s="139">
        <f t="shared" si="70"/>
        <v>0</v>
      </c>
      <c r="FG112" s="139">
        <f t="shared" si="71"/>
        <v>0</v>
      </c>
      <c r="FH112" s="139">
        <f t="shared" si="72"/>
        <v>0</v>
      </c>
      <c r="FI112" s="139">
        <f t="shared" si="73"/>
        <v>0</v>
      </c>
      <c r="FJ112" s="139">
        <f t="shared" si="74"/>
        <v>0</v>
      </c>
      <c r="FK112" s="139">
        <f t="shared" si="75"/>
        <v>0</v>
      </c>
      <c r="FL112" s="139">
        <f t="shared" si="76"/>
        <v>0</v>
      </c>
      <c r="FM112" s="139">
        <f t="shared" si="77"/>
        <v>0</v>
      </c>
      <c r="FN112" s="139">
        <f t="shared" si="78"/>
        <v>0</v>
      </c>
      <c r="FO112" s="139">
        <f t="shared" si="79"/>
        <v>0</v>
      </c>
      <c r="FP112" s="139">
        <f t="shared" si="80"/>
        <v>0</v>
      </c>
      <c r="FQ112" s="139">
        <f t="shared" si="81"/>
        <v>0</v>
      </c>
      <c r="FR112" s="139">
        <f t="shared" si="82"/>
        <v>0</v>
      </c>
      <c r="FS112" s="139">
        <f t="shared" si="83"/>
        <v>0</v>
      </c>
      <c r="FT112" s="139">
        <f t="shared" si="84"/>
        <v>0</v>
      </c>
      <c r="FU112" s="148">
        <f t="shared" si="85"/>
        <v>17.462746244504046</v>
      </c>
      <c r="FV112" s="149"/>
      <c r="FY112" s="211">
        <v>107</v>
      </c>
      <c r="FZ112">
        <v>19.496691496310806</v>
      </c>
      <c r="GA112">
        <v>67.40244212888237</v>
      </c>
      <c r="GB112">
        <v>117.82674014744784</v>
      </c>
      <c r="GC112">
        <v>62.546287701658215</v>
      </c>
      <c r="GD112">
        <v>19.677858425710472</v>
      </c>
      <c r="GE112">
        <v>53.236756869482228</v>
      </c>
      <c r="GF112">
        <v>87.292638843075579</v>
      </c>
      <c r="GG112">
        <v>51.199140263436824</v>
      </c>
      <c r="GH112">
        <v>24.752519050953527</v>
      </c>
      <c r="GI112">
        <v>66.740465573952903</v>
      </c>
      <c r="GJ112"/>
      <c r="GK112"/>
      <c r="GL112"/>
      <c r="GM112"/>
    </row>
    <row r="113" spans="1:195" s="7" customFormat="1">
      <c r="A113" s="1"/>
      <c r="B113" s="76">
        <f ca="1">IF(C113="", "", RAND())</f>
        <v>0.77690182756945192</v>
      </c>
      <c r="C113">
        <v>8</v>
      </c>
      <c r="D113">
        <v>39714</v>
      </c>
      <c r="E113">
        <v>0</v>
      </c>
      <c r="F113">
        <v>0</v>
      </c>
      <c r="G113">
        <v>0</v>
      </c>
      <c r="H113">
        <v>83.333333333333329</v>
      </c>
      <c r="I113">
        <v>104.16666666666667</v>
      </c>
      <c r="J113">
        <v>0</v>
      </c>
      <c r="K113">
        <v>10.416666666666666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 s="2"/>
      <c r="AK113" s="80"/>
      <c r="AL113" s="74"/>
      <c r="AM113" s="43">
        <v>97</v>
      </c>
      <c r="AN113">
        <v>167.53428859864226</v>
      </c>
      <c r="AO113">
        <v>59.84124206640216</v>
      </c>
      <c r="AP113">
        <v>378.67016613120751</v>
      </c>
      <c r="AQ113">
        <v>302.91244627205481</v>
      </c>
      <c r="AR113">
        <v>55.116078669519908</v>
      </c>
      <c r="AS113">
        <v>443.63021317357055</v>
      </c>
      <c r="AT113">
        <v>32.057827005507868</v>
      </c>
      <c r="AU113">
        <v>81.585735655843052</v>
      </c>
      <c r="AV113"/>
      <c r="AW113"/>
      <c r="AX113" s="146"/>
      <c r="AY113" s="76">
        <f t="shared" ca="1" si="86"/>
        <v>0.25520767982921755</v>
      </c>
      <c r="AZ113">
        <v>6</v>
      </c>
      <c r="BA113" s="129">
        <f t="shared" si="127"/>
        <v>39714</v>
      </c>
      <c r="BB113">
        <v>0</v>
      </c>
      <c r="BC113">
        <v>0</v>
      </c>
      <c r="BD113">
        <v>0</v>
      </c>
      <c r="BE113">
        <v>11</v>
      </c>
      <c r="BF113">
        <v>3</v>
      </c>
      <c r="BG113">
        <v>0</v>
      </c>
      <c r="BH113">
        <v>0</v>
      </c>
      <c r="BI113">
        <v>0</v>
      </c>
      <c r="BJ113">
        <v>0</v>
      </c>
      <c r="BK113">
        <v>0</v>
      </c>
      <c r="BL113">
        <v>0</v>
      </c>
      <c r="BM113">
        <v>0</v>
      </c>
      <c r="BN113">
        <v>0</v>
      </c>
      <c r="BO113">
        <v>0</v>
      </c>
      <c r="BP113">
        <v>0</v>
      </c>
      <c r="BQ113">
        <v>0</v>
      </c>
      <c r="BR113">
        <v>0</v>
      </c>
      <c r="BS113">
        <v>0</v>
      </c>
      <c r="BT113">
        <v>0</v>
      </c>
      <c r="BU113">
        <v>0</v>
      </c>
      <c r="BV113">
        <v>0</v>
      </c>
      <c r="BW113">
        <v>0</v>
      </c>
      <c r="BX113">
        <v>0</v>
      </c>
      <c r="BY113">
        <v>0</v>
      </c>
      <c r="BZ113">
        <v>0</v>
      </c>
      <c r="CA113">
        <v>0</v>
      </c>
      <c r="CB113">
        <v>0</v>
      </c>
      <c r="CC113">
        <v>0</v>
      </c>
      <c r="CD113">
        <v>0</v>
      </c>
      <c r="CE113">
        <v>0</v>
      </c>
      <c r="CF113">
        <v>0</v>
      </c>
      <c r="CG113" s="147"/>
      <c r="CH113" s="176"/>
      <c r="CJ113" s="146"/>
      <c r="CK113" s="76">
        <f t="shared" ca="1" si="88"/>
        <v>0.89012624100849624</v>
      </c>
      <c r="CL113" s="179">
        <f t="shared" si="89"/>
        <v>6</v>
      </c>
      <c r="CM113" s="180">
        <f t="shared" si="90"/>
        <v>39714</v>
      </c>
      <c r="CN113">
        <v>0</v>
      </c>
      <c r="CO113">
        <v>0</v>
      </c>
      <c r="CP113">
        <v>0</v>
      </c>
      <c r="CQ113">
        <v>0</v>
      </c>
      <c r="CR113">
        <v>0</v>
      </c>
      <c r="CS113">
        <v>0</v>
      </c>
      <c r="CT113">
        <v>0</v>
      </c>
      <c r="CU113">
        <v>0</v>
      </c>
      <c r="CV113" s="160"/>
      <c r="CW113">
        <v>1</v>
      </c>
      <c r="CX113">
        <v>1</v>
      </c>
      <c r="CY113" s="164"/>
      <c r="CZ113" s="177">
        <f t="shared" si="91"/>
        <v>9.6000000000000002E-2</v>
      </c>
      <c r="DB113" s="146"/>
      <c r="DC113" s="76">
        <f t="shared" ca="1" si="49"/>
        <v>0.36329108672288424</v>
      </c>
      <c r="DD113">
        <f t="shared" si="92"/>
        <v>6</v>
      </c>
      <c r="DE113" s="129">
        <f t="shared" si="126"/>
        <v>39714</v>
      </c>
      <c r="DF113" s="161">
        <f t="shared" si="93"/>
        <v>0</v>
      </c>
      <c r="DG113" s="161">
        <f t="shared" si="94"/>
        <v>0</v>
      </c>
      <c r="DH113" s="161">
        <f t="shared" si="95"/>
        <v>0</v>
      </c>
      <c r="DI113" s="161">
        <f t="shared" si="96"/>
        <v>114.58333333333333</v>
      </c>
      <c r="DJ113" s="161">
        <f t="shared" si="97"/>
        <v>31.25</v>
      </c>
      <c r="DK113" s="161">
        <f t="shared" si="98"/>
        <v>0</v>
      </c>
      <c r="DL113" s="161">
        <f t="shared" si="99"/>
        <v>0</v>
      </c>
      <c r="DM113" s="161">
        <f t="shared" si="100"/>
        <v>0</v>
      </c>
      <c r="DN113" s="161">
        <f t="shared" si="101"/>
        <v>0</v>
      </c>
      <c r="DO113" s="161">
        <f t="shared" si="102"/>
        <v>0</v>
      </c>
      <c r="DP113" s="161">
        <f t="shared" si="103"/>
        <v>0</v>
      </c>
      <c r="DQ113" s="161">
        <f t="shared" si="104"/>
        <v>0</v>
      </c>
      <c r="DR113" s="161">
        <f t="shared" si="105"/>
        <v>0</v>
      </c>
      <c r="DS113" s="161">
        <f t="shared" si="106"/>
        <v>0</v>
      </c>
      <c r="DT113" s="161">
        <f t="shared" si="107"/>
        <v>0</v>
      </c>
      <c r="DU113" s="161">
        <f t="shared" si="108"/>
        <v>0</v>
      </c>
      <c r="DV113" s="161">
        <f t="shared" si="109"/>
        <v>0</v>
      </c>
      <c r="DW113" s="161">
        <f t="shared" si="110"/>
        <v>0</v>
      </c>
      <c r="DX113" s="161">
        <f t="shared" si="111"/>
        <v>0</v>
      </c>
      <c r="DY113" s="161">
        <f t="shared" si="112"/>
        <v>0</v>
      </c>
      <c r="DZ113" s="161">
        <f t="shared" si="113"/>
        <v>0</v>
      </c>
      <c r="EA113" s="161">
        <f t="shared" si="114"/>
        <v>0</v>
      </c>
      <c r="EB113" s="161">
        <f t="shared" si="115"/>
        <v>0</v>
      </c>
      <c r="EC113" s="161">
        <f t="shared" si="116"/>
        <v>0</v>
      </c>
      <c r="ED113" s="161">
        <f t="shared" si="117"/>
        <v>0</v>
      </c>
      <c r="EE113" s="161">
        <f t="shared" si="118"/>
        <v>0</v>
      </c>
      <c r="EF113" s="161">
        <f t="shared" si="119"/>
        <v>0</v>
      </c>
      <c r="EG113" s="161">
        <f t="shared" si="120"/>
        <v>0</v>
      </c>
      <c r="EH113" s="161">
        <f t="shared" si="121"/>
        <v>0</v>
      </c>
      <c r="EI113" s="161">
        <f t="shared" si="122"/>
        <v>0</v>
      </c>
      <c r="EJ113" s="161">
        <f t="shared" si="123"/>
        <v>0</v>
      </c>
      <c r="EK113" s="147">
        <f t="shared" si="53"/>
        <v>145.83333333333331</v>
      </c>
      <c r="EL113" s="149"/>
      <c r="EN113" s="146"/>
      <c r="EO113" s="146"/>
      <c r="EP113" s="139">
        <f t="shared" si="54"/>
        <v>0</v>
      </c>
      <c r="EQ113" s="139">
        <f t="shared" si="55"/>
        <v>0</v>
      </c>
      <c r="ER113" s="139">
        <f t="shared" si="56"/>
        <v>0</v>
      </c>
      <c r="ES113" s="139">
        <f t="shared" si="57"/>
        <v>27.441458384220642</v>
      </c>
      <c r="ET113" s="139">
        <f t="shared" si="58"/>
        <v>17.251740238074628</v>
      </c>
      <c r="EU113" s="139">
        <f t="shared" si="59"/>
        <v>0</v>
      </c>
      <c r="EV113" s="139">
        <f t="shared" si="60"/>
        <v>0</v>
      </c>
      <c r="EW113" s="139">
        <f t="shared" si="61"/>
        <v>0</v>
      </c>
      <c r="EX113" s="139">
        <f t="shared" si="62"/>
        <v>0</v>
      </c>
      <c r="EY113" s="139">
        <f t="shared" si="63"/>
        <v>0</v>
      </c>
      <c r="EZ113" s="139">
        <f t="shared" si="64"/>
        <v>0</v>
      </c>
      <c r="FA113" s="139">
        <f t="shared" si="65"/>
        <v>0</v>
      </c>
      <c r="FB113" s="139">
        <f t="shared" si="66"/>
        <v>0</v>
      </c>
      <c r="FC113" s="139">
        <f t="shared" si="67"/>
        <v>0</v>
      </c>
      <c r="FD113" s="139">
        <f t="shared" si="68"/>
        <v>0</v>
      </c>
      <c r="FE113" s="139">
        <f t="shared" si="69"/>
        <v>0</v>
      </c>
      <c r="FF113" s="139">
        <f t="shared" si="70"/>
        <v>0</v>
      </c>
      <c r="FG113" s="139">
        <f t="shared" si="71"/>
        <v>0</v>
      </c>
      <c r="FH113" s="139">
        <f t="shared" si="72"/>
        <v>0</v>
      </c>
      <c r="FI113" s="139">
        <f t="shared" si="73"/>
        <v>0</v>
      </c>
      <c r="FJ113" s="139">
        <f t="shared" si="74"/>
        <v>0</v>
      </c>
      <c r="FK113" s="139">
        <f t="shared" si="75"/>
        <v>0</v>
      </c>
      <c r="FL113" s="139">
        <f t="shared" si="76"/>
        <v>0</v>
      </c>
      <c r="FM113" s="139">
        <f t="shared" si="77"/>
        <v>0</v>
      </c>
      <c r="FN113" s="139">
        <f t="shared" si="78"/>
        <v>0</v>
      </c>
      <c r="FO113" s="139">
        <f t="shared" si="79"/>
        <v>0</v>
      </c>
      <c r="FP113" s="139">
        <f t="shared" si="80"/>
        <v>0</v>
      </c>
      <c r="FQ113" s="139">
        <f t="shared" si="81"/>
        <v>0</v>
      </c>
      <c r="FR113" s="139">
        <f t="shared" si="82"/>
        <v>0</v>
      </c>
      <c r="FS113" s="139">
        <f t="shared" si="83"/>
        <v>0</v>
      </c>
      <c r="FT113" s="139">
        <f t="shared" si="84"/>
        <v>0</v>
      </c>
      <c r="FU113" s="148">
        <f t="shared" si="85"/>
        <v>44.69319862229527</v>
      </c>
      <c r="FV113" s="149"/>
      <c r="FY113" s="211">
        <v>108</v>
      </c>
      <c r="FZ113">
        <v>30.33315531672503</v>
      </c>
      <c r="GA113">
        <v>61.848466523389909</v>
      </c>
      <c r="GB113">
        <v>55.866955085913403</v>
      </c>
      <c r="GC113">
        <v>35.194319553890139</v>
      </c>
      <c r="GD113">
        <v>15.131558560019474</v>
      </c>
      <c r="GE113">
        <v>33.456329073673032</v>
      </c>
      <c r="GF113">
        <v>78.331336249224577</v>
      </c>
      <c r="GG113">
        <v>62.159732859983549</v>
      </c>
      <c r="GH113">
        <v>33.793840017693682</v>
      </c>
      <c r="GI113">
        <v>49.933208629806508</v>
      </c>
      <c r="GJ113"/>
      <c r="GK113"/>
      <c r="GL113"/>
      <c r="GM113"/>
    </row>
    <row r="114" spans="1:195" s="7" customFormat="1">
      <c r="A114" s="1"/>
      <c r="B114" s="76">
        <f ca="1">IF(C114="", "", RAND())</f>
        <v>0.14428726197636266</v>
      </c>
      <c r="C114">
        <v>6</v>
      </c>
      <c r="D114">
        <v>39714</v>
      </c>
      <c r="E114">
        <v>0</v>
      </c>
      <c r="F114">
        <v>0</v>
      </c>
      <c r="G114">
        <v>0</v>
      </c>
      <c r="H114">
        <v>114.58333333333333</v>
      </c>
      <c r="I114">
        <v>31.25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 s="2"/>
      <c r="AK114" s="80"/>
      <c r="AL114" s="74"/>
      <c r="AM114" s="43">
        <v>98</v>
      </c>
      <c r="AN114">
        <v>249.13606267790601</v>
      </c>
      <c r="AO114">
        <v>77.670115971382529</v>
      </c>
      <c r="AP114">
        <v>535.87615493678163</v>
      </c>
      <c r="AQ114">
        <v>406.15512378632883</v>
      </c>
      <c r="AR114">
        <v>70.377725556706267</v>
      </c>
      <c r="AS114">
        <v>589.96405908891734</v>
      </c>
      <c r="AT114">
        <v>37.094763729790131</v>
      </c>
      <c r="AU114">
        <v>23.777121849723034</v>
      </c>
      <c r="AV114"/>
      <c r="AW114"/>
      <c r="AX114" s="146"/>
      <c r="AY114" s="76">
        <f t="shared" ca="1" si="86"/>
        <v>0.72936139816645884</v>
      </c>
      <c r="AZ114">
        <v>7</v>
      </c>
      <c r="BA114" s="129">
        <f t="shared" si="127"/>
        <v>39714</v>
      </c>
      <c r="BB114">
        <v>0</v>
      </c>
      <c r="BC114">
        <v>0</v>
      </c>
      <c r="BD114">
        <v>0</v>
      </c>
      <c r="BE114">
        <v>0</v>
      </c>
      <c r="BF114">
        <v>0</v>
      </c>
      <c r="BG114">
        <v>0</v>
      </c>
      <c r="BH114">
        <v>0</v>
      </c>
      <c r="BI114">
        <v>0</v>
      </c>
      <c r="BJ114">
        <v>0</v>
      </c>
      <c r="BK114">
        <v>0</v>
      </c>
      <c r="BL114">
        <v>0</v>
      </c>
      <c r="BM114">
        <v>0</v>
      </c>
      <c r="BN114">
        <v>0</v>
      </c>
      <c r="BO114">
        <v>0</v>
      </c>
      <c r="BP114">
        <v>0</v>
      </c>
      <c r="BQ114">
        <v>0</v>
      </c>
      <c r="BR114">
        <v>0</v>
      </c>
      <c r="BS114">
        <v>0</v>
      </c>
      <c r="BT114">
        <v>0</v>
      </c>
      <c r="BU114">
        <v>0</v>
      </c>
      <c r="BV114">
        <v>0</v>
      </c>
      <c r="BW114">
        <v>0</v>
      </c>
      <c r="BX114">
        <v>0</v>
      </c>
      <c r="BY114">
        <v>0</v>
      </c>
      <c r="BZ114">
        <v>0</v>
      </c>
      <c r="CA114">
        <v>0</v>
      </c>
      <c r="CB114">
        <v>0</v>
      </c>
      <c r="CC114">
        <v>0</v>
      </c>
      <c r="CD114">
        <v>0</v>
      </c>
      <c r="CE114">
        <v>0</v>
      </c>
      <c r="CF114">
        <v>0</v>
      </c>
      <c r="CG114" s="147"/>
      <c r="CH114" s="176"/>
      <c r="CJ114" s="146"/>
      <c r="CK114" s="76">
        <f t="shared" ca="1" si="88"/>
        <v>0.62769470402453509</v>
      </c>
      <c r="CL114" s="179">
        <f t="shared" si="89"/>
        <v>7</v>
      </c>
      <c r="CM114" s="180">
        <f t="shared" si="90"/>
        <v>39714</v>
      </c>
      <c r="CN114">
        <v>0</v>
      </c>
      <c r="CO114">
        <v>0</v>
      </c>
      <c r="CP114">
        <v>0</v>
      </c>
      <c r="CQ114">
        <v>0</v>
      </c>
      <c r="CR114">
        <v>0</v>
      </c>
      <c r="CS114">
        <v>0</v>
      </c>
      <c r="CT114">
        <v>0</v>
      </c>
      <c r="CU114">
        <v>0</v>
      </c>
      <c r="CV114" s="160"/>
      <c r="CW114">
        <v>1</v>
      </c>
      <c r="CX114">
        <v>1</v>
      </c>
      <c r="CY114" s="164"/>
      <c r="CZ114" s="177">
        <f t="shared" si="91"/>
        <v>9.6000000000000002E-2</v>
      </c>
      <c r="DB114" s="146"/>
      <c r="DC114" s="76">
        <f t="shared" ca="1" si="49"/>
        <v>0.22133717068539127</v>
      </c>
      <c r="DD114">
        <f t="shared" si="92"/>
        <v>7</v>
      </c>
      <c r="DE114" s="129">
        <f t="shared" si="126"/>
        <v>39714</v>
      </c>
      <c r="DF114" s="161">
        <f t="shared" si="93"/>
        <v>0</v>
      </c>
      <c r="DG114" s="161">
        <f t="shared" si="94"/>
        <v>0</v>
      </c>
      <c r="DH114" s="161">
        <f t="shared" si="95"/>
        <v>0</v>
      </c>
      <c r="DI114" s="161">
        <f t="shared" si="96"/>
        <v>0</v>
      </c>
      <c r="DJ114" s="161">
        <f t="shared" si="97"/>
        <v>0</v>
      </c>
      <c r="DK114" s="161">
        <f t="shared" si="98"/>
        <v>0</v>
      </c>
      <c r="DL114" s="161">
        <f t="shared" si="99"/>
        <v>0</v>
      </c>
      <c r="DM114" s="161">
        <f t="shared" si="100"/>
        <v>0</v>
      </c>
      <c r="DN114" s="161">
        <f t="shared" si="101"/>
        <v>0</v>
      </c>
      <c r="DO114" s="161">
        <f t="shared" si="102"/>
        <v>0</v>
      </c>
      <c r="DP114" s="161">
        <f t="shared" si="103"/>
        <v>0</v>
      </c>
      <c r="DQ114" s="161">
        <f t="shared" si="104"/>
        <v>0</v>
      </c>
      <c r="DR114" s="161">
        <f t="shared" si="105"/>
        <v>0</v>
      </c>
      <c r="DS114" s="161">
        <f t="shared" si="106"/>
        <v>0</v>
      </c>
      <c r="DT114" s="161">
        <f t="shared" si="107"/>
        <v>0</v>
      </c>
      <c r="DU114" s="161">
        <f t="shared" si="108"/>
        <v>0</v>
      </c>
      <c r="DV114" s="161">
        <f t="shared" si="109"/>
        <v>0</v>
      </c>
      <c r="DW114" s="161">
        <f t="shared" si="110"/>
        <v>0</v>
      </c>
      <c r="DX114" s="161">
        <f t="shared" si="111"/>
        <v>0</v>
      </c>
      <c r="DY114" s="161">
        <f t="shared" si="112"/>
        <v>0</v>
      </c>
      <c r="DZ114" s="161">
        <f t="shared" si="113"/>
        <v>0</v>
      </c>
      <c r="EA114" s="161">
        <f t="shared" si="114"/>
        <v>0</v>
      </c>
      <c r="EB114" s="161">
        <f t="shared" si="115"/>
        <v>0</v>
      </c>
      <c r="EC114" s="161">
        <f t="shared" si="116"/>
        <v>0</v>
      </c>
      <c r="ED114" s="161">
        <f t="shared" si="117"/>
        <v>0</v>
      </c>
      <c r="EE114" s="161">
        <f t="shared" si="118"/>
        <v>0</v>
      </c>
      <c r="EF114" s="161">
        <f t="shared" si="119"/>
        <v>0</v>
      </c>
      <c r="EG114" s="161">
        <f t="shared" si="120"/>
        <v>0</v>
      </c>
      <c r="EH114" s="161">
        <f t="shared" si="121"/>
        <v>0</v>
      </c>
      <c r="EI114" s="161">
        <f t="shared" si="122"/>
        <v>0</v>
      </c>
      <c r="EJ114" s="161">
        <f t="shared" si="123"/>
        <v>0</v>
      </c>
      <c r="EK114" s="147">
        <f t="shared" si="53"/>
        <v>0</v>
      </c>
      <c r="EL114" s="149"/>
      <c r="EN114" s="146"/>
      <c r="EO114" s="146"/>
      <c r="EP114" s="139">
        <f t="shared" si="54"/>
        <v>0</v>
      </c>
      <c r="EQ114" s="139">
        <f t="shared" si="55"/>
        <v>0</v>
      </c>
      <c r="ER114" s="139">
        <f t="shared" si="56"/>
        <v>0</v>
      </c>
      <c r="ES114" s="139">
        <f t="shared" si="57"/>
        <v>0</v>
      </c>
      <c r="ET114" s="139">
        <f t="shared" si="58"/>
        <v>0</v>
      </c>
      <c r="EU114" s="139">
        <f t="shared" si="59"/>
        <v>0</v>
      </c>
      <c r="EV114" s="139">
        <f t="shared" si="60"/>
        <v>0</v>
      </c>
      <c r="EW114" s="139">
        <f t="shared" si="61"/>
        <v>0</v>
      </c>
      <c r="EX114" s="139">
        <f t="shared" si="62"/>
        <v>0</v>
      </c>
      <c r="EY114" s="139">
        <f t="shared" si="63"/>
        <v>0</v>
      </c>
      <c r="EZ114" s="139">
        <f t="shared" si="64"/>
        <v>0</v>
      </c>
      <c r="FA114" s="139">
        <f t="shared" si="65"/>
        <v>0</v>
      </c>
      <c r="FB114" s="139">
        <f t="shared" si="66"/>
        <v>0</v>
      </c>
      <c r="FC114" s="139">
        <f t="shared" si="67"/>
        <v>0</v>
      </c>
      <c r="FD114" s="139">
        <f t="shared" si="68"/>
        <v>0</v>
      </c>
      <c r="FE114" s="139">
        <f t="shared" si="69"/>
        <v>0</v>
      </c>
      <c r="FF114" s="139">
        <f t="shared" si="70"/>
        <v>0</v>
      </c>
      <c r="FG114" s="139">
        <f t="shared" si="71"/>
        <v>0</v>
      </c>
      <c r="FH114" s="139">
        <f t="shared" si="72"/>
        <v>0</v>
      </c>
      <c r="FI114" s="139">
        <f t="shared" si="73"/>
        <v>0</v>
      </c>
      <c r="FJ114" s="139">
        <f t="shared" si="74"/>
        <v>0</v>
      </c>
      <c r="FK114" s="139">
        <f t="shared" si="75"/>
        <v>0</v>
      </c>
      <c r="FL114" s="139">
        <f t="shared" si="76"/>
        <v>0</v>
      </c>
      <c r="FM114" s="139">
        <f t="shared" si="77"/>
        <v>0</v>
      </c>
      <c r="FN114" s="139">
        <f t="shared" si="78"/>
        <v>0</v>
      </c>
      <c r="FO114" s="139">
        <f t="shared" si="79"/>
        <v>0</v>
      </c>
      <c r="FP114" s="139">
        <f t="shared" si="80"/>
        <v>0</v>
      </c>
      <c r="FQ114" s="139">
        <f t="shared" si="81"/>
        <v>0</v>
      </c>
      <c r="FR114" s="139">
        <f t="shared" si="82"/>
        <v>0</v>
      </c>
      <c r="FS114" s="139">
        <f t="shared" si="83"/>
        <v>0</v>
      </c>
      <c r="FT114" s="139">
        <f t="shared" si="84"/>
        <v>0</v>
      </c>
      <c r="FU114" s="148">
        <f t="shared" si="85"/>
        <v>0</v>
      </c>
      <c r="FV114" s="149"/>
      <c r="FY114" s="211">
        <v>109</v>
      </c>
      <c r="FZ114">
        <v>8.3420753564326997</v>
      </c>
      <c r="GA114">
        <v>33.916939720023301</v>
      </c>
      <c r="GB114">
        <v>86.102661752004821</v>
      </c>
      <c r="GC114">
        <v>47.64262261546407</v>
      </c>
      <c r="GD114">
        <v>18.043634731681408</v>
      </c>
      <c r="GE114">
        <v>41.378494958771796</v>
      </c>
      <c r="GF114">
        <v>45.28039820037727</v>
      </c>
      <c r="GG114">
        <v>36.709148560644415</v>
      </c>
      <c r="GH114">
        <v>28.875000903886331</v>
      </c>
      <c r="GI114">
        <v>47.718984734928128</v>
      </c>
      <c r="GJ114"/>
      <c r="GK114"/>
      <c r="GL114"/>
      <c r="GM114"/>
    </row>
    <row r="115" spans="1:195" s="7" customFormat="1">
      <c r="A115" s="1"/>
      <c r="B115" s="76">
        <f ca="1">IF(C115="", "", RAND())</f>
        <v>0.73800301960955683</v>
      </c>
      <c r="C115">
        <v>9</v>
      </c>
      <c r="D115">
        <v>39714</v>
      </c>
      <c r="E115">
        <v>0</v>
      </c>
      <c r="F115">
        <v>0</v>
      </c>
      <c r="G115">
        <v>615.25537634408602</v>
      </c>
      <c r="H115">
        <v>389.11290322580646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 s="2"/>
      <c r="AK115" s="80"/>
      <c r="AL115" s="74"/>
      <c r="AM115" s="43">
        <v>99</v>
      </c>
      <c r="AN115">
        <v>236.52160367508068</v>
      </c>
      <c r="AO115">
        <v>72.889119406419383</v>
      </c>
      <c r="AP115">
        <v>491.59555888020697</v>
      </c>
      <c r="AQ115">
        <v>391.01546755673405</v>
      </c>
      <c r="AR115">
        <v>65.433882437676559</v>
      </c>
      <c r="AS115">
        <v>546.869787915404</v>
      </c>
      <c r="AT115" t="e">
        <v>#DIV/0!</v>
      </c>
      <c r="AU115" t="e">
        <v>#DIV/0!</v>
      </c>
      <c r="AV115"/>
      <c r="AW115"/>
      <c r="AX115" s="146"/>
      <c r="AY115" s="76">
        <f t="shared" ca="1" si="86"/>
        <v>0.20140597599336574</v>
      </c>
      <c r="AZ115">
        <v>8</v>
      </c>
      <c r="BA115" s="129">
        <f t="shared" si="127"/>
        <v>39714</v>
      </c>
      <c r="BB115">
        <v>0</v>
      </c>
      <c r="BC115">
        <v>0</v>
      </c>
      <c r="BD115">
        <v>0</v>
      </c>
      <c r="BE115">
        <v>8</v>
      </c>
      <c r="BF115">
        <v>10</v>
      </c>
      <c r="BG115">
        <v>0</v>
      </c>
      <c r="BH115">
        <v>1</v>
      </c>
      <c r="BI115">
        <v>0</v>
      </c>
      <c r="BJ115">
        <v>0</v>
      </c>
      <c r="BK115">
        <v>0</v>
      </c>
      <c r="BL115">
        <v>0</v>
      </c>
      <c r="BM115">
        <v>0</v>
      </c>
      <c r="BN115">
        <v>0</v>
      </c>
      <c r="BO115">
        <v>0</v>
      </c>
      <c r="BP115">
        <v>0</v>
      </c>
      <c r="BQ115">
        <v>0</v>
      </c>
      <c r="BR115">
        <v>0</v>
      </c>
      <c r="BS115">
        <v>0</v>
      </c>
      <c r="BT115">
        <v>0</v>
      </c>
      <c r="BU115">
        <v>0</v>
      </c>
      <c r="BV115">
        <v>0</v>
      </c>
      <c r="BW115">
        <v>0</v>
      </c>
      <c r="BX115">
        <v>0</v>
      </c>
      <c r="BY115">
        <v>0</v>
      </c>
      <c r="BZ115">
        <v>0</v>
      </c>
      <c r="CA115">
        <v>0</v>
      </c>
      <c r="CB115">
        <v>0</v>
      </c>
      <c r="CC115">
        <v>0</v>
      </c>
      <c r="CD115">
        <v>0</v>
      </c>
      <c r="CE115">
        <v>0</v>
      </c>
      <c r="CF115">
        <v>0</v>
      </c>
      <c r="CG115" s="147"/>
      <c r="CH115" s="176"/>
      <c r="CJ115" s="146"/>
      <c r="CK115" s="76">
        <f t="shared" ca="1" si="88"/>
        <v>4.0549256363989983E-2</v>
      </c>
      <c r="CL115" s="179">
        <f t="shared" si="89"/>
        <v>8</v>
      </c>
      <c r="CM115" s="180">
        <f t="shared" si="90"/>
        <v>39714</v>
      </c>
      <c r="CN115">
        <v>0</v>
      </c>
      <c r="CO115">
        <v>0</v>
      </c>
      <c r="CP115">
        <v>0</v>
      </c>
      <c r="CQ115">
        <v>0</v>
      </c>
      <c r="CR115">
        <v>0</v>
      </c>
      <c r="CS115">
        <v>0</v>
      </c>
      <c r="CT115">
        <v>0</v>
      </c>
      <c r="CU115">
        <v>0</v>
      </c>
      <c r="CV115" s="160"/>
      <c r="CW115">
        <v>1</v>
      </c>
      <c r="CX115">
        <v>1</v>
      </c>
      <c r="CY115" s="164"/>
      <c r="CZ115" s="177">
        <f t="shared" si="91"/>
        <v>9.6000000000000002E-2</v>
      </c>
      <c r="DB115" s="146"/>
      <c r="DC115" s="76">
        <f t="shared" ca="1" si="49"/>
        <v>0.73095814320243502</v>
      </c>
      <c r="DD115">
        <f t="shared" si="92"/>
        <v>8</v>
      </c>
      <c r="DE115" s="129">
        <f t="shared" si="126"/>
        <v>39714</v>
      </c>
      <c r="DF115" s="161">
        <f t="shared" si="93"/>
        <v>0</v>
      </c>
      <c r="DG115" s="161">
        <f t="shared" si="94"/>
        <v>0</v>
      </c>
      <c r="DH115" s="161">
        <f t="shared" si="95"/>
        <v>0</v>
      </c>
      <c r="DI115" s="161">
        <f t="shared" si="96"/>
        <v>83.333333333333329</v>
      </c>
      <c r="DJ115" s="161">
        <f t="shared" si="97"/>
        <v>104.16666666666667</v>
      </c>
      <c r="DK115" s="161">
        <f t="shared" si="98"/>
        <v>0</v>
      </c>
      <c r="DL115" s="161">
        <f t="shared" si="99"/>
        <v>10.416666666666666</v>
      </c>
      <c r="DM115" s="161">
        <f t="shared" si="100"/>
        <v>0</v>
      </c>
      <c r="DN115" s="161">
        <f t="shared" si="101"/>
        <v>0</v>
      </c>
      <c r="DO115" s="161">
        <f t="shared" si="102"/>
        <v>0</v>
      </c>
      <c r="DP115" s="161">
        <f t="shared" si="103"/>
        <v>0</v>
      </c>
      <c r="DQ115" s="161">
        <f t="shared" si="104"/>
        <v>0</v>
      </c>
      <c r="DR115" s="161">
        <f t="shared" si="105"/>
        <v>0</v>
      </c>
      <c r="DS115" s="161">
        <f t="shared" si="106"/>
        <v>0</v>
      </c>
      <c r="DT115" s="161">
        <f t="shared" si="107"/>
        <v>0</v>
      </c>
      <c r="DU115" s="161">
        <f t="shared" si="108"/>
        <v>0</v>
      </c>
      <c r="DV115" s="161">
        <f t="shared" si="109"/>
        <v>0</v>
      </c>
      <c r="DW115" s="161">
        <f t="shared" si="110"/>
        <v>0</v>
      </c>
      <c r="DX115" s="161">
        <f t="shared" si="111"/>
        <v>0</v>
      </c>
      <c r="DY115" s="161">
        <f t="shared" si="112"/>
        <v>0</v>
      </c>
      <c r="DZ115" s="161">
        <f t="shared" si="113"/>
        <v>0</v>
      </c>
      <c r="EA115" s="161">
        <f t="shared" si="114"/>
        <v>0</v>
      </c>
      <c r="EB115" s="161">
        <f t="shared" si="115"/>
        <v>0</v>
      </c>
      <c r="EC115" s="161">
        <f t="shared" si="116"/>
        <v>0</v>
      </c>
      <c r="ED115" s="161">
        <f t="shared" si="117"/>
        <v>0</v>
      </c>
      <c r="EE115" s="161">
        <f t="shared" si="118"/>
        <v>0</v>
      </c>
      <c r="EF115" s="161">
        <f t="shared" si="119"/>
        <v>0</v>
      </c>
      <c r="EG115" s="161">
        <f t="shared" si="120"/>
        <v>0</v>
      </c>
      <c r="EH115" s="161">
        <f t="shared" si="121"/>
        <v>0</v>
      </c>
      <c r="EI115" s="161">
        <f t="shared" si="122"/>
        <v>0</v>
      </c>
      <c r="EJ115" s="161">
        <f t="shared" si="123"/>
        <v>0</v>
      </c>
      <c r="EK115" s="147">
        <f t="shared" si="53"/>
        <v>197.91666666666666</v>
      </c>
      <c r="EL115" s="149"/>
      <c r="EN115" s="146"/>
      <c r="EO115" s="146"/>
      <c r="EP115" s="139">
        <f t="shared" si="54"/>
        <v>0</v>
      </c>
      <c r="EQ115" s="139">
        <f t="shared" si="55"/>
        <v>0</v>
      </c>
      <c r="ER115" s="139">
        <f t="shared" si="56"/>
        <v>0</v>
      </c>
      <c r="ES115" s="139">
        <f t="shared" si="57"/>
        <v>19.957424279433194</v>
      </c>
      <c r="ET115" s="139">
        <f t="shared" si="58"/>
        <v>57.505800793582097</v>
      </c>
      <c r="EU115" s="139">
        <f t="shared" si="59"/>
        <v>0</v>
      </c>
      <c r="EV115" s="139">
        <f t="shared" si="60"/>
        <v>18.659696712272744</v>
      </c>
      <c r="EW115" s="139">
        <f t="shared" si="61"/>
        <v>0</v>
      </c>
      <c r="EX115" s="139">
        <f t="shared" si="62"/>
        <v>0</v>
      </c>
      <c r="EY115" s="139">
        <f t="shared" si="63"/>
        <v>0</v>
      </c>
      <c r="EZ115" s="139">
        <f t="shared" si="64"/>
        <v>0</v>
      </c>
      <c r="FA115" s="139">
        <f t="shared" si="65"/>
        <v>0</v>
      </c>
      <c r="FB115" s="139">
        <f t="shared" si="66"/>
        <v>0</v>
      </c>
      <c r="FC115" s="139">
        <f t="shared" si="67"/>
        <v>0</v>
      </c>
      <c r="FD115" s="139">
        <f t="shared" si="68"/>
        <v>0</v>
      </c>
      <c r="FE115" s="139">
        <f t="shared" si="69"/>
        <v>0</v>
      </c>
      <c r="FF115" s="139">
        <f t="shared" si="70"/>
        <v>0</v>
      </c>
      <c r="FG115" s="139">
        <f t="shared" si="71"/>
        <v>0</v>
      </c>
      <c r="FH115" s="139">
        <f t="shared" si="72"/>
        <v>0</v>
      </c>
      <c r="FI115" s="139">
        <f t="shared" si="73"/>
        <v>0</v>
      </c>
      <c r="FJ115" s="139">
        <f t="shared" si="74"/>
        <v>0</v>
      </c>
      <c r="FK115" s="139">
        <f t="shared" si="75"/>
        <v>0</v>
      </c>
      <c r="FL115" s="139">
        <f t="shared" si="76"/>
        <v>0</v>
      </c>
      <c r="FM115" s="139">
        <f t="shared" si="77"/>
        <v>0</v>
      </c>
      <c r="FN115" s="139">
        <f t="shared" si="78"/>
        <v>0</v>
      </c>
      <c r="FO115" s="139">
        <f t="shared" si="79"/>
        <v>0</v>
      </c>
      <c r="FP115" s="139">
        <f t="shared" si="80"/>
        <v>0</v>
      </c>
      <c r="FQ115" s="139">
        <f t="shared" si="81"/>
        <v>0</v>
      </c>
      <c r="FR115" s="139">
        <f t="shared" si="82"/>
        <v>0</v>
      </c>
      <c r="FS115" s="139">
        <f t="shared" si="83"/>
        <v>0</v>
      </c>
      <c r="FT115" s="139">
        <f t="shared" si="84"/>
        <v>0</v>
      </c>
      <c r="FU115" s="148">
        <f t="shared" si="85"/>
        <v>96.122921785288042</v>
      </c>
      <c r="FV115" s="149"/>
      <c r="FY115" s="211">
        <v>110</v>
      </c>
      <c r="FZ115">
        <v>25.950512229001252</v>
      </c>
      <c r="GA115">
        <v>52.408915126731941</v>
      </c>
      <c r="GB115">
        <v>46.64659569481303</v>
      </c>
      <c r="GC115">
        <v>34.260190304906928</v>
      </c>
      <c r="GD115">
        <v>17.485067485354246</v>
      </c>
      <c r="GE115">
        <v>34.613972490162389</v>
      </c>
      <c r="GF115">
        <v>88.550565230205777</v>
      </c>
      <c r="GG115">
        <v>51.864510423187987</v>
      </c>
      <c r="GH115">
        <v>6.9540355542898293</v>
      </c>
      <c r="GI115">
        <v>45.409085746430165</v>
      </c>
      <c r="GJ115"/>
      <c r="GK115"/>
      <c r="GL115"/>
      <c r="GM115"/>
    </row>
    <row r="116" spans="1:195" s="7" customFormat="1">
      <c r="A116" s="1"/>
      <c r="B116" s="76">
        <f ca="1">IF(C116="", "", RAND())</f>
        <v>0.56656838646098739</v>
      </c>
      <c r="C116">
        <v>5</v>
      </c>
      <c r="D116">
        <v>39714</v>
      </c>
      <c r="E116">
        <v>0</v>
      </c>
      <c r="F116">
        <v>0</v>
      </c>
      <c r="G116">
        <v>0</v>
      </c>
      <c r="H116">
        <v>72.916666666666671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 s="2"/>
      <c r="AK116" s="80"/>
      <c r="AL116" s="74"/>
      <c r="AM116" s="43">
        <v>100</v>
      </c>
      <c r="AN116">
        <v>188.86890612920536</v>
      </c>
      <c r="AO116">
        <v>72.149422083562143</v>
      </c>
      <c r="AP116">
        <v>465.44815265041223</v>
      </c>
      <c r="AQ116">
        <v>361.75648325354825</v>
      </c>
      <c r="AR116">
        <v>65.885061914696507</v>
      </c>
      <c r="AS116">
        <v>508.29021663248898</v>
      </c>
      <c r="AT116">
        <v>36.025272244962032</v>
      </c>
      <c r="AU116">
        <v>57.409295312473326</v>
      </c>
      <c r="AV116"/>
      <c r="AW116"/>
      <c r="AX116" s="146"/>
      <c r="AY116" s="76">
        <f t="shared" ca="1" si="86"/>
        <v>0.636307930745037</v>
      </c>
      <c r="AZ116">
        <v>9</v>
      </c>
      <c r="BA116" s="129">
        <f t="shared" si="127"/>
        <v>39714</v>
      </c>
      <c r="BB116">
        <v>0</v>
      </c>
      <c r="BC116">
        <v>0</v>
      </c>
      <c r="BD116">
        <v>1</v>
      </c>
      <c r="BE116">
        <v>18</v>
      </c>
      <c r="BF116">
        <v>0</v>
      </c>
      <c r="BG116">
        <v>0</v>
      </c>
      <c r="BH116">
        <v>0</v>
      </c>
      <c r="BI116">
        <v>0</v>
      </c>
      <c r="BJ116">
        <v>0</v>
      </c>
      <c r="BK116">
        <v>0</v>
      </c>
      <c r="BL116">
        <v>0</v>
      </c>
      <c r="BM116">
        <v>0</v>
      </c>
      <c r="BN116">
        <v>0</v>
      </c>
      <c r="BO116">
        <v>0</v>
      </c>
      <c r="BP116">
        <v>0</v>
      </c>
      <c r="BQ116">
        <v>0</v>
      </c>
      <c r="BR116">
        <v>0</v>
      </c>
      <c r="BS116">
        <v>0</v>
      </c>
      <c r="BT116">
        <v>0</v>
      </c>
      <c r="BU116">
        <v>0</v>
      </c>
      <c r="BV116">
        <v>0</v>
      </c>
      <c r="BW116">
        <v>0</v>
      </c>
      <c r="BX116">
        <v>0</v>
      </c>
      <c r="BY116">
        <v>0</v>
      </c>
      <c r="BZ116">
        <v>0</v>
      </c>
      <c r="CA116">
        <v>0</v>
      </c>
      <c r="CB116">
        <v>0</v>
      </c>
      <c r="CC116">
        <v>0</v>
      </c>
      <c r="CD116">
        <v>0</v>
      </c>
      <c r="CE116">
        <v>0</v>
      </c>
      <c r="CF116">
        <v>0</v>
      </c>
      <c r="CG116" s="147"/>
      <c r="CH116" s="176"/>
      <c r="CJ116" s="146"/>
      <c r="CK116" s="76">
        <f t="shared" ca="1" si="88"/>
        <v>0.63081681235124609</v>
      </c>
      <c r="CL116" s="179">
        <f t="shared" si="89"/>
        <v>9</v>
      </c>
      <c r="CM116" s="180">
        <f t="shared" si="90"/>
        <v>39714</v>
      </c>
      <c r="CN116" s="221">
        <v>0</v>
      </c>
      <c r="CO116" s="221">
        <v>0</v>
      </c>
      <c r="CP116" s="221">
        <v>6</v>
      </c>
      <c r="CQ116" s="221">
        <v>2</v>
      </c>
      <c r="CR116" s="221">
        <v>0</v>
      </c>
      <c r="CS116" s="221">
        <v>0</v>
      </c>
      <c r="CT116">
        <v>0</v>
      </c>
      <c r="CU116">
        <v>0</v>
      </c>
      <c r="CV116" s="160"/>
      <c r="CW116">
        <v>1</v>
      </c>
      <c r="CX116">
        <f>300/31</f>
        <v>9.67741935483871</v>
      </c>
      <c r="CY116" s="164"/>
      <c r="CZ116" s="177">
        <f t="shared" si="91"/>
        <v>9.6000000000000002E-2</v>
      </c>
      <c r="DB116" s="146"/>
      <c r="DC116" s="76">
        <f t="shared" ca="1" si="49"/>
        <v>0.56560605860527868</v>
      </c>
      <c r="DD116">
        <f t="shared" si="92"/>
        <v>9</v>
      </c>
      <c r="DE116" s="129">
        <f t="shared" si="126"/>
        <v>39714</v>
      </c>
      <c r="DF116" s="161">
        <f t="shared" si="93"/>
        <v>0</v>
      </c>
      <c r="DG116" s="161">
        <f t="shared" si="94"/>
        <v>0</v>
      </c>
      <c r="DH116" s="161">
        <f t="shared" si="95"/>
        <v>615.25537634408602</v>
      </c>
      <c r="DI116" s="161">
        <f t="shared" si="96"/>
        <v>389.11290322580646</v>
      </c>
      <c r="DJ116" s="161">
        <f t="shared" si="97"/>
        <v>0</v>
      </c>
      <c r="DK116" s="161">
        <f t="shared" si="98"/>
        <v>0</v>
      </c>
      <c r="DL116" s="161">
        <f t="shared" si="99"/>
        <v>0</v>
      </c>
      <c r="DM116" s="161">
        <f t="shared" si="100"/>
        <v>0</v>
      </c>
      <c r="DN116" s="161">
        <f t="shared" si="101"/>
        <v>0</v>
      </c>
      <c r="DO116" s="161">
        <f t="shared" si="102"/>
        <v>0</v>
      </c>
      <c r="DP116" s="161">
        <f t="shared" si="103"/>
        <v>0</v>
      </c>
      <c r="DQ116" s="161">
        <f t="shared" si="104"/>
        <v>0</v>
      </c>
      <c r="DR116" s="161">
        <f t="shared" si="105"/>
        <v>0</v>
      </c>
      <c r="DS116" s="161">
        <f t="shared" si="106"/>
        <v>0</v>
      </c>
      <c r="DT116" s="161">
        <f t="shared" si="107"/>
        <v>0</v>
      </c>
      <c r="DU116" s="161">
        <f t="shared" si="108"/>
        <v>0</v>
      </c>
      <c r="DV116" s="161">
        <f t="shared" si="109"/>
        <v>0</v>
      </c>
      <c r="DW116" s="161">
        <f t="shared" si="110"/>
        <v>0</v>
      </c>
      <c r="DX116" s="161">
        <f t="shared" si="111"/>
        <v>0</v>
      </c>
      <c r="DY116" s="161">
        <f t="shared" si="112"/>
        <v>0</v>
      </c>
      <c r="DZ116" s="161">
        <f t="shared" si="113"/>
        <v>0</v>
      </c>
      <c r="EA116" s="161">
        <f t="shared" si="114"/>
        <v>0</v>
      </c>
      <c r="EB116" s="161">
        <f t="shared" si="115"/>
        <v>0</v>
      </c>
      <c r="EC116" s="161">
        <f t="shared" si="116"/>
        <v>0</v>
      </c>
      <c r="ED116" s="161">
        <f t="shared" si="117"/>
        <v>0</v>
      </c>
      <c r="EE116" s="161">
        <f t="shared" si="118"/>
        <v>0</v>
      </c>
      <c r="EF116" s="161">
        <f t="shared" si="119"/>
        <v>0</v>
      </c>
      <c r="EG116" s="161">
        <f t="shared" si="120"/>
        <v>0</v>
      </c>
      <c r="EH116" s="161">
        <f t="shared" si="121"/>
        <v>0</v>
      </c>
      <c r="EI116" s="161">
        <f t="shared" si="122"/>
        <v>0</v>
      </c>
      <c r="EJ116" s="161">
        <f t="shared" si="123"/>
        <v>0</v>
      </c>
      <c r="EK116" s="147">
        <f t="shared" si="53"/>
        <v>1004.3682795698925</v>
      </c>
      <c r="EL116" s="149"/>
      <c r="EN116" s="146"/>
      <c r="EO116" s="146"/>
      <c r="EP116" s="139">
        <f t="shared" si="54"/>
        <v>0</v>
      </c>
      <c r="EQ116" s="139">
        <f t="shared" si="55"/>
        <v>0</v>
      </c>
      <c r="ER116" s="139">
        <f t="shared" si="56"/>
        <v>45.409657746188039</v>
      </c>
      <c r="ES116" s="139">
        <f t="shared" si="57"/>
        <v>93.188295627353398</v>
      </c>
      <c r="ET116" s="139">
        <f t="shared" si="58"/>
        <v>0</v>
      </c>
      <c r="EU116" s="139">
        <f t="shared" si="59"/>
        <v>0</v>
      </c>
      <c r="EV116" s="139">
        <f t="shared" si="60"/>
        <v>0</v>
      </c>
      <c r="EW116" s="139">
        <f t="shared" si="61"/>
        <v>0</v>
      </c>
      <c r="EX116" s="139">
        <f t="shared" si="62"/>
        <v>0</v>
      </c>
      <c r="EY116" s="139">
        <f t="shared" si="63"/>
        <v>0</v>
      </c>
      <c r="EZ116" s="139">
        <f t="shared" si="64"/>
        <v>0</v>
      </c>
      <c r="FA116" s="139">
        <f t="shared" si="65"/>
        <v>0</v>
      </c>
      <c r="FB116" s="139">
        <f t="shared" si="66"/>
        <v>0</v>
      </c>
      <c r="FC116" s="139">
        <f t="shared" si="67"/>
        <v>0</v>
      </c>
      <c r="FD116" s="139">
        <f t="shared" si="68"/>
        <v>0</v>
      </c>
      <c r="FE116" s="139">
        <f t="shared" si="69"/>
        <v>0</v>
      </c>
      <c r="FF116" s="139">
        <f t="shared" si="70"/>
        <v>0</v>
      </c>
      <c r="FG116" s="139">
        <f t="shared" si="71"/>
        <v>0</v>
      </c>
      <c r="FH116" s="139">
        <f t="shared" si="72"/>
        <v>0</v>
      </c>
      <c r="FI116" s="139">
        <f t="shared" si="73"/>
        <v>0</v>
      </c>
      <c r="FJ116" s="139">
        <f t="shared" si="74"/>
        <v>0</v>
      </c>
      <c r="FK116" s="139">
        <f t="shared" si="75"/>
        <v>0</v>
      </c>
      <c r="FL116" s="139">
        <f t="shared" si="76"/>
        <v>0</v>
      </c>
      <c r="FM116" s="139">
        <f t="shared" si="77"/>
        <v>0</v>
      </c>
      <c r="FN116" s="139">
        <f t="shared" si="78"/>
        <v>0</v>
      </c>
      <c r="FO116" s="139">
        <f t="shared" si="79"/>
        <v>0</v>
      </c>
      <c r="FP116" s="139">
        <f t="shared" si="80"/>
        <v>0</v>
      </c>
      <c r="FQ116" s="139">
        <f t="shared" si="81"/>
        <v>0</v>
      </c>
      <c r="FR116" s="139">
        <f t="shared" si="82"/>
        <v>0</v>
      </c>
      <c r="FS116" s="139">
        <f t="shared" si="83"/>
        <v>0</v>
      </c>
      <c r="FT116" s="139">
        <f t="shared" si="84"/>
        <v>0</v>
      </c>
      <c r="FU116" s="148">
        <f t="shared" si="85"/>
        <v>138.59795337354143</v>
      </c>
      <c r="FV116" s="149"/>
      <c r="FY116" s="211">
        <v>111</v>
      </c>
      <c r="FZ116">
        <v>14.194847636065788</v>
      </c>
      <c r="GA116">
        <v>47.921990847129244</v>
      </c>
      <c r="GB116">
        <v>63.424459551375435</v>
      </c>
      <c r="GC116">
        <v>35.938745556518874</v>
      </c>
      <c r="GD116">
        <v>14.235239146566887</v>
      </c>
      <c r="GE116">
        <v>59.231553448011411</v>
      </c>
      <c r="GF116">
        <v>156.70455930208334</v>
      </c>
      <c r="GG116">
        <v>76.26052526719505</v>
      </c>
      <c r="GH116">
        <v>1.9873694739386432</v>
      </c>
      <c r="GI116">
        <v>59.065903497743491</v>
      </c>
      <c r="GJ116"/>
      <c r="GK116"/>
      <c r="GL116"/>
      <c r="GM116"/>
    </row>
    <row r="117" spans="1:195" s="7" customFormat="1">
      <c r="A117" s="1"/>
      <c r="B117" s="76">
        <f ca="1">IF(C117="", "", RAND())</f>
        <v>3.5514105862846979E-2</v>
      </c>
      <c r="C117">
        <v>10</v>
      </c>
      <c r="D117">
        <v>39714</v>
      </c>
      <c r="E117">
        <v>0</v>
      </c>
      <c r="F117">
        <v>89.285714285714278</v>
      </c>
      <c r="G117">
        <v>419.64285714285711</v>
      </c>
      <c r="H117">
        <v>187.5</v>
      </c>
      <c r="I117">
        <v>52.083333333333336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 s="2"/>
      <c r="AK117" s="80"/>
      <c r="AL117" s="74"/>
      <c r="AM117" s="43">
        <v>101</v>
      </c>
      <c r="AN117">
        <v>236.47262284790696</v>
      </c>
      <c r="AO117">
        <v>84.470445424383882</v>
      </c>
      <c r="AP117">
        <v>660.00278161215442</v>
      </c>
      <c r="AQ117">
        <v>491.53358502171625</v>
      </c>
      <c r="AR117">
        <v>75.434909262521657</v>
      </c>
      <c r="AS117">
        <v>611.90163143741734</v>
      </c>
      <c r="AT117">
        <v>41.611761930979696</v>
      </c>
      <c r="AU117">
        <v>122.20236694851783</v>
      </c>
      <c r="AV117"/>
      <c r="AW117"/>
      <c r="AX117" s="146"/>
      <c r="AY117" s="76">
        <f t="shared" ca="1" si="86"/>
        <v>0.78305934411210831</v>
      </c>
      <c r="AZ117">
        <v>10</v>
      </c>
      <c r="BA117" s="129">
        <f t="shared" si="127"/>
        <v>39714</v>
      </c>
      <c r="BB117">
        <v>0</v>
      </c>
      <c r="BC117">
        <v>0</v>
      </c>
      <c r="BD117">
        <v>6</v>
      </c>
      <c r="BE117">
        <v>18</v>
      </c>
      <c r="BF117">
        <v>5</v>
      </c>
      <c r="BG117">
        <v>0</v>
      </c>
      <c r="BH117">
        <v>0</v>
      </c>
      <c r="BI117">
        <v>0</v>
      </c>
      <c r="BJ117">
        <v>0</v>
      </c>
      <c r="BK117">
        <v>0</v>
      </c>
      <c r="BL117">
        <v>0</v>
      </c>
      <c r="BM117">
        <v>0</v>
      </c>
      <c r="BN117">
        <v>0</v>
      </c>
      <c r="BO117">
        <v>0</v>
      </c>
      <c r="BP117">
        <v>0</v>
      </c>
      <c r="BQ117">
        <v>0</v>
      </c>
      <c r="BR117">
        <v>0</v>
      </c>
      <c r="BS117">
        <v>0</v>
      </c>
      <c r="BT117">
        <v>0</v>
      </c>
      <c r="BU117">
        <v>0</v>
      </c>
      <c r="BV117">
        <v>0</v>
      </c>
      <c r="BW117">
        <v>0</v>
      </c>
      <c r="BX117">
        <v>0</v>
      </c>
      <c r="BY117">
        <v>0</v>
      </c>
      <c r="BZ117">
        <v>0</v>
      </c>
      <c r="CA117">
        <v>0</v>
      </c>
      <c r="CB117">
        <v>0</v>
      </c>
      <c r="CC117">
        <v>0</v>
      </c>
      <c r="CD117">
        <v>0</v>
      </c>
      <c r="CE117">
        <v>0</v>
      </c>
      <c r="CF117">
        <v>0</v>
      </c>
      <c r="CG117" s="147"/>
      <c r="CH117" s="176"/>
      <c r="CJ117" s="146"/>
      <c r="CK117" s="76">
        <f t="shared" ca="1" si="88"/>
        <v>0.56790426590264964</v>
      </c>
      <c r="CL117" s="179">
        <f t="shared" si="89"/>
        <v>10</v>
      </c>
      <c r="CM117" s="180">
        <f t="shared" si="90"/>
        <v>39714</v>
      </c>
      <c r="CN117">
        <v>0</v>
      </c>
      <c r="CO117">
        <v>1</v>
      </c>
      <c r="CP117">
        <v>4</v>
      </c>
      <c r="CQ117">
        <v>0</v>
      </c>
      <c r="CR117">
        <v>0</v>
      </c>
      <c r="CS117">
        <v>0</v>
      </c>
      <c r="CT117">
        <v>0</v>
      </c>
      <c r="CU117">
        <v>0</v>
      </c>
      <c r="CV117" s="160"/>
      <c r="CW117">
        <v>1</v>
      </c>
      <c r="CX117">
        <f>300/35</f>
        <v>8.5714285714285712</v>
      </c>
      <c r="CY117" s="164"/>
      <c r="CZ117" s="177">
        <f t="shared" si="91"/>
        <v>9.6000000000000002E-2</v>
      </c>
      <c r="DB117" s="146"/>
      <c r="DC117" s="76">
        <f t="shared" ca="1" si="49"/>
        <v>7.9475058298439372E-2</v>
      </c>
      <c r="DD117">
        <f t="shared" si="92"/>
        <v>10</v>
      </c>
      <c r="DE117" s="129">
        <f t="shared" si="126"/>
        <v>39714</v>
      </c>
      <c r="DF117" s="161">
        <f t="shared" si="93"/>
        <v>0</v>
      </c>
      <c r="DG117" s="161">
        <f t="shared" si="94"/>
        <v>89.285714285714278</v>
      </c>
      <c r="DH117" s="161">
        <f t="shared" si="95"/>
        <v>419.64285714285711</v>
      </c>
      <c r="DI117" s="161">
        <f t="shared" si="96"/>
        <v>187.5</v>
      </c>
      <c r="DJ117" s="161">
        <f t="shared" si="97"/>
        <v>52.083333333333336</v>
      </c>
      <c r="DK117" s="161">
        <f t="shared" si="98"/>
        <v>0</v>
      </c>
      <c r="DL117" s="161">
        <f t="shared" si="99"/>
        <v>0</v>
      </c>
      <c r="DM117" s="161">
        <f t="shared" si="100"/>
        <v>0</v>
      </c>
      <c r="DN117" s="161">
        <f t="shared" si="101"/>
        <v>0</v>
      </c>
      <c r="DO117" s="161">
        <f t="shared" si="102"/>
        <v>0</v>
      </c>
      <c r="DP117" s="161">
        <f t="shared" si="103"/>
        <v>0</v>
      </c>
      <c r="DQ117" s="161">
        <f t="shared" si="104"/>
        <v>0</v>
      </c>
      <c r="DR117" s="161">
        <f t="shared" si="105"/>
        <v>0</v>
      </c>
      <c r="DS117" s="161">
        <f t="shared" si="106"/>
        <v>0</v>
      </c>
      <c r="DT117" s="161">
        <f t="shared" si="107"/>
        <v>0</v>
      </c>
      <c r="DU117" s="161">
        <f t="shared" si="108"/>
        <v>0</v>
      </c>
      <c r="DV117" s="161">
        <f t="shared" si="109"/>
        <v>0</v>
      </c>
      <c r="DW117" s="161">
        <f t="shared" si="110"/>
        <v>0</v>
      </c>
      <c r="DX117" s="161">
        <f t="shared" si="111"/>
        <v>0</v>
      </c>
      <c r="DY117" s="161">
        <f t="shared" si="112"/>
        <v>0</v>
      </c>
      <c r="DZ117" s="161">
        <f t="shared" si="113"/>
        <v>0</v>
      </c>
      <c r="EA117" s="161">
        <f t="shared" si="114"/>
        <v>0</v>
      </c>
      <c r="EB117" s="161">
        <f t="shared" si="115"/>
        <v>0</v>
      </c>
      <c r="EC117" s="161">
        <f t="shared" si="116"/>
        <v>0</v>
      </c>
      <c r="ED117" s="161">
        <f t="shared" si="117"/>
        <v>0</v>
      </c>
      <c r="EE117" s="161">
        <f t="shared" si="118"/>
        <v>0</v>
      </c>
      <c r="EF117" s="161">
        <f t="shared" si="119"/>
        <v>0</v>
      </c>
      <c r="EG117" s="161">
        <f t="shared" si="120"/>
        <v>0</v>
      </c>
      <c r="EH117" s="161">
        <f t="shared" si="121"/>
        <v>0</v>
      </c>
      <c r="EI117" s="161">
        <f t="shared" si="122"/>
        <v>0</v>
      </c>
      <c r="EJ117" s="161">
        <f t="shared" si="123"/>
        <v>0</v>
      </c>
      <c r="EK117" s="147">
        <f t="shared" si="53"/>
        <v>748.5119047619047</v>
      </c>
      <c r="EL117" s="149"/>
      <c r="EN117" s="146"/>
      <c r="EO117" s="146"/>
      <c r="EP117" s="139">
        <f t="shared" si="54"/>
        <v>0</v>
      </c>
      <c r="EQ117" s="139">
        <f t="shared" si="55"/>
        <v>0.88101785714285707</v>
      </c>
      <c r="ER117" s="139">
        <f t="shared" si="56"/>
        <v>30.972242179696948</v>
      </c>
      <c r="ES117" s="139">
        <f t="shared" si="57"/>
        <v>44.904204628724692</v>
      </c>
      <c r="ET117" s="139">
        <f t="shared" si="58"/>
        <v>28.752900396791048</v>
      </c>
      <c r="EU117" s="139">
        <f t="shared" si="59"/>
        <v>0</v>
      </c>
      <c r="EV117" s="139">
        <f t="shared" si="60"/>
        <v>0</v>
      </c>
      <c r="EW117" s="139">
        <f t="shared" si="61"/>
        <v>0</v>
      </c>
      <c r="EX117" s="139">
        <f t="shared" si="62"/>
        <v>0</v>
      </c>
      <c r="EY117" s="139">
        <f t="shared" si="63"/>
        <v>0</v>
      </c>
      <c r="EZ117" s="139">
        <f t="shared" si="64"/>
        <v>0</v>
      </c>
      <c r="FA117" s="139">
        <f t="shared" si="65"/>
        <v>0</v>
      </c>
      <c r="FB117" s="139">
        <f t="shared" si="66"/>
        <v>0</v>
      </c>
      <c r="FC117" s="139">
        <f t="shared" si="67"/>
        <v>0</v>
      </c>
      <c r="FD117" s="139">
        <f t="shared" si="68"/>
        <v>0</v>
      </c>
      <c r="FE117" s="139">
        <f t="shared" si="69"/>
        <v>0</v>
      </c>
      <c r="FF117" s="139">
        <f t="shared" si="70"/>
        <v>0</v>
      </c>
      <c r="FG117" s="139">
        <f t="shared" si="71"/>
        <v>0</v>
      </c>
      <c r="FH117" s="139">
        <f t="shared" si="72"/>
        <v>0</v>
      </c>
      <c r="FI117" s="139">
        <f t="shared" si="73"/>
        <v>0</v>
      </c>
      <c r="FJ117" s="139">
        <f t="shared" si="74"/>
        <v>0</v>
      </c>
      <c r="FK117" s="139">
        <f t="shared" si="75"/>
        <v>0</v>
      </c>
      <c r="FL117" s="139">
        <f t="shared" si="76"/>
        <v>0</v>
      </c>
      <c r="FM117" s="139">
        <f t="shared" si="77"/>
        <v>0</v>
      </c>
      <c r="FN117" s="139">
        <f t="shared" si="78"/>
        <v>0</v>
      </c>
      <c r="FO117" s="139">
        <f t="shared" si="79"/>
        <v>0</v>
      </c>
      <c r="FP117" s="139">
        <f t="shared" si="80"/>
        <v>0</v>
      </c>
      <c r="FQ117" s="139">
        <f t="shared" si="81"/>
        <v>0</v>
      </c>
      <c r="FR117" s="139">
        <f t="shared" si="82"/>
        <v>0</v>
      </c>
      <c r="FS117" s="139">
        <f t="shared" si="83"/>
        <v>0</v>
      </c>
      <c r="FT117" s="139">
        <f t="shared" si="84"/>
        <v>0</v>
      </c>
      <c r="FU117" s="148">
        <f t="shared" si="85"/>
        <v>105.51036506235555</v>
      </c>
      <c r="FV117" s="149"/>
      <c r="FY117" s="211">
        <v>112</v>
      </c>
      <c r="FZ117">
        <v>22.203792529286282</v>
      </c>
      <c r="GA117">
        <v>66.535431460123107</v>
      </c>
      <c r="GB117">
        <v>113.86550069733984</v>
      </c>
      <c r="GC117">
        <v>61.949291172652508</v>
      </c>
      <c r="GD117">
        <v>26.040860390317484</v>
      </c>
      <c r="GE117">
        <v>66.917382943417579</v>
      </c>
      <c r="GF117">
        <v>72.31692604324094</v>
      </c>
      <c r="GG117">
        <v>27.847915323335236</v>
      </c>
      <c r="GH117">
        <v>15.327887618359302</v>
      </c>
      <c r="GI117">
        <v>65.42239259576813</v>
      </c>
      <c r="GJ117"/>
      <c r="GK117"/>
      <c r="GL117"/>
      <c r="GM117"/>
    </row>
    <row r="118" spans="1:195" s="7" customFormat="1">
      <c r="A118" s="128"/>
      <c r="B118" s="76">
        <f ca="1">IF(C118="", "", RAND())</f>
        <v>1.9689527337839685E-2</v>
      </c>
      <c r="C118">
        <v>7</v>
      </c>
      <c r="D118">
        <v>39747</v>
      </c>
      <c r="E118">
        <v>0</v>
      </c>
      <c r="F118">
        <v>74.404761904761912</v>
      </c>
      <c r="G118">
        <v>297.61904761904765</v>
      </c>
      <c r="H118">
        <v>0</v>
      </c>
      <c r="I118">
        <v>10.416666666666666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 s="2"/>
      <c r="AK118" s="80"/>
      <c r="AL118" s="74"/>
      <c r="AM118" s="43">
        <v>102</v>
      </c>
      <c r="AN118">
        <v>209.77358230581748</v>
      </c>
      <c r="AO118">
        <v>59.375141536144426</v>
      </c>
      <c r="AP118">
        <v>444.21297507685733</v>
      </c>
      <c r="AQ118">
        <v>337.55104966415018</v>
      </c>
      <c r="AR118">
        <v>53.472093819659086</v>
      </c>
      <c r="AS118">
        <v>461.33308968637874</v>
      </c>
      <c r="AT118">
        <v>29.882380851277734</v>
      </c>
      <c r="AU118">
        <v>17.186316559093218</v>
      </c>
      <c r="AV118"/>
      <c r="AW118"/>
      <c r="AX118" s="128"/>
      <c r="AY118" s="76">
        <f t="shared" ca="1" si="86"/>
        <v>0.61946307931743161</v>
      </c>
      <c r="AZ118">
        <v>1</v>
      </c>
      <c r="BA118" s="129">
        <f>IF(AZ118="", "",$C$7)</f>
        <v>39747</v>
      </c>
      <c r="BB118">
        <v>0</v>
      </c>
      <c r="BC118">
        <v>0</v>
      </c>
      <c r="BD118">
        <v>0</v>
      </c>
      <c r="BE118">
        <v>0</v>
      </c>
      <c r="BF118">
        <v>8</v>
      </c>
      <c r="BG118">
        <v>1</v>
      </c>
      <c r="BH118">
        <v>1</v>
      </c>
      <c r="BI118">
        <v>0</v>
      </c>
      <c r="BJ118">
        <v>0</v>
      </c>
      <c r="BK118">
        <v>0</v>
      </c>
      <c r="BL118">
        <v>0</v>
      </c>
      <c r="BM118">
        <v>0</v>
      </c>
      <c r="BN118">
        <v>0</v>
      </c>
      <c r="BO118">
        <v>0</v>
      </c>
      <c r="BP118">
        <v>0</v>
      </c>
      <c r="BQ118">
        <v>0</v>
      </c>
      <c r="BR118">
        <v>0</v>
      </c>
      <c r="BS118">
        <v>0</v>
      </c>
      <c r="BT118">
        <v>0</v>
      </c>
      <c r="BU118">
        <v>0</v>
      </c>
      <c r="BV118">
        <v>0</v>
      </c>
      <c r="BW118">
        <v>0</v>
      </c>
      <c r="BX118">
        <v>0</v>
      </c>
      <c r="BY118">
        <v>0</v>
      </c>
      <c r="BZ118">
        <v>0</v>
      </c>
      <c r="CA118">
        <v>0</v>
      </c>
      <c r="CB118">
        <v>0</v>
      </c>
      <c r="CC118">
        <v>0</v>
      </c>
      <c r="CD118">
        <v>0</v>
      </c>
      <c r="CE118">
        <v>0</v>
      </c>
      <c r="CF118">
        <v>0</v>
      </c>
      <c r="CG118" s="147"/>
      <c r="CH118" s="176"/>
      <c r="CJ118" s="128"/>
      <c r="CK118" s="76">
        <f t="shared" ca="1" si="88"/>
        <v>0.89319876475635196</v>
      </c>
      <c r="CL118" s="179">
        <f t="shared" si="89"/>
        <v>1</v>
      </c>
      <c r="CM118" s="180">
        <f t="shared" si="90"/>
        <v>39747</v>
      </c>
      <c r="CN118">
        <v>0</v>
      </c>
      <c r="CO118">
        <v>2</v>
      </c>
      <c r="CP118">
        <v>2</v>
      </c>
      <c r="CQ118">
        <v>3</v>
      </c>
      <c r="CR118">
        <v>1</v>
      </c>
      <c r="CS118">
        <v>0</v>
      </c>
      <c r="CT118">
        <v>0</v>
      </c>
      <c r="CU118">
        <v>0</v>
      </c>
      <c r="CV118" s="160"/>
      <c r="CW118">
        <v>1</v>
      </c>
      <c r="CX118">
        <f>350/42</f>
        <v>8.3333333333333339</v>
      </c>
      <c r="CY118" s="160"/>
      <c r="CZ118" s="177">
        <f t="shared" si="91"/>
        <v>9.6000000000000002E-2</v>
      </c>
      <c r="DB118" s="128"/>
      <c r="DC118" s="76">
        <f t="shared" ca="1" si="49"/>
        <v>0.56160908297396017</v>
      </c>
      <c r="DD118">
        <f t="shared" si="92"/>
        <v>1</v>
      </c>
      <c r="DE118" s="129">
        <f t="shared" ref="DE118:DE127" si="128">IF((DD118)="", "", $C$7)</f>
        <v>39747</v>
      </c>
      <c r="DF118" s="161">
        <f t="shared" si="93"/>
        <v>0</v>
      </c>
      <c r="DG118" s="161">
        <f t="shared" si="94"/>
        <v>173.61111111111111</v>
      </c>
      <c r="DH118" s="161">
        <f t="shared" si="95"/>
        <v>173.61111111111111</v>
      </c>
      <c r="DI118" s="161">
        <f t="shared" si="96"/>
        <v>260.41666666666669</v>
      </c>
      <c r="DJ118" s="161">
        <f t="shared" si="97"/>
        <v>170.13888888888891</v>
      </c>
      <c r="DK118" s="161">
        <f t="shared" si="98"/>
        <v>10.416666666666666</v>
      </c>
      <c r="DL118" s="161">
        <f t="shared" si="99"/>
        <v>10.416666666666666</v>
      </c>
      <c r="DM118" s="161">
        <f t="shared" si="100"/>
        <v>0</v>
      </c>
      <c r="DN118" s="161">
        <f t="shared" si="101"/>
        <v>0</v>
      </c>
      <c r="DO118" s="161">
        <f t="shared" si="102"/>
        <v>0</v>
      </c>
      <c r="DP118" s="161">
        <f t="shared" si="103"/>
        <v>0</v>
      </c>
      <c r="DQ118" s="161">
        <f t="shared" si="104"/>
        <v>0</v>
      </c>
      <c r="DR118" s="161">
        <f t="shared" si="105"/>
        <v>0</v>
      </c>
      <c r="DS118" s="161">
        <f t="shared" si="106"/>
        <v>0</v>
      </c>
      <c r="DT118" s="161">
        <f t="shared" si="107"/>
        <v>0</v>
      </c>
      <c r="DU118" s="161">
        <f t="shared" si="108"/>
        <v>0</v>
      </c>
      <c r="DV118" s="161">
        <f t="shared" si="109"/>
        <v>0</v>
      </c>
      <c r="DW118" s="161">
        <f t="shared" si="110"/>
        <v>0</v>
      </c>
      <c r="DX118" s="161">
        <f t="shared" si="111"/>
        <v>0</v>
      </c>
      <c r="DY118" s="161">
        <f t="shared" si="112"/>
        <v>0</v>
      </c>
      <c r="DZ118" s="161">
        <f t="shared" si="113"/>
        <v>0</v>
      </c>
      <c r="EA118" s="161">
        <f t="shared" si="114"/>
        <v>0</v>
      </c>
      <c r="EB118" s="161">
        <f t="shared" si="115"/>
        <v>0</v>
      </c>
      <c r="EC118" s="161">
        <f t="shared" si="116"/>
        <v>0</v>
      </c>
      <c r="ED118" s="161">
        <f t="shared" si="117"/>
        <v>0</v>
      </c>
      <c r="EE118" s="161">
        <f t="shared" si="118"/>
        <v>0</v>
      </c>
      <c r="EF118" s="161">
        <f t="shared" si="119"/>
        <v>0</v>
      </c>
      <c r="EG118" s="161">
        <f t="shared" si="120"/>
        <v>0</v>
      </c>
      <c r="EH118" s="161">
        <f t="shared" si="121"/>
        <v>0</v>
      </c>
      <c r="EI118" s="161">
        <f t="shared" si="122"/>
        <v>0</v>
      </c>
      <c r="EJ118" s="161">
        <f t="shared" si="123"/>
        <v>0</v>
      </c>
      <c r="EK118" s="147">
        <f t="shared" si="53"/>
        <v>798.61111111111109</v>
      </c>
      <c r="EL118" s="149"/>
      <c r="EN118" s="146"/>
      <c r="EO118" s="146"/>
      <c r="EP118" s="139">
        <f t="shared" si="54"/>
        <v>0</v>
      </c>
      <c r="EQ118" s="139">
        <f t="shared" si="55"/>
        <v>1.7130902777777779</v>
      </c>
      <c r="ER118" s="139">
        <f t="shared" si="56"/>
        <v>12.813575369850986</v>
      </c>
      <c r="ES118" s="139">
        <f t="shared" si="57"/>
        <v>62.366950873228738</v>
      </c>
      <c r="ET118" s="139">
        <f t="shared" si="58"/>
        <v>93.926141296184099</v>
      </c>
      <c r="EU118" s="139">
        <f t="shared" si="59"/>
        <v>10.991106684284548</v>
      </c>
      <c r="EV118" s="139">
        <f t="shared" si="60"/>
        <v>18.659696712272744</v>
      </c>
      <c r="EW118" s="139">
        <f t="shared" si="61"/>
        <v>0</v>
      </c>
      <c r="EX118" s="139">
        <f t="shared" si="62"/>
        <v>0</v>
      </c>
      <c r="EY118" s="139">
        <f t="shared" si="63"/>
        <v>0</v>
      </c>
      <c r="EZ118" s="139">
        <f t="shared" si="64"/>
        <v>0</v>
      </c>
      <c r="FA118" s="139">
        <f t="shared" si="65"/>
        <v>0</v>
      </c>
      <c r="FB118" s="139">
        <f t="shared" si="66"/>
        <v>0</v>
      </c>
      <c r="FC118" s="139">
        <f t="shared" si="67"/>
        <v>0</v>
      </c>
      <c r="FD118" s="139">
        <f t="shared" si="68"/>
        <v>0</v>
      </c>
      <c r="FE118" s="139">
        <f t="shared" si="69"/>
        <v>0</v>
      </c>
      <c r="FF118" s="139">
        <f t="shared" si="70"/>
        <v>0</v>
      </c>
      <c r="FG118" s="139">
        <f t="shared" si="71"/>
        <v>0</v>
      </c>
      <c r="FH118" s="139">
        <f t="shared" si="72"/>
        <v>0</v>
      </c>
      <c r="FI118" s="139">
        <f t="shared" si="73"/>
        <v>0</v>
      </c>
      <c r="FJ118" s="139">
        <f t="shared" si="74"/>
        <v>0</v>
      </c>
      <c r="FK118" s="139">
        <f t="shared" si="75"/>
        <v>0</v>
      </c>
      <c r="FL118" s="139">
        <f t="shared" si="76"/>
        <v>0</v>
      </c>
      <c r="FM118" s="139">
        <f t="shared" si="77"/>
        <v>0</v>
      </c>
      <c r="FN118" s="139">
        <f t="shared" si="78"/>
        <v>0</v>
      </c>
      <c r="FO118" s="139">
        <f t="shared" si="79"/>
        <v>0</v>
      </c>
      <c r="FP118" s="139">
        <f t="shared" si="80"/>
        <v>0</v>
      </c>
      <c r="FQ118" s="139">
        <f t="shared" si="81"/>
        <v>0</v>
      </c>
      <c r="FR118" s="139">
        <f t="shared" si="82"/>
        <v>0</v>
      </c>
      <c r="FS118" s="139">
        <f t="shared" si="83"/>
        <v>0</v>
      </c>
      <c r="FT118" s="139">
        <f t="shared" si="84"/>
        <v>0</v>
      </c>
      <c r="FU118" s="148">
        <f t="shared" si="85"/>
        <v>200.47056121359887</v>
      </c>
      <c r="FV118" s="149"/>
      <c r="FY118" s="211">
        <v>113</v>
      </c>
      <c r="FZ118">
        <v>12.514709951802436</v>
      </c>
      <c r="GA118">
        <v>62.535752688163996</v>
      </c>
      <c r="GB118">
        <v>91.510960961476357</v>
      </c>
      <c r="GC118">
        <v>50.497718458944455</v>
      </c>
      <c r="GD118">
        <v>22.066599791835984</v>
      </c>
      <c r="GE118">
        <v>47.296313733775946</v>
      </c>
      <c r="GF118">
        <v>78.472123451348025</v>
      </c>
      <c r="GG118">
        <v>66.435188617791525</v>
      </c>
      <c r="GH118">
        <v>42.646321998939399</v>
      </c>
      <c r="GI118">
        <v>61.368586963797441</v>
      </c>
      <c r="GJ118"/>
      <c r="GK118"/>
      <c r="GL118"/>
      <c r="GM118"/>
    </row>
    <row r="119" spans="1:195" s="7" customFormat="1">
      <c r="A119" s="1"/>
      <c r="B119" s="76">
        <f ca="1">IF(C119="", "", RAND())</f>
        <v>0.67944435918851109</v>
      </c>
      <c r="C119">
        <v>3</v>
      </c>
      <c r="D119">
        <v>39747</v>
      </c>
      <c r="E119">
        <v>0</v>
      </c>
      <c r="F119">
        <v>0</v>
      </c>
      <c r="G119">
        <v>0</v>
      </c>
      <c r="H119">
        <v>10.416666666666666</v>
      </c>
      <c r="I119">
        <v>10.416666666666666</v>
      </c>
      <c r="J119">
        <v>0</v>
      </c>
      <c r="K119">
        <v>10.416666666666666</v>
      </c>
      <c r="L119">
        <v>10.416666666666666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 s="2"/>
      <c r="AK119" s="80"/>
      <c r="AL119" s="74"/>
      <c r="AM119" s="43">
        <v>103</v>
      </c>
      <c r="AN119">
        <v>219.67605556956158</v>
      </c>
      <c r="AO119">
        <v>73.254908928498082</v>
      </c>
      <c r="AP119">
        <v>454.02536045221859</v>
      </c>
      <c r="AQ119">
        <v>359.35242163204146</v>
      </c>
      <c r="AR119">
        <v>66.769224915410533</v>
      </c>
      <c r="AS119">
        <v>585.53247714582926</v>
      </c>
      <c r="AT119">
        <v>37.393072097601888</v>
      </c>
      <c r="AU119">
        <v>99.805479724331292</v>
      </c>
      <c r="AV119"/>
      <c r="AW119"/>
      <c r="AX119" s="146"/>
      <c r="AY119" s="76">
        <f t="shared" ca="1" si="86"/>
        <v>0.91731750592100281</v>
      </c>
      <c r="AZ119">
        <v>2</v>
      </c>
      <c r="BA119" s="129">
        <f t="shared" ref="BA119:BA127" si="129">IF(AZ119="", "",$C$7)</f>
        <v>39747</v>
      </c>
      <c r="BB119">
        <v>0</v>
      </c>
      <c r="BC119">
        <v>0</v>
      </c>
      <c r="BD119">
        <v>0</v>
      </c>
      <c r="BE119">
        <v>3</v>
      </c>
      <c r="BF119">
        <v>12</v>
      </c>
      <c r="BG119">
        <v>13</v>
      </c>
      <c r="BH119">
        <v>0</v>
      </c>
      <c r="BI119">
        <v>0</v>
      </c>
      <c r="BJ119">
        <v>0</v>
      </c>
      <c r="BK119">
        <v>0</v>
      </c>
      <c r="BL119">
        <v>0</v>
      </c>
      <c r="BM119">
        <v>0</v>
      </c>
      <c r="BN119">
        <v>0</v>
      </c>
      <c r="BO119">
        <v>0</v>
      </c>
      <c r="BP119">
        <v>0</v>
      </c>
      <c r="BQ119">
        <v>0</v>
      </c>
      <c r="BR119">
        <v>0</v>
      </c>
      <c r="BS119">
        <v>0</v>
      </c>
      <c r="BT119">
        <v>0</v>
      </c>
      <c r="BU119">
        <v>0</v>
      </c>
      <c r="BV119">
        <v>0</v>
      </c>
      <c r="BW119">
        <v>0</v>
      </c>
      <c r="BX119">
        <v>0</v>
      </c>
      <c r="BY119">
        <v>0</v>
      </c>
      <c r="BZ119">
        <v>0</v>
      </c>
      <c r="CA119">
        <v>0</v>
      </c>
      <c r="CB119">
        <v>0</v>
      </c>
      <c r="CC119">
        <v>0</v>
      </c>
      <c r="CD119">
        <v>0</v>
      </c>
      <c r="CE119">
        <v>0</v>
      </c>
      <c r="CF119">
        <v>0</v>
      </c>
      <c r="CG119" s="147"/>
      <c r="CH119" s="176"/>
      <c r="CJ119" s="146"/>
      <c r="CK119" s="76">
        <f t="shared" ca="1" si="88"/>
        <v>7.6269386918553117E-2</v>
      </c>
      <c r="CL119" s="179">
        <f t="shared" si="89"/>
        <v>2</v>
      </c>
      <c r="CM119" s="180">
        <f t="shared" si="90"/>
        <v>39747</v>
      </c>
      <c r="CN119">
        <v>0</v>
      </c>
      <c r="CO119">
        <v>0</v>
      </c>
      <c r="CP119">
        <v>2</v>
      </c>
      <c r="CQ119">
        <v>2</v>
      </c>
      <c r="CR119">
        <v>0</v>
      </c>
      <c r="CS119">
        <v>0</v>
      </c>
      <c r="CT119">
        <v>0</v>
      </c>
      <c r="CU119">
        <v>0</v>
      </c>
      <c r="CV119" s="160"/>
      <c r="CW119">
        <f>20/8</f>
        <v>2.5</v>
      </c>
      <c r="CX119">
        <f>350/40</f>
        <v>8.75</v>
      </c>
      <c r="CY119" s="160"/>
      <c r="CZ119" s="177">
        <f t="shared" si="91"/>
        <v>9.6000000000000002E-2</v>
      </c>
      <c r="DB119" s="146"/>
      <c r="DC119" s="76">
        <f t="shared" ca="1" si="49"/>
        <v>4.6384096274615816E-2</v>
      </c>
      <c r="DD119">
        <f t="shared" si="92"/>
        <v>2</v>
      </c>
      <c r="DE119" s="129">
        <f t="shared" si="128"/>
        <v>39747</v>
      </c>
      <c r="DF119" s="161">
        <f t="shared" si="93"/>
        <v>0</v>
      </c>
      <c r="DG119" s="161">
        <f t="shared" si="94"/>
        <v>0</v>
      </c>
      <c r="DH119" s="161">
        <f t="shared" si="95"/>
        <v>182.29166666666666</v>
      </c>
      <c r="DI119" s="161">
        <f t="shared" si="96"/>
        <v>260.41666666666669</v>
      </c>
      <c r="DJ119" s="161">
        <f t="shared" si="97"/>
        <v>312.5</v>
      </c>
      <c r="DK119" s="161">
        <f t="shared" si="98"/>
        <v>338.54166666666669</v>
      </c>
      <c r="DL119" s="161">
        <f t="shared" si="99"/>
        <v>0</v>
      </c>
      <c r="DM119" s="161">
        <f t="shared" si="100"/>
        <v>0</v>
      </c>
      <c r="DN119" s="161">
        <f t="shared" si="101"/>
        <v>0</v>
      </c>
      <c r="DO119" s="161">
        <f t="shared" si="102"/>
        <v>0</v>
      </c>
      <c r="DP119" s="161">
        <f t="shared" si="103"/>
        <v>0</v>
      </c>
      <c r="DQ119" s="161">
        <f t="shared" si="104"/>
        <v>0</v>
      </c>
      <c r="DR119" s="161">
        <f t="shared" si="105"/>
        <v>0</v>
      </c>
      <c r="DS119" s="161">
        <f t="shared" si="106"/>
        <v>0</v>
      </c>
      <c r="DT119" s="161">
        <f t="shared" si="107"/>
        <v>0</v>
      </c>
      <c r="DU119" s="161">
        <f t="shared" si="108"/>
        <v>0</v>
      </c>
      <c r="DV119" s="161">
        <f t="shared" si="109"/>
        <v>0</v>
      </c>
      <c r="DW119" s="161">
        <f t="shared" si="110"/>
        <v>0</v>
      </c>
      <c r="DX119" s="161">
        <f t="shared" si="111"/>
        <v>0</v>
      </c>
      <c r="DY119" s="161">
        <f t="shared" si="112"/>
        <v>0</v>
      </c>
      <c r="DZ119" s="161">
        <f t="shared" si="113"/>
        <v>0</v>
      </c>
      <c r="EA119" s="161">
        <f t="shared" si="114"/>
        <v>0</v>
      </c>
      <c r="EB119" s="161">
        <f t="shared" si="115"/>
        <v>0</v>
      </c>
      <c r="EC119" s="161">
        <f t="shared" si="116"/>
        <v>0</v>
      </c>
      <c r="ED119" s="161">
        <f t="shared" si="117"/>
        <v>0</v>
      </c>
      <c r="EE119" s="161">
        <f t="shared" si="118"/>
        <v>0</v>
      </c>
      <c r="EF119" s="161">
        <f t="shared" si="119"/>
        <v>0</v>
      </c>
      <c r="EG119" s="161">
        <f t="shared" si="120"/>
        <v>0</v>
      </c>
      <c r="EH119" s="161">
        <f t="shared" si="121"/>
        <v>0</v>
      </c>
      <c r="EI119" s="161">
        <f t="shared" si="122"/>
        <v>0</v>
      </c>
      <c r="EJ119" s="161">
        <f t="shared" si="123"/>
        <v>0</v>
      </c>
      <c r="EK119" s="147">
        <f t="shared" si="53"/>
        <v>1093.75</v>
      </c>
      <c r="EL119" s="149"/>
      <c r="EN119" s="146"/>
      <c r="EO119" s="146"/>
      <c r="EP119" s="139">
        <f t="shared" si="54"/>
        <v>0</v>
      </c>
      <c r="EQ119" s="139">
        <f t="shared" si="55"/>
        <v>0</v>
      </c>
      <c r="ER119" s="139">
        <f t="shared" si="56"/>
        <v>13.454254138343533</v>
      </c>
      <c r="ES119" s="139">
        <f t="shared" si="57"/>
        <v>62.366950873228738</v>
      </c>
      <c r="ET119" s="139">
        <f t="shared" si="58"/>
        <v>172.51740238074626</v>
      </c>
      <c r="EU119" s="139">
        <f t="shared" si="59"/>
        <v>357.21096723924785</v>
      </c>
      <c r="EV119" s="139">
        <f t="shared" si="60"/>
        <v>0</v>
      </c>
      <c r="EW119" s="139">
        <f t="shared" si="61"/>
        <v>0</v>
      </c>
      <c r="EX119" s="139">
        <f t="shared" si="62"/>
        <v>0</v>
      </c>
      <c r="EY119" s="139">
        <f t="shared" si="63"/>
        <v>0</v>
      </c>
      <c r="EZ119" s="139">
        <f t="shared" si="64"/>
        <v>0</v>
      </c>
      <c r="FA119" s="139">
        <f t="shared" si="65"/>
        <v>0</v>
      </c>
      <c r="FB119" s="139">
        <f t="shared" si="66"/>
        <v>0</v>
      </c>
      <c r="FC119" s="139">
        <f t="shared" si="67"/>
        <v>0</v>
      </c>
      <c r="FD119" s="139">
        <f t="shared" si="68"/>
        <v>0</v>
      </c>
      <c r="FE119" s="139">
        <f t="shared" si="69"/>
        <v>0</v>
      </c>
      <c r="FF119" s="139">
        <f t="shared" si="70"/>
        <v>0</v>
      </c>
      <c r="FG119" s="139">
        <f t="shared" si="71"/>
        <v>0</v>
      </c>
      <c r="FH119" s="139">
        <f t="shared" si="72"/>
        <v>0</v>
      </c>
      <c r="FI119" s="139">
        <f t="shared" si="73"/>
        <v>0</v>
      </c>
      <c r="FJ119" s="139">
        <f t="shared" si="74"/>
        <v>0</v>
      </c>
      <c r="FK119" s="139">
        <f t="shared" si="75"/>
        <v>0</v>
      </c>
      <c r="FL119" s="139">
        <f t="shared" si="76"/>
        <v>0</v>
      </c>
      <c r="FM119" s="139">
        <f t="shared" si="77"/>
        <v>0</v>
      </c>
      <c r="FN119" s="139">
        <f t="shared" si="78"/>
        <v>0</v>
      </c>
      <c r="FO119" s="139">
        <f t="shared" si="79"/>
        <v>0</v>
      </c>
      <c r="FP119" s="139">
        <f t="shared" si="80"/>
        <v>0</v>
      </c>
      <c r="FQ119" s="139">
        <f t="shared" si="81"/>
        <v>0</v>
      </c>
      <c r="FR119" s="139">
        <f t="shared" si="82"/>
        <v>0</v>
      </c>
      <c r="FS119" s="139">
        <f t="shared" si="83"/>
        <v>0</v>
      </c>
      <c r="FT119" s="139">
        <f t="shared" si="84"/>
        <v>0</v>
      </c>
      <c r="FU119" s="148">
        <f t="shared" si="85"/>
        <v>605.54957463156643</v>
      </c>
      <c r="FV119" s="149"/>
      <c r="FY119" s="211">
        <v>114</v>
      </c>
      <c r="FZ119">
        <v>18.072512147265805</v>
      </c>
      <c r="GA119">
        <v>39.764563029151951</v>
      </c>
      <c r="GB119">
        <v>76.11348386489361</v>
      </c>
      <c r="GC119">
        <v>45.677333634385135</v>
      </c>
      <c r="GD119">
        <v>19.440278557049947</v>
      </c>
      <c r="GE119">
        <v>41.047658153933803</v>
      </c>
      <c r="GF119">
        <v>104.74764480460769</v>
      </c>
      <c r="GG119">
        <v>80.115583231113973</v>
      </c>
      <c r="GH119">
        <v>16.046828407921236</v>
      </c>
      <c r="GI119">
        <v>59.077433194723199</v>
      </c>
      <c r="GJ119"/>
      <c r="GK119"/>
      <c r="GL119"/>
      <c r="GM119"/>
    </row>
    <row r="120" spans="1:195" s="7" customFormat="1">
      <c r="A120" s="1"/>
      <c r="B120" s="76">
        <f ca="1">IF(C120="", "", RAND())</f>
        <v>5.606470341244485E-2</v>
      </c>
      <c r="C120">
        <v>4</v>
      </c>
      <c r="D120">
        <v>39747</v>
      </c>
      <c r="E120">
        <v>0</v>
      </c>
      <c r="F120">
        <v>188.57758620689654</v>
      </c>
      <c r="G120">
        <v>502.87356321839076</v>
      </c>
      <c r="H120">
        <v>216.98667711598745</v>
      </c>
      <c r="I120">
        <v>198.86363636363635</v>
      </c>
      <c r="J120">
        <v>56.818181818181813</v>
      </c>
      <c r="K120">
        <v>0</v>
      </c>
      <c r="L120">
        <v>28.409090909090907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 s="2"/>
      <c r="AK120" s="80"/>
      <c r="AL120" s="74"/>
      <c r="AM120" s="43">
        <v>104</v>
      </c>
      <c r="AN120">
        <v>255.25621858247587</v>
      </c>
      <c r="AO120">
        <v>96.046436926961604</v>
      </c>
      <c r="AP120">
        <v>636.82114675127798</v>
      </c>
      <c r="AQ120">
        <v>499.70772803767801</v>
      </c>
      <c r="AR120">
        <v>86.114630753787992</v>
      </c>
      <c r="AS120">
        <v>693.82510381989732</v>
      </c>
      <c r="AT120">
        <v>49.980715176806534</v>
      </c>
      <c r="AU120">
        <v>9.1012895712355366</v>
      </c>
      <c r="AV120"/>
      <c r="AW120"/>
      <c r="AX120" s="146"/>
      <c r="AY120" s="76">
        <f t="shared" ca="1" si="86"/>
        <v>0.99727016337980778</v>
      </c>
      <c r="AZ120">
        <v>3</v>
      </c>
      <c r="BA120" s="129">
        <f t="shared" si="129"/>
        <v>39747</v>
      </c>
      <c r="BB120">
        <v>0</v>
      </c>
      <c r="BC120">
        <v>0</v>
      </c>
      <c r="BD120">
        <v>0</v>
      </c>
      <c r="BE120">
        <v>1</v>
      </c>
      <c r="BF120">
        <v>1</v>
      </c>
      <c r="BG120">
        <v>0</v>
      </c>
      <c r="BH120">
        <v>1</v>
      </c>
      <c r="BI120">
        <v>1</v>
      </c>
      <c r="BJ120">
        <v>0</v>
      </c>
      <c r="BK120">
        <v>0</v>
      </c>
      <c r="BL120">
        <v>0</v>
      </c>
      <c r="BM120">
        <v>0</v>
      </c>
      <c r="BN120">
        <v>0</v>
      </c>
      <c r="BO120">
        <v>0</v>
      </c>
      <c r="BP120">
        <v>0</v>
      </c>
      <c r="BQ120">
        <v>0</v>
      </c>
      <c r="BR120">
        <v>0</v>
      </c>
      <c r="BS120">
        <v>0</v>
      </c>
      <c r="BT120">
        <v>0</v>
      </c>
      <c r="BU120">
        <v>0</v>
      </c>
      <c r="BV120">
        <v>0</v>
      </c>
      <c r="BW120">
        <v>0</v>
      </c>
      <c r="BX120">
        <v>0</v>
      </c>
      <c r="BY120">
        <v>0</v>
      </c>
      <c r="BZ120">
        <v>0</v>
      </c>
      <c r="CA120">
        <v>0</v>
      </c>
      <c r="CB120">
        <v>0</v>
      </c>
      <c r="CC120">
        <v>0</v>
      </c>
      <c r="CD120">
        <v>0</v>
      </c>
      <c r="CE120">
        <v>0</v>
      </c>
      <c r="CF120">
        <v>0</v>
      </c>
      <c r="CG120" s="147"/>
      <c r="CH120" s="176"/>
      <c r="CJ120" s="146"/>
      <c r="CK120" s="76">
        <f t="shared" ca="1" si="88"/>
        <v>0.60434825599701547</v>
      </c>
      <c r="CL120" s="179">
        <f t="shared" si="89"/>
        <v>3</v>
      </c>
      <c r="CM120" s="180">
        <f t="shared" si="90"/>
        <v>39747</v>
      </c>
      <c r="CN120">
        <v>0</v>
      </c>
      <c r="CO120">
        <v>0</v>
      </c>
      <c r="CP120">
        <v>0</v>
      </c>
      <c r="CQ120">
        <v>0</v>
      </c>
      <c r="CR120">
        <v>0</v>
      </c>
      <c r="CS120">
        <v>0</v>
      </c>
      <c r="CT120">
        <v>0</v>
      </c>
      <c r="CU120">
        <v>0</v>
      </c>
      <c r="CV120" s="160"/>
      <c r="CW120">
        <v>1</v>
      </c>
      <c r="CX120">
        <v>1</v>
      </c>
      <c r="CY120" s="160"/>
      <c r="CZ120" s="177">
        <f t="shared" si="91"/>
        <v>9.6000000000000002E-2</v>
      </c>
      <c r="DB120" s="146"/>
      <c r="DC120" s="76">
        <f t="shared" ca="1" si="49"/>
        <v>0.65653662620405751</v>
      </c>
      <c r="DD120">
        <f t="shared" si="92"/>
        <v>3</v>
      </c>
      <c r="DE120" s="129">
        <f t="shared" si="128"/>
        <v>39747</v>
      </c>
      <c r="DF120" s="161">
        <f t="shared" si="93"/>
        <v>0</v>
      </c>
      <c r="DG120" s="161">
        <f t="shared" si="94"/>
        <v>0</v>
      </c>
      <c r="DH120" s="161">
        <f t="shared" si="95"/>
        <v>0</v>
      </c>
      <c r="DI120" s="161">
        <f t="shared" si="96"/>
        <v>10.416666666666666</v>
      </c>
      <c r="DJ120" s="161">
        <f t="shared" si="97"/>
        <v>10.416666666666666</v>
      </c>
      <c r="DK120" s="161">
        <f t="shared" si="98"/>
        <v>0</v>
      </c>
      <c r="DL120" s="161">
        <f t="shared" si="99"/>
        <v>10.416666666666666</v>
      </c>
      <c r="DM120" s="161">
        <f t="shared" si="100"/>
        <v>10.416666666666666</v>
      </c>
      <c r="DN120" s="161">
        <f t="shared" si="101"/>
        <v>0</v>
      </c>
      <c r="DO120" s="161">
        <f t="shared" si="102"/>
        <v>0</v>
      </c>
      <c r="DP120" s="161">
        <f t="shared" si="103"/>
        <v>0</v>
      </c>
      <c r="DQ120" s="161">
        <f t="shared" si="104"/>
        <v>0</v>
      </c>
      <c r="DR120" s="161">
        <f t="shared" si="105"/>
        <v>0</v>
      </c>
      <c r="DS120" s="161">
        <f t="shared" si="106"/>
        <v>0</v>
      </c>
      <c r="DT120" s="161">
        <f t="shared" si="107"/>
        <v>0</v>
      </c>
      <c r="DU120" s="161">
        <f t="shared" si="108"/>
        <v>0</v>
      </c>
      <c r="DV120" s="161">
        <f t="shared" si="109"/>
        <v>0</v>
      </c>
      <c r="DW120" s="161">
        <f t="shared" si="110"/>
        <v>0</v>
      </c>
      <c r="DX120" s="161">
        <f t="shared" si="111"/>
        <v>0</v>
      </c>
      <c r="DY120" s="161">
        <f t="shared" si="112"/>
        <v>0</v>
      </c>
      <c r="DZ120" s="161">
        <f t="shared" si="113"/>
        <v>0</v>
      </c>
      <c r="EA120" s="161">
        <f t="shared" si="114"/>
        <v>0</v>
      </c>
      <c r="EB120" s="161">
        <f t="shared" si="115"/>
        <v>0</v>
      </c>
      <c r="EC120" s="161">
        <f t="shared" si="116"/>
        <v>0</v>
      </c>
      <c r="ED120" s="161">
        <f t="shared" si="117"/>
        <v>0</v>
      </c>
      <c r="EE120" s="161">
        <f t="shared" si="118"/>
        <v>0</v>
      </c>
      <c r="EF120" s="161">
        <f t="shared" si="119"/>
        <v>0</v>
      </c>
      <c r="EG120" s="161">
        <f t="shared" si="120"/>
        <v>0</v>
      </c>
      <c r="EH120" s="161">
        <f t="shared" si="121"/>
        <v>0</v>
      </c>
      <c r="EI120" s="161">
        <f t="shared" si="122"/>
        <v>0</v>
      </c>
      <c r="EJ120" s="161">
        <f t="shared" si="123"/>
        <v>0</v>
      </c>
      <c r="EK120" s="147">
        <f t="shared" ref="EK120:EK151" si="130">IF(DF120="", "", SUM(DF120:EJ120))</f>
        <v>41.666666666666664</v>
      </c>
      <c r="EL120" s="149"/>
      <c r="EN120" s="146"/>
      <c r="EO120" s="146"/>
      <c r="EP120" s="139">
        <f t="shared" ref="EP120:EP151" si="131">IF(DF120="", "", DF120*G$36)</f>
        <v>0</v>
      </c>
      <c r="EQ120" s="139">
        <f t="shared" ref="EQ120:EQ151" si="132">IF(DG120="", "", DG120*H$36)</f>
        <v>0</v>
      </c>
      <c r="ER120" s="139">
        <f t="shared" ref="ER120:ER151" si="133">IF(DH120="", "", DH120*I$36)</f>
        <v>0</v>
      </c>
      <c r="ES120" s="139">
        <f t="shared" ref="ES120:ES151" si="134">IF(DI120="", "", DI120*J$36)</f>
        <v>2.4946780349291493</v>
      </c>
      <c r="ET120" s="139">
        <f t="shared" ref="ET120:ET151" si="135">IF(DJ120="", "", DJ120*K$36)</f>
        <v>5.7505800793582091</v>
      </c>
      <c r="EU120" s="139">
        <f t="shared" ref="EU120:EU151" si="136">IF(DK120="", "", DK120*L$36)</f>
        <v>0</v>
      </c>
      <c r="EV120" s="139">
        <f t="shared" ref="EV120:EV151" si="137">IF(DL120="", "", DL120*M$36)</f>
        <v>18.659696712272744</v>
      </c>
      <c r="EW120" s="139">
        <f t="shared" ref="EW120:EW151" si="138">IF(DM120="", "", DM120*N$36)</f>
        <v>29.19114370406179</v>
      </c>
      <c r="EX120" s="139">
        <f t="shared" ref="EX120:EX151" si="139">IF(DN120="", "", DN120*O$36)</f>
        <v>0</v>
      </c>
      <c r="EY120" s="139">
        <f t="shared" ref="EY120:EY151" si="140">IF(DO120="", "", DO120*P$36)</f>
        <v>0</v>
      </c>
      <c r="EZ120" s="139">
        <f t="shared" ref="EZ120:EZ151" si="141">IF(DP120="", "", DP120*Q$36)</f>
        <v>0</v>
      </c>
      <c r="FA120" s="139">
        <f t="shared" ref="FA120:FA151" si="142">IF(DQ120="", "", DQ120*R$36)</f>
        <v>0</v>
      </c>
      <c r="FB120" s="139">
        <f t="shared" ref="FB120:FB151" si="143">IF(DR120="", "", DR120*S$36)</f>
        <v>0</v>
      </c>
      <c r="FC120" s="139">
        <f t="shared" ref="FC120:FC151" si="144">IF(DS120="", "", DS120*T$36)</f>
        <v>0</v>
      </c>
      <c r="FD120" s="139">
        <f t="shared" ref="FD120:FD151" si="145">IF(DT120="", "", DT120*U$36)</f>
        <v>0</v>
      </c>
      <c r="FE120" s="139">
        <f t="shared" ref="FE120:FE151" si="146">IF(DU120="", "", DU120*V$36)</f>
        <v>0</v>
      </c>
      <c r="FF120" s="139">
        <f t="shared" ref="FF120:FF151" si="147">IF(DV120="", "", DV120*W$36)</f>
        <v>0</v>
      </c>
      <c r="FG120" s="139">
        <f t="shared" ref="FG120:FG151" si="148">IF(DW120="", "", DW120*X$36)</f>
        <v>0</v>
      </c>
      <c r="FH120" s="139">
        <f t="shared" ref="FH120:FH151" si="149">IF(DX120="", "", DX120*Y$36)</f>
        <v>0</v>
      </c>
      <c r="FI120" s="139">
        <f t="shared" ref="FI120:FI151" si="150">IF(DY120="", "", DY120*Z$36)</f>
        <v>0</v>
      </c>
      <c r="FJ120" s="139">
        <f t="shared" ref="FJ120:FJ151" si="151">IF(DZ120="", "", DZ120*AA$36)</f>
        <v>0</v>
      </c>
      <c r="FK120" s="139">
        <f t="shared" ref="FK120:FK151" si="152">IF(EA120="", "", EA120*AB$36)</f>
        <v>0</v>
      </c>
      <c r="FL120" s="139">
        <f t="shared" ref="FL120:FL151" si="153">IF(EB120="", "", EB120*AC$36)</f>
        <v>0</v>
      </c>
      <c r="FM120" s="139">
        <f t="shared" ref="FM120:FM151" si="154">IF(EC120="", "", EC120*AD$36)</f>
        <v>0</v>
      </c>
      <c r="FN120" s="139">
        <f t="shared" ref="FN120:FN151" si="155">IF(ED120="", "", ED120*AE$36)</f>
        <v>0</v>
      </c>
      <c r="FO120" s="139">
        <f t="shared" ref="FO120:FO151" si="156">IF(EE120="", "", EE120*AF$36)</f>
        <v>0</v>
      </c>
      <c r="FP120" s="139">
        <f t="shared" ref="FP120:FP151" si="157">IF(EF120="", "", EF120*AG$36)</f>
        <v>0</v>
      </c>
      <c r="FQ120" s="139">
        <f t="shared" ref="FQ120:FQ151" si="158">IF(EG120="", "", EG120*AH$36)</f>
        <v>0</v>
      </c>
      <c r="FR120" s="139">
        <f t="shared" ref="FR120:FR151" si="159">IF(EH120="", "", EH120*AI$36)</f>
        <v>0</v>
      </c>
      <c r="FS120" s="139">
        <f t="shared" ref="FS120:FS151" si="160">IF(EI120="", "", EI120*AJ$36)</f>
        <v>0</v>
      </c>
      <c r="FT120" s="139">
        <f t="shared" ref="FT120:FT151" si="161">IF(EJ120="", "", EJ120*AK$36)</f>
        <v>0</v>
      </c>
      <c r="FU120" s="148">
        <f t="shared" ref="FU120:FU151" si="162">IF(EP120="","",SUM(EP120:FT120))</f>
        <v>56.096098530621887</v>
      </c>
      <c r="FV120" s="149"/>
      <c r="FY120" s="211">
        <v>115</v>
      </c>
      <c r="FZ120">
        <v>40.968133785076603</v>
      </c>
      <c r="GA120">
        <v>83.260556330778513</v>
      </c>
      <c r="GB120">
        <v>81.483622156373144</v>
      </c>
      <c r="GC120">
        <v>47.979250837372113</v>
      </c>
      <c r="GD120">
        <v>27.089237969480568</v>
      </c>
      <c r="GE120">
        <v>38.466573890676734</v>
      </c>
      <c r="GF120">
        <v>55.27376850145081</v>
      </c>
      <c r="GG120">
        <v>59.726898982962666</v>
      </c>
      <c r="GH120">
        <v>24.232001394174503</v>
      </c>
      <c r="GI120">
        <v>58.937318209193847</v>
      </c>
      <c r="GJ120"/>
      <c r="GK120"/>
      <c r="GL120"/>
      <c r="GM120"/>
    </row>
    <row r="121" spans="1:195" s="7" customFormat="1">
      <c r="A121" s="1"/>
      <c r="B121" s="76">
        <f ca="1">IF(C121="", "", RAND())</f>
        <v>0.72680392689905737</v>
      </c>
      <c r="C121">
        <v>2</v>
      </c>
      <c r="D121">
        <v>39747</v>
      </c>
      <c r="E121">
        <v>0</v>
      </c>
      <c r="F121">
        <v>0</v>
      </c>
      <c r="G121">
        <v>182.29166666666666</v>
      </c>
      <c r="H121">
        <v>260.41666666666669</v>
      </c>
      <c r="I121">
        <v>312.5</v>
      </c>
      <c r="J121">
        <v>338.54166666666669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 s="2"/>
      <c r="AK121" s="80"/>
      <c r="AL121" s="74"/>
      <c r="AM121" s="43">
        <v>105</v>
      </c>
      <c r="AN121">
        <v>235.55045400422165</v>
      </c>
      <c r="AO121">
        <v>88.613121403076264</v>
      </c>
      <c r="AP121">
        <v>605.5551733273013</v>
      </c>
      <c r="AQ121">
        <v>459.47796005316081</v>
      </c>
      <c r="AR121">
        <v>79.763409088430919</v>
      </c>
      <c r="AS121">
        <v>628.04241936220433</v>
      </c>
      <c r="AT121">
        <v>42.976695475502702</v>
      </c>
      <c r="AU121">
        <v>88.899112943733257</v>
      </c>
      <c r="AV121"/>
      <c r="AW121"/>
      <c r="AX121" s="146"/>
      <c r="AY121" s="76">
        <f t="shared" ca="1" si="86"/>
        <v>0.61879311729458308</v>
      </c>
      <c r="AZ121">
        <v>4</v>
      </c>
      <c r="BA121" s="129">
        <f t="shared" si="129"/>
        <v>39747</v>
      </c>
      <c r="BB121">
        <v>0</v>
      </c>
      <c r="BC121">
        <v>0</v>
      </c>
      <c r="BD121">
        <v>0</v>
      </c>
      <c r="BE121">
        <v>1</v>
      </c>
      <c r="BF121">
        <v>7</v>
      </c>
      <c r="BG121">
        <v>2</v>
      </c>
      <c r="BH121">
        <v>0</v>
      </c>
      <c r="BI121">
        <v>1</v>
      </c>
      <c r="BJ121">
        <v>0</v>
      </c>
      <c r="BK121">
        <v>0</v>
      </c>
      <c r="BL121">
        <v>0</v>
      </c>
      <c r="BM121">
        <v>0</v>
      </c>
      <c r="BN121">
        <v>0</v>
      </c>
      <c r="BO121">
        <v>0</v>
      </c>
      <c r="BP121">
        <v>0</v>
      </c>
      <c r="BQ121">
        <v>0</v>
      </c>
      <c r="BR121">
        <v>0</v>
      </c>
      <c r="BS121">
        <v>0</v>
      </c>
      <c r="BT121">
        <v>0</v>
      </c>
      <c r="BU121">
        <v>0</v>
      </c>
      <c r="BV121">
        <v>0</v>
      </c>
      <c r="BW121">
        <v>0</v>
      </c>
      <c r="BX121">
        <v>0</v>
      </c>
      <c r="BY121">
        <v>0</v>
      </c>
      <c r="BZ121">
        <v>0</v>
      </c>
      <c r="CA121">
        <v>0</v>
      </c>
      <c r="CB121">
        <v>0</v>
      </c>
      <c r="CC121">
        <v>0</v>
      </c>
      <c r="CD121">
        <v>0</v>
      </c>
      <c r="CE121">
        <v>0</v>
      </c>
      <c r="CF121">
        <v>0</v>
      </c>
      <c r="CG121" s="147"/>
      <c r="CH121" s="176"/>
      <c r="CJ121" s="146"/>
      <c r="CK121" s="76">
        <f t="shared" ca="1" si="88"/>
        <v>0.97642353171098684</v>
      </c>
      <c r="CL121" s="179">
        <f t="shared" si="89"/>
        <v>4</v>
      </c>
      <c r="CM121" s="180">
        <f t="shared" si="90"/>
        <v>39747</v>
      </c>
      <c r="CN121">
        <v>0</v>
      </c>
      <c r="CO121">
        <v>3</v>
      </c>
      <c r="CP121">
        <v>8</v>
      </c>
      <c r="CQ121">
        <v>3</v>
      </c>
      <c r="CR121">
        <v>0</v>
      </c>
      <c r="CS121">
        <v>0</v>
      </c>
      <c r="CT121">
        <v>0</v>
      </c>
      <c r="CU121">
        <v>0</v>
      </c>
      <c r="CV121" s="160"/>
      <c r="CW121" s="178">
        <f>30/11</f>
        <v>2.7272727272727271</v>
      </c>
      <c r="CX121">
        <f>350/58</f>
        <v>6.0344827586206895</v>
      </c>
      <c r="CY121" s="160"/>
      <c r="CZ121" s="177">
        <f t="shared" si="91"/>
        <v>9.6000000000000002E-2</v>
      </c>
      <c r="DB121" s="146"/>
      <c r="DC121" s="76">
        <f t="shared" ca="1" si="49"/>
        <v>0.98678548028568658</v>
      </c>
      <c r="DD121">
        <f t="shared" si="92"/>
        <v>4</v>
      </c>
      <c r="DE121" s="129">
        <f t="shared" si="128"/>
        <v>39747</v>
      </c>
      <c r="DF121" s="161">
        <f t="shared" si="93"/>
        <v>0</v>
      </c>
      <c r="DG121" s="161">
        <f t="shared" si="94"/>
        <v>188.57758620689654</v>
      </c>
      <c r="DH121" s="161">
        <f t="shared" si="95"/>
        <v>502.87356321839076</v>
      </c>
      <c r="DI121" s="161">
        <f t="shared" si="96"/>
        <v>216.98667711598745</v>
      </c>
      <c r="DJ121" s="161">
        <f t="shared" si="97"/>
        <v>198.86363636363635</v>
      </c>
      <c r="DK121" s="161">
        <f t="shared" si="98"/>
        <v>56.818181818181813</v>
      </c>
      <c r="DL121" s="161">
        <f t="shared" si="99"/>
        <v>0</v>
      </c>
      <c r="DM121" s="161">
        <f t="shared" si="100"/>
        <v>28.409090909090907</v>
      </c>
      <c r="DN121" s="161">
        <f t="shared" si="101"/>
        <v>0</v>
      </c>
      <c r="DO121" s="161">
        <f t="shared" si="102"/>
        <v>0</v>
      </c>
      <c r="DP121" s="161">
        <f t="shared" si="103"/>
        <v>0</v>
      </c>
      <c r="DQ121" s="161">
        <f t="shared" si="104"/>
        <v>0</v>
      </c>
      <c r="DR121" s="161">
        <f t="shared" si="105"/>
        <v>0</v>
      </c>
      <c r="DS121" s="161">
        <f t="shared" si="106"/>
        <v>0</v>
      </c>
      <c r="DT121" s="161">
        <f t="shared" si="107"/>
        <v>0</v>
      </c>
      <c r="DU121" s="161">
        <f t="shared" si="108"/>
        <v>0</v>
      </c>
      <c r="DV121" s="161">
        <f t="shared" si="109"/>
        <v>0</v>
      </c>
      <c r="DW121" s="161">
        <f t="shared" si="110"/>
        <v>0</v>
      </c>
      <c r="DX121" s="161">
        <f t="shared" si="111"/>
        <v>0</v>
      </c>
      <c r="DY121" s="161">
        <f t="shared" si="112"/>
        <v>0</v>
      </c>
      <c r="DZ121" s="161">
        <f t="shared" si="113"/>
        <v>0</v>
      </c>
      <c r="EA121" s="161">
        <f t="shared" si="114"/>
        <v>0</v>
      </c>
      <c r="EB121" s="161">
        <f t="shared" si="115"/>
        <v>0</v>
      </c>
      <c r="EC121" s="161">
        <f t="shared" si="116"/>
        <v>0</v>
      </c>
      <c r="ED121" s="161">
        <f t="shared" si="117"/>
        <v>0</v>
      </c>
      <c r="EE121" s="161">
        <f t="shared" si="118"/>
        <v>0</v>
      </c>
      <c r="EF121" s="161">
        <f t="shared" si="119"/>
        <v>0</v>
      </c>
      <c r="EG121" s="161">
        <f t="shared" si="120"/>
        <v>0</v>
      </c>
      <c r="EH121" s="161">
        <f t="shared" si="121"/>
        <v>0</v>
      </c>
      <c r="EI121" s="161">
        <f t="shared" si="122"/>
        <v>0</v>
      </c>
      <c r="EJ121" s="161">
        <f t="shared" si="123"/>
        <v>0</v>
      </c>
      <c r="EK121" s="147">
        <f t="shared" si="130"/>
        <v>1192.5287356321837</v>
      </c>
      <c r="EL121" s="149"/>
      <c r="EN121" s="146"/>
      <c r="EO121" s="146"/>
      <c r="EP121" s="139">
        <f t="shared" si="131"/>
        <v>0</v>
      </c>
      <c r="EQ121" s="139">
        <f t="shared" si="132"/>
        <v>1.860770474137931</v>
      </c>
      <c r="ER121" s="139">
        <f t="shared" si="133"/>
        <v>37.115183829913192</v>
      </c>
      <c r="ES121" s="139">
        <f t="shared" si="134"/>
        <v>51.965942138257674</v>
      </c>
      <c r="ET121" s="139">
        <f t="shared" si="135"/>
        <v>109.78380151502034</v>
      </c>
      <c r="EU121" s="139">
        <f t="shared" si="136"/>
        <v>59.951491005188444</v>
      </c>
      <c r="EV121" s="139">
        <f t="shared" si="137"/>
        <v>0</v>
      </c>
      <c r="EW121" s="139">
        <f t="shared" si="138"/>
        <v>79.612210101986705</v>
      </c>
      <c r="EX121" s="139">
        <f t="shared" si="139"/>
        <v>0</v>
      </c>
      <c r="EY121" s="139">
        <f t="shared" si="140"/>
        <v>0</v>
      </c>
      <c r="EZ121" s="139">
        <f t="shared" si="141"/>
        <v>0</v>
      </c>
      <c r="FA121" s="139">
        <f t="shared" si="142"/>
        <v>0</v>
      </c>
      <c r="FB121" s="139">
        <f t="shared" si="143"/>
        <v>0</v>
      </c>
      <c r="FC121" s="139">
        <f t="shared" si="144"/>
        <v>0</v>
      </c>
      <c r="FD121" s="139">
        <f t="shared" si="145"/>
        <v>0</v>
      </c>
      <c r="FE121" s="139">
        <f t="shared" si="146"/>
        <v>0</v>
      </c>
      <c r="FF121" s="139">
        <f t="shared" si="147"/>
        <v>0</v>
      </c>
      <c r="FG121" s="139">
        <f t="shared" si="148"/>
        <v>0</v>
      </c>
      <c r="FH121" s="139">
        <f t="shared" si="149"/>
        <v>0</v>
      </c>
      <c r="FI121" s="139">
        <f t="shared" si="150"/>
        <v>0</v>
      </c>
      <c r="FJ121" s="139">
        <f t="shared" si="151"/>
        <v>0</v>
      </c>
      <c r="FK121" s="139">
        <f t="shared" si="152"/>
        <v>0</v>
      </c>
      <c r="FL121" s="139">
        <f t="shared" si="153"/>
        <v>0</v>
      </c>
      <c r="FM121" s="139">
        <f t="shared" si="154"/>
        <v>0</v>
      </c>
      <c r="FN121" s="139">
        <f t="shared" si="155"/>
        <v>0</v>
      </c>
      <c r="FO121" s="139">
        <f t="shared" si="156"/>
        <v>0</v>
      </c>
      <c r="FP121" s="139">
        <f t="shared" si="157"/>
        <v>0</v>
      </c>
      <c r="FQ121" s="139">
        <f t="shared" si="158"/>
        <v>0</v>
      </c>
      <c r="FR121" s="139">
        <f t="shared" si="159"/>
        <v>0</v>
      </c>
      <c r="FS121" s="139">
        <f t="shared" si="160"/>
        <v>0</v>
      </c>
      <c r="FT121" s="139">
        <f t="shared" si="161"/>
        <v>0</v>
      </c>
      <c r="FU121" s="148">
        <f t="shared" si="162"/>
        <v>340.28939906450427</v>
      </c>
      <c r="FV121" s="149"/>
      <c r="FY121" s="211">
        <v>116</v>
      </c>
      <c r="FZ121">
        <v>24.605462956101025</v>
      </c>
      <c r="GA121">
        <v>61.038921125739407</v>
      </c>
      <c r="GB121">
        <v>85.299852885319538</v>
      </c>
      <c r="GC121">
        <v>49.484072220260998</v>
      </c>
      <c r="GD121">
        <v>18.276844067550805</v>
      </c>
      <c r="GE121">
        <v>36.308640753425749</v>
      </c>
      <c r="GF121">
        <v>80.536299016184785</v>
      </c>
      <c r="GG121">
        <v>58.510980750673468</v>
      </c>
      <c r="GH121">
        <v>17.787914846264677</v>
      </c>
      <c r="GI121">
        <v>56.824691924859295</v>
      </c>
      <c r="GJ121"/>
      <c r="GK121"/>
      <c r="GL121"/>
      <c r="GM121"/>
    </row>
    <row r="122" spans="1:195" s="7" customFormat="1">
      <c r="A122" s="1"/>
      <c r="B122" s="76">
        <f ca="1">IF(C122="", "", RAND())</f>
        <v>0.9838288231567287</v>
      </c>
      <c r="C122">
        <v>9</v>
      </c>
      <c r="D122">
        <v>39747</v>
      </c>
      <c r="E122">
        <v>0</v>
      </c>
      <c r="F122">
        <v>0</v>
      </c>
      <c r="G122">
        <v>0</v>
      </c>
      <c r="H122">
        <v>177.84552845528455</v>
      </c>
      <c r="I122">
        <v>188.26219512195124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 s="2"/>
      <c r="AK122" s="80"/>
      <c r="AL122" s="74"/>
      <c r="AM122" s="43">
        <v>106</v>
      </c>
      <c r="AN122">
        <v>208.67802669464362</v>
      </c>
      <c r="AO122">
        <v>72.638989594676843</v>
      </c>
      <c r="AP122">
        <v>518.870700044101</v>
      </c>
      <c r="AQ122">
        <v>392.20285178420204</v>
      </c>
      <c r="AR122">
        <v>65.306770270351421</v>
      </c>
      <c r="AS122">
        <v>560.51595044802741</v>
      </c>
      <c r="AT122" t="e">
        <v>#DIV/0!</v>
      </c>
      <c r="AU122" t="e">
        <v>#DIV/0!</v>
      </c>
      <c r="AV122"/>
      <c r="AW122"/>
      <c r="AX122" s="146"/>
      <c r="AY122" s="76">
        <f t="shared" ca="1" si="86"/>
        <v>3.9650917659995955E-2</v>
      </c>
      <c r="AZ122">
        <v>5</v>
      </c>
      <c r="BA122" s="129">
        <f t="shared" si="129"/>
        <v>39747</v>
      </c>
      <c r="BB122">
        <v>0</v>
      </c>
      <c r="BC122">
        <v>0</v>
      </c>
      <c r="BD122">
        <v>0</v>
      </c>
      <c r="BE122">
        <v>3</v>
      </c>
      <c r="BF122">
        <v>1</v>
      </c>
      <c r="BG122">
        <v>0</v>
      </c>
      <c r="BH122">
        <v>1</v>
      </c>
      <c r="BI122">
        <v>0</v>
      </c>
      <c r="BJ122">
        <v>0</v>
      </c>
      <c r="BK122">
        <v>0</v>
      </c>
      <c r="BL122">
        <v>0</v>
      </c>
      <c r="BM122">
        <v>0</v>
      </c>
      <c r="BN122">
        <v>0</v>
      </c>
      <c r="BO122">
        <v>0</v>
      </c>
      <c r="BP122">
        <v>0</v>
      </c>
      <c r="BQ122">
        <v>0</v>
      </c>
      <c r="BR122">
        <v>0</v>
      </c>
      <c r="BS122">
        <v>0</v>
      </c>
      <c r="BT122">
        <v>0</v>
      </c>
      <c r="BU122">
        <v>0</v>
      </c>
      <c r="BV122">
        <v>0</v>
      </c>
      <c r="BW122">
        <v>0</v>
      </c>
      <c r="BX122">
        <v>0</v>
      </c>
      <c r="BY122">
        <v>0</v>
      </c>
      <c r="BZ122">
        <v>0</v>
      </c>
      <c r="CA122">
        <v>0</v>
      </c>
      <c r="CB122">
        <v>0</v>
      </c>
      <c r="CC122">
        <v>0</v>
      </c>
      <c r="CD122">
        <v>0</v>
      </c>
      <c r="CE122">
        <v>0</v>
      </c>
      <c r="CF122">
        <v>0</v>
      </c>
      <c r="CG122" s="147"/>
      <c r="CH122" s="176"/>
      <c r="CJ122" s="146"/>
      <c r="CK122" s="76">
        <f t="shared" ca="1" si="88"/>
        <v>0.60934131659848179</v>
      </c>
      <c r="CL122" s="179">
        <f t="shared" si="89"/>
        <v>5</v>
      </c>
      <c r="CM122" s="180">
        <f t="shared" si="90"/>
        <v>39747</v>
      </c>
      <c r="CN122">
        <v>0</v>
      </c>
      <c r="CO122">
        <v>0</v>
      </c>
      <c r="CP122">
        <v>2</v>
      </c>
      <c r="CQ122">
        <v>0</v>
      </c>
      <c r="CR122">
        <v>4</v>
      </c>
      <c r="CS122">
        <v>0</v>
      </c>
      <c r="CT122">
        <v>0</v>
      </c>
      <c r="CU122">
        <v>0</v>
      </c>
      <c r="CV122" s="160"/>
      <c r="CW122" s="178">
        <v>1</v>
      </c>
      <c r="CX122">
        <f>350/33</f>
        <v>10.606060606060606</v>
      </c>
      <c r="CY122" s="160"/>
      <c r="CZ122" s="177">
        <f t="shared" si="91"/>
        <v>9.6000000000000002E-2</v>
      </c>
      <c r="DB122" s="146"/>
      <c r="DC122" s="76">
        <f t="shared" ca="1" si="49"/>
        <v>0.19319735192280074</v>
      </c>
      <c r="DD122">
        <f t="shared" si="92"/>
        <v>5</v>
      </c>
      <c r="DE122" s="129">
        <f t="shared" si="128"/>
        <v>39747</v>
      </c>
      <c r="DF122" s="161">
        <f t="shared" si="93"/>
        <v>0</v>
      </c>
      <c r="DG122" s="161">
        <f t="shared" si="94"/>
        <v>0</v>
      </c>
      <c r="DH122" s="161">
        <f t="shared" si="95"/>
        <v>220.95959595959593</v>
      </c>
      <c r="DI122" s="161">
        <f t="shared" si="96"/>
        <v>31.25</v>
      </c>
      <c r="DJ122" s="161">
        <f t="shared" si="97"/>
        <v>452.33585858585855</v>
      </c>
      <c r="DK122" s="161">
        <f t="shared" si="98"/>
        <v>0</v>
      </c>
      <c r="DL122" s="161">
        <f t="shared" si="99"/>
        <v>10.416666666666666</v>
      </c>
      <c r="DM122" s="161">
        <f t="shared" si="100"/>
        <v>0</v>
      </c>
      <c r="DN122" s="161">
        <f t="shared" si="101"/>
        <v>0</v>
      </c>
      <c r="DO122" s="161">
        <f t="shared" si="102"/>
        <v>0</v>
      </c>
      <c r="DP122" s="161">
        <f t="shared" si="103"/>
        <v>0</v>
      </c>
      <c r="DQ122" s="161">
        <f t="shared" si="104"/>
        <v>0</v>
      </c>
      <c r="DR122" s="161">
        <f t="shared" si="105"/>
        <v>0</v>
      </c>
      <c r="DS122" s="161">
        <f t="shared" si="106"/>
        <v>0</v>
      </c>
      <c r="DT122" s="161">
        <f t="shared" si="107"/>
        <v>0</v>
      </c>
      <c r="DU122" s="161">
        <f t="shared" si="108"/>
        <v>0</v>
      </c>
      <c r="DV122" s="161">
        <f t="shared" si="109"/>
        <v>0</v>
      </c>
      <c r="DW122" s="161">
        <f t="shared" si="110"/>
        <v>0</v>
      </c>
      <c r="DX122" s="161">
        <f t="shared" si="111"/>
        <v>0</v>
      </c>
      <c r="DY122" s="161">
        <f t="shared" si="112"/>
        <v>0</v>
      </c>
      <c r="DZ122" s="161">
        <f t="shared" si="113"/>
        <v>0</v>
      </c>
      <c r="EA122" s="161">
        <f t="shared" si="114"/>
        <v>0</v>
      </c>
      <c r="EB122" s="161">
        <f t="shared" si="115"/>
        <v>0</v>
      </c>
      <c r="EC122" s="161">
        <f t="shared" si="116"/>
        <v>0</v>
      </c>
      <c r="ED122" s="161">
        <f t="shared" si="117"/>
        <v>0</v>
      </c>
      <c r="EE122" s="161">
        <f t="shared" si="118"/>
        <v>0</v>
      </c>
      <c r="EF122" s="161">
        <f t="shared" si="119"/>
        <v>0</v>
      </c>
      <c r="EG122" s="161">
        <f t="shared" si="120"/>
        <v>0</v>
      </c>
      <c r="EH122" s="161">
        <f t="shared" si="121"/>
        <v>0</v>
      </c>
      <c r="EI122" s="161">
        <f t="shared" si="122"/>
        <v>0</v>
      </c>
      <c r="EJ122" s="161">
        <f t="shared" si="123"/>
        <v>0</v>
      </c>
      <c r="EK122" s="147">
        <f t="shared" si="130"/>
        <v>714.96212121212113</v>
      </c>
      <c r="EL122" s="149"/>
      <c r="EN122" s="146"/>
      <c r="EO122" s="146"/>
      <c r="EP122" s="139">
        <f t="shared" si="131"/>
        <v>0</v>
      </c>
      <c r="EQ122" s="139">
        <f t="shared" si="132"/>
        <v>0</v>
      </c>
      <c r="ER122" s="139">
        <f t="shared" si="133"/>
        <v>16.308186834355798</v>
      </c>
      <c r="ES122" s="139">
        <f t="shared" si="134"/>
        <v>7.4840341047874483</v>
      </c>
      <c r="ET122" s="139">
        <f t="shared" si="135"/>
        <v>249.71458344607009</v>
      </c>
      <c r="EU122" s="139">
        <f t="shared" si="136"/>
        <v>0</v>
      </c>
      <c r="EV122" s="139">
        <f t="shared" si="137"/>
        <v>18.659696712272744</v>
      </c>
      <c r="EW122" s="139">
        <f t="shared" si="138"/>
        <v>0</v>
      </c>
      <c r="EX122" s="139">
        <f t="shared" si="139"/>
        <v>0</v>
      </c>
      <c r="EY122" s="139">
        <f t="shared" si="140"/>
        <v>0</v>
      </c>
      <c r="EZ122" s="139">
        <f t="shared" si="141"/>
        <v>0</v>
      </c>
      <c r="FA122" s="139">
        <f t="shared" si="142"/>
        <v>0</v>
      </c>
      <c r="FB122" s="139">
        <f t="shared" si="143"/>
        <v>0</v>
      </c>
      <c r="FC122" s="139">
        <f t="shared" si="144"/>
        <v>0</v>
      </c>
      <c r="FD122" s="139">
        <f t="shared" si="145"/>
        <v>0</v>
      </c>
      <c r="FE122" s="139">
        <f t="shared" si="146"/>
        <v>0</v>
      </c>
      <c r="FF122" s="139">
        <f t="shared" si="147"/>
        <v>0</v>
      </c>
      <c r="FG122" s="139">
        <f t="shared" si="148"/>
        <v>0</v>
      </c>
      <c r="FH122" s="139">
        <f t="shared" si="149"/>
        <v>0</v>
      </c>
      <c r="FI122" s="139">
        <f t="shared" si="150"/>
        <v>0</v>
      </c>
      <c r="FJ122" s="139">
        <f t="shared" si="151"/>
        <v>0</v>
      </c>
      <c r="FK122" s="139">
        <f t="shared" si="152"/>
        <v>0</v>
      </c>
      <c r="FL122" s="139">
        <f t="shared" si="153"/>
        <v>0</v>
      </c>
      <c r="FM122" s="139">
        <f t="shared" si="154"/>
        <v>0</v>
      </c>
      <c r="FN122" s="139">
        <f t="shared" si="155"/>
        <v>0</v>
      </c>
      <c r="FO122" s="139">
        <f t="shared" si="156"/>
        <v>0</v>
      </c>
      <c r="FP122" s="139">
        <f t="shared" si="157"/>
        <v>0</v>
      </c>
      <c r="FQ122" s="139">
        <f t="shared" si="158"/>
        <v>0</v>
      </c>
      <c r="FR122" s="139">
        <f t="shared" si="159"/>
        <v>0</v>
      </c>
      <c r="FS122" s="139">
        <f t="shared" si="160"/>
        <v>0</v>
      </c>
      <c r="FT122" s="139">
        <f t="shared" si="161"/>
        <v>0</v>
      </c>
      <c r="FU122" s="148">
        <f t="shared" si="162"/>
        <v>292.1665010974861</v>
      </c>
      <c r="FV122" s="149"/>
      <c r="FY122" s="211">
        <v>117</v>
      </c>
      <c r="FZ122">
        <v>5.2779538894085931</v>
      </c>
      <c r="GA122">
        <v>51.900038264496658</v>
      </c>
      <c r="GB122">
        <v>66.881916267138763</v>
      </c>
      <c r="GC122">
        <v>39.112367711850098</v>
      </c>
      <c r="GD122">
        <v>28.852049317403011</v>
      </c>
      <c r="GE122">
        <v>60.935246974771403</v>
      </c>
      <c r="GF122">
        <v>54.763074793308633</v>
      </c>
      <c r="GG122">
        <v>51.642578460819273</v>
      </c>
      <c r="GH122">
        <v>59.240354745532052</v>
      </c>
      <c r="GI122">
        <v>55.8202860701074</v>
      </c>
      <c r="GJ122"/>
      <c r="GK122"/>
      <c r="GL122"/>
      <c r="GM122"/>
    </row>
    <row r="123" spans="1:195" s="7" customFormat="1">
      <c r="A123" s="1"/>
      <c r="B123" s="76">
        <f ca="1">IF(C123="", "", RAND())</f>
        <v>0.81148027526619826</v>
      </c>
      <c r="C123">
        <v>5</v>
      </c>
      <c r="D123">
        <v>39747</v>
      </c>
      <c r="E123">
        <v>0</v>
      </c>
      <c r="F123">
        <v>0</v>
      </c>
      <c r="G123">
        <v>220.95959595959593</v>
      </c>
      <c r="H123">
        <v>31.25</v>
      </c>
      <c r="I123">
        <v>452.33585858585855</v>
      </c>
      <c r="J123">
        <v>0</v>
      </c>
      <c r="K123">
        <v>10.416666666666666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 s="2"/>
      <c r="AK123" s="80"/>
      <c r="AL123" s="74"/>
      <c r="AM123" s="43">
        <v>107</v>
      </c>
      <c r="AN123">
        <v>298.47761588570103</v>
      </c>
      <c r="AO123">
        <v>105.44927299292961</v>
      </c>
      <c r="AP123">
        <v>776.33852566006101</v>
      </c>
      <c r="AQ123">
        <v>570.17154050091085</v>
      </c>
      <c r="AR123">
        <v>94.774230929827979</v>
      </c>
      <c r="AS123">
        <v>764.95335837600589</v>
      </c>
      <c r="AT123">
        <v>51.321706478792919</v>
      </c>
      <c r="AU123">
        <v>92.715495010702966</v>
      </c>
      <c r="AV123"/>
      <c r="AW123"/>
      <c r="AX123" s="146"/>
      <c r="AY123" s="76">
        <f t="shared" ca="1" si="86"/>
        <v>0.18898582472411984</v>
      </c>
      <c r="AZ123">
        <v>6</v>
      </c>
      <c r="BA123" s="129">
        <f t="shared" si="129"/>
        <v>39747</v>
      </c>
      <c r="BB123">
        <v>0</v>
      </c>
      <c r="BC123">
        <v>0</v>
      </c>
      <c r="BD123">
        <v>0</v>
      </c>
      <c r="BE123">
        <v>3</v>
      </c>
      <c r="BF123">
        <v>4</v>
      </c>
      <c r="BG123">
        <v>0</v>
      </c>
      <c r="BH123">
        <v>0</v>
      </c>
      <c r="BI123">
        <v>0</v>
      </c>
      <c r="BJ123">
        <v>0</v>
      </c>
      <c r="BK123">
        <v>0</v>
      </c>
      <c r="BL123">
        <v>0</v>
      </c>
      <c r="BM123">
        <v>0</v>
      </c>
      <c r="BN123">
        <v>0</v>
      </c>
      <c r="BO123">
        <v>0</v>
      </c>
      <c r="BP123">
        <v>0</v>
      </c>
      <c r="BQ123">
        <v>0</v>
      </c>
      <c r="BR123">
        <v>0</v>
      </c>
      <c r="BS123">
        <v>0</v>
      </c>
      <c r="BT123">
        <v>0</v>
      </c>
      <c r="BU123">
        <v>0</v>
      </c>
      <c r="BV123">
        <v>0</v>
      </c>
      <c r="BW123">
        <v>0</v>
      </c>
      <c r="BX123">
        <v>0</v>
      </c>
      <c r="BY123">
        <v>0</v>
      </c>
      <c r="BZ123">
        <v>0</v>
      </c>
      <c r="CA123">
        <v>0</v>
      </c>
      <c r="CB123">
        <v>0</v>
      </c>
      <c r="CC123">
        <v>0</v>
      </c>
      <c r="CD123">
        <v>0</v>
      </c>
      <c r="CE123">
        <v>0</v>
      </c>
      <c r="CF123">
        <v>0</v>
      </c>
      <c r="CG123" s="147"/>
      <c r="CH123" s="176"/>
      <c r="CJ123" s="146"/>
      <c r="CK123" s="76">
        <f t="shared" ca="1" si="88"/>
        <v>6.2403684093203404E-2</v>
      </c>
      <c r="CL123" s="179">
        <f t="shared" si="89"/>
        <v>6</v>
      </c>
      <c r="CM123" s="180">
        <f t="shared" si="90"/>
        <v>39747</v>
      </c>
      <c r="CN123" s="219">
        <v>0</v>
      </c>
      <c r="CO123" s="219">
        <v>0</v>
      </c>
      <c r="CP123" s="219">
        <v>2</v>
      </c>
      <c r="CQ123" s="219">
        <v>0</v>
      </c>
      <c r="CR123" s="219">
        <v>0</v>
      </c>
      <c r="CS123">
        <v>0</v>
      </c>
      <c r="CT123">
        <v>0</v>
      </c>
      <c r="CU123">
        <v>0</v>
      </c>
      <c r="CV123" s="160"/>
      <c r="CW123" s="178">
        <v>1</v>
      </c>
      <c r="CX123">
        <f>375/60</f>
        <v>6.25</v>
      </c>
      <c r="CY123" s="160"/>
      <c r="CZ123" s="177">
        <f t="shared" si="91"/>
        <v>9.6000000000000002E-2</v>
      </c>
      <c r="DB123" s="146"/>
      <c r="DC123" s="76">
        <f t="shared" ca="1" si="49"/>
        <v>0.10586051225924287</v>
      </c>
      <c r="DD123">
        <f t="shared" si="92"/>
        <v>6</v>
      </c>
      <c r="DE123" s="129">
        <f t="shared" si="128"/>
        <v>39747</v>
      </c>
      <c r="DF123" s="161">
        <f t="shared" si="93"/>
        <v>0</v>
      </c>
      <c r="DG123" s="161">
        <f t="shared" si="94"/>
        <v>0</v>
      </c>
      <c r="DH123" s="161">
        <f t="shared" si="95"/>
        <v>130.20833333333334</v>
      </c>
      <c r="DI123" s="161">
        <f t="shared" si="96"/>
        <v>31.25</v>
      </c>
      <c r="DJ123" s="161">
        <f t="shared" si="97"/>
        <v>41.666666666666664</v>
      </c>
      <c r="DK123" s="161">
        <f t="shared" si="98"/>
        <v>0</v>
      </c>
      <c r="DL123" s="161">
        <f t="shared" si="99"/>
        <v>0</v>
      </c>
      <c r="DM123" s="161">
        <f t="shared" si="100"/>
        <v>0</v>
      </c>
      <c r="DN123" s="161">
        <f t="shared" si="101"/>
        <v>0</v>
      </c>
      <c r="DO123" s="161">
        <f t="shared" si="102"/>
        <v>0</v>
      </c>
      <c r="DP123" s="161">
        <f t="shared" si="103"/>
        <v>0</v>
      </c>
      <c r="DQ123" s="161">
        <f t="shared" si="104"/>
        <v>0</v>
      </c>
      <c r="DR123" s="161">
        <f t="shared" si="105"/>
        <v>0</v>
      </c>
      <c r="DS123" s="161">
        <f t="shared" si="106"/>
        <v>0</v>
      </c>
      <c r="DT123" s="161">
        <f t="shared" si="107"/>
        <v>0</v>
      </c>
      <c r="DU123" s="161">
        <f t="shared" si="108"/>
        <v>0</v>
      </c>
      <c r="DV123" s="161">
        <f t="shared" si="109"/>
        <v>0</v>
      </c>
      <c r="DW123" s="161">
        <f t="shared" si="110"/>
        <v>0</v>
      </c>
      <c r="DX123" s="161">
        <f t="shared" si="111"/>
        <v>0</v>
      </c>
      <c r="DY123" s="161">
        <f t="shared" si="112"/>
        <v>0</v>
      </c>
      <c r="DZ123" s="161">
        <f t="shared" si="113"/>
        <v>0</v>
      </c>
      <c r="EA123" s="161">
        <f t="shared" si="114"/>
        <v>0</v>
      </c>
      <c r="EB123" s="161">
        <f t="shared" si="115"/>
        <v>0</v>
      </c>
      <c r="EC123" s="161">
        <f t="shared" si="116"/>
        <v>0</v>
      </c>
      <c r="ED123" s="161">
        <f t="shared" si="117"/>
        <v>0</v>
      </c>
      <c r="EE123" s="161">
        <f t="shared" si="118"/>
        <v>0</v>
      </c>
      <c r="EF123" s="161">
        <f t="shared" si="119"/>
        <v>0</v>
      </c>
      <c r="EG123" s="161">
        <f t="shared" si="120"/>
        <v>0</v>
      </c>
      <c r="EH123" s="161">
        <f t="shared" si="121"/>
        <v>0</v>
      </c>
      <c r="EI123" s="161">
        <f t="shared" si="122"/>
        <v>0</v>
      </c>
      <c r="EJ123" s="161">
        <f t="shared" si="123"/>
        <v>0</v>
      </c>
      <c r="EK123" s="147">
        <f t="shared" si="130"/>
        <v>203.125</v>
      </c>
      <c r="EL123" s="149"/>
      <c r="EN123" s="146"/>
      <c r="EO123" s="146"/>
      <c r="EP123" s="139">
        <f t="shared" si="131"/>
        <v>0</v>
      </c>
      <c r="EQ123" s="139">
        <f t="shared" si="132"/>
        <v>0</v>
      </c>
      <c r="ER123" s="139">
        <f t="shared" si="133"/>
        <v>9.6101815273882387</v>
      </c>
      <c r="ES123" s="139">
        <f t="shared" si="134"/>
        <v>7.4840341047874483</v>
      </c>
      <c r="ET123" s="139">
        <f t="shared" si="135"/>
        <v>23.002320317432837</v>
      </c>
      <c r="EU123" s="139">
        <f t="shared" si="136"/>
        <v>0</v>
      </c>
      <c r="EV123" s="139">
        <f t="shared" si="137"/>
        <v>0</v>
      </c>
      <c r="EW123" s="139">
        <f t="shared" si="138"/>
        <v>0</v>
      </c>
      <c r="EX123" s="139">
        <f t="shared" si="139"/>
        <v>0</v>
      </c>
      <c r="EY123" s="139">
        <f t="shared" si="140"/>
        <v>0</v>
      </c>
      <c r="EZ123" s="139">
        <f t="shared" si="141"/>
        <v>0</v>
      </c>
      <c r="FA123" s="139">
        <f t="shared" si="142"/>
        <v>0</v>
      </c>
      <c r="FB123" s="139">
        <f t="shared" si="143"/>
        <v>0</v>
      </c>
      <c r="FC123" s="139">
        <f t="shared" si="144"/>
        <v>0</v>
      </c>
      <c r="FD123" s="139">
        <f t="shared" si="145"/>
        <v>0</v>
      </c>
      <c r="FE123" s="139">
        <f t="shared" si="146"/>
        <v>0</v>
      </c>
      <c r="FF123" s="139">
        <f t="shared" si="147"/>
        <v>0</v>
      </c>
      <c r="FG123" s="139">
        <f t="shared" si="148"/>
        <v>0</v>
      </c>
      <c r="FH123" s="139">
        <f t="shared" si="149"/>
        <v>0</v>
      </c>
      <c r="FI123" s="139">
        <f t="shared" si="150"/>
        <v>0</v>
      </c>
      <c r="FJ123" s="139">
        <f t="shared" si="151"/>
        <v>0</v>
      </c>
      <c r="FK123" s="139">
        <f t="shared" si="152"/>
        <v>0</v>
      </c>
      <c r="FL123" s="139">
        <f t="shared" si="153"/>
        <v>0</v>
      </c>
      <c r="FM123" s="139">
        <f t="shared" si="154"/>
        <v>0</v>
      </c>
      <c r="FN123" s="139">
        <f t="shared" si="155"/>
        <v>0</v>
      </c>
      <c r="FO123" s="139">
        <f t="shared" si="156"/>
        <v>0</v>
      </c>
      <c r="FP123" s="139">
        <f t="shared" si="157"/>
        <v>0</v>
      </c>
      <c r="FQ123" s="139">
        <f t="shared" si="158"/>
        <v>0</v>
      </c>
      <c r="FR123" s="139">
        <f t="shared" si="159"/>
        <v>0</v>
      </c>
      <c r="FS123" s="139">
        <f t="shared" si="160"/>
        <v>0</v>
      </c>
      <c r="FT123" s="139">
        <f t="shared" si="161"/>
        <v>0</v>
      </c>
      <c r="FU123" s="148">
        <f t="shared" si="162"/>
        <v>40.096535949608523</v>
      </c>
      <c r="FV123" s="149"/>
      <c r="FY123" s="211">
        <v>118</v>
      </c>
      <c r="FZ123">
        <v>21.965033944507159</v>
      </c>
      <c r="GA123">
        <v>56.286357915445166</v>
      </c>
      <c r="GB123">
        <v>94.377920426763751</v>
      </c>
      <c r="GC123">
        <v>56.549921951890362</v>
      </c>
      <c r="GD123">
        <v>22.298151041341352</v>
      </c>
      <c r="GE123">
        <v>37.430215831691761</v>
      </c>
      <c r="GF123">
        <v>87.894598662622357</v>
      </c>
      <c r="GG123">
        <v>73.714767087717817</v>
      </c>
      <c r="GH123">
        <v>20.955554913048381</v>
      </c>
      <c r="GI123">
        <v>62.806096299307804</v>
      </c>
      <c r="GJ123"/>
      <c r="GK123"/>
      <c r="GL123"/>
      <c r="GM123"/>
    </row>
    <row r="124" spans="1:195" s="7" customFormat="1">
      <c r="A124" s="1"/>
      <c r="B124" s="76">
        <f ca="1">IF(C124="", "", RAND())</f>
        <v>0.85440963993010155</v>
      </c>
      <c r="C124">
        <v>8</v>
      </c>
      <c r="D124">
        <v>39747</v>
      </c>
      <c r="E124">
        <v>70.112179487179489</v>
      </c>
      <c r="F124">
        <v>560.89743589743591</v>
      </c>
      <c r="G124">
        <v>981.5705128205127</v>
      </c>
      <c r="H124">
        <v>20.833333333333332</v>
      </c>
      <c r="I124">
        <v>104.16666666666667</v>
      </c>
      <c r="J124">
        <v>10.416666666666666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 s="2"/>
      <c r="AK124" s="80"/>
      <c r="AL124" s="74"/>
      <c r="AM124" s="43">
        <v>108</v>
      </c>
      <c r="AN124">
        <v>240.15509121110139</v>
      </c>
      <c r="AO124">
        <v>80.447823008201595</v>
      </c>
      <c r="AP124">
        <v>634.3884885203264</v>
      </c>
      <c r="AQ124">
        <v>456.04890187031936</v>
      </c>
      <c r="AR124">
        <v>72.212497478507231</v>
      </c>
      <c r="AS124">
        <v>589.42163222589897</v>
      </c>
      <c r="AT124">
        <v>37.504839408057549</v>
      </c>
      <c r="AU124">
        <v>38.345792480964185</v>
      </c>
      <c r="AV124"/>
      <c r="AW124"/>
      <c r="AX124" s="146"/>
      <c r="AY124" s="76">
        <f t="shared" ca="1" si="86"/>
        <v>0.54962767794327738</v>
      </c>
      <c r="AZ124">
        <v>7</v>
      </c>
      <c r="BA124" s="129">
        <f t="shared" si="129"/>
        <v>39747</v>
      </c>
      <c r="BB124">
        <v>0</v>
      </c>
      <c r="BC124">
        <v>0</v>
      </c>
      <c r="BD124">
        <v>0</v>
      </c>
      <c r="BE124">
        <v>0</v>
      </c>
      <c r="BF124">
        <v>1</v>
      </c>
      <c r="BG124">
        <v>0</v>
      </c>
      <c r="BH124">
        <v>0</v>
      </c>
      <c r="BI124">
        <v>0</v>
      </c>
      <c r="BJ124">
        <v>0</v>
      </c>
      <c r="BK124">
        <v>0</v>
      </c>
      <c r="BL124">
        <v>0</v>
      </c>
      <c r="BM124">
        <v>0</v>
      </c>
      <c r="BN124">
        <v>0</v>
      </c>
      <c r="BO124">
        <v>0</v>
      </c>
      <c r="BP124">
        <v>0</v>
      </c>
      <c r="BQ124">
        <v>0</v>
      </c>
      <c r="BR124">
        <v>0</v>
      </c>
      <c r="BS124">
        <v>0</v>
      </c>
      <c r="BT124">
        <v>0</v>
      </c>
      <c r="BU124">
        <v>0</v>
      </c>
      <c r="BV124">
        <v>0</v>
      </c>
      <c r="BW124">
        <v>0</v>
      </c>
      <c r="BX124">
        <v>0</v>
      </c>
      <c r="BY124">
        <v>0</v>
      </c>
      <c r="BZ124">
        <v>0</v>
      </c>
      <c r="CA124">
        <v>0</v>
      </c>
      <c r="CB124">
        <v>0</v>
      </c>
      <c r="CC124">
        <v>0</v>
      </c>
      <c r="CD124">
        <v>0</v>
      </c>
      <c r="CE124">
        <v>0</v>
      </c>
      <c r="CF124">
        <v>0</v>
      </c>
      <c r="CG124" s="147"/>
      <c r="CH124" s="176"/>
      <c r="CJ124" s="146"/>
      <c r="CK124" s="76">
        <f t="shared" ca="1" si="88"/>
        <v>0.56312767933356245</v>
      </c>
      <c r="CL124" s="179">
        <f t="shared" si="89"/>
        <v>7</v>
      </c>
      <c r="CM124" s="180">
        <f t="shared" si="90"/>
        <v>39747</v>
      </c>
      <c r="CN124">
        <v>0</v>
      </c>
      <c r="CO124">
        <v>1</v>
      </c>
      <c r="CP124">
        <v>4</v>
      </c>
      <c r="CQ124">
        <v>0</v>
      </c>
      <c r="CR124">
        <v>0</v>
      </c>
      <c r="CS124">
        <v>0</v>
      </c>
      <c r="CT124">
        <v>0</v>
      </c>
      <c r="CU124">
        <v>0</v>
      </c>
      <c r="CV124" s="160"/>
      <c r="CW124" s="178">
        <v>1</v>
      </c>
      <c r="CX124">
        <f>350/49</f>
        <v>7.1428571428571432</v>
      </c>
      <c r="CY124" s="164"/>
      <c r="CZ124" s="177">
        <f t="shared" si="91"/>
        <v>9.6000000000000002E-2</v>
      </c>
      <c r="DB124" s="146"/>
      <c r="DC124" s="76">
        <f t="shared" ca="1" si="49"/>
        <v>0.16292209950310621</v>
      </c>
      <c r="DD124">
        <f t="shared" si="92"/>
        <v>7</v>
      </c>
      <c r="DE124" s="129">
        <f t="shared" si="128"/>
        <v>39747</v>
      </c>
      <c r="DF124" s="161">
        <f t="shared" si="93"/>
        <v>0</v>
      </c>
      <c r="DG124" s="161">
        <f t="shared" si="94"/>
        <v>74.404761904761912</v>
      </c>
      <c r="DH124" s="161">
        <f t="shared" si="95"/>
        <v>297.61904761904765</v>
      </c>
      <c r="DI124" s="161">
        <f t="shared" si="96"/>
        <v>0</v>
      </c>
      <c r="DJ124" s="161">
        <f t="shared" si="97"/>
        <v>10.416666666666666</v>
      </c>
      <c r="DK124" s="161">
        <f t="shared" si="98"/>
        <v>0</v>
      </c>
      <c r="DL124" s="161">
        <f t="shared" si="99"/>
        <v>0</v>
      </c>
      <c r="DM124" s="161">
        <f t="shared" si="100"/>
        <v>0</v>
      </c>
      <c r="DN124" s="161">
        <f t="shared" si="101"/>
        <v>0</v>
      </c>
      <c r="DO124" s="161">
        <f t="shared" si="102"/>
        <v>0</v>
      </c>
      <c r="DP124" s="161">
        <f t="shared" si="103"/>
        <v>0</v>
      </c>
      <c r="DQ124" s="161">
        <f t="shared" si="104"/>
        <v>0</v>
      </c>
      <c r="DR124" s="161">
        <f t="shared" si="105"/>
        <v>0</v>
      </c>
      <c r="DS124" s="161">
        <f t="shared" si="106"/>
        <v>0</v>
      </c>
      <c r="DT124" s="161">
        <f t="shared" si="107"/>
        <v>0</v>
      </c>
      <c r="DU124" s="161">
        <f t="shared" si="108"/>
        <v>0</v>
      </c>
      <c r="DV124" s="161">
        <f t="shared" si="109"/>
        <v>0</v>
      </c>
      <c r="DW124" s="161">
        <f t="shared" si="110"/>
        <v>0</v>
      </c>
      <c r="DX124" s="161">
        <f t="shared" si="111"/>
        <v>0</v>
      </c>
      <c r="DY124" s="161">
        <f t="shared" si="112"/>
        <v>0</v>
      </c>
      <c r="DZ124" s="161">
        <f t="shared" si="113"/>
        <v>0</v>
      </c>
      <c r="EA124" s="161">
        <f t="shared" si="114"/>
        <v>0</v>
      </c>
      <c r="EB124" s="161">
        <f t="shared" si="115"/>
        <v>0</v>
      </c>
      <c r="EC124" s="161">
        <f t="shared" si="116"/>
        <v>0</v>
      </c>
      <c r="ED124" s="161">
        <f t="shared" si="117"/>
        <v>0</v>
      </c>
      <c r="EE124" s="161">
        <f t="shared" si="118"/>
        <v>0</v>
      </c>
      <c r="EF124" s="161">
        <f t="shared" si="119"/>
        <v>0</v>
      </c>
      <c r="EG124" s="161">
        <f t="shared" si="120"/>
        <v>0</v>
      </c>
      <c r="EH124" s="161">
        <f t="shared" si="121"/>
        <v>0</v>
      </c>
      <c r="EI124" s="161">
        <f t="shared" si="122"/>
        <v>0</v>
      </c>
      <c r="EJ124" s="161">
        <f t="shared" si="123"/>
        <v>0</v>
      </c>
      <c r="EK124" s="147">
        <f t="shared" si="130"/>
        <v>382.44047619047626</v>
      </c>
      <c r="EL124" s="149"/>
      <c r="EN124" s="146"/>
      <c r="EO124" s="146"/>
      <c r="EP124" s="139">
        <f t="shared" si="131"/>
        <v>0</v>
      </c>
      <c r="EQ124" s="139">
        <f t="shared" si="132"/>
        <v>0.73418154761904775</v>
      </c>
      <c r="ER124" s="139">
        <f t="shared" si="133"/>
        <v>21.966129205458834</v>
      </c>
      <c r="ES124" s="139">
        <f t="shared" si="134"/>
        <v>0</v>
      </c>
      <c r="ET124" s="139">
        <f t="shared" si="135"/>
        <v>5.7505800793582091</v>
      </c>
      <c r="EU124" s="139">
        <f t="shared" si="136"/>
        <v>0</v>
      </c>
      <c r="EV124" s="139">
        <f t="shared" si="137"/>
        <v>0</v>
      </c>
      <c r="EW124" s="139">
        <f t="shared" si="138"/>
        <v>0</v>
      </c>
      <c r="EX124" s="139">
        <f t="shared" si="139"/>
        <v>0</v>
      </c>
      <c r="EY124" s="139">
        <f t="shared" si="140"/>
        <v>0</v>
      </c>
      <c r="EZ124" s="139">
        <f t="shared" si="141"/>
        <v>0</v>
      </c>
      <c r="FA124" s="139">
        <f t="shared" si="142"/>
        <v>0</v>
      </c>
      <c r="FB124" s="139">
        <f t="shared" si="143"/>
        <v>0</v>
      </c>
      <c r="FC124" s="139">
        <f t="shared" si="144"/>
        <v>0</v>
      </c>
      <c r="FD124" s="139">
        <f t="shared" si="145"/>
        <v>0</v>
      </c>
      <c r="FE124" s="139">
        <f t="shared" si="146"/>
        <v>0</v>
      </c>
      <c r="FF124" s="139">
        <f t="shared" si="147"/>
        <v>0</v>
      </c>
      <c r="FG124" s="139">
        <f t="shared" si="148"/>
        <v>0</v>
      </c>
      <c r="FH124" s="139">
        <f t="shared" si="149"/>
        <v>0</v>
      </c>
      <c r="FI124" s="139">
        <f t="shared" si="150"/>
        <v>0</v>
      </c>
      <c r="FJ124" s="139">
        <f t="shared" si="151"/>
        <v>0</v>
      </c>
      <c r="FK124" s="139">
        <f t="shared" si="152"/>
        <v>0</v>
      </c>
      <c r="FL124" s="139">
        <f t="shared" si="153"/>
        <v>0</v>
      </c>
      <c r="FM124" s="139">
        <f t="shared" si="154"/>
        <v>0</v>
      </c>
      <c r="FN124" s="139">
        <f t="shared" si="155"/>
        <v>0</v>
      </c>
      <c r="FO124" s="139">
        <f t="shared" si="156"/>
        <v>0</v>
      </c>
      <c r="FP124" s="139">
        <f t="shared" si="157"/>
        <v>0</v>
      </c>
      <c r="FQ124" s="139">
        <f t="shared" si="158"/>
        <v>0</v>
      </c>
      <c r="FR124" s="139">
        <f t="shared" si="159"/>
        <v>0</v>
      </c>
      <c r="FS124" s="139">
        <f t="shared" si="160"/>
        <v>0</v>
      </c>
      <c r="FT124" s="139">
        <f t="shared" si="161"/>
        <v>0</v>
      </c>
      <c r="FU124" s="148">
        <f t="shared" si="162"/>
        <v>28.450890832436091</v>
      </c>
      <c r="FV124" s="149"/>
      <c r="FY124" s="211">
        <v>119</v>
      </c>
      <c r="FZ124">
        <v>32.180302436936813</v>
      </c>
      <c r="GA124">
        <v>57.426579630682951</v>
      </c>
      <c r="GB124">
        <v>56.60995968044778</v>
      </c>
      <c r="GC124">
        <v>38.905006711029245</v>
      </c>
      <c r="GD124">
        <v>17.515589800653565</v>
      </c>
      <c r="GE124">
        <v>42.604283120274033</v>
      </c>
      <c r="GF124">
        <v>103.78747936850975</v>
      </c>
      <c r="GG124">
        <v>69.126456326646604</v>
      </c>
      <c r="GH124">
        <v>24.197272894177033</v>
      </c>
      <c r="GI124">
        <v>56.11592250222035</v>
      </c>
      <c r="GJ124"/>
      <c r="GK124"/>
      <c r="GL124"/>
      <c r="GM124"/>
    </row>
    <row r="125" spans="1:195" s="7" customFormat="1">
      <c r="A125" s="1"/>
      <c r="B125" s="76">
        <f ca="1">IF(C125="", "", RAND())</f>
        <v>0.92211830043817145</v>
      </c>
      <c r="C125">
        <v>10</v>
      </c>
      <c r="D125">
        <v>39747</v>
      </c>
      <c r="E125">
        <v>0</v>
      </c>
      <c r="F125">
        <v>130.20833333333334</v>
      </c>
      <c r="G125">
        <v>390.625</v>
      </c>
      <c r="H125">
        <v>65.104166666666671</v>
      </c>
      <c r="I125">
        <v>138.02083333333334</v>
      </c>
      <c r="J125">
        <v>31.25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 s="2"/>
      <c r="AK125" s="80"/>
      <c r="AL125" s="74"/>
      <c r="AM125" s="43">
        <v>109</v>
      </c>
      <c r="AN125">
        <v>211.4230281813274</v>
      </c>
      <c r="AO125">
        <v>74.186350864857587</v>
      </c>
      <c r="AP125">
        <v>509.68675136133072</v>
      </c>
      <c r="AQ125">
        <v>394.00996153421426</v>
      </c>
      <c r="AR125">
        <v>67.37256301458811</v>
      </c>
      <c r="AS125">
        <v>571.37087934530859</v>
      </c>
      <c r="AT125">
        <v>39.386581301163552</v>
      </c>
      <c r="AU125">
        <v>77.433728675957397</v>
      </c>
      <c r="AV125"/>
      <c r="AW125"/>
      <c r="AX125" s="146"/>
      <c r="AY125" s="76">
        <f t="shared" ca="1" si="86"/>
        <v>0.12739572027269741</v>
      </c>
      <c r="AZ125">
        <v>8</v>
      </c>
      <c r="BA125" s="129">
        <f t="shared" si="129"/>
        <v>39747</v>
      </c>
      <c r="BB125">
        <v>0</v>
      </c>
      <c r="BC125">
        <v>0</v>
      </c>
      <c r="BD125">
        <v>0</v>
      </c>
      <c r="BE125">
        <v>2</v>
      </c>
      <c r="BF125">
        <v>10</v>
      </c>
      <c r="BG125">
        <v>1</v>
      </c>
      <c r="BH125">
        <v>0</v>
      </c>
      <c r="BI125">
        <v>0</v>
      </c>
      <c r="BJ125">
        <v>0</v>
      </c>
      <c r="BK125">
        <v>0</v>
      </c>
      <c r="BL125">
        <v>0</v>
      </c>
      <c r="BM125">
        <v>0</v>
      </c>
      <c r="BN125">
        <v>0</v>
      </c>
      <c r="BO125">
        <v>0</v>
      </c>
      <c r="BP125">
        <v>0</v>
      </c>
      <c r="BQ125">
        <v>0</v>
      </c>
      <c r="BR125">
        <v>0</v>
      </c>
      <c r="BS125">
        <v>0</v>
      </c>
      <c r="BT125">
        <v>0</v>
      </c>
      <c r="BU125">
        <v>0</v>
      </c>
      <c r="BV125">
        <v>0</v>
      </c>
      <c r="BW125">
        <v>0</v>
      </c>
      <c r="BX125">
        <v>0</v>
      </c>
      <c r="BY125">
        <v>0</v>
      </c>
      <c r="BZ125">
        <v>0</v>
      </c>
      <c r="CA125">
        <v>0</v>
      </c>
      <c r="CB125">
        <v>0</v>
      </c>
      <c r="CC125">
        <v>0</v>
      </c>
      <c r="CD125">
        <v>0</v>
      </c>
      <c r="CE125">
        <v>0</v>
      </c>
      <c r="CF125">
        <v>0</v>
      </c>
      <c r="CG125" s="147"/>
      <c r="CH125" s="176"/>
      <c r="CJ125" s="146"/>
      <c r="CK125" s="76">
        <f t="shared" ca="1" si="88"/>
        <v>0.72600907533655956</v>
      </c>
      <c r="CL125" s="179">
        <f t="shared" si="89"/>
        <v>8</v>
      </c>
      <c r="CM125" s="180">
        <f t="shared" si="90"/>
        <v>39747</v>
      </c>
      <c r="CN125">
        <v>1</v>
      </c>
      <c r="CO125">
        <v>8</v>
      </c>
      <c r="CP125">
        <v>14</v>
      </c>
      <c r="CQ125">
        <v>0</v>
      </c>
      <c r="CR125">
        <v>0</v>
      </c>
      <c r="CS125">
        <v>0</v>
      </c>
      <c r="CT125">
        <v>0</v>
      </c>
      <c r="CU125">
        <v>0</v>
      </c>
      <c r="CV125" s="160"/>
      <c r="CW125" s="178">
        <v>1</v>
      </c>
      <c r="CX125">
        <f>350/52</f>
        <v>6.7307692307692308</v>
      </c>
      <c r="CY125" s="164"/>
      <c r="CZ125" s="177">
        <f t="shared" si="91"/>
        <v>9.6000000000000002E-2</v>
      </c>
      <c r="DB125" s="146"/>
      <c r="DC125" s="76">
        <f t="shared" ca="1" si="49"/>
        <v>0.74485897234877729</v>
      </c>
      <c r="DD125">
        <f t="shared" si="92"/>
        <v>8</v>
      </c>
      <c r="DE125" s="129">
        <f t="shared" si="128"/>
        <v>39747</v>
      </c>
      <c r="DF125" s="161">
        <f t="shared" si="93"/>
        <v>70.112179487179489</v>
      </c>
      <c r="DG125" s="161">
        <f t="shared" si="94"/>
        <v>560.89743589743591</v>
      </c>
      <c r="DH125" s="161">
        <f t="shared" si="95"/>
        <v>981.5705128205127</v>
      </c>
      <c r="DI125" s="161">
        <f t="shared" si="96"/>
        <v>20.833333333333332</v>
      </c>
      <c r="DJ125" s="161">
        <f t="shared" si="97"/>
        <v>104.16666666666667</v>
      </c>
      <c r="DK125" s="161">
        <f t="shared" si="98"/>
        <v>10.416666666666666</v>
      </c>
      <c r="DL125" s="161">
        <f t="shared" si="99"/>
        <v>0</v>
      </c>
      <c r="DM125" s="161">
        <f t="shared" si="100"/>
        <v>0</v>
      </c>
      <c r="DN125" s="161">
        <f t="shared" si="101"/>
        <v>0</v>
      </c>
      <c r="DO125" s="161">
        <f t="shared" si="102"/>
        <v>0</v>
      </c>
      <c r="DP125" s="161">
        <f t="shared" si="103"/>
        <v>0</v>
      </c>
      <c r="DQ125" s="161">
        <f t="shared" si="104"/>
        <v>0</v>
      </c>
      <c r="DR125" s="161">
        <f t="shared" si="105"/>
        <v>0</v>
      </c>
      <c r="DS125" s="161">
        <f t="shared" si="106"/>
        <v>0</v>
      </c>
      <c r="DT125" s="161">
        <f t="shared" si="107"/>
        <v>0</v>
      </c>
      <c r="DU125" s="161">
        <f t="shared" si="108"/>
        <v>0</v>
      </c>
      <c r="DV125" s="161">
        <f t="shared" si="109"/>
        <v>0</v>
      </c>
      <c r="DW125" s="161">
        <f t="shared" si="110"/>
        <v>0</v>
      </c>
      <c r="DX125" s="161">
        <f t="shared" si="111"/>
        <v>0</v>
      </c>
      <c r="DY125" s="161">
        <f t="shared" si="112"/>
        <v>0</v>
      </c>
      <c r="DZ125" s="161">
        <f t="shared" si="113"/>
        <v>0</v>
      </c>
      <c r="EA125" s="161">
        <f t="shared" si="114"/>
        <v>0</v>
      </c>
      <c r="EB125" s="161">
        <f t="shared" si="115"/>
        <v>0</v>
      </c>
      <c r="EC125" s="161">
        <f t="shared" si="116"/>
        <v>0</v>
      </c>
      <c r="ED125" s="161">
        <f t="shared" si="117"/>
        <v>0</v>
      </c>
      <c r="EE125" s="161">
        <f t="shared" si="118"/>
        <v>0</v>
      </c>
      <c r="EF125" s="161">
        <f t="shared" si="119"/>
        <v>0</v>
      </c>
      <c r="EG125" s="161">
        <f t="shared" si="120"/>
        <v>0</v>
      </c>
      <c r="EH125" s="161">
        <f t="shared" si="121"/>
        <v>0</v>
      </c>
      <c r="EI125" s="161">
        <f t="shared" si="122"/>
        <v>0</v>
      </c>
      <c r="EJ125" s="161">
        <f t="shared" si="123"/>
        <v>0</v>
      </c>
      <c r="EK125" s="147">
        <f t="shared" si="130"/>
        <v>1747.9967948717947</v>
      </c>
      <c r="EL125" s="149"/>
      <c r="EN125" s="146"/>
      <c r="EO125" s="146"/>
      <c r="EP125" s="139">
        <f t="shared" si="131"/>
        <v>9.2492416046915132E-2</v>
      </c>
      <c r="EQ125" s="139">
        <f t="shared" si="132"/>
        <v>5.5345993589743596</v>
      </c>
      <c r="ER125" s="139">
        <f t="shared" si="133"/>
        <v>72.445983821849794</v>
      </c>
      <c r="ES125" s="139">
        <f t="shared" si="134"/>
        <v>4.9893560698582986</v>
      </c>
      <c r="ET125" s="139">
        <f t="shared" si="135"/>
        <v>57.505800793582097</v>
      </c>
      <c r="EU125" s="139">
        <f t="shared" si="136"/>
        <v>10.991106684284548</v>
      </c>
      <c r="EV125" s="139">
        <f t="shared" si="137"/>
        <v>0</v>
      </c>
      <c r="EW125" s="139">
        <f t="shared" si="138"/>
        <v>0</v>
      </c>
      <c r="EX125" s="139">
        <f t="shared" si="139"/>
        <v>0</v>
      </c>
      <c r="EY125" s="139">
        <f t="shared" si="140"/>
        <v>0</v>
      </c>
      <c r="EZ125" s="139">
        <f t="shared" si="141"/>
        <v>0</v>
      </c>
      <c r="FA125" s="139">
        <f t="shared" si="142"/>
        <v>0</v>
      </c>
      <c r="FB125" s="139">
        <f t="shared" si="143"/>
        <v>0</v>
      </c>
      <c r="FC125" s="139">
        <f t="shared" si="144"/>
        <v>0</v>
      </c>
      <c r="FD125" s="139">
        <f t="shared" si="145"/>
        <v>0</v>
      </c>
      <c r="FE125" s="139">
        <f t="shared" si="146"/>
        <v>0</v>
      </c>
      <c r="FF125" s="139">
        <f t="shared" si="147"/>
        <v>0</v>
      </c>
      <c r="FG125" s="139">
        <f t="shared" si="148"/>
        <v>0</v>
      </c>
      <c r="FH125" s="139">
        <f t="shared" si="149"/>
        <v>0</v>
      </c>
      <c r="FI125" s="139">
        <f t="shared" si="150"/>
        <v>0</v>
      </c>
      <c r="FJ125" s="139">
        <f t="shared" si="151"/>
        <v>0</v>
      </c>
      <c r="FK125" s="139">
        <f t="shared" si="152"/>
        <v>0</v>
      </c>
      <c r="FL125" s="139">
        <f t="shared" si="153"/>
        <v>0</v>
      </c>
      <c r="FM125" s="139">
        <f t="shared" si="154"/>
        <v>0</v>
      </c>
      <c r="FN125" s="139">
        <f t="shared" si="155"/>
        <v>0</v>
      </c>
      <c r="FO125" s="139">
        <f t="shared" si="156"/>
        <v>0</v>
      </c>
      <c r="FP125" s="139">
        <f t="shared" si="157"/>
        <v>0</v>
      </c>
      <c r="FQ125" s="139">
        <f t="shared" si="158"/>
        <v>0</v>
      </c>
      <c r="FR125" s="139">
        <f t="shared" si="159"/>
        <v>0</v>
      </c>
      <c r="FS125" s="139">
        <f t="shared" si="160"/>
        <v>0</v>
      </c>
      <c r="FT125" s="139">
        <f t="shared" si="161"/>
        <v>0</v>
      </c>
      <c r="FU125" s="148">
        <f t="shared" si="162"/>
        <v>151.55933914459601</v>
      </c>
      <c r="FV125" s="149"/>
      <c r="FY125" s="211">
        <v>120</v>
      </c>
      <c r="FZ125">
        <v>24.536703036675863</v>
      </c>
      <c r="GA125">
        <v>48.119785607712615</v>
      </c>
      <c r="GB125">
        <v>59.122399039777235</v>
      </c>
      <c r="GC125">
        <v>40.307573177915479</v>
      </c>
      <c r="GD125">
        <v>22.390379934429117</v>
      </c>
      <c r="GE125">
        <v>48.310137886284757</v>
      </c>
      <c r="GF125">
        <v>116.47915414636611</v>
      </c>
      <c r="GG125">
        <v>87.430717346901361</v>
      </c>
      <c r="GH125">
        <v>25.231298646468836</v>
      </c>
      <c r="GI125">
        <v>60.396624891828495</v>
      </c>
      <c r="GJ125"/>
      <c r="GK125"/>
      <c r="GL125"/>
      <c r="GM125"/>
    </row>
    <row r="126" spans="1:195" s="7" customFormat="1">
      <c r="A126" s="1"/>
      <c r="B126" s="76">
        <f ca="1">IF(C126="", "", RAND())</f>
        <v>0.94042381963114408</v>
      </c>
      <c r="C126">
        <v>6</v>
      </c>
      <c r="D126">
        <v>39747</v>
      </c>
      <c r="E126">
        <v>0</v>
      </c>
      <c r="F126">
        <v>0</v>
      </c>
      <c r="G126">
        <v>130.20833333333334</v>
      </c>
      <c r="H126">
        <v>31.25</v>
      </c>
      <c r="I126">
        <v>41.666666666666664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 s="2"/>
      <c r="AK126" s="80"/>
      <c r="AL126" s="74"/>
      <c r="AM126" s="43">
        <v>110</v>
      </c>
      <c r="AN126">
        <v>245.02887104564351</v>
      </c>
      <c r="AO126">
        <v>72.532042843194702</v>
      </c>
      <c r="AP126">
        <v>546.4346802047969</v>
      </c>
      <c r="AQ126">
        <v>404.14345028508353</v>
      </c>
      <c r="AR126">
        <v>65.319436740662724</v>
      </c>
      <c r="AS126">
        <v>587.57631719206881</v>
      </c>
      <c r="AT126">
        <v>33.654926591624147</v>
      </c>
      <c r="AU126">
        <v>52.248021572919178</v>
      </c>
      <c r="AV126"/>
      <c r="AW126"/>
      <c r="AX126" s="146"/>
      <c r="AY126" s="76">
        <f t="shared" ca="1" si="86"/>
        <v>0.73588180053212859</v>
      </c>
      <c r="AZ126">
        <v>9</v>
      </c>
      <c r="BA126" s="129">
        <f t="shared" si="129"/>
        <v>39747</v>
      </c>
      <c r="BB126">
        <v>0</v>
      </c>
      <c r="BC126">
        <v>0</v>
      </c>
      <c r="BD126">
        <v>0</v>
      </c>
      <c r="BE126">
        <v>0</v>
      </c>
      <c r="BF126">
        <v>1</v>
      </c>
      <c r="BG126">
        <v>0</v>
      </c>
      <c r="BH126">
        <v>0</v>
      </c>
      <c r="BI126">
        <v>0</v>
      </c>
      <c r="BJ126">
        <v>0</v>
      </c>
      <c r="BK126">
        <v>0</v>
      </c>
      <c r="BL126">
        <v>0</v>
      </c>
      <c r="BM126">
        <v>0</v>
      </c>
      <c r="BN126">
        <v>0</v>
      </c>
      <c r="BO126">
        <v>0</v>
      </c>
      <c r="BP126">
        <v>0</v>
      </c>
      <c r="BQ126">
        <v>0</v>
      </c>
      <c r="BR126">
        <v>0</v>
      </c>
      <c r="BS126">
        <v>0</v>
      </c>
      <c r="BT126">
        <v>0</v>
      </c>
      <c r="BU126">
        <v>0</v>
      </c>
      <c r="BV126">
        <v>0</v>
      </c>
      <c r="BW126">
        <v>0</v>
      </c>
      <c r="BX126">
        <v>0</v>
      </c>
      <c r="BY126">
        <v>0</v>
      </c>
      <c r="BZ126">
        <v>0</v>
      </c>
      <c r="CA126">
        <v>0</v>
      </c>
      <c r="CB126">
        <v>0</v>
      </c>
      <c r="CC126">
        <v>0</v>
      </c>
      <c r="CD126">
        <v>0</v>
      </c>
      <c r="CE126">
        <v>0</v>
      </c>
      <c r="CF126">
        <v>0</v>
      </c>
      <c r="CG126" s="147"/>
      <c r="CH126" s="176"/>
      <c r="CJ126" s="146"/>
      <c r="CK126" s="76">
        <f t="shared" ca="1" si="88"/>
        <v>0.56871631829857572</v>
      </c>
      <c r="CL126" s="179">
        <f t="shared" si="89"/>
        <v>9</v>
      </c>
      <c r="CM126" s="180">
        <f t="shared" si="90"/>
        <v>39747</v>
      </c>
      <c r="CN126">
        <v>0</v>
      </c>
      <c r="CO126">
        <v>0</v>
      </c>
      <c r="CP126">
        <v>0</v>
      </c>
      <c r="CQ126">
        <v>2</v>
      </c>
      <c r="CR126">
        <v>2</v>
      </c>
      <c r="CS126">
        <v>0</v>
      </c>
      <c r="CT126">
        <v>0</v>
      </c>
      <c r="CU126">
        <v>0</v>
      </c>
      <c r="CV126" s="160"/>
      <c r="CW126" s="178">
        <v>1</v>
      </c>
      <c r="CX126">
        <f>350/41</f>
        <v>8.536585365853659</v>
      </c>
      <c r="CY126" s="164"/>
      <c r="CZ126" s="177">
        <f t="shared" si="91"/>
        <v>9.6000000000000002E-2</v>
      </c>
      <c r="DB126" s="146"/>
      <c r="DC126" s="76">
        <f t="shared" ca="1" si="49"/>
        <v>0.92079501330866043</v>
      </c>
      <c r="DD126">
        <f t="shared" si="92"/>
        <v>9</v>
      </c>
      <c r="DE126" s="129">
        <f t="shared" si="128"/>
        <v>39747</v>
      </c>
      <c r="DF126" s="161">
        <f t="shared" si="93"/>
        <v>0</v>
      </c>
      <c r="DG126" s="161">
        <f t="shared" si="94"/>
        <v>0</v>
      </c>
      <c r="DH126" s="161">
        <f t="shared" si="95"/>
        <v>0</v>
      </c>
      <c r="DI126" s="161">
        <f t="shared" si="96"/>
        <v>177.84552845528455</v>
      </c>
      <c r="DJ126" s="161">
        <f t="shared" si="97"/>
        <v>188.26219512195124</v>
      </c>
      <c r="DK126" s="161">
        <f t="shared" si="98"/>
        <v>0</v>
      </c>
      <c r="DL126" s="161">
        <f t="shared" si="99"/>
        <v>0</v>
      </c>
      <c r="DM126" s="161">
        <f t="shared" si="100"/>
        <v>0</v>
      </c>
      <c r="DN126" s="161">
        <f t="shared" si="101"/>
        <v>0</v>
      </c>
      <c r="DO126" s="161">
        <f t="shared" si="102"/>
        <v>0</v>
      </c>
      <c r="DP126" s="161">
        <f t="shared" si="103"/>
        <v>0</v>
      </c>
      <c r="DQ126" s="161">
        <f t="shared" si="104"/>
        <v>0</v>
      </c>
      <c r="DR126" s="161">
        <f t="shared" si="105"/>
        <v>0</v>
      </c>
      <c r="DS126" s="161">
        <f t="shared" si="106"/>
        <v>0</v>
      </c>
      <c r="DT126" s="161">
        <f t="shared" si="107"/>
        <v>0</v>
      </c>
      <c r="DU126" s="161">
        <f t="shared" si="108"/>
        <v>0</v>
      </c>
      <c r="DV126" s="161">
        <f t="shared" si="109"/>
        <v>0</v>
      </c>
      <c r="DW126" s="161">
        <f t="shared" si="110"/>
        <v>0</v>
      </c>
      <c r="DX126" s="161">
        <f t="shared" si="111"/>
        <v>0</v>
      </c>
      <c r="DY126" s="161">
        <f t="shared" si="112"/>
        <v>0</v>
      </c>
      <c r="DZ126" s="161">
        <f t="shared" si="113"/>
        <v>0</v>
      </c>
      <c r="EA126" s="161">
        <f t="shared" si="114"/>
        <v>0</v>
      </c>
      <c r="EB126" s="161">
        <f t="shared" si="115"/>
        <v>0</v>
      </c>
      <c r="EC126" s="161">
        <f t="shared" si="116"/>
        <v>0</v>
      </c>
      <c r="ED126" s="161">
        <f t="shared" si="117"/>
        <v>0</v>
      </c>
      <c r="EE126" s="161">
        <f t="shared" si="118"/>
        <v>0</v>
      </c>
      <c r="EF126" s="161">
        <f t="shared" si="119"/>
        <v>0</v>
      </c>
      <c r="EG126" s="161">
        <f t="shared" si="120"/>
        <v>0</v>
      </c>
      <c r="EH126" s="161">
        <f t="shared" si="121"/>
        <v>0</v>
      </c>
      <c r="EI126" s="161">
        <f t="shared" si="122"/>
        <v>0</v>
      </c>
      <c r="EJ126" s="161">
        <f t="shared" si="123"/>
        <v>0</v>
      </c>
      <c r="EK126" s="147">
        <f t="shared" si="130"/>
        <v>366.10772357723579</v>
      </c>
      <c r="EL126" s="149"/>
      <c r="EN126" s="146"/>
      <c r="EO126" s="146"/>
      <c r="EP126" s="139">
        <f t="shared" si="131"/>
        <v>0</v>
      </c>
      <c r="EQ126" s="139">
        <f t="shared" si="132"/>
        <v>0</v>
      </c>
      <c r="ER126" s="139">
        <f t="shared" si="133"/>
        <v>0</v>
      </c>
      <c r="ES126" s="139">
        <f t="shared" si="134"/>
        <v>42.592064010985474</v>
      </c>
      <c r="ET126" s="139">
        <f t="shared" si="135"/>
        <v>103.93121558059593</v>
      </c>
      <c r="EU126" s="139">
        <f t="shared" si="136"/>
        <v>0</v>
      </c>
      <c r="EV126" s="139">
        <f t="shared" si="137"/>
        <v>0</v>
      </c>
      <c r="EW126" s="139">
        <f t="shared" si="138"/>
        <v>0</v>
      </c>
      <c r="EX126" s="139">
        <f t="shared" si="139"/>
        <v>0</v>
      </c>
      <c r="EY126" s="139">
        <f t="shared" si="140"/>
        <v>0</v>
      </c>
      <c r="EZ126" s="139">
        <f t="shared" si="141"/>
        <v>0</v>
      </c>
      <c r="FA126" s="139">
        <f t="shared" si="142"/>
        <v>0</v>
      </c>
      <c r="FB126" s="139">
        <f t="shared" si="143"/>
        <v>0</v>
      </c>
      <c r="FC126" s="139">
        <f t="shared" si="144"/>
        <v>0</v>
      </c>
      <c r="FD126" s="139">
        <f t="shared" si="145"/>
        <v>0</v>
      </c>
      <c r="FE126" s="139">
        <f t="shared" si="146"/>
        <v>0</v>
      </c>
      <c r="FF126" s="139">
        <f t="shared" si="147"/>
        <v>0</v>
      </c>
      <c r="FG126" s="139">
        <f t="shared" si="148"/>
        <v>0</v>
      </c>
      <c r="FH126" s="139">
        <f t="shared" si="149"/>
        <v>0</v>
      </c>
      <c r="FI126" s="139">
        <f t="shared" si="150"/>
        <v>0</v>
      </c>
      <c r="FJ126" s="139">
        <f t="shared" si="151"/>
        <v>0</v>
      </c>
      <c r="FK126" s="139">
        <f t="shared" si="152"/>
        <v>0</v>
      </c>
      <c r="FL126" s="139">
        <f t="shared" si="153"/>
        <v>0</v>
      </c>
      <c r="FM126" s="139">
        <f t="shared" si="154"/>
        <v>0</v>
      </c>
      <c r="FN126" s="139">
        <f t="shared" si="155"/>
        <v>0</v>
      </c>
      <c r="FO126" s="139">
        <f t="shared" si="156"/>
        <v>0</v>
      </c>
      <c r="FP126" s="139">
        <f t="shared" si="157"/>
        <v>0</v>
      </c>
      <c r="FQ126" s="139">
        <f t="shared" si="158"/>
        <v>0</v>
      </c>
      <c r="FR126" s="139">
        <f t="shared" si="159"/>
        <v>0</v>
      </c>
      <c r="FS126" s="139">
        <f t="shared" si="160"/>
        <v>0</v>
      </c>
      <c r="FT126" s="139">
        <f t="shared" si="161"/>
        <v>0</v>
      </c>
      <c r="FU126" s="148">
        <f t="shared" si="162"/>
        <v>146.5232795915814</v>
      </c>
      <c r="FV126" s="149"/>
      <c r="FY126" s="211">
        <v>121</v>
      </c>
      <c r="FZ126">
        <v>11.984119053925097</v>
      </c>
      <c r="GA126">
        <v>40.211045104883411</v>
      </c>
      <c r="GB126">
        <v>76.458732008962144</v>
      </c>
      <c r="GC126">
        <v>45.757084735800404</v>
      </c>
      <c r="GD126">
        <v>20.379824909936954</v>
      </c>
      <c r="GE126">
        <v>83.145526564881663</v>
      </c>
      <c r="GF126">
        <v>138.80442770821548</v>
      </c>
      <c r="GG126">
        <v>47.432118426953508</v>
      </c>
      <c r="GH126">
        <v>15.292325429269901</v>
      </c>
      <c r="GI126">
        <v>65.084592939114756</v>
      </c>
      <c r="GJ126"/>
      <c r="GK126"/>
      <c r="GL126"/>
      <c r="GM126"/>
    </row>
    <row r="127" spans="1:195" s="7" customFormat="1">
      <c r="A127" s="1"/>
      <c r="B127" s="76">
        <f ca="1">IF(C127="", "", RAND())</f>
        <v>0.87033182588492064</v>
      </c>
      <c r="C127">
        <v>1</v>
      </c>
      <c r="D127">
        <v>39747</v>
      </c>
      <c r="E127">
        <v>0</v>
      </c>
      <c r="F127">
        <v>173.61111111111111</v>
      </c>
      <c r="G127">
        <v>173.61111111111111</v>
      </c>
      <c r="H127">
        <v>260.41666666666669</v>
      </c>
      <c r="I127">
        <v>170.13888888888891</v>
      </c>
      <c r="J127">
        <v>10.416666666666666</v>
      </c>
      <c r="K127">
        <v>10.416666666666666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 s="2"/>
      <c r="AK127" s="80"/>
      <c r="AL127" s="74"/>
      <c r="AM127" s="43">
        <v>111</v>
      </c>
      <c r="AN127">
        <v>308.29490732976097</v>
      </c>
      <c r="AO127">
        <v>94.48831639991954</v>
      </c>
      <c r="AP127">
        <v>746.49082743859572</v>
      </c>
      <c r="AQ127">
        <v>528.96519372662829</v>
      </c>
      <c r="AR127">
        <v>83.478702907569485</v>
      </c>
      <c r="AS127">
        <v>736.34109352518249</v>
      </c>
      <c r="AT127">
        <v>44.434534698459807</v>
      </c>
      <c r="AU127">
        <v>37.444326147021222</v>
      </c>
      <c r="AV127"/>
      <c r="AW127"/>
      <c r="AX127" s="146"/>
      <c r="AY127" s="76">
        <f t="shared" ca="1" si="86"/>
        <v>0.30007709067808275</v>
      </c>
      <c r="AZ127">
        <v>10</v>
      </c>
      <c r="BA127" s="129">
        <f t="shared" si="129"/>
        <v>39747</v>
      </c>
      <c r="BB127">
        <v>0</v>
      </c>
      <c r="BC127">
        <v>0</v>
      </c>
      <c r="BD127">
        <v>0</v>
      </c>
      <c r="BE127">
        <v>0</v>
      </c>
      <c r="BF127">
        <v>7</v>
      </c>
      <c r="BG127">
        <v>3</v>
      </c>
      <c r="BH127">
        <v>0</v>
      </c>
      <c r="BI127">
        <v>0</v>
      </c>
      <c r="BJ127">
        <v>0</v>
      </c>
      <c r="BK127">
        <v>0</v>
      </c>
      <c r="BL127">
        <v>0</v>
      </c>
      <c r="BM127">
        <v>0</v>
      </c>
      <c r="BN127">
        <v>0</v>
      </c>
      <c r="BO127">
        <v>0</v>
      </c>
      <c r="BP127">
        <v>0</v>
      </c>
      <c r="BQ127">
        <v>0</v>
      </c>
      <c r="BR127">
        <v>0</v>
      </c>
      <c r="BS127">
        <v>0</v>
      </c>
      <c r="BT127">
        <v>0</v>
      </c>
      <c r="BU127">
        <v>0</v>
      </c>
      <c r="BV127">
        <v>0</v>
      </c>
      <c r="BW127">
        <v>0</v>
      </c>
      <c r="BX127">
        <v>0</v>
      </c>
      <c r="BY127">
        <v>0</v>
      </c>
      <c r="BZ127">
        <v>0</v>
      </c>
      <c r="CA127">
        <v>0</v>
      </c>
      <c r="CB127">
        <v>0</v>
      </c>
      <c r="CC127">
        <v>0</v>
      </c>
      <c r="CD127">
        <v>0</v>
      </c>
      <c r="CE127">
        <v>0</v>
      </c>
      <c r="CF127">
        <v>0</v>
      </c>
      <c r="CG127" s="147"/>
      <c r="CH127" s="176"/>
      <c r="CJ127" s="146"/>
      <c r="CK127" s="76">
        <f t="shared" ca="1" si="88"/>
        <v>0.85109618675033394</v>
      </c>
      <c r="CL127" s="179">
        <f t="shared" si="89"/>
        <v>10</v>
      </c>
      <c r="CM127" s="180">
        <f t="shared" si="90"/>
        <v>39747</v>
      </c>
      <c r="CN127">
        <v>0</v>
      </c>
      <c r="CO127">
        <v>2</v>
      </c>
      <c r="CP127">
        <v>6</v>
      </c>
      <c r="CQ127">
        <v>1</v>
      </c>
      <c r="CR127">
        <v>1</v>
      </c>
      <c r="CS127">
        <v>0</v>
      </c>
      <c r="CT127">
        <v>0</v>
      </c>
      <c r="CU127">
        <v>0</v>
      </c>
      <c r="CV127" s="160"/>
      <c r="CW127" s="178">
        <v>1</v>
      </c>
      <c r="CX127">
        <f>350/56</f>
        <v>6.25</v>
      </c>
      <c r="CY127" s="164"/>
      <c r="CZ127" s="177">
        <f t="shared" si="91"/>
        <v>9.6000000000000002E-2</v>
      </c>
      <c r="DB127" s="146"/>
      <c r="DC127" s="76">
        <f t="shared" ca="1" si="49"/>
        <v>0.79237720661877376</v>
      </c>
      <c r="DD127">
        <f t="shared" si="92"/>
        <v>10</v>
      </c>
      <c r="DE127" s="129">
        <f t="shared" si="128"/>
        <v>39747</v>
      </c>
      <c r="DF127" s="161">
        <f t="shared" si="93"/>
        <v>0</v>
      </c>
      <c r="DG127" s="161">
        <f t="shared" si="94"/>
        <v>130.20833333333334</v>
      </c>
      <c r="DH127" s="161">
        <f t="shared" si="95"/>
        <v>390.625</v>
      </c>
      <c r="DI127" s="161">
        <f t="shared" si="96"/>
        <v>65.104166666666671</v>
      </c>
      <c r="DJ127" s="161">
        <f t="shared" si="97"/>
        <v>138.02083333333334</v>
      </c>
      <c r="DK127" s="161">
        <f t="shared" si="98"/>
        <v>31.25</v>
      </c>
      <c r="DL127" s="161">
        <f t="shared" si="99"/>
        <v>0</v>
      </c>
      <c r="DM127" s="161">
        <f t="shared" si="100"/>
        <v>0</v>
      </c>
      <c r="DN127" s="161">
        <f t="shared" si="101"/>
        <v>0</v>
      </c>
      <c r="DO127" s="161">
        <f t="shared" si="102"/>
        <v>0</v>
      </c>
      <c r="DP127" s="161">
        <f t="shared" si="103"/>
        <v>0</v>
      </c>
      <c r="DQ127" s="161">
        <f t="shared" si="104"/>
        <v>0</v>
      </c>
      <c r="DR127" s="161">
        <f t="shared" si="105"/>
        <v>0</v>
      </c>
      <c r="DS127" s="161">
        <f t="shared" si="106"/>
        <v>0</v>
      </c>
      <c r="DT127" s="161">
        <f t="shared" si="107"/>
        <v>0</v>
      </c>
      <c r="DU127" s="161">
        <f t="shared" si="108"/>
        <v>0</v>
      </c>
      <c r="DV127" s="161">
        <f t="shared" si="109"/>
        <v>0</v>
      </c>
      <c r="DW127" s="161">
        <f t="shared" si="110"/>
        <v>0</v>
      </c>
      <c r="DX127" s="161">
        <f t="shared" si="111"/>
        <v>0</v>
      </c>
      <c r="DY127" s="161">
        <f t="shared" si="112"/>
        <v>0</v>
      </c>
      <c r="DZ127" s="161">
        <f t="shared" si="113"/>
        <v>0</v>
      </c>
      <c r="EA127" s="161">
        <f t="shared" si="114"/>
        <v>0</v>
      </c>
      <c r="EB127" s="161">
        <f t="shared" si="115"/>
        <v>0</v>
      </c>
      <c r="EC127" s="161">
        <f t="shared" si="116"/>
        <v>0</v>
      </c>
      <c r="ED127" s="161">
        <f t="shared" si="117"/>
        <v>0</v>
      </c>
      <c r="EE127" s="161">
        <f t="shared" si="118"/>
        <v>0</v>
      </c>
      <c r="EF127" s="161">
        <f t="shared" si="119"/>
        <v>0</v>
      </c>
      <c r="EG127" s="161">
        <f t="shared" si="120"/>
        <v>0</v>
      </c>
      <c r="EH127" s="161">
        <f t="shared" si="121"/>
        <v>0</v>
      </c>
      <c r="EI127" s="161">
        <f t="shared" si="122"/>
        <v>0</v>
      </c>
      <c r="EJ127" s="161">
        <f t="shared" si="123"/>
        <v>0</v>
      </c>
      <c r="EK127" s="147">
        <f t="shared" si="130"/>
        <v>755.20833333333337</v>
      </c>
      <c r="EL127" s="149"/>
      <c r="EN127" s="146"/>
      <c r="EO127" s="146"/>
      <c r="EP127" s="139">
        <f t="shared" si="131"/>
        <v>0</v>
      </c>
      <c r="EQ127" s="139">
        <f t="shared" si="132"/>
        <v>1.2848177083333334</v>
      </c>
      <c r="ER127" s="139">
        <f t="shared" si="133"/>
        <v>28.830544582164716</v>
      </c>
      <c r="ES127" s="139">
        <f t="shared" si="134"/>
        <v>15.591737718307185</v>
      </c>
      <c r="ET127" s="139">
        <f t="shared" si="135"/>
        <v>76.195186051496279</v>
      </c>
      <c r="EU127" s="139">
        <f t="shared" si="136"/>
        <v>32.973320052853644</v>
      </c>
      <c r="EV127" s="139">
        <f t="shared" si="137"/>
        <v>0</v>
      </c>
      <c r="EW127" s="139">
        <f t="shared" si="138"/>
        <v>0</v>
      </c>
      <c r="EX127" s="139">
        <f t="shared" si="139"/>
        <v>0</v>
      </c>
      <c r="EY127" s="139">
        <f t="shared" si="140"/>
        <v>0</v>
      </c>
      <c r="EZ127" s="139">
        <f t="shared" si="141"/>
        <v>0</v>
      </c>
      <c r="FA127" s="139">
        <f t="shared" si="142"/>
        <v>0</v>
      </c>
      <c r="FB127" s="139">
        <f t="shared" si="143"/>
        <v>0</v>
      </c>
      <c r="FC127" s="139">
        <f t="shared" si="144"/>
        <v>0</v>
      </c>
      <c r="FD127" s="139">
        <f t="shared" si="145"/>
        <v>0</v>
      </c>
      <c r="FE127" s="139">
        <f t="shared" si="146"/>
        <v>0</v>
      </c>
      <c r="FF127" s="139">
        <f t="shared" si="147"/>
        <v>0</v>
      </c>
      <c r="FG127" s="139">
        <f t="shared" si="148"/>
        <v>0</v>
      </c>
      <c r="FH127" s="139">
        <f t="shared" si="149"/>
        <v>0</v>
      </c>
      <c r="FI127" s="139">
        <f t="shared" si="150"/>
        <v>0</v>
      </c>
      <c r="FJ127" s="139">
        <f t="shared" si="151"/>
        <v>0</v>
      </c>
      <c r="FK127" s="139">
        <f t="shared" si="152"/>
        <v>0</v>
      </c>
      <c r="FL127" s="139">
        <f t="shared" si="153"/>
        <v>0</v>
      </c>
      <c r="FM127" s="139">
        <f t="shared" si="154"/>
        <v>0</v>
      </c>
      <c r="FN127" s="139">
        <f t="shared" si="155"/>
        <v>0</v>
      </c>
      <c r="FO127" s="139">
        <f t="shared" si="156"/>
        <v>0</v>
      </c>
      <c r="FP127" s="139">
        <f t="shared" si="157"/>
        <v>0</v>
      </c>
      <c r="FQ127" s="139">
        <f t="shared" si="158"/>
        <v>0</v>
      </c>
      <c r="FR127" s="139">
        <f t="shared" si="159"/>
        <v>0</v>
      </c>
      <c r="FS127" s="139">
        <f t="shared" si="160"/>
        <v>0</v>
      </c>
      <c r="FT127" s="139">
        <f t="shared" si="161"/>
        <v>0</v>
      </c>
      <c r="FU127" s="148">
        <f t="shared" si="162"/>
        <v>154.87560611315516</v>
      </c>
      <c r="FV127" s="149"/>
      <c r="FY127" s="211">
        <v>122</v>
      </c>
      <c r="FZ127">
        <v>30.163282968932023</v>
      </c>
      <c r="GA127">
        <v>65.416431475701359</v>
      </c>
      <c r="GB127">
        <v>89.798794638845962</v>
      </c>
      <c r="GC127">
        <v>51.531412138526903</v>
      </c>
      <c r="GD127">
        <v>24.414565873126922</v>
      </c>
      <c r="GE127">
        <v>58.361801048971259</v>
      </c>
      <c r="GF127">
        <v>87.63709062968249</v>
      </c>
      <c r="GG127">
        <v>57.637700028407941</v>
      </c>
      <c r="GH127">
        <v>25.021515090128421</v>
      </c>
      <c r="GI127">
        <v>64.150160126414107</v>
      </c>
      <c r="GJ127"/>
      <c r="GK127"/>
      <c r="GL127"/>
      <c r="GM127"/>
    </row>
    <row r="128" spans="1:195" s="7" customFormat="1">
      <c r="A128" s="128"/>
      <c r="B128" s="76">
        <f ca="1">IF(C128="", "", RAND())</f>
        <v>0.2048769229029519</v>
      </c>
      <c r="C128">
        <v>6</v>
      </c>
      <c r="D128">
        <v>39775</v>
      </c>
      <c r="E128">
        <v>0</v>
      </c>
      <c r="F128">
        <v>0</v>
      </c>
      <c r="G128">
        <v>52.083333333333336</v>
      </c>
      <c r="H128">
        <v>41.666666666666664</v>
      </c>
      <c r="I128">
        <v>93.75</v>
      </c>
      <c r="J128">
        <v>10.416666666666666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 s="2"/>
      <c r="AK128" s="80"/>
      <c r="AL128" s="74"/>
      <c r="AM128" s="43">
        <v>112</v>
      </c>
      <c r="AN128">
        <v>303.40514693765618</v>
      </c>
      <c r="AO128">
        <v>102.71401091261696</v>
      </c>
      <c r="AP128">
        <v>697.90675297643475</v>
      </c>
      <c r="AQ128">
        <v>538.42738077384047</v>
      </c>
      <c r="AR128">
        <v>92.071690721174647</v>
      </c>
      <c r="AS128">
        <v>786.08075106365948</v>
      </c>
      <c r="AT128">
        <v>49.125665434337002</v>
      </c>
      <c r="AU128">
        <v>58.590231143405177</v>
      </c>
      <c r="AV128"/>
      <c r="AW128"/>
      <c r="AX128" s="128"/>
      <c r="AY128" s="76">
        <f t="shared" ca="1" si="86"/>
        <v>0.32078013293521046</v>
      </c>
      <c r="AZ128">
        <v>1</v>
      </c>
      <c r="BA128" s="129">
        <f>IF(AZ128="", "",$C$8)</f>
        <v>39775</v>
      </c>
      <c r="BB128">
        <v>0</v>
      </c>
      <c r="BC128">
        <v>0</v>
      </c>
      <c r="BD128">
        <v>0</v>
      </c>
      <c r="BE128">
        <v>0</v>
      </c>
      <c r="BF128">
        <v>3</v>
      </c>
      <c r="BG128">
        <v>0</v>
      </c>
      <c r="BH128">
        <v>0</v>
      </c>
      <c r="BI128">
        <v>0</v>
      </c>
      <c r="BJ128">
        <v>0</v>
      </c>
      <c r="BK128">
        <v>0</v>
      </c>
      <c r="BL128">
        <v>0</v>
      </c>
      <c r="BM128">
        <v>0</v>
      </c>
      <c r="BN128">
        <v>0</v>
      </c>
      <c r="BO128">
        <v>0</v>
      </c>
      <c r="BP128">
        <v>0</v>
      </c>
      <c r="BQ128">
        <v>0</v>
      </c>
      <c r="BR128">
        <v>0</v>
      </c>
      <c r="BS128">
        <v>0</v>
      </c>
      <c r="BT128">
        <v>0</v>
      </c>
      <c r="BU128">
        <v>0</v>
      </c>
      <c r="BV128">
        <v>0</v>
      </c>
      <c r="BW128">
        <v>0</v>
      </c>
      <c r="BX128">
        <v>0</v>
      </c>
      <c r="BY128">
        <v>0</v>
      </c>
      <c r="BZ128">
        <v>0</v>
      </c>
      <c r="CA128">
        <v>0</v>
      </c>
      <c r="CB128">
        <v>0</v>
      </c>
      <c r="CC128">
        <v>0</v>
      </c>
      <c r="CD128">
        <v>0</v>
      </c>
      <c r="CE128">
        <v>0</v>
      </c>
      <c r="CF128">
        <v>0</v>
      </c>
      <c r="CG128" s="147"/>
      <c r="CH128" s="176"/>
      <c r="CJ128" s="128"/>
      <c r="CK128" s="76">
        <f t="shared" ca="1" si="88"/>
        <v>1.2952423993004558E-2</v>
      </c>
      <c r="CL128" s="179">
        <f t="shared" si="89"/>
        <v>1</v>
      </c>
      <c r="CM128" s="180">
        <f t="shared" si="90"/>
        <v>39775</v>
      </c>
      <c r="CN128">
        <v>0</v>
      </c>
      <c r="CO128">
        <v>0</v>
      </c>
      <c r="CP128">
        <v>5</v>
      </c>
      <c r="CQ128">
        <v>0</v>
      </c>
      <c r="CR128">
        <v>0</v>
      </c>
      <c r="CS128">
        <v>0</v>
      </c>
      <c r="CT128">
        <v>0</v>
      </c>
      <c r="CU128">
        <v>0</v>
      </c>
      <c r="CV128" s="160"/>
      <c r="CW128">
        <f>40/13</f>
        <v>3.0769230769230771</v>
      </c>
      <c r="CX128">
        <f>21/10</f>
        <v>2.1</v>
      </c>
      <c r="CY128" s="160"/>
      <c r="CZ128" s="177">
        <f t="shared" si="91"/>
        <v>9.6000000000000002E-2</v>
      </c>
      <c r="DB128" s="128"/>
      <c r="DC128" s="76">
        <f t="shared" ca="1" si="49"/>
        <v>0.39518777009760164</v>
      </c>
      <c r="DD128">
        <f t="shared" si="92"/>
        <v>1</v>
      </c>
      <c r="DE128" s="129">
        <f t="shared" ref="DE128:DE137" si="163">IF((DD128)="", "", $C$8)</f>
        <v>39775</v>
      </c>
      <c r="DF128" s="161">
        <f t="shared" si="93"/>
        <v>0</v>
      </c>
      <c r="DG128" s="161">
        <f t="shared" si="94"/>
        <v>0</v>
      </c>
      <c r="DH128" s="161">
        <f t="shared" si="95"/>
        <v>109.375</v>
      </c>
      <c r="DI128" s="161">
        <f t="shared" si="96"/>
        <v>0</v>
      </c>
      <c r="DJ128" s="161">
        <f t="shared" si="97"/>
        <v>96.15384615384616</v>
      </c>
      <c r="DK128" s="161">
        <f t="shared" si="98"/>
        <v>0</v>
      </c>
      <c r="DL128" s="161">
        <f t="shared" si="99"/>
        <v>0</v>
      </c>
      <c r="DM128" s="161">
        <f t="shared" si="100"/>
        <v>0</v>
      </c>
      <c r="DN128" s="161">
        <f t="shared" si="101"/>
        <v>0</v>
      </c>
      <c r="DO128" s="161">
        <f t="shared" si="102"/>
        <v>0</v>
      </c>
      <c r="DP128" s="161">
        <f t="shared" si="103"/>
        <v>0</v>
      </c>
      <c r="DQ128" s="161">
        <f t="shared" si="104"/>
        <v>0</v>
      </c>
      <c r="DR128" s="161">
        <f t="shared" si="105"/>
        <v>0</v>
      </c>
      <c r="DS128" s="161">
        <f t="shared" si="106"/>
        <v>0</v>
      </c>
      <c r="DT128" s="161">
        <f t="shared" si="107"/>
        <v>0</v>
      </c>
      <c r="DU128" s="161">
        <f t="shared" si="108"/>
        <v>0</v>
      </c>
      <c r="DV128" s="161">
        <f t="shared" si="109"/>
        <v>0</v>
      </c>
      <c r="DW128" s="161">
        <f t="shared" si="110"/>
        <v>0</v>
      </c>
      <c r="DX128" s="161">
        <f t="shared" si="111"/>
        <v>0</v>
      </c>
      <c r="DY128" s="161">
        <f t="shared" si="112"/>
        <v>0</v>
      </c>
      <c r="DZ128" s="161">
        <f t="shared" si="113"/>
        <v>0</v>
      </c>
      <c r="EA128" s="161">
        <f t="shared" si="114"/>
        <v>0</v>
      </c>
      <c r="EB128" s="161">
        <f t="shared" si="115"/>
        <v>0</v>
      </c>
      <c r="EC128" s="161">
        <f t="shared" si="116"/>
        <v>0</v>
      </c>
      <c r="ED128" s="161">
        <f t="shared" si="117"/>
        <v>0</v>
      </c>
      <c r="EE128" s="161">
        <f t="shared" si="118"/>
        <v>0</v>
      </c>
      <c r="EF128" s="161">
        <f t="shared" si="119"/>
        <v>0</v>
      </c>
      <c r="EG128" s="161">
        <f t="shared" si="120"/>
        <v>0</v>
      </c>
      <c r="EH128" s="161">
        <f t="shared" si="121"/>
        <v>0</v>
      </c>
      <c r="EI128" s="161">
        <f t="shared" si="122"/>
        <v>0</v>
      </c>
      <c r="EJ128" s="161">
        <f t="shared" si="123"/>
        <v>0</v>
      </c>
      <c r="EK128" s="147">
        <f t="shared" si="130"/>
        <v>205.52884615384616</v>
      </c>
      <c r="EL128" s="149"/>
      <c r="EN128" s="146"/>
      <c r="EO128" s="146"/>
      <c r="EP128" s="139">
        <f t="shared" si="131"/>
        <v>0</v>
      </c>
      <c r="EQ128" s="139">
        <f t="shared" si="132"/>
        <v>0</v>
      </c>
      <c r="ER128" s="139">
        <f t="shared" si="133"/>
        <v>8.0725524830061204</v>
      </c>
      <c r="ES128" s="139">
        <f t="shared" si="134"/>
        <v>0</v>
      </c>
      <c r="ET128" s="139">
        <f t="shared" si="135"/>
        <v>53.082277655614241</v>
      </c>
      <c r="EU128" s="139">
        <f t="shared" si="136"/>
        <v>0</v>
      </c>
      <c r="EV128" s="139">
        <f t="shared" si="137"/>
        <v>0</v>
      </c>
      <c r="EW128" s="139">
        <f t="shared" si="138"/>
        <v>0</v>
      </c>
      <c r="EX128" s="139">
        <f t="shared" si="139"/>
        <v>0</v>
      </c>
      <c r="EY128" s="139">
        <f t="shared" si="140"/>
        <v>0</v>
      </c>
      <c r="EZ128" s="139">
        <f t="shared" si="141"/>
        <v>0</v>
      </c>
      <c r="FA128" s="139">
        <f t="shared" si="142"/>
        <v>0</v>
      </c>
      <c r="FB128" s="139">
        <f t="shared" si="143"/>
        <v>0</v>
      </c>
      <c r="FC128" s="139">
        <f t="shared" si="144"/>
        <v>0</v>
      </c>
      <c r="FD128" s="139">
        <f t="shared" si="145"/>
        <v>0</v>
      </c>
      <c r="FE128" s="139">
        <f t="shared" si="146"/>
        <v>0</v>
      </c>
      <c r="FF128" s="139">
        <f t="shared" si="147"/>
        <v>0</v>
      </c>
      <c r="FG128" s="139">
        <f t="shared" si="148"/>
        <v>0</v>
      </c>
      <c r="FH128" s="139">
        <f t="shared" si="149"/>
        <v>0</v>
      </c>
      <c r="FI128" s="139">
        <f t="shared" si="150"/>
        <v>0</v>
      </c>
      <c r="FJ128" s="139">
        <f t="shared" si="151"/>
        <v>0</v>
      </c>
      <c r="FK128" s="139">
        <f t="shared" si="152"/>
        <v>0</v>
      </c>
      <c r="FL128" s="139">
        <f t="shared" si="153"/>
        <v>0</v>
      </c>
      <c r="FM128" s="139">
        <f t="shared" si="154"/>
        <v>0</v>
      </c>
      <c r="FN128" s="139">
        <f t="shared" si="155"/>
        <v>0</v>
      </c>
      <c r="FO128" s="139">
        <f t="shared" si="156"/>
        <v>0</v>
      </c>
      <c r="FP128" s="139">
        <f t="shared" si="157"/>
        <v>0</v>
      </c>
      <c r="FQ128" s="139">
        <f t="shared" si="158"/>
        <v>0</v>
      </c>
      <c r="FR128" s="139">
        <f t="shared" si="159"/>
        <v>0</v>
      </c>
      <c r="FS128" s="139">
        <f t="shared" si="160"/>
        <v>0</v>
      </c>
      <c r="FT128" s="139">
        <f t="shared" si="161"/>
        <v>0</v>
      </c>
      <c r="FU128" s="148">
        <f t="shared" si="162"/>
        <v>61.154830138620362</v>
      </c>
      <c r="FV128" s="149"/>
      <c r="FY128" s="211">
        <v>123</v>
      </c>
      <c r="FZ128">
        <v>23.285995149773132</v>
      </c>
      <c r="GA128">
        <v>67.696623983959142</v>
      </c>
      <c r="GB128">
        <v>71.461546825464467</v>
      </c>
      <c r="GC128">
        <v>36.834236497475288</v>
      </c>
      <c r="GD128">
        <v>18.329324278763941</v>
      </c>
      <c r="GE128">
        <v>42.120089871909336</v>
      </c>
      <c r="GF128">
        <v>58.508352283206726</v>
      </c>
      <c r="GG128">
        <v>29.026457066131819</v>
      </c>
      <c r="GH128">
        <v>8.382475238512475</v>
      </c>
      <c r="GI128">
        <v>46.177977142654029</v>
      </c>
      <c r="GJ128"/>
      <c r="GK128"/>
      <c r="GL128"/>
      <c r="GM128"/>
    </row>
    <row r="129" spans="1:195" s="7" customFormat="1">
      <c r="A129" s="1"/>
      <c r="B129" s="76">
        <f ca="1">IF(C129="", "", RAND())</f>
        <v>0.2919366403492758</v>
      </c>
      <c r="C129">
        <v>1</v>
      </c>
      <c r="D129">
        <v>39775</v>
      </c>
      <c r="E129">
        <v>0</v>
      </c>
      <c r="F129">
        <v>0</v>
      </c>
      <c r="G129">
        <v>109.375</v>
      </c>
      <c r="H129">
        <v>0</v>
      </c>
      <c r="I129">
        <v>96.15384615384616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 s="2"/>
      <c r="AK129" s="80"/>
      <c r="AL129" s="74"/>
      <c r="AM129" s="43">
        <v>113</v>
      </c>
      <c r="AN129">
        <v>283.20265183670443</v>
      </c>
      <c r="AO129">
        <v>96.488976913176131</v>
      </c>
      <c r="AP129">
        <v>712.17848269976844</v>
      </c>
      <c r="AQ129">
        <v>535.34427661787549</v>
      </c>
      <c r="AR129">
        <v>87.304432777557892</v>
      </c>
      <c r="AS129">
        <v>725.50191190686371</v>
      </c>
      <c r="AT129">
        <v>47.420421398851623</v>
      </c>
      <c r="AU129">
        <v>69.112267239345087</v>
      </c>
      <c r="AV129"/>
      <c r="AW129"/>
      <c r="AX129" s="146"/>
      <c r="AY129" s="76">
        <f t="shared" ca="1" si="86"/>
        <v>0.25960059014319992</v>
      </c>
      <c r="AZ129">
        <v>2</v>
      </c>
      <c r="BA129" s="129">
        <f t="shared" ref="BA129:BA137" si="164">IF(AZ129="", "",$C$8)</f>
        <v>39775</v>
      </c>
      <c r="BB129">
        <v>0</v>
      </c>
      <c r="BC129">
        <v>0</v>
      </c>
      <c r="BD129">
        <v>2</v>
      </c>
      <c r="BE129">
        <v>3</v>
      </c>
      <c r="BF129">
        <v>5</v>
      </c>
      <c r="BG129">
        <v>0</v>
      </c>
      <c r="BH129">
        <v>0</v>
      </c>
      <c r="BI129">
        <v>0</v>
      </c>
      <c r="BJ129">
        <v>0</v>
      </c>
      <c r="BK129">
        <v>0</v>
      </c>
      <c r="BL129">
        <v>0</v>
      </c>
      <c r="BM129">
        <v>0</v>
      </c>
      <c r="BN129">
        <v>0</v>
      </c>
      <c r="BO129">
        <v>0</v>
      </c>
      <c r="BP129">
        <v>0</v>
      </c>
      <c r="BQ129">
        <v>0</v>
      </c>
      <c r="BR129">
        <v>0</v>
      </c>
      <c r="BS129">
        <v>0</v>
      </c>
      <c r="BT129">
        <v>0</v>
      </c>
      <c r="BU129">
        <v>0</v>
      </c>
      <c r="BV129">
        <v>0</v>
      </c>
      <c r="BW129">
        <v>0</v>
      </c>
      <c r="BX129">
        <v>0</v>
      </c>
      <c r="BY129">
        <v>0</v>
      </c>
      <c r="BZ129">
        <v>0</v>
      </c>
      <c r="CA129">
        <v>0</v>
      </c>
      <c r="CB129">
        <v>0</v>
      </c>
      <c r="CC129">
        <v>0</v>
      </c>
      <c r="CD129">
        <v>0</v>
      </c>
      <c r="CE129">
        <v>0</v>
      </c>
      <c r="CF129">
        <v>0</v>
      </c>
      <c r="CG129" s="147"/>
      <c r="CH129" s="176"/>
      <c r="CJ129" s="146"/>
      <c r="CK129" s="76">
        <f t="shared" ca="1" si="88"/>
        <v>4.7772254211517762E-2</v>
      </c>
      <c r="CL129" s="179">
        <f t="shared" si="89"/>
        <v>2</v>
      </c>
      <c r="CM129" s="180">
        <f t="shared" si="90"/>
        <v>39775</v>
      </c>
      <c r="CN129">
        <v>0</v>
      </c>
      <c r="CO129">
        <v>0</v>
      </c>
      <c r="CP129">
        <v>4</v>
      </c>
      <c r="CQ129">
        <v>0</v>
      </c>
      <c r="CR129">
        <v>0</v>
      </c>
      <c r="CS129">
        <v>0</v>
      </c>
      <c r="CT129">
        <v>0</v>
      </c>
      <c r="CU129">
        <v>0</v>
      </c>
      <c r="CV129" s="160"/>
      <c r="CW129">
        <v>1</v>
      </c>
      <c r="CX129">
        <f>20/11</f>
        <v>1.8181818181818181</v>
      </c>
      <c r="CY129" s="160"/>
      <c r="CZ129" s="177">
        <f t="shared" si="91"/>
        <v>9.6000000000000002E-2</v>
      </c>
      <c r="DB129" s="146"/>
      <c r="DC129" s="76">
        <f t="shared" ca="1" si="49"/>
        <v>0.37439932642703888</v>
      </c>
      <c r="DD129">
        <f t="shared" si="92"/>
        <v>2</v>
      </c>
      <c r="DE129" s="129">
        <f t="shared" si="163"/>
        <v>39775</v>
      </c>
      <c r="DF129" s="161">
        <f t="shared" si="93"/>
        <v>0</v>
      </c>
      <c r="DG129" s="161">
        <f t="shared" si="94"/>
        <v>0</v>
      </c>
      <c r="DH129" s="161">
        <f t="shared" si="95"/>
        <v>96.590909090909093</v>
      </c>
      <c r="DI129" s="161">
        <f t="shared" si="96"/>
        <v>31.25</v>
      </c>
      <c r="DJ129" s="161">
        <f t="shared" si="97"/>
        <v>52.083333333333336</v>
      </c>
      <c r="DK129" s="161">
        <f t="shared" si="98"/>
        <v>0</v>
      </c>
      <c r="DL129" s="161">
        <f t="shared" si="99"/>
        <v>0</v>
      </c>
      <c r="DM129" s="161">
        <f t="shared" si="100"/>
        <v>0</v>
      </c>
      <c r="DN129" s="161">
        <f t="shared" si="101"/>
        <v>0</v>
      </c>
      <c r="DO129" s="161">
        <f t="shared" si="102"/>
        <v>0</v>
      </c>
      <c r="DP129" s="161">
        <f t="shared" si="103"/>
        <v>0</v>
      </c>
      <c r="DQ129" s="161">
        <f t="shared" si="104"/>
        <v>0</v>
      </c>
      <c r="DR129" s="161">
        <f t="shared" si="105"/>
        <v>0</v>
      </c>
      <c r="DS129" s="161">
        <f t="shared" si="106"/>
        <v>0</v>
      </c>
      <c r="DT129" s="161">
        <f t="shared" si="107"/>
        <v>0</v>
      </c>
      <c r="DU129" s="161">
        <f t="shared" si="108"/>
        <v>0</v>
      </c>
      <c r="DV129" s="161">
        <f t="shared" si="109"/>
        <v>0</v>
      </c>
      <c r="DW129" s="161">
        <f t="shared" si="110"/>
        <v>0</v>
      </c>
      <c r="DX129" s="161">
        <f t="shared" si="111"/>
        <v>0</v>
      </c>
      <c r="DY129" s="161">
        <f t="shared" si="112"/>
        <v>0</v>
      </c>
      <c r="DZ129" s="161">
        <f t="shared" si="113"/>
        <v>0</v>
      </c>
      <c r="EA129" s="161">
        <f t="shared" si="114"/>
        <v>0</v>
      </c>
      <c r="EB129" s="161">
        <f t="shared" si="115"/>
        <v>0</v>
      </c>
      <c r="EC129" s="161">
        <f t="shared" si="116"/>
        <v>0</v>
      </c>
      <c r="ED129" s="161">
        <f t="shared" si="117"/>
        <v>0</v>
      </c>
      <c r="EE129" s="161">
        <f t="shared" si="118"/>
        <v>0</v>
      </c>
      <c r="EF129" s="161">
        <f t="shared" si="119"/>
        <v>0</v>
      </c>
      <c r="EG129" s="161">
        <f t="shared" si="120"/>
        <v>0</v>
      </c>
      <c r="EH129" s="161">
        <f t="shared" si="121"/>
        <v>0</v>
      </c>
      <c r="EI129" s="161">
        <f t="shared" si="122"/>
        <v>0</v>
      </c>
      <c r="EJ129" s="161">
        <f t="shared" si="123"/>
        <v>0</v>
      </c>
      <c r="EK129" s="147">
        <f t="shared" si="130"/>
        <v>179.92424242424244</v>
      </c>
      <c r="EL129" s="149"/>
      <c r="EN129" s="146"/>
      <c r="EO129" s="146"/>
      <c r="EP129" s="139">
        <f t="shared" si="131"/>
        <v>0</v>
      </c>
      <c r="EQ129" s="139">
        <f t="shared" si="132"/>
        <v>0</v>
      </c>
      <c r="ER129" s="139">
        <f t="shared" si="133"/>
        <v>7.1290073875898212</v>
      </c>
      <c r="ES129" s="139">
        <f t="shared" si="134"/>
        <v>7.4840341047874483</v>
      </c>
      <c r="ET129" s="139">
        <f t="shared" si="135"/>
        <v>28.752900396791048</v>
      </c>
      <c r="EU129" s="139">
        <f t="shared" si="136"/>
        <v>0</v>
      </c>
      <c r="EV129" s="139">
        <f t="shared" si="137"/>
        <v>0</v>
      </c>
      <c r="EW129" s="139">
        <f t="shared" si="138"/>
        <v>0</v>
      </c>
      <c r="EX129" s="139">
        <f t="shared" si="139"/>
        <v>0</v>
      </c>
      <c r="EY129" s="139">
        <f t="shared" si="140"/>
        <v>0</v>
      </c>
      <c r="EZ129" s="139">
        <f t="shared" si="141"/>
        <v>0</v>
      </c>
      <c r="FA129" s="139">
        <f t="shared" si="142"/>
        <v>0</v>
      </c>
      <c r="FB129" s="139">
        <f t="shared" si="143"/>
        <v>0</v>
      </c>
      <c r="FC129" s="139">
        <f t="shared" si="144"/>
        <v>0</v>
      </c>
      <c r="FD129" s="139">
        <f t="shared" si="145"/>
        <v>0</v>
      </c>
      <c r="FE129" s="139">
        <f t="shared" si="146"/>
        <v>0</v>
      </c>
      <c r="FF129" s="139">
        <f t="shared" si="147"/>
        <v>0</v>
      </c>
      <c r="FG129" s="139">
        <f t="shared" si="148"/>
        <v>0</v>
      </c>
      <c r="FH129" s="139">
        <f t="shared" si="149"/>
        <v>0</v>
      </c>
      <c r="FI129" s="139">
        <f t="shared" si="150"/>
        <v>0</v>
      </c>
      <c r="FJ129" s="139">
        <f t="shared" si="151"/>
        <v>0</v>
      </c>
      <c r="FK129" s="139">
        <f t="shared" si="152"/>
        <v>0</v>
      </c>
      <c r="FL129" s="139">
        <f t="shared" si="153"/>
        <v>0</v>
      </c>
      <c r="FM129" s="139">
        <f t="shared" si="154"/>
        <v>0</v>
      </c>
      <c r="FN129" s="139">
        <f t="shared" si="155"/>
        <v>0</v>
      </c>
      <c r="FO129" s="139">
        <f t="shared" si="156"/>
        <v>0</v>
      </c>
      <c r="FP129" s="139">
        <f t="shared" si="157"/>
        <v>0</v>
      </c>
      <c r="FQ129" s="139">
        <f t="shared" si="158"/>
        <v>0</v>
      </c>
      <c r="FR129" s="139">
        <f t="shared" si="159"/>
        <v>0</v>
      </c>
      <c r="FS129" s="139">
        <f t="shared" si="160"/>
        <v>0</v>
      </c>
      <c r="FT129" s="139">
        <f t="shared" si="161"/>
        <v>0</v>
      </c>
      <c r="FU129" s="148">
        <f t="shared" si="162"/>
        <v>43.365941889168319</v>
      </c>
      <c r="FV129" s="149"/>
      <c r="FY129" s="211">
        <v>124</v>
      </c>
      <c r="FZ129">
        <v>32.464919675453771</v>
      </c>
      <c r="GA129">
        <v>69.362583425050801</v>
      </c>
      <c r="GB129">
        <v>85.166700316330619</v>
      </c>
      <c r="GC129">
        <v>46.600382595001861</v>
      </c>
      <c r="GD129">
        <v>17.620880559690288</v>
      </c>
      <c r="GE129">
        <v>32.898514148015977</v>
      </c>
      <c r="GF129">
        <v>49.85341632755614</v>
      </c>
      <c r="GG129">
        <v>28.571318541254644</v>
      </c>
      <c r="GH129">
        <v>3.3693472119599086</v>
      </c>
      <c r="GI129">
        <v>48.349178874387832</v>
      </c>
      <c r="GJ129"/>
      <c r="GK129"/>
      <c r="GL129"/>
      <c r="GM129"/>
    </row>
    <row r="130" spans="1:195" s="7" customFormat="1">
      <c r="A130" s="1"/>
      <c r="B130" s="76">
        <f ca="1">IF(C130="", "", RAND())</f>
        <v>0.55673415480688537</v>
      </c>
      <c r="C130">
        <v>4</v>
      </c>
      <c r="D130">
        <v>39775</v>
      </c>
      <c r="E130">
        <v>0</v>
      </c>
      <c r="F130">
        <v>0</v>
      </c>
      <c r="G130">
        <v>83.333333333333329</v>
      </c>
      <c r="H130">
        <v>41.666666666666664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 s="2"/>
      <c r="AK130" s="80"/>
      <c r="AL130" s="74"/>
      <c r="AM130" s="43">
        <v>114</v>
      </c>
      <c r="AN130">
        <v>238.54497517009517</v>
      </c>
      <c r="AO130">
        <v>95.59482636461189</v>
      </c>
      <c r="AP130">
        <v>716.53298307834734</v>
      </c>
      <c r="AQ130">
        <v>500.10331902504635</v>
      </c>
      <c r="AR130">
        <v>86.794372585315998</v>
      </c>
      <c r="AS130">
        <v>670.87129426427043</v>
      </c>
      <c r="AT130">
        <v>47.369938085078225</v>
      </c>
      <c r="AU130">
        <v>155.9782300366908</v>
      </c>
      <c r="AV130"/>
      <c r="AW130"/>
      <c r="AX130" s="146"/>
      <c r="AY130" s="76">
        <f t="shared" ca="1" si="86"/>
        <v>0.88718566258577791</v>
      </c>
      <c r="AZ130">
        <v>3</v>
      </c>
      <c r="BA130" s="129">
        <f t="shared" si="164"/>
        <v>39775</v>
      </c>
      <c r="BB130">
        <v>0</v>
      </c>
      <c r="BC130">
        <v>0</v>
      </c>
      <c r="BD130">
        <v>0</v>
      </c>
      <c r="BE130">
        <v>7</v>
      </c>
      <c r="BF130">
        <v>10</v>
      </c>
      <c r="BG130">
        <v>5</v>
      </c>
      <c r="BH130">
        <v>0</v>
      </c>
      <c r="BI130">
        <v>0</v>
      </c>
      <c r="BJ130">
        <v>0</v>
      </c>
      <c r="BK130">
        <v>0</v>
      </c>
      <c r="BL130">
        <v>0</v>
      </c>
      <c r="BM130">
        <v>0</v>
      </c>
      <c r="BN130">
        <v>0</v>
      </c>
      <c r="BO130">
        <v>0</v>
      </c>
      <c r="BP130">
        <v>0</v>
      </c>
      <c r="BQ130">
        <v>0</v>
      </c>
      <c r="BR130">
        <v>0</v>
      </c>
      <c r="BS130">
        <v>0</v>
      </c>
      <c r="BT130">
        <v>0</v>
      </c>
      <c r="BU130">
        <v>0</v>
      </c>
      <c r="BV130">
        <v>0</v>
      </c>
      <c r="BW130">
        <v>0</v>
      </c>
      <c r="BX130">
        <v>0</v>
      </c>
      <c r="BY130">
        <v>0</v>
      </c>
      <c r="BZ130">
        <v>0</v>
      </c>
      <c r="CA130">
        <v>0</v>
      </c>
      <c r="CB130">
        <v>0</v>
      </c>
      <c r="CC130">
        <v>0</v>
      </c>
      <c r="CD130">
        <v>0</v>
      </c>
      <c r="CE130">
        <v>0</v>
      </c>
      <c r="CF130">
        <v>0</v>
      </c>
      <c r="CG130" s="147"/>
      <c r="CH130" s="176"/>
      <c r="CJ130" s="146"/>
      <c r="CK130" s="76">
        <f t="shared" ca="1" si="88"/>
        <v>0.78956539534506143</v>
      </c>
      <c r="CL130" s="179">
        <f t="shared" si="89"/>
        <v>3</v>
      </c>
      <c r="CM130" s="180">
        <f t="shared" si="90"/>
        <v>39775</v>
      </c>
      <c r="CN130" s="226">
        <v>0</v>
      </c>
      <c r="CO130" s="226">
        <v>1</v>
      </c>
      <c r="CP130" s="226">
        <v>17</v>
      </c>
      <c r="CQ130" s="226">
        <v>0</v>
      </c>
      <c r="CR130" s="226">
        <v>0</v>
      </c>
      <c r="CS130">
        <v>0</v>
      </c>
      <c r="CT130">
        <v>0</v>
      </c>
      <c r="CU130">
        <v>0</v>
      </c>
      <c r="CV130" s="160"/>
      <c r="CW130">
        <v>1</v>
      </c>
      <c r="CX130">
        <f>50/10</f>
        <v>5</v>
      </c>
      <c r="CY130" s="160"/>
      <c r="CZ130" s="177">
        <f t="shared" si="91"/>
        <v>9.6000000000000002E-2</v>
      </c>
      <c r="DB130" s="146"/>
      <c r="DC130" s="76">
        <f t="shared" ca="1" si="49"/>
        <v>0.8043040693297776</v>
      </c>
      <c r="DD130">
        <f t="shared" si="92"/>
        <v>3</v>
      </c>
      <c r="DE130" s="129">
        <f t="shared" si="163"/>
        <v>39775</v>
      </c>
      <c r="DF130" s="161">
        <f t="shared" si="93"/>
        <v>0</v>
      </c>
      <c r="DG130" s="161">
        <f t="shared" si="94"/>
        <v>52.083333333333336</v>
      </c>
      <c r="DH130" s="161">
        <f t="shared" si="95"/>
        <v>885.41666666666663</v>
      </c>
      <c r="DI130" s="161">
        <f t="shared" si="96"/>
        <v>72.916666666666671</v>
      </c>
      <c r="DJ130" s="161">
        <f t="shared" si="97"/>
        <v>104.16666666666667</v>
      </c>
      <c r="DK130" s="161">
        <f t="shared" si="98"/>
        <v>52.083333333333336</v>
      </c>
      <c r="DL130" s="161">
        <f t="shared" si="99"/>
        <v>0</v>
      </c>
      <c r="DM130" s="161">
        <f t="shared" si="100"/>
        <v>0</v>
      </c>
      <c r="DN130" s="161">
        <f t="shared" si="101"/>
        <v>0</v>
      </c>
      <c r="DO130" s="161">
        <f t="shared" si="102"/>
        <v>0</v>
      </c>
      <c r="DP130" s="161">
        <f t="shared" si="103"/>
        <v>0</v>
      </c>
      <c r="DQ130" s="161">
        <f t="shared" si="104"/>
        <v>0</v>
      </c>
      <c r="DR130" s="161">
        <f t="shared" si="105"/>
        <v>0</v>
      </c>
      <c r="DS130" s="161">
        <f t="shared" si="106"/>
        <v>0</v>
      </c>
      <c r="DT130" s="161">
        <f t="shared" si="107"/>
        <v>0</v>
      </c>
      <c r="DU130" s="161">
        <f t="shared" si="108"/>
        <v>0</v>
      </c>
      <c r="DV130" s="161">
        <f t="shared" si="109"/>
        <v>0</v>
      </c>
      <c r="DW130" s="161">
        <f t="shared" si="110"/>
        <v>0</v>
      </c>
      <c r="DX130" s="161">
        <f t="shared" si="111"/>
        <v>0</v>
      </c>
      <c r="DY130" s="161">
        <f t="shared" si="112"/>
        <v>0</v>
      </c>
      <c r="DZ130" s="161">
        <f t="shared" si="113"/>
        <v>0</v>
      </c>
      <c r="EA130" s="161">
        <f t="shared" si="114"/>
        <v>0</v>
      </c>
      <c r="EB130" s="161">
        <f t="shared" si="115"/>
        <v>0</v>
      </c>
      <c r="EC130" s="161">
        <f t="shared" si="116"/>
        <v>0</v>
      </c>
      <c r="ED130" s="161">
        <f t="shared" si="117"/>
        <v>0</v>
      </c>
      <c r="EE130" s="161">
        <f t="shared" si="118"/>
        <v>0</v>
      </c>
      <c r="EF130" s="161">
        <f t="shared" si="119"/>
        <v>0</v>
      </c>
      <c r="EG130" s="161">
        <f t="shared" si="120"/>
        <v>0</v>
      </c>
      <c r="EH130" s="161">
        <f t="shared" si="121"/>
        <v>0</v>
      </c>
      <c r="EI130" s="161">
        <f t="shared" si="122"/>
        <v>0</v>
      </c>
      <c r="EJ130" s="161">
        <f t="shared" si="123"/>
        <v>0</v>
      </c>
      <c r="EK130" s="147">
        <f t="shared" si="130"/>
        <v>1166.6666666666665</v>
      </c>
      <c r="EL130" s="149"/>
      <c r="EN130" s="146"/>
      <c r="EO130" s="146"/>
      <c r="EP130" s="139">
        <f t="shared" si="131"/>
        <v>0</v>
      </c>
      <c r="EQ130" s="139">
        <f t="shared" si="132"/>
        <v>0.51392708333333337</v>
      </c>
      <c r="ER130" s="139">
        <f t="shared" si="133"/>
        <v>65.349234386240028</v>
      </c>
      <c r="ES130" s="139">
        <f t="shared" si="134"/>
        <v>17.462746244504046</v>
      </c>
      <c r="ET130" s="139">
        <f t="shared" si="135"/>
        <v>57.505800793582097</v>
      </c>
      <c r="EU130" s="139">
        <f t="shared" si="136"/>
        <v>54.955533421422743</v>
      </c>
      <c r="EV130" s="139">
        <f t="shared" si="137"/>
        <v>0</v>
      </c>
      <c r="EW130" s="139">
        <f t="shared" si="138"/>
        <v>0</v>
      </c>
      <c r="EX130" s="139">
        <f t="shared" si="139"/>
        <v>0</v>
      </c>
      <c r="EY130" s="139">
        <f t="shared" si="140"/>
        <v>0</v>
      </c>
      <c r="EZ130" s="139">
        <f t="shared" si="141"/>
        <v>0</v>
      </c>
      <c r="FA130" s="139">
        <f t="shared" si="142"/>
        <v>0</v>
      </c>
      <c r="FB130" s="139">
        <f t="shared" si="143"/>
        <v>0</v>
      </c>
      <c r="FC130" s="139">
        <f t="shared" si="144"/>
        <v>0</v>
      </c>
      <c r="FD130" s="139">
        <f t="shared" si="145"/>
        <v>0</v>
      </c>
      <c r="FE130" s="139">
        <f t="shared" si="146"/>
        <v>0</v>
      </c>
      <c r="FF130" s="139">
        <f t="shared" si="147"/>
        <v>0</v>
      </c>
      <c r="FG130" s="139">
        <f t="shared" si="148"/>
        <v>0</v>
      </c>
      <c r="FH130" s="139">
        <f t="shared" si="149"/>
        <v>0</v>
      </c>
      <c r="FI130" s="139">
        <f t="shared" si="150"/>
        <v>0</v>
      </c>
      <c r="FJ130" s="139">
        <f t="shared" si="151"/>
        <v>0</v>
      </c>
      <c r="FK130" s="139">
        <f t="shared" si="152"/>
        <v>0</v>
      </c>
      <c r="FL130" s="139">
        <f t="shared" si="153"/>
        <v>0</v>
      </c>
      <c r="FM130" s="139">
        <f t="shared" si="154"/>
        <v>0</v>
      </c>
      <c r="FN130" s="139">
        <f t="shared" si="155"/>
        <v>0</v>
      </c>
      <c r="FO130" s="139">
        <f t="shared" si="156"/>
        <v>0</v>
      </c>
      <c r="FP130" s="139">
        <f t="shared" si="157"/>
        <v>0</v>
      </c>
      <c r="FQ130" s="139">
        <f t="shared" si="158"/>
        <v>0</v>
      </c>
      <c r="FR130" s="139">
        <f t="shared" si="159"/>
        <v>0</v>
      </c>
      <c r="FS130" s="139">
        <f t="shared" si="160"/>
        <v>0</v>
      </c>
      <c r="FT130" s="139">
        <f t="shared" si="161"/>
        <v>0</v>
      </c>
      <c r="FU130" s="148">
        <f t="shared" si="162"/>
        <v>195.78724192908226</v>
      </c>
      <c r="FV130" s="149"/>
      <c r="FY130" s="211">
        <v>125</v>
      </c>
      <c r="FZ130">
        <v>22.818024495775965</v>
      </c>
      <c r="GA130">
        <v>50.4232937303276</v>
      </c>
      <c r="GB130">
        <v>49.421603067974864</v>
      </c>
      <c r="GC130">
        <v>30.084911269126497</v>
      </c>
      <c r="GD130">
        <v>18.66573489271266</v>
      </c>
      <c r="GE130">
        <v>54.610230236969883</v>
      </c>
      <c r="GF130">
        <v>119.07729698370069</v>
      </c>
      <c r="GG130">
        <v>75.329353063913572</v>
      </c>
      <c r="GH130">
        <v>19.975947093848404</v>
      </c>
      <c r="GI130">
        <v>55.893356850276049</v>
      </c>
      <c r="GJ130"/>
      <c r="GK130"/>
      <c r="GL130"/>
      <c r="GM130"/>
    </row>
    <row r="131" spans="1:195" s="7" customFormat="1">
      <c r="A131" s="1"/>
      <c r="B131" s="76">
        <f ca="1">IF(C131="", "", RAND())</f>
        <v>0.17871251112891162</v>
      </c>
      <c r="C131">
        <v>3</v>
      </c>
      <c r="D131">
        <v>39775</v>
      </c>
      <c r="E131">
        <v>0</v>
      </c>
      <c r="F131">
        <v>52.083333333333336</v>
      </c>
      <c r="G131">
        <v>885.41666666666663</v>
      </c>
      <c r="H131">
        <v>72.916666666666671</v>
      </c>
      <c r="I131">
        <v>104.16666666666667</v>
      </c>
      <c r="J131">
        <v>52.083333333333336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 s="2"/>
      <c r="AK131" s="80"/>
      <c r="AL131" s="74"/>
      <c r="AM131" s="43">
        <v>115</v>
      </c>
      <c r="AN131">
        <v>238.19047822442386</v>
      </c>
      <c r="AO131">
        <v>94.140978019402695</v>
      </c>
      <c r="AP131">
        <v>680.88915414861845</v>
      </c>
      <c r="AQ131">
        <v>517.41736205753955</v>
      </c>
      <c r="AR131">
        <v>86.826320311172367</v>
      </c>
      <c r="AS131">
        <v>670.6125805668712</v>
      </c>
      <c r="AT131">
        <v>43.115667596654674</v>
      </c>
      <c r="AU131">
        <v>70.446648966691441</v>
      </c>
      <c r="AV131"/>
      <c r="AW131"/>
      <c r="AX131" s="146"/>
      <c r="AY131" s="76">
        <f t="shared" ca="1" si="86"/>
        <v>1.7651193163009893E-2</v>
      </c>
      <c r="AZ131">
        <v>4</v>
      </c>
      <c r="BA131" s="129">
        <f t="shared" si="164"/>
        <v>39775</v>
      </c>
      <c r="BB131">
        <v>0</v>
      </c>
      <c r="BC131">
        <v>0</v>
      </c>
      <c r="BD131">
        <v>0</v>
      </c>
      <c r="BE131">
        <v>3</v>
      </c>
      <c r="BF131">
        <v>0</v>
      </c>
      <c r="BG131">
        <v>0</v>
      </c>
      <c r="BH131">
        <v>0</v>
      </c>
      <c r="BI131">
        <v>0</v>
      </c>
      <c r="BJ131">
        <v>0</v>
      </c>
      <c r="BK131">
        <v>0</v>
      </c>
      <c r="BL131">
        <v>0</v>
      </c>
      <c r="BM131">
        <v>0</v>
      </c>
      <c r="BN131">
        <v>0</v>
      </c>
      <c r="BO131">
        <v>0</v>
      </c>
      <c r="BP131">
        <v>0</v>
      </c>
      <c r="BQ131">
        <v>0</v>
      </c>
      <c r="BR131">
        <v>0</v>
      </c>
      <c r="BS131">
        <v>0</v>
      </c>
      <c r="BT131">
        <v>0</v>
      </c>
      <c r="BU131">
        <v>0</v>
      </c>
      <c r="BV131">
        <v>0</v>
      </c>
      <c r="BW131">
        <v>0</v>
      </c>
      <c r="BX131">
        <v>0</v>
      </c>
      <c r="BY131">
        <v>0</v>
      </c>
      <c r="BZ131">
        <v>0</v>
      </c>
      <c r="CA131">
        <v>0</v>
      </c>
      <c r="CB131">
        <v>0</v>
      </c>
      <c r="CC131">
        <v>0</v>
      </c>
      <c r="CD131">
        <v>0</v>
      </c>
      <c r="CE131">
        <v>0</v>
      </c>
      <c r="CF131">
        <v>0</v>
      </c>
      <c r="CG131" s="147"/>
      <c r="CH131" s="176"/>
      <c r="CJ131" s="146"/>
      <c r="CK131" s="76">
        <f t="shared" ca="1" si="88"/>
        <v>0.48878925354300939</v>
      </c>
      <c r="CL131" s="179">
        <f t="shared" si="89"/>
        <v>4</v>
      </c>
      <c r="CM131" s="180">
        <f t="shared" si="90"/>
        <v>39775</v>
      </c>
      <c r="CN131">
        <v>0</v>
      </c>
      <c r="CO131">
        <v>0</v>
      </c>
      <c r="CP131">
        <v>8</v>
      </c>
      <c r="CQ131">
        <v>1</v>
      </c>
      <c r="CR131">
        <v>0</v>
      </c>
      <c r="CS131">
        <v>0</v>
      </c>
      <c r="CT131">
        <v>0</v>
      </c>
      <c r="CU131">
        <v>0</v>
      </c>
      <c r="CV131" s="160"/>
      <c r="CW131">
        <v>1</v>
      </c>
      <c r="CX131">
        <v>1</v>
      </c>
      <c r="CY131" s="160"/>
      <c r="CZ131" s="177">
        <f t="shared" si="91"/>
        <v>9.6000000000000002E-2</v>
      </c>
      <c r="DB131" s="146"/>
      <c r="DC131" s="76">
        <f t="shared" ca="1" si="49"/>
        <v>0.61622898588058117</v>
      </c>
      <c r="DD131">
        <f t="shared" si="92"/>
        <v>4</v>
      </c>
      <c r="DE131" s="129">
        <f t="shared" si="163"/>
        <v>39775</v>
      </c>
      <c r="DF131" s="161">
        <f t="shared" si="93"/>
        <v>0</v>
      </c>
      <c r="DG131" s="161">
        <f t="shared" si="94"/>
        <v>0</v>
      </c>
      <c r="DH131" s="161">
        <f t="shared" si="95"/>
        <v>83.333333333333329</v>
      </c>
      <c r="DI131" s="161">
        <f t="shared" si="96"/>
        <v>41.666666666666664</v>
      </c>
      <c r="DJ131" s="161">
        <f t="shared" si="97"/>
        <v>0</v>
      </c>
      <c r="DK131" s="161">
        <f t="shared" si="98"/>
        <v>0</v>
      </c>
      <c r="DL131" s="161">
        <f t="shared" si="99"/>
        <v>0</v>
      </c>
      <c r="DM131" s="161">
        <f t="shared" si="100"/>
        <v>0</v>
      </c>
      <c r="DN131" s="161">
        <f t="shared" si="101"/>
        <v>0</v>
      </c>
      <c r="DO131" s="161">
        <f t="shared" si="102"/>
        <v>0</v>
      </c>
      <c r="DP131" s="161">
        <f t="shared" si="103"/>
        <v>0</v>
      </c>
      <c r="DQ131" s="161">
        <f t="shared" si="104"/>
        <v>0</v>
      </c>
      <c r="DR131" s="161">
        <f t="shared" si="105"/>
        <v>0</v>
      </c>
      <c r="DS131" s="161">
        <f t="shared" si="106"/>
        <v>0</v>
      </c>
      <c r="DT131" s="161">
        <f t="shared" si="107"/>
        <v>0</v>
      </c>
      <c r="DU131" s="161">
        <f t="shared" si="108"/>
        <v>0</v>
      </c>
      <c r="DV131" s="161">
        <f t="shared" si="109"/>
        <v>0</v>
      </c>
      <c r="DW131" s="161">
        <f t="shared" si="110"/>
        <v>0</v>
      </c>
      <c r="DX131" s="161">
        <f t="shared" si="111"/>
        <v>0</v>
      </c>
      <c r="DY131" s="161">
        <f t="shared" si="112"/>
        <v>0</v>
      </c>
      <c r="DZ131" s="161">
        <f t="shared" si="113"/>
        <v>0</v>
      </c>
      <c r="EA131" s="161">
        <f t="shared" si="114"/>
        <v>0</v>
      </c>
      <c r="EB131" s="161">
        <f t="shared" si="115"/>
        <v>0</v>
      </c>
      <c r="EC131" s="161">
        <f t="shared" si="116"/>
        <v>0</v>
      </c>
      <c r="ED131" s="161">
        <f t="shared" si="117"/>
        <v>0</v>
      </c>
      <c r="EE131" s="161">
        <f t="shared" si="118"/>
        <v>0</v>
      </c>
      <c r="EF131" s="161">
        <f t="shared" si="119"/>
        <v>0</v>
      </c>
      <c r="EG131" s="161">
        <f t="shared" si="120"/>
        <v>0</v>
      </c>
      <c r="EH131" s="161">
        <f t="shared" si="121"/>
        <v>0</v>
      </c>
      <c r="EI131" s="161">
        <f t="shared" si="122"/>
        <v>0</v>
      </c>
      <c r="EJ131" s="161">
        <f t="shared" si="123"/>
        <v>0</v>
      </c>
      <c r="EK131" s="147">
        <f t="shared" si="130"/>
        <v>125</v>
      </c>
      <c r="EL131" s="149"/>
      <c r="EN131" s="146"/>
      <c r="EO131" s="146"/>
      <c r="EP131" s="139">
        <f t="shared" si="131"/>
        <v>0</v>
      </c>
      <c r="EQ131" s="139">
        <f t="shared" si="132"/>
        <v>0</v>
      </c>
      <c r="ER131" s="139">
        <f t="shared" si="133"/>
        <v>6.1505161775284725</v>
      </c>
      <c r="ES131" s="139">
        <f t="shared" si="134"/>
        <v>9.9787121397165972</v>
      </c>
      <c r="ET131" s="139">
        <f t="shared" si="135"/>
        <v>0</v>
      </c>
      <c r="EU131" s="139">
        <f t="shared" si="136"/>
        <v>0</v>
      </c>
      <c r="EV131" s="139">
        <f t="shared" si="137"/>
        <v>0</v>
      </c>
      <c r="EW131" s="139">
        <f t="shared" si="138"/>
        <v>0</v>
      </c>
      <c r="EX131" s="139">
        <f t="shared" si="139"/>
        <v>0</v>
      </c>
      <c r="EY131" s="139">
        <f t="shared" si="140"/>
        <v>0</v>
      </c>
      <c r="EZ131" s="139">
        <f t="shared" si="141"/>
        <v>0</v>
      </c>
      <c r="FA131" s="139">
        <f t="shared" si="142"/>
        <v>0</v>
      </c>
      <c r="FB131" s="139">
        <f t="shared" si="143"/>
        <v>0</v>
      </c>
      <c r="FC131" s="139">
        <f t="shared" si="144"/>
        <v>0</v>
      </c>
      <c r="FD131" s="139">
        <f t="shared" si="145"/>
        <v>0</v>
      </c>
      <c r="FE131" s="139">
        <f t="shared" si="146"/>
        <v>0</v>
      </c>
      <c r="FF131" s="139">
        <f t="shared" si="147"/>
        <v>0</v>
      </c>
      <c r="FG131" s="139">
        <f t="shared" si="148"/>
        <v>0</v>
      </c>
      <c r="FH131" s="139">
        <f t="shared" si="149"/>
        <v>0</v>
      </c>
      <c r="FI131" s="139">
        <f t="shared" si="150"/>
        <v>0</v>
      </c>
      <c r="FJ131" s="139">
        <f t="shared" si="151"/>
        <v>0</v>
      </c>
      <c r="FK131" s="139">
        <f t="shared" si="152"/>
        <v>0</v>
      </c>
      <c r="FL131" s="139">
        <f t="shared" si="153"/>
        <v>0</v>
      </c>
      <c r="FM131" s="139">
        <f t="shared" si="154"/>
        <v>0</v>
      </c>
      <c r="FN131" s="139">
        <f t="shared" si="155"/>
        <v>0</v>
      </c>
      <c r="FO131" s="139">
        <f t="shared" si="156"/>
        <v>0</v>
      </c>
      <c r="FP131" s="139">
        <f t="shared" si="157"/>
        <v>0</v>
      </c>
      <c r="FQ131" s="139">
        <f t="shared" si="158"/>
        <v>0</v>
      </c>
      <c r="FR131" s="139">
        <f t="shared" si="159"/>
        <v>0</v>
      </c>
      <c r="FS131" s="139">
        <f t="shared" si="160"/>
        <v>0</v>
      </c>
      <c r="FT131" s="139">
        <f t="shared" si="161"/>
        <v>0</v>
      </c>
      <c r="FU131" s="148">
        <f t="shared" si="162"/>
        <v>16.129228317245069</v>
      </c>
      <c r="FV131" s="149"/>
      <c r="FY131" s="211">
        <v>126</v>
      </c>
      <c r="FZ131">
        <v>19.320004755901266</v>
      </c>
      <c r="GA131">
        <v>48.465238587065613</v>
      </c>
      <c r="GB131">
        <v>66.431288113928971</v>
      </c>
      <c r="GC131">
        <v>44.458642538770597</v>
      </c>
      <c r="GD131">
        <v>22.188086422231795</v>
      </c>
      <c r="GE131">
        <v>32.062378513652384</v>
      </c>
      <c r="GF131">
        <v>74.650013615330138</v>
      </c>
      <c r="GG131">
        <v>51.478984972103291</v>
      </c>
      <c r="GH131">
        <v>0.91923288930828662</v>
      </c>
      <c r="GI131">
        <v>48.774644962275289</v>
      </c>
      <c r="GJ131"/>
      <c r="GK131"/>
      <c r="GL131"/>
      <c r="GM131"/>
    </row>
    <row r="132" spans="1:195" s="7" customFormat="1">
      <c r="A132" s="1"/>
      <c r="B132" s="76">
        <f ca="1">IF(C132="", "", RAND())</f>
        <v>0.10197729229982344</v>
      </c>
      <c r="C132">
        <v>5</v>
      </c>
      <c r="D132">
        <v>39775</v>
      </c>
      <c r="E132">
        <v>0</v>
      </c>
      <c r="F132">
        <v>0</v>
      </c>
      <c r="G132">
        <v>159.22619047619048</v>
      </c>
      <c r="H132">
        <v>10.416666666666666</v>
      </c>
      <c r="I132">
        <v>20.833333333333332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 s="2"/>
      <c r="AK132" s="80"/>
      <c r="AL132" s="74"/>
      <c r="AM132" s="43">
        <v>116</v>
      </c>
      <c r="AN132">
        <v>245.10421702131302</v>
      </c>
      <c r="AO132">
        <v>91.397471334881814</v>
      </c>
      <c r="AP132">
        <v>687.63429362352827</v>
      </c>
      <c r="AQ132">
        <v>488.67368054637973</v>
      </c>
      <c r="AR132">
        <v>82.705466954178448</v>
      </c>
      <c r="AS132">
        <v>683.5101022414201</v>
      </c>
      <c r="AT132">
        <v>44.551643543425946</v>
      </c>
      <c r="AU132">
        <v>10.996760660442142</v>
      </c>
      <c r="AV132"/>
      <c r="AW132"/>
      <c r="AX132" s="146"/>
      <c r="AY132" s="76">
        <f t="shared" ca="1" si="86"/>
        <v>0.52206104317159108</v>
      </c>
      <c r="AZ132">
        <v>5</v>
      </c>
      <c r="BA132" s="129">
        <f t="shared" si="164"/>
        <v>39775</v>
      </c>
      <c r="BB132">
        <v>0</v>
      </c>
      <c r="BC132">
        <v>0</v>
      </c>
      <c r="BD132">
        <v>1</v>
      </c>
      <c r="BE132">
        <v>1</v>
      </c>
      <c r="BF132">
        <v>2</v>
      </c>
      <c r="BG132">
        <v>0</v>
      </c>
      <c r="BH132">
        <v>0</v>
      </c>
      <c r="BI132">
        <v>0</v>
      </c>
      <c r="BJ132">
        <v>0</v>
      </c>
      <c r="BK132">
        <v>0</v>
      </c>
      <c r="BL132">
        <v>0</v>
      </c>
      <c r="BM132">
        <v>0</v>
      </c>
      <c r="BN132">
        <v>0</v>
      </c>
      <c r="BO132">
        <v>0</v>
      </c>
      <c r="BP132">
        <v>0</v>
      </c>
      <c r="BQ132">
        <v>0</v>
      </c>
      <c r="BR132">
        <v>0</v>
      </c>
      <c r="BS132">
        <v>0</v>
      </c>
      <c r="BT132">
        <v>0</v>
      </c>
      <c r="BU132">
        <v>0</v>
      </c>
      <c r="BV132">
        <v>0</v>
      </c>
      <c r="BW132">
        <v>0</v>
      </c>
      <c r="BX132">
        <v>0</v>
      </c>
      <c r="BY132">
        <v>0</v>
      </c>
      <c r="BZ132">
        <v>0</v>
      </c>
      <c r="CA132">
        <v>0</v>
      </c>
      <c r="CB132">
        <v>0</v>
      </c>
      <c r="CC132">
        <v>0</v>
      </c>
      <c r="CD132">
        <v>0</v>
      </c>
      <c r="CE132">
        <v>0</v>
      </c>
      <c r="CF132">
        <v>0</v>
      </c>
      <c r="CG132" s="147"/>
      <c r="CH132" s="176"/>
      <c r="CJ132" s="146"/>
      <c r="CK132" s="76">
        <f t="shared" ca="1" si="88"/>
        <v>0.77488934709654611</v>
      </c>
      <c r="CL132" s="179">
        <f t="shared" si="89"/>
        <v>5</v>
      </c>
      <c r="CM132" s="180">
        <f t="shared" si="90"/>
        <v>39775</v>
      </c>
      <c r="CN132">
        <v>0</v>
      </c>
      <c r="CO132">
        <v>0</v>
      </c>
      <c r="CP132">
        <v>5</v>
      </c>
      <c r="CQ132">
        <v>0</v>
      </c>
      <c r="CR132">
        <v>0</v>
      </c>
      <c r="CS132">
        <v>0</v>
      </c>
      <c r="CT132">
        <v>0</v>
      </c>
      <c r="CU132">
        <v>0</v>
      </c>
      <c r="CV132" s="160"/>
      <c r="CW132">
        <v>1</v>
      </c>
      <c r="CX132">
        <f>20/7</f>
        <v>2.8571428571428572</v>
      </c>
      <c r="CY132" s="160"/>
      <c r="CZ132" s="177">
        <f t="shared" si="91"/>
        <v>9.6000000000000002E-2</v>
      </c>
      <c r="DB132" s="146"/>
      <c r="DC132" s="76">
        <f t="shared" ca="1" si="49"/>
        <v>0.29506840442109805</v>
      </c>
      <c r="DD132">
        <f t="shared" si="92"/>
        <v>5</v>
      </c>
      <c r="DE132" s="129">
        <f t="shared" si="163"/>
        <v>39775</v>
      </c>
      <c r="DF132" s="161">
        <f t="shared" si="93"/>
        <v>0</v>
      </c>
      <c r="DG132" s="161">
        <f t="shared" si="94"/>
        <v>0</v>
      </c>
      <c r="DH132" s="161">
        <f t="shared" si="95"/>
        <v>159.22619047619048</v>
      </c>
      <c r="DI132" s="161">
        <f t="shared" si="96"/>
        <v>10.416666666666666</v>
      </c>
      <c r="DJ132" s="161">
        <f t="shared" si="97"/>
        <v>20.833333333333332</v>
      </c>
      <c r="DK132" s="161">
        <f t="shared" si="98"/>
        <v>0</v>
      </c>
      <c r="DL132" s="161">
        <f t="shared" si="99"/>
        <v>0</v>
      </c>
      <c r="DM132" s="161">
        <f t="shared" si="100"/>
        <v>0</v>
      </c>
      <c r="DN132" s="161">
        <f t="shared" si="101"/>
        <v>0</v>
      </c>
      <c r="DO132" s="161">
        <f t="shared" si="102"/>
        <v>0</v>
      </c>
      <c r="DP132" s="161">
        <f t="shared" si="103"/>
        <v>0</v>
      </c>
      <c r="DQ132" s="161">
        <f t="shared" si="104"/>
        <v>0</v>
      </c>
      <c r="DR132" s="161">
        <f t="shared" si="105"/>
        <v>0</v>
      </c>
      <c r="DS132" s="161">
        <f t="shared" si="106"/>
        <v>0</v>
      </c>
      <c r="DT132" s="161">
        <f t="shared" si="107"/>
        <v>0</v>
      </c>
      <c r="DU132" s="161">
        <f t="shared" si="108"/>
        <v>0</v>
      </c>
      <c r="DV132" s="161">
        <f t="shared" si="109"/>
        <v>0</v>
      </c>
      <c r="DW132" s="161">
        <f t="shared" si="110"/>
        <v>0</v>
      </c>
      <c r="DX132" s="161">
        <f t="shared" si="111"/>
        <v>0</v>
      </c>
      <c r="DY132" s="161">
        <f t="shared" si="112"/>
        <v>0</v>
      </c>
      <c r="DZ132" s="161">
        <f t="shared" si="113"/>
        <v>0</v>
      </c>
      <c r="EA132" s="161">
        <f t="shared" si="114"/>
        <v>0</v>
      </c>
      <c r="EB132" s="161">
        <f t="shared" si="115"/>
        <v>0</v>
      </c>
      <c r="EC132" s="161">
        <f t="shared" si="116"/>
        <v>0</v>
      </c>
      <c r="ED132" s="161">
        <f t="shared" si="117"/>
        <v>0</v>
      </c>
      <c r="EE132" s="161">
        <f t="shared" si="118"/>
        <v>0</v>
      </c>
      <c r="EF132" s="161">
        <f t="shared" si="119"/>
        <v>0</v>
      </c>
      <c r="EG132" s="161">
        <f t="shared" si="120"/>
        <v>0</v>
      </c>
      <c r="EH132" s="161">
        <f t="shared" si="121"/>
        <v>0</v>
      </c>
      <c r="EI132" s="161">
        <f t="shared" si="122"/>
        <v>0</v>
      </c>
      <c r="EJ132" s="161">
        <f t="shared" si="123"/>
        <v>0</v>
      </c>
      <c r="EK132" s="147">
        <f t="shared" si="130"/>
        <v>190.47619047619048</v>
      </c>
      <c r="EL132" s="149"/>
      <c r="EN132" s="146"/>
      <c r="EO132" s="146"/>
      <c r="EP132" s="139">
        <f t="shared" si="131"/>
        <v>0</v>
      </c>
      <c r="EQ132" s="139">
        <f t="shared" si="132"/>
        <v>0</v>
      </c>
      <c r="ER132" s="139">
        <f t="shared" si="133"/>
        <v>11.751879124920475</v>
      </c>
      <c r="ES132" s="139">
        <f t="shared" si="134"/>
        <v>2.4946780349291493</v>
      </c>
      <c r="ET132" s="139">
        <f t="shared" si="135"/>
        <v>11.501160158716418</v>
      </c>
      <c r="EU132" s="139">
        <f t="shared" si="136"/>
        <v>0</v>
      </c>
      <c r="EV132" s="139">
        <f t="shared" si="137"/>
        <v>0</v>
      </c>
      <c r="EW132" s="139">
        <f t="shared" si="138"/>
        <v>0</v>
      </c>
      <c r="EX132" s="139">
        <f t="shared" si="139"/>
        <v>0</v>
      </c>
      <c r="EY132" s="139">
        <f t="shared" si="140"/>
        <v>0</v>
      </c>
      <c r="EZ132" s="139">
        <f t="shared" si="141"/>
        <v>0</v>
      </c>
      <c r="FA132" s="139">
        <f t="shared" si="142"/>
        <v>0</v>
      </c>
      <c r="FB132" s="139">
        <f t="shared" si="143"/>
        <v>0</v>
      </c>
      <c r="FC132" s="139">
        <f t="shared" si="144"/>
        <v>0</v>
      </c>
      <c r="FD132" s="139">
        <f t="shared" si="145"/>
        <v>0</v>
      </c>
      <c r="FE132" s="139">
        <f t="shared" si="146"/>
        <v>0</v>
      </c>
      <c r="FF132" s="139">
        <f t="shared" si="147"/>
        <v>0</v>
      </c>
      <c r="FG132" s="139">
        <f t="shared" si="148"/>
        <v>0</v>
      </c>
      <c r="FH132" s="139">
        <f t="shared" si="149"/>
        <v>0</v>
      </c>
      <c r="FI132" s="139">
        <f t="shared" si="150"/>
        <v>0</v>
      </c>
      <c r="FJ132" s="139">
        <f t="shared" si="151"/>
        <v>0</v>
      </c>
      <c r="FK132" s="139">
        <f t="shared" si="152"/>
        <v>0</v>
      </c>
      <c r="FL132" s="139">
        <f t="shared" si="153"/>
        <v>0</v>
      </c>
      <c r="FM132" s="139">
        <f t="shared" si="154"/>
        <v>0</v>
      </c>
      <c r="FN132" s="139">
        <f t="shared" si="155"/>
        <v>0</v>
      </c>
      <c r="FO132" s="139">
        <f t="shared" si="156"/>
        <v>0</v>
      </c>
      <c r="FP132" s="139">
        <f t="shared" si="157"/>
        <v>0</v>
      </c>
      <c r="FQ132" s="139">
        <f t="shared" si="158"/>
        <v>0</v>
      </c>
      <c r="FR132" s="139">
        <f t="shared" si="159"/>
        <v>0</v>
      </c>
      <c r="FS132" s="139">
        <f t="shared" si="160"/>
        <v>0</v>
      </c>
      <c r="FT132" s="139">
        <f t="shared" si="161"/>
        <v>0</v>
      </c>
      <c r="FU132" s="148">
        <f t="shared" si="162"/>
        <v>25.747717318566043</v>
      </c>
      <c r="FV132" s="149"/>
      <c r="FY132" s="211">
        <v>127</v>
      </c>
      <c r="FZ132">
        <v>13.187477790869245</v>
      </c>
      <c r="GA132">
        <v>52.132947646403302</v>
      </c>
      <c r="GB132">
        <v>77.745521721981945</v>
      </c>
      <c r="GC132">
        <v>39.653207369296588</v>
      </c>
      <c r="GD132">
        <v>17.399678029136702</v>
      </c>
      <c r="GE132">
        <v>52.481837338487587</v>
      </c>
      <c r="GF132">
        <v>102.6425956854868</v>
      </c>
      <c r="GG132">
        <v>60.544214484171043</v>
      </c>
      <c r="GH132">
        <v>15.736010825015661</v>
      </c>
      <c r="GI132">
        <v>55.993059030301829</v>
      </c>
      <c r="GJ132"/>
      <c r="GK132"/>
      <c r="GL132"/>
      <c r="GM132"/>
    </row>
    <row r="133" spans="1:195" s="7" customFormat="1">
      <c r="A133" s="1"/>
      <c r="B133" s="76">
        <f ca="1">IF(C133="", "", RAND())</f>
        <v>0.53068020666828897</v>
      </c>
      <c r="C133">
        <v>8</v>
      </c>
      <c r="D133">
        <v>39775</v>
      </c>
      <c r="E133">
        <v>0</v>
      </c>
      <c r="F133">
        <v>52.083333333333336</v>
      </c>
      <c r="G133">
        <v>243.05555555555554</v>
      </c>
      <c r="H133">
        <v>0</v>
      </c>
      <c r="I133">
        <v>138.88888888888889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 s="2"/>
      <c r="AK133" s="80"/>
      <c r="AL133" s="74"/>
      <c r="AM133" s="43">
        <v>117</v>
      </c>
      <c r="AN133">
        <v>295.20646636150411</v>
      </c>
      <c r="AO133">
        <v>86.713929646385481</v>
      </c>
      <c r="AP133">
        <v>584.88249804265706</v>
      </c>
      <c r="AQ133">
        <v>474.42586649483587</v>
      </c>
      <c r="AR133">
        <v>78.106810395812502</v>
      </c>
      <c r="AS133">
        <v>700.74354513054743</v>
      </c>
      <c r="AT133">
        <v>43.578061385685977</v>
      </c>
      <c r="AU133">
        <v>58.92292478741372</v>
      </c>
      <c r="AV133"/>
      <c r="AW133"/>
      <c r="AX133" s="146"/>
      <c r="AY133" s="76">
        <f t="shared" ca="1" si="86"/>
        <v>0.97541785745827103</v>
      </c>
      <c r="AZ133">
        <v>6</v>
      </c>
      <c r="BA133" s="129">
        <f t="shared" si="164"/>
        <v>39775</v>
      </c>
      <c r="BB133">
        <v>0</v>
      </c>
      <c r="BC133">
        <v>0</v>
      </c>
      <c r="BD133">
        <v>0</v>
      </c>
      <c r="BE133">
        <v>3</v>
      </c>
      <c r="BF133">
        <v>9</v>
      </c>
      <c r="BG133">
        <v>1</v>
      </c>
      <c r="BH133">
        <v>0</v>
      </c>
      <c r="BI133">
        <v>0</v>
      </c>
      <c r="BJ133">
        <v>0</v>
      </c>
      <c r="BK133">
        <v>0</v>
      </c>
      <c r="BL133">
        <v>0</v>
      </c>
      <c r="BM133">
        <v>0</v>
      </c>
      <c r="BN133">
        <v>0</v>
      </c>
      <c r="BO133">
        <v>0</v>
      </c>
      <c r="BP133">
        <v>0</v>
      </c>
      <c r="BQ133">
        <v>0</v>
      </c>
      <c r="BR133">
        <v>0</v>
      </c>
      <c r="BS133">
        <v>0</v>
      </c>
      <c r="BT133">
        <v>0</v>
      </c>
      <c r="BU133">
        <v>0</v>
      </c>
      <c r="BV133">
        <v>0</v>
      </c>
      <c r="BW133">
        <v>0</v>
      </c>
      <c r="BX133">
        <v>0</v>
      </c>
      <c r="BY133">
        <v>0</v>
      </c>
      <c r="BZ133">
        <v>0</v>
      </c>
      <c r="CA133">
        <v>0</v>
      </c>
      <c r="CB133">
        <v>0</v>
      </c>
      <c r="CC133">
        <v>0</v>
      </c>
      <c r="CD133">
        <v>0</v>
      </c>
      <c r="CE133">
        <v>0</v>
      </c>
      <c r="CF133">
        <v>0</v>
      </c>
      <c r="CG133" s="147"/>
      <c r="CH133" s="176"/>
      <c r="CJ133" s="146"/>
      <c r="CK133" s="76">
        <f t="shared" ca="1" si="88"/>
        <v>0.22703566927577268</v>
      </c>
      <c r="CL133" s="179">
        <f t="shared" si="89"/>
        <v>6</v>
      </c>
      <c r="CM133" s="180">
        <f t="shared" si="90"/>
        <v>39775</v>
      </c>
      <c r="CN133">
        <v>0</v>
      </c>
      <c r="CO133">
        <v>0</v>
      </c>
      <c r="CP133">
        <v>5</v>
      </c>
      <c r="CQ133">
        <v>1</v>
      </c>
      <c r="CR133">
        <v>0</v>
      </c>
      <c r="CS133">
        <v>0</v>
      </c>
      <c r="CT133">
        <v>0</v>
      </c>
      <c r="CU133">
        <v>0</v>
      </c>
      <c r="CV133" s="160"/>
      <c r="CW133">
        <v>1</v>
      </c>
      <c r="CX133">
        <v>1</v>
      </c>
      <c r="CY133" s="164"/>
      <c r="CZ133" s="177">
        <f t="shared" si="91"/>
        <v>9.6000000000000002E-2</v>
      </c>
      <c r="DB133" s="146"/>
      <c r="DC133" s="76">
        <f t="shared" ca="1" si="49"/>
        <v>0.18947667340689955</v>
      </c>
      <c r="DD133">
        <f t="shared" si="92"/>
        <v>6</v>
      </c>
      <c r="DE133" s="129">
        <f t="shared" si="163"/>
        <v>39775</v>
      </c>
      <c r="DF133" s="161">
        <f t="shared" si="93"/>
        <v>0</v>
      </c>
      <c r="DG133" s="161">
        <f t="shared" si="94"/>
        <v>0</v>
      </c>
      <c r="DH133" s="161">
        <f t="shared" si="95"/>
        <v>52.083333333333336</v>
      </c>
      <c r="DI133" s="161">
        <f t="shared" si="96"/>
        <v>41.666666666666664</v>
      </c>
      <c r="DJ133" s="161">
        <f t="shared" si="97"/>
        <v>93.75</v>
      </c>
      <c r="DK133" s="161">
        <f t="shared" si="98"/>
        <v>10.416666666666666</v>
      </c>
      <c r="DL133" s="161">
        <f t="shared" si="99"/>
        <v>0</v>
      </c>
      <c r="DM133" s="161">
        <f t="shared" si="100"/>
        <v>0</v>
      </c>
      <c r="DN133" s="161">
        <f t="shared" si="101"/>
        <v>0</v>
      </c>
      <c r="DO133" s="161">
        <f t="shared" si="102"/>
        <v>0</v>
      </c>
      <c r="DP133" s="161">
        <f t="shared" si="103"/>
        <v>0</v>
      </c>
      <c r="DQ133" s="161">
        <f t="shared" si="104"/>
        <v>0</v>
      </c>
      <c r="DR133" s="161">
        <f t="shared" si="105"/>
        <v>0</v>
      </c>
      <c r="DS133" s="161">
        <f t="shared" si="106"/>
        <v>0</v>
      </c>
      <c r="DT133" s="161">
        <f t="shared" si="107"/>
        <v>0</v>
      </c>
      <c r="DU133" s="161">
        <f t="shared" si="108"/>
        <v>0</v>
      </c>
      <c r="DV133" s="161">
        <f t="shared" si="109"/>
        <v>0</v>
      </c>
      <c r="DW133" s="161">
        <f t="shared" si="110"/>
        <v>0</v>
      </c>
      <c r="DX133" s="161">
        <f t="shared" si="111"/>
        <v>0</v>
      </c>
      <c r="DY133" s="161">
        <f t="shared" si="112"/>
        <v>0</v>
      </c>
      <c r="DZ133" s="161">
        <f t="shared" si="113"/>
        <v>0</v>
      </c>
      <c r="EA133" s="161">
        <f t="shared" si="114"/>
        <v>0</v>
      </c>
      <c r="EB133" s="161">
        <f t="shared" si="115"/>
        <v>0</v>
      </c>
      <c r="EC133" s="161">
        <f t="shared" si="116"/>
        <v>0</v>
      </c>
      <c r="ED133" s="161">
        <f t="shared" si="117"/>
        <v>0</v>
      </c>
      <c r="EE133" s="161">
        <f t="shared" si="118"/>
        <v>0</v>
      </c>
      <c r="EF133" s="161">
        <f t="shared" si="119"/>
        <v>0</v>
      </c>
      <c r="EG133" s="161">
        <f t="shared" si="120"/>
        <v>0</v>
      </c>
      <c r="EH133" s="161">
        <f t="shared" si="121"/>
        <v>0</v>
      </c>
      <c r="EI133" s="161">
        <f t="shared" si="122"/>
        <v>0</v>
      </c>
      <c r="EJ133" s="161">
        <f t="shared" si="123"/>
        <v>0</v>
      </c>
      <c r="EK133" s="147">
        <f t="shared" si="130"/>
        <v>197.91666666666666</v>
      </c>
      <c r="EL133" s="149"/>
      <c r="EN133" s="146"/>
      <c r="EO133" s="146"/>
      <c r="EP133" s="139">
        <f t="shared" si="131"/>
        <v>0</v>
      </c>
      <c r="EQ133" s="139">
        <f t="shared" si="132"/>
        <v>0</v>
      </c>
      <c r="ER133" s="139">
        <f t="shared" si="133"/>
        <v>3.8440726109552958</v>
      </c>
      <c r="ES133" s="139">
        <f t="shared" si="134"/>
        <v>9.9787121397165972</v>
      </c>
      <c r="ET133" s="139">
        <f t="shared" si="135"/>
        <v>51.755220714223881</v>
      </c>
      <c r="EU133" s="139">
        <f t="shared" si="136"/>
        <v>10.991106684284548</v>
      </c>
      <c r="EV133" s="139">
        <f t="shared" si="137"/>
        <v>0</v>
      </c>
      <c r="EW133" s="139">
        <f t="shared" si="138"/>
        <v>0</v>
      </c>
      <c r="EX133" s="139">
        <f t="shared" si="139"/>
        <v>0</v>
      </c>
      <c r="EY133" s="139">
        <f t="shared" si="140"/>
        <v>0</v>
      </c>
      <c r="EZ133" s="139">
        <f t="shared" si="141"/>
        <v>0</v>
      </c>
      <c r="FA133" s="139">
        <f t="shared" si="142"/>
        <v>0</v>
      </c>
      <c r="FB133" s="139">
        <f t="shared" si="143"/>
        <v>0</v>
      </c>
      <c r="FC133" s="139">
        <f t="shared" si="144"/>
        <v>0</v>
      </c>
      <c r="FD133" s="139">
        <f t="shared" si="145"/>
        <v>0</v>
      </c>
      <c r="FE133" s="139">
        <f t="shared" si="146"/>
        <v>0</v>
      </c>
      <c r="FF133" s="139">
        <f t="shared" si="147"/>
        <v>0</v>
      </c>
      <c r="FG133" s="139">
        <f t="shared" si="148"/>
        <v>0</v>
      </c>
      <c r="FH133" s="139">
        <f t="shared" si="149"/>
        <v>0</v>
      </c>
      <c r="FI133" s="139">
        <f t="shared" si="150"/>
        <v>0</v>
      </c>
      <c r="FJ133" s="139">
        <f t="shared" si="151"/>
        <v>0</v>
      </c>
      <c r="FK133" s="139">
        <f t="shared" si="152"/>
        <v>0</v>
      </c>
      <c r="FL133" s="139">
        <f t="shared" si="153"/>
        <v>0</v>
      </c>
      <c r="FM133" s="139">
        <f t="shared" si="154"/>
        <v>0</v>
      </c>
      <c r="FN133" s="139">
        <f t="shared" si="155"/>
        <v>0</v>
      </c>
      <c r="FO133" s="139">
        <f t="shared" si="156"/>
        <v>0</v>
      </c>
      <c r="FP133" s="139">
        <f t="shared" si="157"/>
        <v>0</v>
      </c>
      <c r="FQ133" s="139">
        <f t="shared" si="158"/>
        <v>0</v>
      </c>
      <c r="FR133" s="139">
        <f t="shared" si="159"/>
        <v>0</v>
      </c>
      <c r="FS133" s="139">
        <f t="shared" si="160"/>
        <v>0</v>
      </c>
      <c r="FT133" s="139">
        <f t="shared" si="161"/>
        <v>0</v>
      </c>
      <c r="FU133" s="148">
        <f t="shared" si="162"/>
        <v>76.569112149180313</v>
      </c>
      <c r="FV133" s="149"/>
      <c r="FY133" s="211">
        <v>128</v>
      </c>
      <c r="FZ133">
        <v>10.942507310335168</v>
      </c>
      <c r="GA133">
        <v>41.473286071558881</v>
      </c>
      <c r="GB133">
        <v>65.737847784713409</v>
      </c>
      <c r="GC133">
        <v>40.348263024142724</v>
      </c>
      <c r="GD133">
        <v>27.431332393422966</v>
      </c>
      <c r="GE133">
        <v>46.858991347485173</v>
      </c>
      <c r="GF133">
        <v>53.368435740384612</v>
      </c>
      <c r="GG133">
        <v>52.513030057916481</v>
      </c>
      <c r="GH133">
        <v>29.131648683139836</v>
      </c>
      <c r="GI133">
        <v>51.215097158783657</v>
      </c>
      <c r="GJ133"/>
      <c r="GK133"/>
      <c r="GL133"/>
      <c r="GM133"/>
    </row>
    <row r="134" spans="1:195" s="7" customFormat="1">
      <c r="A134" s="1"/>
      <c r="B134" s="76">
        <f ca="1">IF(C134="", "", RAND())</f>
        <v>0.93070416186474958</v>
      </c>
      <c r="C134">
        <v>2</v>
      </c>
      <c r="D134">
        <v>39775</v>
      </c>
      <c r="E134">
        <v>0</v>
      </c>
      <c r="F134">
        <v>0</v>
      </c>
      <c r="G134">
        <v>96.590909090909093</v>
      </c>
      <c r="H134">
        <v>31.25</v>
      </c>
      <c r="I134">
        <v>52.083333333333336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 s="2"/>
      <c r="AK134" s="80"/>
      <c r="AL134" s="74"/>
      <c r="AM134" s="43">
        <v>118</v>
      </c>
      <c r="AN134">
        <v>285.27599962876809</v>
      </c>
      <c r="AO134">
        <v>100.27671436078769</v>
      </c>
      <c r="AP134">
        <v>741.9994692969143</v>
      </c>
      <c r="AQ134">
        <v>534.2786180743359</v>
      </c>
      <c r="AR134">
        <v>91.633467066613065</v>
      </c>
      <c r="AS134">
        <v>730.92654310367197</v>
      </c>
      <c r="AT134">
        <v>48.783696990192972</v>
      </c>
      <c r="AU134">
        <v>56.364248048485791</v>
      </c>
      <c r="AV134"/>
      <c r="AW134"/>
      <c r="AX134" s="146"/>
      <c r="AY134" s="76">
        <f t="shared" ca="1" si="86"/>
        <v>0.4821686800054561</v>
      </c>
      <c r="AZ134">
        <v>7</v>
      </c>
      <c r="BA134" s="129">
        <f t="shared" si="164"/>
        <v>39775</v>
      </c>
      <c r="BB134">
        <v>0</v>
      </c>
      <c r="BC134">
        <v>0</v>
      </c>
      <c r="BD134">
        <v>0</v>
      </c>
      <c r="BE134">
        <v>1</v>
      </c>
      <c r="BF134">
        <v>12</v>
      </c>
      <c r="BG134">
        <v>6</v>
      </c>
      <c r="BH134">
        <v>0</v>
      </c>
      <c r="BI134">
        <v>0</v>
      </c>
      <c r="BJ134">
        <v>0</v>
      </c>
      <c r="BK134">
        <v>0</v>
      </c>
      <c r="BL134">
        <v>0</v>
      </c>
      <c r="BM134">
        <v>0</v>
      </c>
      <c r="BN134">
        <v>0</v>
      </c>
      <c r="BO134">
        <v>0</v>
      </c>
      <c r="BP134">
        <v>0</v>
      </c>
      <c r="BQ134">
        <v>0</v>
      </c>
      <c r="BR134">
        <v>0</v>
      </c>
      <c r="BS134">
        <v>0</v>
      </c>
      <c r="BT134">
        <v>0</v>
      </c>
      <c r="BU134">
        <v>0</v>
      </c>
      <c r="BV134">
        <v>0</v>
      </c>
      <c r="BW134">
        <v>0</v>
      </c>
      <c r="BX134">
        <v>0</v>
      </c>
      <c r="BY134">
        <v>0</v>
      </c>
      <c r="BZ134">
        <v>0</v>
      </c>
      <c r="CA134">
        <v>0</v>
      </c>
      <c r="CB134">
        <v>0</v>
      </c>
      <c r="CC134">
        <v>0</v>
      </c>
      <c r="CD134">
        <v>0</v>
      </c>
      <c r="CE134">
        <v>0</v>
      </c>
      <c r="CF134">
        <v>0</v>
      </c>
      <c r="CG134" s="147"/>
      <c r="CH134" s="176"/>
      <c r="CJ134" s="146"/>
      <c r="CK134" s="76">
        <f t="shared" ca="1" si="88"/>
        <v>0.85106825288174748</v>
      </c>
      <c r="CL134" s="179">
        <f t="shared" si="89"/>
        <v>7</v>
      </c>
      <c r="CM134" s="180">
        <f t="shared" si="90"/>
        <v>39775</v>
      </c>
      <c r="CN134">
        <v>0</v>
      </c>
      <c r="CO134">
        <v>0</v>
      </c>
      <c r="CP134">
        <v>3</v>
      </c>
      <c r="CQ134">
        <v>0</v>
      </c>
      <c r="CR134">
        <v>0</v>
      </c>
      <c r="CS134">
        <v>0</v>
      </c>
      <c r="CT134">
        <v>0</v>
      </c>
      <c r="CU134">
        <v>0</v>
      </c>
      <c r="CV134" s="160"/>
      <c r="CW134">
        <f>30/22</f>
        <v>1.3636363636363635</v>
      </c>
      <c r="CX134">
        <f>20/9</f>
        <v>2.2222222222222223</v>
      </c>
      <c r="CY134" s="164"/>
      <c r="CZ134" s="177">
        <f t="shared" si="91"/>
        <v>9.6000000000000002E-2</v>
      </c>
      <c r="DB134" s="146"/>
      <c r="DC134" s="76">
        <f t="shared" ca="1" si="49"/>
        <v>0.12851144209417686</v>
      </c>
      <c r="DD134">
        <f t="shared" si="92"/>
        <v>7</v>
      </c>
      <c r="DE134" s="129">
        <f t="shared" si="163"/>
        <v>39775</v>
      </c>
      <c r="DF134" s="161">
        <f t="shared" si="93"/>
        <v>0</v>
      </c>
      <c r="DG134" s="161">
        <f t="shared" si="94"/>
        <v>0</v>
      </c>
      <c r="DH134" s="161">
        <f t="shared" si="95"/>
        <v>69.444444444444443</v>
      </c>
      <c r="DI134" s="161">
        <f t="shared" si="96"/>
        <v>14.204545454545453</v>
      </c>
      <c r="DJ134" s="161">
        <f t="shared" si="97"/>
        <v>170.45454545454544</v>
      </c>
      <c r="DK134" s="161">
        <f t="shared" si="98"/>
        <v>85.22727272727272</v>
      </c>
      <c r="DL134" s="161">
        <f t="shared" si="99"/>
        <v>0</v>
      </c>
      <c r="DM134" s="161">
        <f t="shared" si="100"/>
        <v>0</v>
      </c>
      <c r="DN134" s="161">
        <f t="shared" si="101"/>
        <v>0</v>
      </c>
      <c r="DO134" s="161">
        <f t="shared" si="102"/>
        <v>0</v>
      </c>
      <c r="DP134" s="161">
        <f t="shared" si="103"/>
        <v>0</v>
      </c>
      <c r="DQ134" s="161">
        <f t="shared" si="104"/>
        <v>0</v>
      </c>
      <c r="DR134" s="161">
        <f t="shared" si="105"/>
        <v>0</v>
      </c>
      <c r="DS134" s="161">
        <f t="shared" si="106"/>
        <v>0</v>
      </c>
      <c r="DT134" s="161">
        <f t="shared" si="107"/>
        <v>0</v>
      </c>
      <c r="DU134" s="161">
        <f t="shared" si="108"/>
        <v>0</v>
      </c>
      <c r="DV134" s="161">
        <f t="shared" si="109"/>
        <v>0</v>
      </c>
      <c r="DW134" s="161">
        <f t="shared" si="110"/>
        <v>0</v>
      </c>
      <c r="DX134" s="161">
        <f t="shared" si="111"/>
        <v>0</v>
      </c>
      <c r="DY134" s="161">
        <f t="shared" si="112"/>
        <v>0</v>
      </c>
      <c r="DZ134" s="161">
        <f t="shared" si="113"/>
        <v>0</v>
      </c>
      <c r="EA134" s="161">
        <f t="shared" si="114"/>
        <v>0</v>
      </c>
      <c r="EB134" s="161">
        <f t="shared" si="115"/>
        <v>0</v>
      </c>
      <c r="EC134" s="161">
        <f t="shared" si="116"/>
        <v>0</v>
      </c>
      <c r="ED134" s="161">
        <f t="shared" si="117"/>
        <v>0</v>
      </c>
      <c r="EE134" s="161">
        <f t="shared" si="118"/>
        <v>0</v>
      </c>
      <c r="EF134" s="161">
        <f t="shared" si="119"/>
        <v>0</v>
      </c>
      <c r="EG134" s="161">
        <f t="shared" si="120"/>
        <v>0</v>
      </c>
      <c r="EH134" s="161">
        <f t="shared" si="121"/>
        <v>0</v>
      </c>
      <c r="EI134" s="161">
        <f t="shared" si="122"/>
        <v>0</v>
      </c>
      <c r="EJ134" s="161">
        <f t="shared" si="123"/>
        <v>0</v>
      </c>
      <c r="EK134" s="147">
        <f t="shared" si="130"/>
        <v>339.33080808080808</v>
      </c>
      <c r="EL134" s="149"/>
      <c r="EN134" s="146"/>
      <c r="EO134" s="146"/>
      <c r="EP134" s="139">
        <f t="shared" si="131"/>
        <v>0</v>
      </c>
      <c r="EQ134" s="139">
        <f t="shared" si="132"/>
        <v>0</v>
      </c>
      <c r="ER134" s="139">
        <f t="shared" si="133"/>
        <v>5.1254301479403939</v>
      </c>
      <c r="ES134" s="139">
        <f t="shared" si="134"/>
        <v>3.4018336839942944</v>
      </c>
      <c r="ET134" s="139">
        <f t="shared" si="135"/>
        <v>94.100401298588864</v>
      </c>
      <c r="EU134" s="139">
        <f t="shared" si="136"/>
        <v>89.927236507782666</v>
      </c>
      <c r="EV134" s="139">
        <f t="shared" si="137"/>
        <v>0</v>
      </c>
      <c r="EW134" s="139">
        <f t="shared" si="138"/>
        <v>0</v>
      </c>
      <c r="EX134" s="139">
        <f t="shared" si="139"/>
        <v>0</v>
      </c>
      <c r="EY134" s="139">
        <f t="shared" si="140"/>
        <v>0</v>
      </c>
      <c r="EZ134" s="139">
        <f t="shared" si="141"/>
        <v>0</v>
      </c>
      <c r="FA134" s="139">
        <f t="shared" si="142"/>
        <v>0</v>
      </c>
      <c r="FB134" s="139">
        <f t="shared" si="143"/>
        <v>0</v>
      </c>
      <c r="FC134" s="139">
        <f t="shared" si="144"/>
        <v>0</v>
      </c>
      <c r="FD134" s="139">
        <f t="shared" si="145"/>
        <v>0</v>
      </c>
      <c r="FE134" s="139">
        <f t="shared" si="146"/>
        <v>0</v>
      </c>
      <c r="FF134" s="139">
        <f t="shared" si="147"/>
        <v>0</v>
      </c>
      <c r="FG134" s="139">
        <f t="shared" si="148"/>
        <v>0</v>
      </c>
      <c r="FH134" s="139">
        <f t="shared" si="149"/>
        <v>0</v>
      </c>
      <c r="FI134" s="139">
        <f t="shared" si="150"/>
        <v>0</v>
      </c>
      <c r="FJ134" s="139">
        <f t="shared" si="151"/>
        <v>0</v>
      </c>
      <c r="FK134" s="139">
        <f t="shared" si="152"/>
        <v>0</v>
      </c>
      <c r="FL134" s="139">
        <f t="shared" si="153"/>
        <v>0</v>
      </c>
      <c r="FM134" s="139">
        <f t="shared" si="154"/>
        <v>0</v>
      </c>
      <c r="FN134" s="139">
        <f t="shared" si="155"/>
        <v>0</v>
      </c>
      <c r="FO134" s="139">
        <f t="shared" si="156"/>
        <v>0</v>
      </c>
      <c r="FP134" s="139">
        <f t="shared" si="157"/>
        <v>0</v>
      </c>
      <c r="FQ134" s="139">
        <f t="shared" si="158"/>
        <v>0</v>
      </c>
      <c r="FR134" s="139">
        <f t="shared" si="159"/>
        <v>0</v>
      </c>
      <c r="FS134" s="139">
        <f t="shared" si="160"/>
        <v>0</v>
      </c>
      <c r="FT134" s="139">
        <f t="shared" si="161"/>
        <v>0</v>
      </c>
      <c r="FU134" s="148">
        <f t="shared" si="162"/>
        <v>192.55490163830621</v>
      </c>
      <c r="FV134" s="149"/>
      <c r="FY134" s="211">
        <v>129</v>
      </c>
      <c r="FZ134">
        <v>23.304490202352618</v>
      </c>
      <c r="GA134">
        <v>60.805172378100707</v>
      </c>
      <c r="GB134">
        <v>86.555060686422991</v>
      </c>
      <c r="GC134">
        <v>51.100401983843625</v>
      </c>
      <c r="GD134">
        <v>18.122648131984668</v>
      </c>
      <c r="GE134">
        <v>61.8426141344613</v>
      </c>
      <c r="GF134">
        <v>118.84186424772442</v>
      </c>
      <c r="GG134">
        <v>63.040527923322969</v>
      </c>
      <c r="GH134">
        <v>33.960573387374104</v>
      </c>
      <c r="GI134">
        <v>66.453991320344528</v>
      </c>
      <c r="GJ134"/>
      <c r="GK134"/>
      <c r="GL134"/>
      <c r="GM134"/>
    </row>
    <row r="135" spans="1:195" s="7" customFormat="1">
      <c r="A135" s="1"/>
      <c r="B135" s="76">
        <f ca="1">IF(C135="", "", RAND())</f>
        <v>8.0538850840829568E-2</v>
      </c>
      <c r="C135">
        <v>10</v>
      </c>
      <c r="D135">
        <v>39775</v>
      </c>
      <c r="E135">
        <v>0</v>
      </c>
      <c r="F135">
        <v>229.16666666666666</v>
      </c>
      <c r="G135">
        <v>10.416666666666666</v>
      </c>
      <c r="H135">
        <v>41.666666666666664</v>
      </c>
      <c r="I135">
        <v>41.666666666666664</v>
      </c>
      <c r="J135">
        <v>10.416666666666666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0</v>
      </c>
      <c r="AH135">
        <v>0</v>
      </c>
      <c r="AI135">
        <v>0</v>
      </c>
      <c r="AJ135" s="2"/>
      <c r="AK135" s="80"/>
      <c r="AL135" s="74"/>
      <c r="AM135" s="43">
        <v>119</v>
      </c>
      <c r="AN135">
        <v>259.63449009787917</v>
      </c>
      <c r="AO135">
        <v>91.097951838507058</v>
      </c>
      <c r="AP135">
        <v>703.57720789031112</v>
      </c>
      <c r="AQ135">
        <v>498.4688524715782</v>
      </c>
      <c r="AR135">
        <v>81.2897159346129</v>
      </c>
      <c r="AS135">
        <v>644.03754772079469</v>
      </c>
      <c r="AT135">
        <v>40.965020712302696</v>
      </c>
      <c r="AU135">
        <v>81.319281940571742</v>
      </c>
      <c r="AV135"/>
      <c r="AW135"/>
      <c r="AX135" s="146"/>
      <c r="AY135" s="76">
        <f t="shared" ca="1" si="86"/>
        <v>0.51420431154298951</v>
      </c>
      <c r="AZ135">
        <v>8</v>
      </c>
      <c r="BA135" s="129">
        <f t="shared" si="164"/>
        <v>39775</v>
      </c>
      <c r="BB135">
        <v>0</v>
      </c>
      <c r="BC135">
        <v>0</v>
      </c>
      <c r="BD135">
        <v>1</v>
      </c>
      <c r="BE135">
        <v>0</v>
      </c>
      <c r="BF135">
        <v>4</v>
      </c>
      <c r="BG135">
        <v>0</v>
      </c>
      <c r="BH135">
        <v>0</v>
      </c>
      <c r="BI135">
        <v>0</v>
      </c>
      <c r="BJ135">
        <v>0</v>
      </c>
      <c r="BK135">
        <v>0</v>
      </c>
      <c r="BL135">
        <v>0</v>
      </c>
      <c r="BM135">
        <v>0</v>
      </c>
      <c r="BN135">
        <v>0</v>
      </c>
      <c r="BO135">
        <v>0</v>
      </c>
      <c r="BP135">
        <v>0</v>
      </c>
      <c r="BQ135">
        <v>0</v>
      </c>
      <c r="BR135">
        <v>0</v>
      </c>
      <c r="BS135">
        <v>0</v>
      </c>
      <c r="BT135">
        <v>0</v>
      </c>
      <c r="BU135">
        <v>0</v>
      </c>
      <c r="BV135">
        <v>0</v>
      </c>
      <c r="BW135">
        <v>0</v>
      </c>
      <c r="BX135">
        <v>0</v>
      </c>
      <c r="BY135">
        <v>0</v>
      </c>
      <c r="BZ135">
        <v>0</v>
      </c>
      <c r="CA135">
        <v>0</v>
      </c>
      <c r="CB135">
        <v>0</v>
      </c>
      <c r="CC135">
        <v>0</v>
      </c>
      <c r="CD135">
        <v>0</v>
      </c>
      <c r="CE135">
        <v>0</v>
      </c>
      <c r="CF135">
        <v>0</v>
      </c>
      <c r="CG135" s="147"/>
      <c r="CH135" s="176"/>
      <c r="CJ135" s="146"/>
      <c r="CK135" s="76">
        <f t="shared" ca="1" si="88"/>
        <v>0.68843414970366279</v>
      </c>
      <c r="CL135" s="179">
        <f t="shared" si="89"/>
        <v>8</v>
      </c>
      <c r="CM135" s="180">
        <f t="shared" si="90"/>
        <v>39775</v>
      </c>
      <c r="CN135">
        <v>0</v>
      </c>
      <c r="CO135">
        <v>1</v>
      </c>
      <c r="CP135">
        <v>4</v>
      </c>
      <c r="CQ135">
        <v>0</v>
      </c>
      <c r="CR135">
        <v>0</v>
      </c>
      <c r="CS135">
        <v>0</v>
      </c>
      <c r="CT135">
        <v>0</v>
      </c>
      <c r="CU135">
        <v>0</v>
      </c>
      <c r="CV135" s="160"/>
      <c r="CW135">
        <f>30/9</f>
        <v>3.3333333333333335</v>
      </c>
      <c r="CX135">
        <f>40/8</f>
        <v>5</v>
      </c>
      <c r="CY135" s="164"/>
      <c r="CZ135" s="177">
        <f t="shared" si="91"/>
        <v>9.6000000000000002E-2</v>
      </c>
      <c r="DB135" s="146"/>
      <c r="DC135" s="76">
        <f t="shared" ca="1" si="49"/>
        <v>4.877722969601006E-2</v>
      </c>
      <c r="DD135">
        <f t="shared" si="92"/>
        <v>8</v>
      </c>
      <c r="DE135" s="129">
        <f t="shared" si="163"/>
        <v>39775</v>
      </c>
      <c r="DF135" s="161">
        <f t="shared" si="93"/>
        <v>0</v>
      </c>
      <c r="DG135" s="161">
        <f t="shared" si="94"/>
        <v>52.083333333333336</v>
      </c>
      <c r="DH135" s="161">
        <f t="shared" si="95"/>
        <v>243.05555555555554</v>
      </c>
      <c r="DI135" s="161">
        <f t="shared" si="96"/>
        <v>0</v>
      </c>
      <c r="DJ135" s="161">
        <f t="shared" si="97"/>
        <v>138.88888888888889</v>
      </c>
      <c r="DK135" s="161">
        <f t="shared" si="98"/>
        <v>0</v>
      </c>
      <c r="DL135" s="161">
        <f t="shared" si="99"/>
        <v>0</v>
      </c>
      <c r="DM135" s="161">
        <f t="shared" si="100"/>
        <v>0</v>
      </c>
      <c r="DN135" s="161">
        <f t="shared" si="101"/>
        <v>0</v>
      </c>
      <c r="DO135" s="161">
        <f t="shared" si="102"/>
        <v>0</v>
      </c>
      <c r="DP135" s="161">
        <f t="shared" si="103"/>
        <v>0</v>
      </c>
      <c r="DQ135" s="161">
        <f t="shared" si="104"/>
        <v>0</v>
      </c>
      <c r="DR135" s="161">
        <f t="shared" si="105"/>
        <v>0</v>
      </c>
      <c r="DS135" s="161">
        <f t="shared" si="106"/>
        <v>0</v>
      </c>
      <c r="DT135" s="161">
        <f t="shared" si="107"/>
        <v>0</v>
      </c>
      <c r="DU135" s="161">
        <f t="shared" si="108"/>
        <v>0</v>
      </c>
      <c r="DV135" s="161">
        <f t="shared" si="109"/>
        <v>0</v>
      </c>
      <c r="DW135" s="161">
        <f t="shared" si="110"/>
        <v>0</v>
      </c>
      <c r="DX135" s="161">
        <f t="shared" si="111"/>
        <v>0</v>
      </c>
      <c r="DY135" s="161">
        <f t="shared" si="112"/>
        <v>0</v>
      </c>
      <c r="DZ135" s="161">
        <f t="shared" si="113"/>
        <v>0</v>
      </c>
      <c r="EA135" s="161">
        <f t="shared" si="114"/>
        <v>0</v>
      </c>
      <c r="EB135" s="161">
        <f t="shared" si="115"/>
        <v>0</v>
      </c>
      <c r="EC135" s="161">
        <f t="shared" si="116"/>
        <v>0</v>
      </c>
      <c r="ED135" s="161">
        <f t="shared" si="117"/>
        <v>0</v>
      </c>
      <c r="EE135" s="161">
        <f t="shared" si="118"/>
        <v>0</v>
      </c>
      <c r="EF135" s="161">
        <f t="shared" si="119"/>
        <v>0</v>
      </c>
      <c r="EG135" s="161">
        <f t="shared" si="120"/>
        <v>0</v>
      </c>
      <c r="EH135" s="161">
        <f t="shared" si="121"/>
        <v>0</v>
      </c>
      <c r="EI135" s="161">
        <f t="shared" si="122"/>
        <v>0</v>
      </c>
      <c r="EJ135" s="161">
        <f t="shared" si="123"/>
        <v>0</v>
      </c>
      <c r="EK135" s="147">
        <f t="shared" si="130"/>
        <v>434.02777777777771</v>
      </c>
      <c r="EL135" s="149"/>
      <c r="EN135" s="146"/>
      <c r="EO135" s="146"/>
      <c r="EP135" s="139">
        <f t="shared" si="131"/>
        <v>0</v>
      </c>
      <c r="EQ135" s="139">
        <f t="shared" si="132"/>
        <v>0.51392708333333337</v>
      </c>
      <c r="ER135" s="139">
        <f t="shared" si="133"/>
        <v>17.939005517791379</v>
      </c>
      <c r="ES135" s="139">
        <f t="shared" si="134"/>
        <v>0</v>
      </c>
      <c r="ET135" s="139">
        <f t="shared" si="135"/>
        <v>76.674401058109453</v>
      </c>
      <c r="EU135" s="139">
        <f t="shared" si="136"/>
        <v>0</v>
      </c>
      <c r="EV135" s="139">
        <f t="shared" si="137"/>
        <v>0</v>
      </c>
      <c r="EW135" s="139">
        <f t="shared" si="138"/>
        <v>0</v>
      </c>
      <c r="EX135" s="139">
        <f t="shared" si="139"/>
        <v>0</v>
      </c>
      <c r="EY135" s="139">
        <f t="shared" si="140"/>
        <v>0</v>
      </c>
      <c r="EZ135" s="139">
        <f t="shared" si="141"/>
        <v>0</v>
      </c>
      <c r="FA135" s="139">
        <f t="shared" si="142"/>
        <v>0</v>
      </c>
      <c r="FB135" s="139">
        <f t="shared" si="143"/>
        <v>0</v>
      </c>
      <c r="FC135" s="139">
        <f t="shared" si="144"/>
        <v>0</v>
      </c>
      <c r="FD135" s="139">
        <f t="shared" si="145"/>
        <v>0</v>
      </c>
      <c r="FE135" s="139">
        <f t="shared" si="146"/>
        <v>0</v>
      </c>
      <c r="FF135" s="139">
        <f t="shared" si="147"/>
        <v>0</v>
      </c>
      <c r="FG135" s="139">
        <f t="shared" si="148"/>
        <v>0</v>
      </c>
      <c r="FH135" s="139">
        <f t="shared" si="149"/>
        <v>0</v>
      </c>
      <c r="FI135" s="139">
        <f t="shared" si="150"/>
        <v>0</v>
      </c>
      <c r="FJ135" s="139">
        <f t="shared" si="151"/>
        <v>0</v>
      </c>
      <c r="FK135" s="139">
        <f t="shared" si="152"/>
        <v>0</v>
      </c>
      <c r="FL135" s="139">
        <f t="shared" si="153"/>
        <v>0</v>
      </c>
      <c r="FM135" s="139">
        <f t="shared" si="154"/>
        <v>0</v>
      </c>
      <c r="FN135" s="139">
        <f t="shared" si="155"/>
        <v>0</v>
      </c>
      <c r="FO135" s="139">
        <f t="shared" si="156"/>
        <v>0</v>
      </c>
      <c r="FP135" s="139">
        <f t="shared" si="157"/>
        <v>0</v>
      </c>
      <c r="FQ135" s="139">
        <f t="shared" si="158"/>
        <v>0</v>
      </c>
      <c r="FR135" s="139">
        <f t="shared" si="159"/>
        <v>0</v>
      </c>
      <c r="FS135" s="139">
        <f t="shared" si="160"/>
        <v>0</v>
      </c>
      <c r="FT135" s="139">
        <f t="shared" si="161"/>
        <v>0</v>
      </c>
      <c r="FU135" s="148">
        <f t="shared" si="162"/>
        <v>95.127333659234168</v>
      </c>
      <c r="FV135" s="149"/>
      <c r="FY135" s="211">
        <v>130</v>
      </c>
      <c r="FZ135">
        <v>8.3503042572465933</v>
      </c>
      <c r="GA135">
        <v>56.852282677879224</v>
      </c>
      <c r="GB135">
        <v>88.153102410389366</v>
      </c>
      <c r="GC135">
        <v>45.649663738127614</v>
      </c>
      <c r="GD135">
        <v>24.967675776691973</v>
      </c>
      <c r="GE135">
        <v>41.411748545887697</v>
      </c>
      <c r="GF135">
        <v>41.208750556947926</v>
      </c>
      <c r="GG135">
        <v>59.150215959979384</v>
      </c>
      <c r="GH135">
        <v>46.49598713005966</v>
      </c>
      <c r="GI135">
        <v>54.689855769316452</v>
      </c>
      <c r="GJ135"/>
      <c r="GK135"/>
      <c r="GL135"/>
      <c r="GM135"/>
    </row>
    <row r="136" spans="1:195" s="7" customFormat="1">
      <c r="A136" s="1"/>
      <c r="B136" s="76">
        <f ca="1">IF(C136="", "", RAND())</f>
        <v>0.65738987658628645</v>
      </c>
      <c r="C136">
        <v>7</v>
      </c>
      <c r="D136">
        <v>39775</v>
      </c>
      <c r="E136">
        <v>0</v>
      </c>
      <c r="F136">
        <v>0</v>
      </c>
      <c r="G136">
        <v>69.444444444444443</v>
      </c>
      <c r="H136">
        <v>14.204545454545453</v>
      </c>
      <c r="I136">
        <v>170.45454545454544</v>
      </c>
      <c r="J136">
        <v>85.22727272727272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 s="2"/>
      <c r="AK136" s="80"/>
      <c r="AL136" s="74"/>
      <c r="AM136" s="43">
        <v>120</v>
      </c>
      <c r="AN136">
        <v>234.29172101318369</v>
      </c>
      <c r="AO136">
        <v>97.058225131347655</v>
      </c>
      <c r="AP136">
        <v>729.91080259457419</v>
      </c>
      <c r="AQ136">
        <v>532.32477371435982</v>
      </c>
      <c r="AR136">
        <v>87.894878805523078</v>
      </c>
      <c r="AS136">
        <v>691.40665682221118</v>
      </c>
      <c r="AT136">
        <v>47.374852372906822</v>
      </c>
      <c r="AU136">
        <v>82.97464258384889</v>
      </c>
      <c r="AV136"/>
      <c r="AW136"/>
      <c r="AX136" s="146"/>
      <c r="AY136" s="76">
        <f t="shared" ca="1" si="86"/>
        <v>0.71456024337397062</v>
      </c>
      <c r="AZ136">
        <v>9</v>
      </c>
      <c r="BA136" s="129">
        <f t="shared" si="164"/>
        <v>39775</v>
      </c>
      <c r="BB136">
        <v>0</v>
      </c>
      <c r="BC136">
        <v>0</v>
      </c>
      <c r="BD136">
        <v>0</v>
      </c>
      <c r="BE136">
        <v>0</v>
      </c>
      <c r="BF136">
        <v>8</v>
      </c>
      <c r="BG136">
        <v>3</v>
      </c>
      <c r="BH136">
        <v>0</v>
      </c>
      <c r="BI136">
        <v>0</v>
      </c>
      <c r="BJ136">
        <v>0</v>
      </c>
      <c r="BK136">
        <v>0</v>
      </c>
      <c r="BL136">
        <v>0</v>
      </c>
      <c r="BM136">
        <v>0</v>
      </c>
      <c r="BN136">
        <v>0</v>
      </c>
      <c r="BO136">
        <v>0</v>
      </c>
      <c r="BP136">
        <v>0</v>
      </c>
      <c r="BQ136">
        <v>0</v>
      </c>
      <c r="BR136">
        <v>0</v>
      </c>
      <c r="BS136">
        <v>0</v>
      </c>
      <c r="BT136">
        <v>0</v>
      </c>
      <c r="BU136">
        <v>0</v>
      </c>
      <c r="BV136">
        <v>0</v>
      </c>
      <c r="BW136">
        <v>0</v>
      </c>
      <c r="BX136">
        <v>0</v>
      </c>
      <c r="BY136">
        <v>0</v>
      </c>
      <c r="BZ136">
        <v>0</v>
      </c>
      <c r="CA136">
        <v>0</v>
      </c>
      <c r="CB136">
        <v>0</v>
      </c>
      <c r="CC136">
        <v>0</v>
      </c>
      <c r="CD136">
        <v>0</v>
      </c>
      <c r="CE136">
        <v>0</v>
      </c>
      <c r="CF136">
        <v>0</v>
      </c>
      <c r="CG136" s="147"/>
      <c r="CH136" s="176"/>
      <c r="CJ136" s="146"/>
      <c r="CK136" s="76">
        <f t="shared" ca="1" si="88"/>
        <v>0.73144679955423864</v>
      </c>
      <c r="CL136" s="179">
        <f t="shared" si="89"/>
        <v>9</v>
      </c>
      <c r="CM136" s="180">
        <f t="shared" si="90"/>
        <v>39775</v>
      </c>
      <c r="CN136" s="207">
        <v>0</v>
      </c>
      <c r="CO136">
        <v>0</v>
      </c>
      <c r="CP136">
        <v>4</v>
      </c>
      <c r="CQ136">
        <v>0</v>
      </c>
      <c r="CR136">
        <v>0</v>
      </c>
      <c r="CS136">
        <v>0</v>
      </c>
      <c r="CT136">
        <v>0</v>
      </c>
      <c r="CU136">
        <v>0</v>
      </c>
      <c r="CV136" s="160"/>
      <c r="CW136">
        <v>1</v>
      </c>
      <c r="CX136">
        <v>1</v>
      </c>
      <c r="CY136" s="164"/>
      <c r="CZ136" s="177">
        <f t="shared" si="91"/>
        <v>9.6000000000000002E-2</v>
      </c>
      <c r="DB136" s="146"/>
      <c r="DC136" s="76">
        <f t="shared" ca="1" si="49"/>
        <v>0.2203544404618063</v>
      </c>
      <c r="DD136">
        <f t="shared" si="92"/>
        <v>9</v>
      </c>
      <c r="DE136" s="129">
        <f t="shared" si="163"/>
        <v>39775</v>
      </c>
      <c r="DF136" s="161">
        <f t="shared" si="93"/>
        <v>0</v>
      </c>
      <c r="DG136" s="161">
        <f t="shared" si="94"/>
        <v>0</v>
      </c>
      <c r="DH136" s="161">
        <f t="shared" si="95"/>
        <v>41.666666666666664</v>
      </c>
      <c r="DI136" s="161">
        <f t="shared" si="96"/>
        <v>0</v>
      </c>
      <c r="DJ136" s="161">
        <f t="shared" si="97"/>
        <v>83.333333333333329</v>
      </c>
      <c r="DK136" s="161">
        <f t="shared" si="98"/>
        <v>31.25</v>
      </c>
      <c r="DL136" s="161">
        <f t="shared" si="99"/>
        <v>0</v>
      </c>
      <c r="DM136" s="161">
        <f t="shared" si="100"/>
        <v>0</v>
      </c>
      <c r="DN136" s="161">
        <f t="shared" si="101"/>
        <v>0</v>
      </c>
      <c r="DO136" s="161">
        <f t="shared" si="102"/>
        <v>0</v>
      </c>
      <c r="DP136" s="161">
        <f t="shared" si="103"/>
        <v>0</v>
      </c>
      <c r="DQ136" s="161">
        <f t="shared" si="104"/>
        <v>0</v>
      </c>
      <c r="DR136" s="161">
        <f t="shared" si="105"/>
        <v>0</v>
      </c>
      <c r="DS136" s="161">
        <f t="shared" si="106"/>
        <v>0</v>
      </c>
      <c r="DT136" s="161">
        <f t="shared" si="107"/>
        <v>0</v>
      </c>
      <c r="DU136" s="161">
        <f t="shared" si="108"/>
        <v>0</v>
      </c>
      <c r="DV136" s="161">
        <f t="shared" si="109"/>
        <v>0</v>
      </c>
      <c r="DW136" s="161">
        <f t="shared" si="110"/>
        <v>0</v>
      </c>
      <c r="DX136" s="161">
        <f t="shared" si="111"/>
        <v>0</v>
      </c>
      <c r="DY136" s="161">
        <f t="shared" si="112"/>
        <v>0</v>
      </c>
      <c r="DZ136" s="161">
        <f t="shared" si="113"/>
        <v>0</v>
      </c>
      <c r="EA136" s="161">
        <f t="shared" si="114"/>
        <v>0</v>
      </c>
      <c r="EB136" s="161">
        <f t="shared" si="115"/>
        <v>0</v>
      </c>
      <c r="EC136" s="161">
        <f t="shared" si="116"/>
        <v>0</v>
      </c>
      <c r="ED136" s="161">
        <f t="shared" si="117"/>
        <v>0</v>
      </c>
      <c r="EE136" s="161">
        <f t="shared" si="118"/>
        <v>0</v>
      </c>
      <c r="EF136" s="161">
        <f t="shared" si="119"/>
        <v>0</v>
      </c>
      <c r="EG136" s="161">
        <f t="shared" si="120"/>
        <v>0</v>
      </c>
      <c r="EH136" s="161">
        <f t="shared" si="121"/>
        <v>0</v>
      </c>
      <c r="EI136" s="161">
        <f t="shared" si="122"/>
        <v>0</v>
      </c>
      <c r="EJ136" s="161">
        <f t="shared" si="123"/>
        <v>0</v>
      </c>
      <c r="EK136" s="147">
        <f t="shared" si="130"/>
        <v>156.25</v>
      </c>
      <c r="EL136" s="149"/>
      <c r="EN136" s="146"/>
      <c r="EO136" s="146"/>
      <c r="EP136" s="139">
        <f t="shared" si="131"/>
        <v>0</v>
      </c>
      <c r="EQ136" s="139">
        <f t="shared" si="132"/>
        <v>0</v>
      </c>
      <c r="ER136" s="139">
        <f t="shared" si="133"/>
        <v>3.0752580887642362</v>
      </c>
      <c r="ES136" s="139">
        <f t="shared" si="134"/>
        <v>0</v>
      </c>
      <c r="ET136" s="139">
        <f t="shared" si="135"/>
        <v>46.004640634865673</v>
      </c>
      <c r="EU136" s="139">
        <f t="shared" si="136"/>
        <v>32.973320052853644</v>
      </c>
      <c r="EV136" s="139">
        <f t="shared" si="137"/>
        <v>0</v>
      </c>
      <c r="EW136" s="139">
        <f t="shared" si="138"/>
        <v>0</v>
      </c>
      <c r="EX136" s="139">
        <f t="shared" si="139"/>
        <v>0</v>
      </c>
      <c r="EY136" s="139">
        <f t="shared" si="140"/>
        <v>0</v>
      </c>
      <c r="EZ136" s="139">
        <f t="shared" si="141"/>
        <v>0</v>
      </c>
      <c r="FA136" s="139">
        <f t="shared" si="142"/>
        <v>0</v>
      </c>
      <c r="FB136" s="139">
        <f t="shared" si="143"/>
        <v>0</v>
      </c>
      <c r="FC136" s="139">
        <f t="shared" si="144"/>
        <v>0</v>
      </c>
      <c r="FD136" s="139">
        <f t="shared" si="145"/>
        <v>0</v>
      </c>
      <c r="FE136" s="139">
        <f t="shared" si="146"/>
        <v>0</v>
      </c>
      <c r="FF136" s="139">
        <f t="shared" si="147"/>
        <v>0</v>
      </c>
      <c r="FG136" s="139">
        <f t="shared" si="148"/>
        <v>0</v>
      </c>
      <c r="FH136" s="139">
        <f t="shared" si="149"/>
        <v>0</v>
      </c>
      <c r="FI136" s="139">
        <f t="shared" si="150"/>
        <v>0</v>
      </c>
      <c r="FJ136" s="139">
        <f t="shared" si="151"/>
        <v>0</v>
      </c>
      <c r="FK136" s="139">
        <f t="shared" si="152"/>
        <v>0</v>
      </c>
      <c r="FL136" s="139">
        <f t="shared" si="153"/>
        <v>0</v>
      </c>
      <c r="FM136" s="139">
        <f t="shared" si="154"/>
        <v>0</v>
      </c>
      <c r="FN136" s="139">
        <f t="shared" si="155"/>
        <v>0</v>
      </c>
      <c r="FO136" s="139">
        <f t="shared" si="156"/>
        <v>0</v>
      </c>
      <c r="FP136" s="139">
        <f t="shared" si="157"/>
        <v>0</v>
      </c>
      <c r="FQ136" s="139">
        <f t="shared" si="158"/>
        <v>0</v>
      </c>
      <c r="FR136" s="139">
        <f t="shared" si="159"/>
        <v>0</v>
      </c>
      <c r="FS136" s="139">
        <f t="shared" si="160"/>
        <v>0</v>
      </c>
      <c r="FT136" s="139">
        <f t="shared" si="161"/>
        <v>0</v>
      </c>
      <c r="FU136" s="148">
        <f t="shared" si="162"/>
        <v>82.053218776483561</v>
      </c>
      <c r="FV136" s="149"/>
      <c r="FY136" s="211">
        <v>131</v>
      </c>
      <c r="FZ136">
        <v>11.953647444516484</v>
      </c>
      <c r="GA136">
        <v>43.695438424839892</v>
      </c>
      <c r="GB136">
        <v>78.031317216801213</v>
      </c>
      <c r="GC136">
        <v>42.871933789844881</v>
      </c>
      <c r="GD136">
        <v>17.988907548398139</v>
      </c>
      <c r="GE136">
        <v>48.222224969908176</v>
      </c>
      <c r="GF136">
        <v>62.172155076722674</v>
      </c>
      <c r="GG136">
        <v>54.456369849761877</v>
      </c>
      <c r="GH136">
        <v>48.662973554471634</v>
      </c>
      <c r="GI136">
        <v>52.990211791366356</v>
      </c>
      <c r="GJ136"/>
      <c r="GK136"/>
      <c r="GL136"/>
      <c r="GM136"/>
    </row>
    <row r="137" spans="1:195" s="7" customFormat="1">
      <c r="A137" s="1"/>
      <c r="B137" s="76">
        <f ca="1">IF(C137="", "", RAND())</f>
        <v>2.7636613537300736E-2</v>
      </c>
      <c r="C137">
        <v>9</v>
      </c>
      <c r="D137">
        <v>39775</v>
      </c>
      <c r="E137">
        <v>0</v>
      </c>
      <c r="F137">
        <v>0</v>
      </c>
      <c r="G137">
        <v>41.666666666666664</v>
      </c>
      <c r="H137">
        <v>0</v>
      </c>
      <c r="I137">
        <v>83.333333333333329</v>
      </c>
      <c r="J137">
        <v>31.25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 s="2"/>
      <c r="AK137" s="80"/>
      <c r="AL137" s="74"/>
      <c r="AM137" s="43">
        <v>121</v>
      </c>
      <c r="AN137">
        <v>318.76404970930872</v>
      </c>
      <c r="AO137">
        <v>103.43713880558342</v>
      </c>
      <c r="AP137">
        <v>738.2355012338603</v>
      </c>
      <c r="AQ137">
        <v>544.54979688194328</v>
      </c>
      <c r="AR137">
        <v>89.879145042448087</v>
      </c>
      <c r="AS137">
        <v>755.97390676950511</v>
      </c>
      <c r="AT137">
        <v>47.92468528791747</v>
      </c>
      <c r="AU137">
        <v>71.605314919113582</v>
      </c>
      <c r="AV137"/>
      <c r="AW137"/>
      <c r="AX137" s="146"/>
      <c r="AY137" s="76">
        <f t="shared" ca="1" si="86"/>
        <v>0.4477376842230707</v>
      </c>
      <c r="AZ137">
        <v>10</v>
      </c>
      <c r="BA137" s="129">
        <f t="shared" si="164"/>
        <v>39775</v>
      </c>
      <c r="BB137">
        <v>0</v>
      </c>
      <c r="BC137">
        <v>0</v>
      </c>
      <c r="BD137">
        <v>0</v>
      </c>
      <c r="BE137">
        <v>4</v>
      </c>
      <c r="BF137">
        <v>4</v>
      </c>
      <c r="BG137">
        <v>1</v>
      </c>
      <c r="BH137">
        <v>0</v>
      </c>
      <c r="BI137">
        <v>0</v>
      </c>
      <c r="BJ137">
        <v>0</v>
      </c>
      <c r="BK137">
        <v>0</v>
      </c>
      <c r="BL137">
        <v>0</v>
      </c>
      <c r="BM137">
        <v>0</v>
      </c>
      <c r="BN137">
        <v>0</v>
      </c>
      <c r="BO137">
        <v>0</v>
      </c>
      <c r="BP137">
        <v>0</v>
      </c>
      <c r="BQ137">
        <v>0</v>
      </c>
      <c r="BR137">
        <v>0</v>
      </c>
      <c r="BS137">
        <v>0</v>
      </c>
      <c r="BT137">
        <v>0</v>
      </c>
      <c r="BU137">
        <v>0</v>
      </c>
      <c r="BV137">
        <v>0</v>
      </c>
      <c r="BW137">
        <v>0</v>
      </c>
      <c r="BX137">
        <v>0</v>
      </c>
      <c r="BY137">
        <v>0</v>
      </c>
      <c r="BZ137">
        <v>0</v>
      </c>
      <c r="CA137">
        <v>0</v>
      </c>
      <c r="CB137">
        <v>0</v>
      </c>
      <c r="CC137">
        <v>0</v>
      </c>
      <c r="CD137">
        <v>0</v>
      </c>
      <c r="CE137">
        <v>0</v>
      </c>
      <c r="CF137">
        <v>0</v>
      </c>
      <c r="CG137" s="147"/>
      <c r="CH137" s="176"/>
      <c r="CJ137" s="146"/>
      <c r="CK137" s="76">
        <f t="shared" ca="1" si="88"/>
        <v>0.16371142059207866</v>
      </c>
      <c r="CL137" s="179">
        <f t="shared" si="89"/>
        <v>10</v>
      </c>
      <c r="CM137" s="180">
        <f t="shared" si="90"/>
        <v>39775</v>
      </c>
      <c r="CN137" s="225">
        <v>0</v>
      </c>
      <c r="CO137" s="225">
        <v>22</v>
      </c>
      <c r="CP137" s="225">
        <v>1</v>
      </c>
      <c r="CQ137" s="225">
        <v>0</v>
      </c>
      <c r="CR137" s="225">
        <v>0</v>
      </c>
      <c r="CS137">
        <v>0</v>
      </c>
      <c r="CT137">
        <v>0</v>
      </c>
      <c r="CU137">
        <v>0</v>
      </c>
      <c r="CV137" s="160"/>
      <c r="CW137">
        <v>1</v>
      </c>
      <c r="CX137">
        <v>1</v>
      </c>
      <c r="CY137" s="164"/>
      <c r="CZ137" s="177">
        <f t="shared" si="91"/>
        <v>9.6000000000000002E-2</v>
      </c>
      <c r="DB137" s="146"/>
      <c r="DC137" s="76">
        <f t="shared" ca="1" si="49"/>
        <v>0.29136699227029084</v>
      </c>
      <c r="DD137">
        <f t="shared" si="92"/>
        <v>10</v>
      </c>
      <c r="DE137" s="129">
        <f t="shared" si="163"/>
        <v>39775</v>
      </c>
      <c r="DF137" s="161">
        <f t="shared" si="93"/>
        <v>0</v>
      </c>
      <c r="DG137" s="161">
        <f t="shared" si="94"/>
        <v>229.16666666666666</v>
      </c>
      <c r="DH137" s="161">
        <f t="shared" si="95"/>
        <v>10.416666666666666</v>
      </c>
      <c r="DI137" s="161">
        <f t="shared" si="96"/>
        <v>41.666666666666664</v>
      </c>
      <c r="DJ137" s="161">
        <f t="shared" si="97"/>
        <v>41.666666666666664</v>
      </c>
      <c r="DK137" s="161">
        <f t="shared" si="98"/>
        <v>10.416666666666666</v>
      </c>
      <c r="DL137" s="161">
        <f t="shared" si="99"/>
        <v>0</v>
      </c>
      <c r="DM137" s="161">
        <f t="shared" si="100"/>
        <v>0</v>
      </c>
      <c r="DN137" s="161">
        <f t="shared" si="101"/>
        <v>0</v>
      </c>
      <c r="DO137" s="161">
        <f t="shared" si="102"/>
        <v>0</v>
      </c>
      <c r="DP137" s="161">
        <f t="shared" si="103"/>
        <v>0</v>
      </c>
      <c r="DQ137" s="161">
        <f t="shared" si="104"/>
        <v>0</v>
      </c>
      <c r="DR137" s="161">
        <f t="shared" si="105"/>
        <v>0</v>
      </c>
      <c r="DS137" s="161">
        <f t="shared" si="106"/>
        <v>0</v>
      </c>
      <c r="DT137" s="161">
        <f t="shared" si="107"/>
        <v>0</v>
      </c>
      <c r="DU137" s="161">
        <f t="shared" si="108"/>
        <v>0</v>
      </c>
      <c r="DV137" s="161">
        <f t="shared" si="109"/>
        <v>0</v>
      </c>
      <c r="DW137" s="161">
        <f t="shared" si="110"/>
        <v>0</v>
      </c>
      <c r="DX137" s="161">
        <f t="shared" si="111"/>
        <v>0</v>
      </c>
      <c r="DY137" s="161">
        <f t="shared" si="112"/>
        <v>0</v>
      </c>
      <c r="DZ137" s="161">
        <f t="shared" si="113"/>
        <v>0</v>
      </c>
      <c r="EA137" s="161">
        <f t="shared" si="114"/>
        <v>0</v>
      </c>
      <c r="EB137" s="161">
        <f t="shared" si="115"/>
        <v>0</v>
      </c>
      <c r="EC137" s="161">
        <f t="shared" si="116"/>
        <v>0</v>
      </c>
      <c r="ED137" s="161">
        <f t="shared" si="117"/>
        <v>0</v>
      </c>
      <c r="EE137" s="161">
        <f t="shared" si="118"/>
        <v>0</v>
      </c>
      <c r="EF137" s="161">
        <f t="shared" si="119"/>
        <v>0</v>
      </c>
      <c r="EG137" s="161">
        <f t="shared" si="120"/>
        <v>0</v>
      </c>
      <c r="EH137" s="161">
        <f t="shared" si="121"/>
        <v>0</v>
      </c>
      <c r="EI137" s="161">
        <f t="shared" si="122"/>
        <v>0</v>
      </c>
      <c r="EJ137" s="161">
        <f t="shared" si="123"/>
        <v>0</v>
      </c>
      <c r="EK137" s="147">
        <f t="shared" si="130"/>
        <v>333.33333333333337</v>
      </c>
      <c r="EL137" s="149"/>
      <c r="EN137" s="146"/>
      <c r="EO137" s="146"/>
      <c r="EP137" s="139">
        <f t="shared" si="131"/>
        <v>0</v>
      </c>
      <c r="EQ137" s="139">
        <f t="shared" si="132"/>
        <v>2.2612791666666667</v>
      </c>
      <c r="ER137" s="139">
        <f t="shared" si="133"/>
        <v>0.76881452219105906</v>
      </c>
      <c r="ES137" s="139">
        <f t="shared" si="134"/>
        <v>9.9787121397165972</v>
      </c>
      <c r="ET137" s="139">
        <f t="shared" si="135"/>
        <v>23.002320317432837</v>
      </c>
      <c r="EU137" s="139">
        <f t="shared" si="136"/>
        <v>10.991106684284548</v>
      </c>
      <c r="EV137" s="139">
        <f t="shared" si="137"/>
        <v>0</v>
      </c>
      <c r="EW137" s="139">
        <f t="shared" si="138"/>
        <v>0</v>
      </c>
      <c r="EX137" s="139">
        <f t="shared" si="139"/>
        <v>0</v>
      </c>
      <c r="EY137" s="139">
        <f t="shared" si="140"/>
        <v>0</v>
      </c>
      <c r="EZ137" s="139">
        <f t="shared" si="141"/>
        <v>0</v>
      </c>
      <c r="FA137" s="139">
        <f t="shared" si="142"/>
        <v>0</v>
      </c>
      <c r="FB137" s="139">
        <f t="shared" si="143"/>
        <v>0</v>
      </c>
      <c r="FC137" s="139">
        <f t="shared" si="144"/>
        <v>0</v>
      </c>
      <c r="FD137" s="139">
        <f t="shared" si="145"/>
        <v>0</v>
      </c>
      <c r="FE137" s="139">
        <f t="shared" si="146"/>
        <v>0</v>
      </c>
      <c r="FF137" s="139">
        <f t="shared" si="147"/>
        <v>0</v>
      </c>
      <c r="FG137" s="139">
        <f t="shared" si="148"/>
        <v>0</v>
      </c>
      <c r="FH137" s="139">
        <f t="shared" si="149"/>
        <v>0</v>
      </c>
      <c r="FI137" s="139">
        <f t="shared" si="150"/>
        <v>0</v>
      </c>
      <c r="FJ137" s="139">
        <f t="shared" si="151"/>
        <v>0</v>
      </c>
      <c r="FK137" s="139">
        <f t="shared" si="152"/>
        <v>0</v>
      </c>
      <c r="FL137" s="139">
        <f t="shared" si="153"/>
        <v>0</v>
      </c>
      <c r="FM137" s="139">
        <f t="shared" si="154"/>
        <v>0</v>
      </c>
      <c r="FN137" s="139">
        <f t="shared" si="155"/>
        <v>0</v>
      </c>
      <c r="FO137" s="139">
        <f t="shared" si="156"/>
        <v>0</v>
      </c>
      <c r="FP137" s="139">
        <f t="shared" si="157"/>
        <v>0</v>
      </c>
      <c r="FQ137" s="139">
        <f t="shared" si="158"/>
        <v>0</v>
      </c>
      <c r="FR137" s="139">
        <f t="shared" si="159"/>
        <v>0</v>
      </c>
      <c r="FS137" s="139">
        <f t="shared" si="160"/>
        <v>0</v>
      </c>
      <c r="FT137" s="139">
        <f t="shared" si="161"/>
        <v>0</v>
      </c>
      <c r="FU137" s="148">
        <f t="shared" si="162"/>
        <v>47.002232830291703</v>
      </c>
      <c r="FV137" s="149"/>
      <c r="FY137" s="211">
        <v>132</v>
      </c>
      <c r="FZ137">
        <v>4.6676230304427504</v>
      </c>
      <c r="GA137">
        <v>34.723655192243228</v>
      </c>
      <c r="GB137">
        <v>73.137965218365537</v>
      </c>
      <c r="GC137">
        <v>42.973998739303404</v>
      </c>
      <c r="GD137">
        <v>18.070608406961899</v>
      </c>
      <c r="GE137">
        <v>29.731886217257752</v>
      </c>
      <c r="GF137">
        <v>51.839995594559767</v>
      </c>
      <c r="GG137">
        <v>45.113192597777854</v>
      </c>
      <c r="GH137">
        <v>20.195709751314663</v>
      </c>
      <c r="GI137">
        <v>44.138014565626655</v>
      </c>
      <c r="GJ137"/>
      <c r="GK137"/>
      <c r="GL137"/>
      <c r="GM137"/>
    </row>
    <row r="138" spans="1:195" s="7" customFormat="1">
      <c r="A138" s="128"/>
      <c r="B138" s="76">
        <f ca="1">IF(C138="", "", RAND())</f>
        <v>0.67617225264869241</v>
      </c>
      <c r="C138">
        <v>4</v>
      </c>
      <c r="D138">
        <v>39799</v>
      </c>
      <c r="E138">
        <v>0</v>
      </c>
      <c r="F138">
        <v>0</v>
      </c>
      <c r="G138">
        <v>0</v>
      </c>
      <c r="H138">
        <v>0</v>
      </c>
      <c r="I138">
        <v>330.32531194295899</v>
      </c>
      <c r="J138">
        <v>113.63636363636363</v>
      </c>
      <c r="K138">
        <v>113.63636363636363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 s="2"/>
      <c r="AK138" s="80"/>
      <c r="AL138" s="74"/>
      <c r="AM138" s="43">
        <v>122</v>
      </c>
      <c r="AN138">
        <v>278.03581754030222</v>
      </c>
      <c r="AO138">
        <v>101.56733457644786</v>
      </c>
      <c r="AP138">
        <v>731.99796038917191</v>
      </c>
      <c r="AQ138">
        <v>554.13275401873739</v>
      </c>
      <c r="AR138">
        <v>91.85310976609378</v>
      </c>
      <c r="AS138">
        <v>760.58589416854522</v>
      </c>
      <c r="AT138">
        <v>47.871503257743882</v>
      </c>
      <c r="AU138">
        <v>81.922359164425302</v>
      </c>
      <c r="AV138"/>
      <c r="AW138"/>
      <c r="AX138" s="128"/>
      <c r="AY138" s="76">
        <f t="shared" ca="1" si="86"/>
        <v>0.43756209323800904</v>
      </c>
      <c r="AZ138">
        <v>1</v>
      </c>
      <c r="BA138" s="129">
        <f>IF(AZ138="", "",$C$9)</f>
        <v>39799</v>
      </c>
      <c r="BB138">
        <v>0</v>
      </c>
      <c r="BC138">
        <v>0</v>
      </c>
      <c r="BD138">
        <v>0</v>
      </c>
      <c r="BE138">
        <v>0</v>
      </c>
      <c r="BF138">
        <v>2</v>
      </c>
      <c r="BG138">
        <v>1</v>
      </c>
      <c r="BH138">
        <v>0</v>
      </c>
      <c r="BI138">
        <v>0</v>
      </c>
      <c r="BJ138">
        <v>0</v>
      </c>
      <c r="BK138">
        <v>0</v>
      </c>
      <c r="BL138">
        <v>0</v>
      </c>
      <c r="BM138">
        <v>0</v>
      </c>
      <c r="BN138">
        <v>0</v>
      </c>
      <c r="BO138">
        <v>0</v>
      </c>
      <c r="BP138">
        <v>0</v>
      </c>
      <c r="BQ138">
        <v>0</v>
      </c>
      <c r="BR138">
        <v>0</v>
      </c>
      <c r="BS138">
        <v>0</v>
      </c>
      <c r="BT138">
        <v>0</v>
      </c>
      <c r="BU138">
        <v>0</v>
      </c>
      <c r="BV138">
        <v>0</v>
      </c>
      <c r="BW138">
        <v>0</v>
      </c>
      <c r="BX138">
        <v>0</v>
      </c>
      <c r="BY138">
        <v>0</v>
      </c>
      <c r="BZ138">
        <v>0</v>
      </c>
      <c r="CA138">
        <v>0</v>
      </c>
      <c r="CB138">
        <v>0</v>
      </c>
      <c r="CC138">
        <v>0</v>
      </c>
      <c r="CD138">
        <v>0</v>
      </c>
      <c r="CE138">
        <v>0</v>
      </c>
      <c r="CF138">
        <v>0</v>
      </c>
      <c r="CG138" s="147"/>
      <c r="CH138" s="176"/>
      <c r="CJ138" s="128"/>
      <c r="CK138" s="76">
        <f t="shared" ca="1" si="88"/>
        <v>0.91416784840049203</v>
      </c>
      <c r="CL138" s="179">
        <f t="shared" si="89"/>
        <v>1</v>
      </c>
      <c r="CM138" s="180">
        <f t="shared" si="90"/>
        <v>39799</v>
      </c>
      <c r="CN138">
        <v>0</v>
      </c>
      <c r="CO138">
        <v>0</v>
      </c>
      <c r="CP138">
        <v>5</v>
      </c>
      <c r="CQ138">
        <v>0</v>
      </c>
      <c r="CR138">
        <v>0</v>
      </c>
      <c r="CS138">
        <v>0</v>
      </c>
      <c r="CT138">
        <v>0</v>
      </c>
      <c r="CU138">
        <v>0</v>
      </c>
      <c r="CV138" s="160"/>
      <c r="CW138">
        <v>1</v>
      </c>
      <c r="CX138">
        <v>8</v>
      </c>
      <c r="CY138" s="160"/>
      <c r="CZ138" s="177">
        <f t="shared" si="91"/>
        <v>9.6000000000000002E-2</v>
      </c>
      <c r="DB138" s="128"/>
      <c r="DC138" s="76">
        <f t="shared" ca="1" si="49"/>
        <v>0.19013514383076124</v>
      </c>
      <c r="DD138">
        <f t="shared" si="92"/>
        <v>1</v>
      </c>
      <c r="DE138" s="129">
        <f t="shared" ref="DE138:DE147" si="165">IF((DD138)="","",$C$9)</f>
        <v>39799</v>
      </c>
      <c r="DF138" s="161">
        <f t="shared" si="93"/>
        <v>0</v>
      </c>
      <c r="DG138" s="161">
        <f t="shared" si="94"/>
        <v>0</v>
      </c>
      <c r="DH138" s="161">
        <f t="shared" si="95"/>
        <v>416.66666666666669</v>
      </c>
      <c r="DI138" s="161">
        <f t="shared" si="96"/>
        <v>0</v>
      </c>
      <c r="DJ138" s="161">
        <f t="shared" si="97"/>
        <v>20.833333333333332</v>
      </c>
      <c r="DK138" s="161">
        <f t="shared" si="98"/>
        <v>10.416666666666666</v>
      </c>
      <c r="DL138" s="161">
        <f t="shared" si="99"/>
        <v>0</v>
      </c>
      <c r="DM138" s="161">
        <f t="shared" si="100"/>
        <v>0</v>
      </c>
      <c r="DN138" s="161">
        <f t="shared" si="101"/>
        <v>0</v>
      </c>
      <c r="DO138" s="161">
        <f t="shared" si="102"/>
        <v>0</v>
      </c>
      <c r="DP138" s="161">
        <f t="shared" si="103"/>
        <v>0</v>
      </c>
      <c r="DQ138" s="161">
        <f t="shared" si="104"/>
        <v>0</v>
      </c>
      <c r="DR138" s="161">
        <f t="shared" si="105"/>
        <v>0</v>
      </c>
      <c r="DS138" s="161">
        <f t="shared" si="106"/>
        <v>0</v>
      </c>
      <c r="DT138" s="161">
        <f t="shared" si="107"/>
        <v>0</v>
      </c>
      <c r="DU138" s="161">
        <f t="shared" si="108"/>
        <v>0</v>
      </c>
      <c r="DV138" s="161">
        <f t="shared" si="109"/>
        <v>0</v>
      </c>
      <c r="DW138" s="161">
        <f t="shared" si="110"/>
        <v>0</v>
      </c>
      <c r="DX138" s="161">
        <f t="shared" si="111"/>
        <v>0</v>
      </c>
      <c r="DY138" s="161">
        <f t="shared" si="112"/>
        <v>0</v>
      </c>
      <c r="DZ138" s="161">
        <f t="shared" si="113"/>
        <v>0</v>
      </c>
      <c r="EA138" s="161">
        <f t="shared" si="114"/>
        <v>0</v>
      </c>
      <c r="EB138" s="161">
        <f t="shared" si="115"/>
        <v>0</v>
      </c>
      <c r="EC138" s="161">
        <f t="shared" si="116"/>
        <v>0</v>
      </c>
      <c r="ED138" s="161">
        <f t="shared" si="117"/>
        <v>0</v>
      </c>
      <c r="EE138" s="161">
        <f t="shared" si="118"/>
        <v>0</v>
      </c>
      <c r="EF138" s="161">
        <f t="shared" si="119"/>
        <v>0</v>
      </c>
      <c r="EG138" s="161">
        <f t="shared" si="120"/>
        <v>0</v>
      </c>
      <c r="EH138" s="161">
        <f t="shared" si="121"/>
        <v>0</v>
      </c>
      <c r="EI138" s="161">
        <f t="shared" si="122"/>
        <v>0</v>
      </c>
      <c r="EJ138" s="161">
        <f t="shared" si="123"/>
        <v>0</v>
      </c>
      <c r="EK138" s="147">
        <f t="shared" si="130"/>
        <v>447.91666666666669</v>
      </c>
      <c r="EL138" s="149"/>
      <c r="EN138" s="146"/>
      <c r="EO138" s="146"/>
      <c r="EP138" s="139">
        <f t="shared" si="131"/>
        <v>0</v>
      </c>
      <c r="EQ138" s="139">
        <f t="shared" si="132"/>
        <v>0</v>
      </c>
      <c r="ER138" s="139">
        <f t="shared" si="133"/>
        <v>30.752580887642367</v>
      </c>
      <c r="ES138" s="139">
        <f t="shared" si="134"/>
        <v>0</v>
      </c>
      <c r="ET138" s="139">
        <f t="shared" si="135"/>
        <v>11.501160158716418</v>
      </c>
      <c r="EU138" s="139">
        <f t="shared" si="136"/>
        <v>10.991106684284548</v>
      </c>
      <c r="EV138" s="139">
        <f t="shared" si="137"/>
        <v>0</v>
      </c>
      <c r="EW138" s="139">
        <f t="shared" si="138"/>
        <v>0</v>
      </c>
      <c r="EX138" s="139">
        <f t="shared" si="139"/>
        <v>0</v>
      </c>
      <c r="EY138" s="139">
        <f t="shared" si="140"/>
        <v>0</v>
      </c>
      <c r="EZ138" s="139">
        <f t="shared" si="141"/>
        <v>0</v>
      </c>
      <c r="FA138" s="139">
        <f t="shared" si="142"/>
        <v>0</v>
      </c>
      <c r="FB138" s="139">
        <f t="shared" si="143"/>
        <v>0</v>
      </c>
      <c r="FC138" s="139">
        <f t="shared" si="144"/>
        <v>0</v>
      </c>
      <c r="FD138" s="139">
        <f t="shared" si="145"/>
        <v>0</v>
      </c>
      <c r="FE138" s="139">
        <f t="shared" si="146"/>
        <v>0</v>
      </c>
      <c r="FF138" s="139">
        <f t="shared" si="147"/>
        <v>0</v>
      </c>
      <c r="FG138" s="139">
        <f t="shared" si="148"/>
        <v>0</v>
      </c>
      <c r="FH138" s="139">
        <f t="shared" si="149"/>
        <v>0</v>
      </c>
      <c r="FI138" s="139">
        <f t="shared" si="150"/>
        <v>0</v>
      </c>
      <c r="FJ138" s="139">
        <f t="shared" si="151"/>
        <v>0</v>
      </c>
      <c r="FK138" s="139">
        <f t="shared" si="152"/>
        <v>0</v>
      </c>
      <c r="FL138" s="139">
        <f t="shared" si="153"/>
        <v>0</v>
      </c>
      <c r="FM138" s="139">
        <f t="shared" si="154"/>
        <v>0</v>
      </c>
      <c r="FN138" s="139">
        <f t="shared" si="155"/>
        <v>0</v>
      </c>
      <c r="FO138" s="139">
        <f t="shared" si="156"/>
        <v>0</v>
      </c>
      <c r="FP138" s="139">
        <f t="shared" si="157"/>
        <v>0</v>
      </c>
      <c r="FQ138" s="139">
        <f t="shared" si="158"/>
        <v>0</v>
      </c>
      <c r="FR138" s="139">
        <f t="shared" si="159"/>
        <v>0</v>
      </c>
      <c r="FS138" s="139">
        <f t="shared" si="160"/>
        <v>0</v>
      </c>
      <c r="FT138" s="139">
        <f t="shared" si="161"/>
        <v>0</v>
      </c>
      <c r="FU138" s="148">
        <f t="shared" si="162"/>
        <v>53.244847730643329</v>
      </c>
      <c r="FV138" s="149"/>
      <c r="FY138" s="211">
        <v>133</v>
      </c>
      <c r="FZ138">
        <v>24.499675733633669</v>
      </c>
      <c r="GA138">
        <v>70.767611847448066</v>
      </c>
      <c r="GB138">
        <v>82.374391103419484</v>
      </c>
      <c r="GC138">
        <v>45.864596734791775</v>
      </c>
      <c r="GD138">
        <v>16.475251050243532</v>
      </c>
      <c r="GE138">
        <v>38.626100907456355</v>
      </c>
      <c r="GF138">
        <v>80.545403540972714</v>
      </c>
      <c r="GG138">
        <v>56.91683016664561</v>
      </c>
      <c r="GH138">
        <v>30.593026408736812</v>
      </c>
      <c r="GI138">
        <v>55.493003723502525</v>
      </c>
      <c r="GJ138"/>
      <c r="GK138"/>
      <c r="GL138"/>
      <c r="GM138"/>
    </row>
    <row r="139" spans="1:195" s="7" customFormat="1">
      <c r="A139" s="1"/>
      <c r="B139" s="76">
        <f ca="1">IF(C139="", "", RAND())</f>
        <v>0.38625047495245313</v>
      </c>
      <c r="C139">
        <v>1</v>
      </c>
      <c r="D139">
        <v>39799</v>
      </c>
      <c r="E139">
        <v>0</v>
      </c>
      <c r="F139">
        <v>0</v>
      </c>
      <c r="G139">
        <v>416.66666666666669</v>
      </c>
      <c r="H139">
        <v>0</v>
      </c>
      <c r="I139">
        <v>20.833333333333332</v>
      </c>
      <c r="J139">
        <v>10.416666666666666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0</v>
      </c>
      <c r="AJ139" s="2"/>
      <c r="AK139" s="80"/>
      <c r="AL139" s="74"/>
      <c r="AM139" s="43">
        <v>123</v>
      </c>
      <c r="AN139">
        <v>207.70635229880281</v>
      </c>
      <c r="AO139">
        <v>72.630762516902806</v>
      </c>
      <c r="AP139">
        <v>526.82424986560602</v>
      </c>
      <c r="AQ139">
        <v>401.82307833785035</v>
      </c>
      <c r="AR139">
        <v>65.418714857813754</v>
      </c>
      <c r="AS139">
        <v>551.34934820427577</v>
      </c>
      <c r="AT139">
        <v>36.648655222476989</v>
      </c>
      <c r="AU139">
        <v>55.45707246545637</v>
      </c>
      <c r="AV139"/>
      <c r="AW139"/>
      <c r="AX139" s="146"/>
      <c r="AY139" s="76">
        <f t="shared" ca="1" si="86"/>
        <v>0.16094512698526309</v>
      </c>
      <c r="AZ139">
        <v>2</v>
      </c>
      <c r="BA139" s="129">
        <f t="shared" ref="BA139:BA147" si="166">IF(AZ139="", "",$C$9)</f>
        <v>39799</v>
      </c>
      <c r="BB139">
        <v>0</v>
      </c>
      <c r="BC139">
        <v>0</v>
      </c>
      <c r="BD139">
        <v>0</v>
      </c>
      <c r="BE139">
        <v>1</v>
      </c>
      <c r="BF139">
        <v>2</v>
      </c>
      <c r="BG139">
        <v>0</v>
      </c>
      <c r="BH139">
        <v>0</v>
      </c>
      <c r="BI139">
        <v>0</v>
      </c>
      <c r="BJ139">
        <v>0</v>
      </c>
      <c r="BK139">
        <v>0</v>
      </c>
      <c r="BL139">
        <v>0</v>
      </c>
      <c r="BM139">
        <v>0</v>
      </c>
      <c r="BN139">
        <v>0</v>
      </c>
      <c r="BO139">
        <v>0</v>
      </c>
      <c r="BP139">
        <v>0</v>
      </c>
      <c r="BQ139">
        <v>0</v>
      </c>
      <c r="BR139">
        <v>0</v>
      </c>
      <c r="BS139">
        <v>0</v>
      </c>
      <c r="BT139">
        <v>0</v>
      </c>
      <c r="BU139">
        <v>0</v>
      </c>
      <c r="BV139">
        <v>0</v>
      </c>
      <c r="BW139">
        <v>0</v>
      </c>
      <c r="BX139">
        <v>0</v>
      </c>
      <c r="BY139">
        <v>0</v>
      </c>
      <c r="BZ139">
        <v>0</v>
      </c>
      <c r="CA139">
        <v>0</v>
      </c>
      <c r="CB139">
        <v>0</v>
      </c>
      <c r="CC139">
        <v>0</v>
      </c>
      <c r="CD139">
        <v>0</v>
      </c>
      <c r="CE139">
        <v>0</v>
      </c>
      <c r="CF139">
        <v>0</v>
      </c>
      <c r="CG139" s="147"/>
      <c r="CH139" s="176"/>
      <c r="CJ139" s="146"/>
      <c r="CK139" s="76">
        <f t="shared" ca="1" si="88"/>
        <v>0.11106423299036461</v>
      </c>
      <c r="CL139" s="179">
        <f t="shared" si="89"/>
        <v>2</v>
      </c>
      <c r="CM139" s="180">
        <f t="shared" si="90"/>
        <v>39799</v>
      </c>
      <c r="CN139">
        <v>0</v>
      </c>
      <c r="CO139">
        <v>0</v>
      </c>
      <c r="CP139">
        <v>5</v>
      </c>
      <c r="CQ139">
        <v>0</v>
      </c>
      <c r="CR139">
        <v>0</v>
      </c>
      <c r="CS139">
        <v>0</v>
      </c>
      <c r="CT139">
        <v>0</v>
      </c>
      <c r="CU139">
        <v>0</v>
      </c>
      <c r="CV139" s="160"/>
      <c r="CW139">
        <v>1</v>
      </c>
      <c r="CX139">
        <v>1</v>
      </c>
      <c r="CY139" s="160"/>
      <c r="CZ139" s="177">
        <f t="shared" si="91"/>
        <v>9.6000000000000002E-2</v>
      </c>
      <c r="DB139" s="146"/>
      <c r="DC139" s="76">
        <f t="shared" ca="1" si="49"/>
        <v>0.13473841070571169</v>
      </c>
      <c r="DD139">
        <f t="shared" si="92"/>
        <v>2</v>
      </c>
      <c r="DE139" s="129">
        <f t="shared" si="165"/>
        <v>39799</v>
      </c>
      <c r="DF139" s="161">
        <f t="shared" si="93"/>
        <v>0</v>
      </c>
      <c r="DG139" s="161">
        <f t="shared" si="94"/>
        <v>0</v>
      </c>
      <c r="DH139" s="161">
        <f t="shared" si="95"/>
        <v>52.083333333333336</v>
      </c>
      <c r="DI139" s="161">
        <f t="shared" si="96"/>
        <v>10.416666666666666</v>
      </c>
      <c r="DJ139" s="161">
        <f t="shared" si="97"/>
        <v>20.833333333333332</v>
      </c>
      <c r="DK139" s="161">
        <f t="shared" si="98"/>
        <v>0</v>
      </c>
      <c r="DL139" s="161">
        <f t="shared" si="99"/>
        <v>0</v>
      </c>
      <c r="DM139" s="161">
        <f t="shared" si="100"/>
        <v>0</v>
      </c>
      <c r="DN139" s="161">
        <f t="shared" si="101"/>
        <v>0</v>
      </c>
      <c r="DO139" s="161">
        <f t="shared" si="102"/>
        <v>0</v>
      </c>
      <c r="DP139" s="161">
        <f t="shared" si="103"/>
        <v>0</v>
      </c>
      <c r="DQ139" s="161">
        <f t="shared" si="104"/>
        <v>0</v>
      </c>
      <c r="DR139" s="161">
        <f t="shared" si="105"/>
        <v>0</v>
      </c>
      <c r="DS139" s="161">
        <f t="shared" si="106"/>
        <v>0</v>
      </c>
      <c r="DT139" s="161">
        <f t="shared" si="107"/>
        <v>0</v>
      </c>
      <c r="DU139" s="161">
        <f t="shared" si="108"/>
        <v>0</v>
      </c>
      <c r="DV139" s="161">
        <f t="shared" si="109"/>
        <v>0</v>
      </c>
      <c r="DW139" s="161">
        <f t="shared" si="110"/>
        <v>0</v>
      </c>
      <c r="DX139" s="161">
        <f t="shared" si="111"/>
        <v>0</v>
      </c>
      <c r="DY139" s="161">
        <f t="shared" si="112"/>
        <v>0</v>
      </c>
      <c r="DZ139" s="161">
        <f t="shared" si="113"/>
        <v>0</v>
      </c>
      <c r="EA139" s="161">
        <f t="shared" si="114"/>
        <v>0</v>
      </c>
      <c r="EB139" s="161">
        <f t="shared" si="115"/>
        <v>0</v>
      </c>
      <c r="EC139" s="161">
        <f t="shared" si="116"/>
        <v>0</v>
      </c>
      <c r="ED139" s="161">
        <f t="shared" si="117"/>
        <v>0</v>
      </c>
      <c r="EE139" s="161">
        <f t="shared" si="118"/>
        <v>0</v>
      </c>
      <c r="EF139" s="161">
        <f t="shared" si="119"/>
        <v>0</v>
      </c>
      <c r="EG139" s="161">
        <f t="shared" si="120"/>
        <v>0</v>
      </c>
      <c r="EH139" s="161">
        <f t="shared" si="121"/>
        <v>0</v>
      </c>
      <c r="EI139" s="161">
        <f t="shared" si="122"/>
        <v>0</v>
      </c>
      <c r="EJ139" s="161">
        <f t="shared" si="123"/>
        <v>0</v>
      </c>
      <c r="EK139" s="147">
        <f t="shared" si="130"/>
        <v>83.333333333333329</v>
      </c>
      <c r="EL139" s="149"/>
      <c r="EN139" s="146"/>
      <c r="EO139" s="146"/>
      <c r="EP139" s="139">
        <f t="shared" si="131"/>
        <v>0</v>
      </c>
      <c r="EQ139" s="139">
        <f t="shared" si="132"/>
        <v>0</v>
      </c>
      <c r="ER139" s="139">
        <f t="shared" si="133"/>
        <v>3.8440726109552958</v>
      </c>
      <c r="ES139" s="139">
        <f t="shared" si="134"/>
        <v>2.4946780349291493</v>
      </c>
      <c r="ET139" s="139">
        <f t="shared" si="135"/>
        <v>11.501160158716418</v>
      </c>
      <c r="EU139" s="139">
        <f t="shared" si="136"/>
        <v>0</v>
      </c>
      <c r="EV139" s="139">
        <f t="shared" si="137"/>
        <v>0</v>
      </c>
      <c r="EW139" s="139">
        <f t="shared" si="138"/>
        <v>0</v>
      </c>
      <c r="EX139" s="139">
        <f t="shared" si="139"/>
        <v>0</v>
      </c>
      <c r="EY139" s="139">
        <f t="shared" si="140"/>
        <v>0</v>
      </c>
      <c r="EZ139" s="139">
        <f t="shared" si="141"/>
        <v>0</v>
      </c>
      <c r="FA139" s="139">
        <f t="shared" si="142"/>
        <v>0</v>
      </c>
      <c r="FB139" s="139">
        <f t="shared" si="143"/>
        <v>0</v>
      </c>
      <c r="FC139" s="139">
        <f t="shared" si="144"/>
        <v>0</v>
      </c>
      <c r="FD139" s="139">
        <f t="shared" si="145"/>
        <v>0</v>
      </c>
      <c r="FE139" s="139">
        <f t="shared" si="146"/>
        <v>0</v>
      </c>
      <c r="FF139" s="139">
        <f t="shared" si="147"/>
        <v>0</v>
      </c>
      <c r="FG139" s="139">
        <f t="shared" si="148"/>
        <v>0</v>
      </c>
      <c r="FH139" s="139">
        <f t="shared" si="149"/>
        <v>0</v>
      </c>
      <c r="FI139" s="139">
        <f t="shared" si="150"/>
        <v>0</v>
      </c>
      <c r="FJ139" s="139">
        <f t="shared" si="151"/>
        <v>0</v>
      </c>
      <c r="FK139" s="139">
        <f t="shared" si="152"/>
        <v>0</v>
      </c>
      <c r="FL139" s="139">
        <f t="shared" si="153"/>
        <v>0</v>
      </c>
      <c r="FM139" s="139">
        <f t="shared" si="154"/>
        <v>0</v>
      </c>
      <c r="FN139" s="139">
        <f t="shared" si="155"/>
        <v>0</v>
      </c>
      <c r="FO139" s="139">
        <f t="shared" si="156"/>
        <v>0</v>
      </c>
      <c r="FP139" s="139">
        <f t="shared" si="157"/>
        <v>0</v>
      </c>
      <c r="FQ139" s="139">
        <f t="shared" si="158"/>
        <v>0</v>
      </c>
      <c r="FR139" s="139">
        <f t="shared" si="159"/>
        <v>0</v>
      </c>
      <c r="FS139" s="139">
        <f t="shared" si="160"/>
        <v>0</v>
      </c>
      <c r="FT139" s="139">
        <f t="shared" si="161"/>
        <v>0</v>
      </c>
      <c r="FU139" s="148">
        <f t="shared" si="162"/>
        <v>17.839910804600862</v>
      </c>
      <c r="FV139" s="149"/>
      <c r="FY139" s="211">
        <v>134</v>
      </c>
      <c r="FZ139">
        <v>12.805397567871273</v>
      </c>
      <c r="GA139">
        <v>36.12270502943479</v>
      </c>
      <c r="GB139">
        <v>77.757607160924877</v>
      </c>
      <c r="GC139">
        <v>44.870137513120795</v>
      </c>
      <c r="GD139">
        <v>23.29046658795184</v>
      </c>
      <c r="GE139">
        <v>55.221117751014759</v>
      </c>
      <c r="GF139">
        <v>58.199849225494674</v>
      </c>
      <c r="GG139">
        <v>24.715072851622022</v>
      </c>
      <c r="GH139">
        <v>8.2418932298529306</v>
      </c>
      <c r="GI139">
        <v>48.992516534571294</v>
      </c>
      <c r="GJ139"/>
      <c r="GK139"/>
      <c r="GL139"/>
      <c r="GM139"/>
    </row>
    <row r="140" spans="1:195" s="7" customFormat="1">
      <c r="A140" s="1"/>
      <c r="B140" s="76">
        <f ca="1">IF(C140="", "", RAND())</f>
        <v>0.48872780129365379</v>
      </c>
      <c r="C140">
        <v>6</v>
      </c>
      <c r="D140">
        <v>39799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 s="2"/>
      <c r="AK140" s="80"/>
      <c r="AL140" s="74"/>
      <c r="AM140" s="43">
        <v>124</v>
      </c>
      <c r="AN140">
        <v>211.35461959881209</v>
      </c>
      <c r="AO140">
        <v>76.679935500930952</v>
      </c>
      <c r="AP140">
        <v>556.79545744168513</v>
      </c>
      <c r="AQ140">
        <v>414.25724167470185</v>
      </c>
      <c r="AR140">
        <v>69.663497962785968</v>
      </c>
      <c r="AS140">
        <v>573.71785323039899</v>
      </c>
      <c r="AT140">
        <v>38.699768739946911</v>
      </c>
      <c r="AU140">
        <v>88.831524193342403</v>
      </c>
      <c r="AV140"/>
      <c r="AW140"/>
      <c r="AX140" s="146"/>
      <c r="AY140" s="76">
        <f t="shared" ca="1" si="86"/>
        <v>6.5814439329487939E-3</v>
      </c>
      <c r="AZ140">
        <v>3</v>
      </c>
      <c r="BA140" s="129">
        <f t="shared" si="166"/>
        <v>39799</v>
      </c>
      <c r="BB140">
        <v>0</v>
      </c>
      <c r="BC140">
        <v>0</v>
      </c>
      <c r="BD140">
        <v>0</v>
      </c>
      <c r="BE140">
        <v>1</v>
      </c>
      <c r="BF140">
        <v>2</v>
      </c>
      <c r="BG140">
        <v>0</v>
      </c>
      <c r="BH140">
        <v>0</v>
      </c>
      <c r="BI140">
        <v>0</v>
      </c>
      <c r="BJ140">
        <v>0</v>
      </c>
      <c r="BK140">
        <v>0</v>
      </c>
      <c r="BL140">
        <v>0</v>
      </c>
      <c r="BM140">
        <v>0</v>
      </c>
      <c r="BN140">
        <v>0</v>
      </c>
      <c r="BO140">
        <v>0</v>
      </c>
      <c r="BP140">
        <v>0</v>
      </c>
      <c r="BQ140">
        <v>0</v>
      </c>
      <c r="BR140">
        <v>0</v>
      </c>
      <c r="BS140">
        <v>0</v>
      </c>
      <c r="BT140">
        <v>0</v>
      </c>
      <c r="BU140">
        <v>0</v>
      </c>
      <c r="BV140">
        <v>0</v>
      </c>
      <c r="BW140">
        <v>0</v>
      </c>
      <c r="BX140">
        <v>0</v>
      </c>
      <c r="BY140">
        <v>0</v>
      </c>
      <c r="BZ140">
        <v>0</v>
      </c>
      <c r="CA140">
        <v>0</v>
      </c>
      <c r="CB140">
        <v>0</v>
      </c>
      <c r="CC140">
        <v>0</v>
      </c>
      <c r="CD140">
        <v>0</v>
      </c>
      <c r="CE140">
        <v>0</v>
      </c>
      <c r="CF140">
        <v>0</v>
      </c>
      <c r="CG140" s="147"/>
      <c r="CH140" s="176"/>
      <c r="CJ140" s="146"/>
      <c r="CK140" s="76">
        <f t="shared" ca="1" si="88"/>
        <v>0.10063408327589896</v>
      </c>
      <c r="CL140" s="179">
        <f t="shared" si="89"/>
        <v>3</v>
      </c>
      <c r="CM140" s="180">
        <f t="shared" si="90"/>
        <v>39799</v>
      </c>
      <c r="CN140">
        <v>0</v>
      </c>
      <c r="CO140">
        <v>0</v>
      </c>
      <c r="CP140">
        <v>8</v>
      </c>
      <c r="CQ140">
        <v>0</v>
      </c>
      <c r="CR140">
        <v>0</v>
      </c>
      <c r="CS140">
        <v>0</v>
      </c>
      <c r="CT140">
        <v>0</v>
      </c>
      <c r="CU140">
        <v>0</v>
      </c>
      <c r="CV140" s="160"/>
      <c r="CW140" s="178">
        <f>30/13</f>
        <v>2.3076923076923075</v>
      </c>
      <c r="CX140">
        <f>8</f>
        <v>8</v>
      </c>
      <c r="CY140" s="160"/>
      <c r="CZ140" s="177">
        <f t="shared" si="91"/>
        <v>9.6000000000000002E-2</v>
      </c>
      <c r="DB140" s="146"/>
      <c r="DC140" s="76">
        <f t="shared" ca="1" si="49"/>
        <v>0.34900201386902419</v>
      </c>
      <c r="DD140">
        <f t="shared" si="92"/>
        <v>3</v>
      </c>
      <c r="DE140" s="129">
        <f t="shared" si="165"/>
        <v>39799</v>
      </c>
      <c r="DF140" s="161">
        <f t="shared" si="93"/>
        <v>0</v>
      </c>
      <c r="DG140" s="161">
        <f t="shared" si="94"/>
        <v>0</v>
      </c>
      <c r="DH140" s="161">
        <f t="shared" si="95"/>
        <v>666.66666666666663</v>
      </c>
      <c r="DI140" s="161">
        <f t="shared" si="96"/>
        <v>24.038461538461537</v>
      </c>
      <c r="DJ140" s="161">
        <f t="shared" si="97"/>
        <v>48.076923076923073</v>
      </c>
      <c r="DK140" s="161">
        <f t="shared" si="98"/>
        <v>0</v>
      </c>
      <c r="DL140" s="161">
        <f t="shared" si="99"/>
        <v>0</v>
      </c>
      <c r="DM140" s="161">
        <f t="shared" si="100"/>
        <v>0</v>
      </c>
      <c r="DN140" s="161">
        <f t="shared" si="101"/>
        <v>0</v>
      </c>
      <c r="DO140" s="161">
        <f t="shared" si="102"/>
        <v>0</v>
      </c>
      <c r="DP140" s="161">
        <f t="shared" si="103"/>
        <v>0</v>
      </c>
      <c r="DQ140" s="161">
        <f t="shared" si="104"/>
        <v>0</v>
      </c>
      <c r="DR140" s="161">
        <f t="shared" si="105"/>
        <v>0</v>
      </c>
      <c r="DS140" s="161">
        <f t="shared" si="106"/>
        <v>0</v>
      </c>
      <c r="DT140" s="161">
        <f t="shared" si="107"/>
        <v>0</v>
      </c>
      <c r="DU140" s="161">
        <f t="shared" si="108"/>
        <v>0</v>
      </c>
      <c r="DV140" s="161">
        <f t="shared" si="109"/>
        <v>0</v>
      </c>
      <c r="DW140" s="161">
        <f t="shared" si="110"/>
        <v>0</v>
      </c>
      <c r="DX140" s="161">
        <f t="shared" si="111"/>
        <v>0</v>
      </c>
      <c r="DY140" s="161">
        <f t="shared" si="112"/>
        <v>0</v>
      </c>
      <c r="DZ140" s="161">
        <f t="shared" si="113"/>
        <v>0</v>
      </c>
      <c r="EA140" s="161">
        <f t="shared" si="114"/>
        <v>0</v>
      </c>
      <c r="EB140" s="161">
        <f t="shared" si="115"/>
        <v>0</v>
      </c>
      <c r="EC140" s="161">
        <f t="shared" si="116"/>
        <v>0</v>
      </c>
      <c r="ED140" s="161">
        <f t="shared" si="117"/>
        <v>0</v>
      </c>
      <c r="EE140" s="161">
        <f t="shared" si="118"/>
        <v>0</v>
      </c>
      <c r="EF140" s="161">
        <f t="shared" si="119"/>
        <v>0</v>
      </c>
      <c r="EG140" s="161">
        <f t="shared" si="120"/>
        <v>0</v>
      </c>
      <c r="EH140" s="161">
        <f t="shared" si="121"/>
        <v>0</v>
      </c>
      <c r="EI140" s="161">
        <f t="shared" si="122"/>
        <v>0</v>
      </c>
      <c r="EJ140" s="161">
        <f t="shared" si="123"/>
        <v>0</v>
      </c>
      <c r="EK140" s="147">
        <f t="shared" si="130"/>
        <v>738.78205128205127</v>
      </c>
      <c r="EL140" s="149"/>
      <c r="EN140" s="146"/>
      <c r="EO140" s="146"/>
      <c r="EP140" s="139">
        <f t="shared" si="131"/>
        <v>0</v>
      </c>
      <c r="EQ140" s="139">
        <f t="shared" si="132"/>
        <v>0</v>
      </c>
      <c r="ER140" s="139">
        <f t="shared" si="133"/>
        <v>49.20412942022778</v>
      </c>
      <c r="ES140" s="139">
        <f t="shared" si="134"/>
        <v>5.7569493113749601</v>
      </c>
      <c r="ET140" s="139">
        <f t="shared" si="135"/>
        <v>26.541138827807117</v>
      </c>
      <c r="EU140" s="139">
        <f t="shared" si="136"/>
        <v>0</v>
      </c>
      <c r="EV140" s="139">
        <f t="shared" si="137"/>
        <v>0</v>
      </c>
      <c r="EW140" s="139">
        <f t="shared" si="138"/>
        <v>0</v>
      </c>
      <c r="EX140" s="139">
        <f t="shared" si="139"/>
        <v>0</v>
      </c>
      <c r="EY140" s="139">
        <f t="shared" si="140"/>
        <v>0</v>
      </c>
      <c r="EZ140" s="139">
        <f t="shared" si="141"/>
        <v>0</v>
      </c>
      <c r="FA140" s="139">
        <f t="shared" si="142"/>
        <v>0</v>
      </c>
      <c r="FB140" s="139">
        <f t="shared" si="143"/>
        <v>0</v>
      </c>
      <c r="FC140" s="139">
        <f t="shared" si="144"/>
        <v>0</v>
      </c>
      <c r="FD140" s="139">
        <f t="shared" si="145"/>
        <v>0</v>
      </c>
      <c r="FE140" s="139">
        <f t="shared" si="146"/>
        <v>0</v>
      </c>
      <c r="FF140" s="139">
        <f t="shared" si="147"/>
        <v>0</v>
      </c>
      <c r="FG140" s="139">
        <f t="shared" si="148"/>
        <v>0</v>
      </c>
      <c r="FH140" s="139">
        <f t="shared" si="149"/>
        <v>0</v>
      </c>
      <c r="FI140" s="139">
        <f t="shared" si="150"/>
        <v>0</v>
      </c>
      <c r="FJ140" s="139">
        <f t="shared" si="151"/>
        <v>0</v>
      </c>
      <c r="FK140" s="139">
        <f t="shared" si="152"/>
        <v>0</v>
      </c>
      <c r="FL140" s="139">
        <f t="shared" si="153"/>
        <v>0</v>
      </c>
      <c r="FM140" s="139">
        <f t="shared" si="154"/>
        <v>0</v>
      </c>
      <c r="FN140" s="139">
        <f t="shared" si="155"/>
        <v>0</v>
      </c>
      <c r="FO140" s="139">
        <f t="shared" si="156"/>
        <v>0</v>
      </c>
      <c r="FP140" s="139">
        <f t="shared" si="157"/>
        <v>0</v>
      </c>
      <c r="FQ140" s="139">
        <f t="shared" si="158"/>
        <v>0</v>
      </c>
      <c r="FR140" s="139">
        <f t="shared" si="159"/>
        <v>0</v>
      </c>
      <c r="FS140" s="139">
        <f t="shared" si="160"/>
        <v>0</v>
      </c>
      <c r="FT140" s="139">
        <f t="shared" si="161"/>
        <v>0</v>
      </c>
      <c r="FU140" s="148">
        <f t="shared" si="162"/>
        <v>81.502217559409857</v>
      </c>
      <c r="FV140" s="149"/>
      <c r="FY140" s="211">
        <v>135</v>
      </c>
      <c r="FZ140">
        <v>6.4266741967854673</v>
      </c>
      <c r="GA140">
        <v>37.46650779400504</v>
      </c>
      <c r="GB140">
        <v>77.53509061883581</v>
      </c>
      <c r="GC140">
        <v>44.785957431925134</v>
      </c>
      <c r="GD140">
        <v>15.528873312324579</v>
      </c>
      <c r="GE140">
        <v>38.970200788299671</v>
      </c>
      <c r="GF140">
        <v>64.729929316782872</v>
      </c>
      <c r="GG140">
        <v>38.858527862016743</v>
      </c>
      <c r="GH140">
        <v>24.831420966882362</v>
      </c>
      <c r="GI140">
        <v>46.956895115980892</v>
      </c>
      <c r="GJ140"/>
      <c r="GK140"/>
      <c r="GL140"/>
      <c r="GM140"/>
    </row>
    <row r="141" spans="1:195" s="7" customFormat="1">
      <c r="A141" s="1"/>
      <c r="B141" s="76">
        <f ca="1">IF(C141="", "", RAND())</f>
        <v>0.2524883567489935</v>
      </c>
      <c r="C141">
        <v>3</v>
      </c>
      <c r="D141">
        <v>39799</v>
      </c>
      <c r="E141">
        <v>0</v>
      </c>
      <c r="F141">
        <v>0</v>
      </c>
      <c r="G141">
        <v>666.66666666666663</v>
      </c>
      <c r="H141">
        <v>24.038461538461537</v>
      </c>
      <c r="I141">
        <v>48.076923076923073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0</v>
      </c>
      <c r="AI141">
        <v>0</v>
      </c>
      <c r="AJ141" s="2"/>
      <c r="AK141" s="80"/>
      <c r="AL141" s="74"/>
      <c r="AM141" s="43">
        <v>125</v>
      </c>
      <c r="AN141">
        <v>241.35018258872415</v>
      </c>
      <c r="AO141">
        <v>90.635570959972796</v>
      </c>
      <c r="AP141">
        <v>694.00085801550074</v>
      </c>
      <c r="AQ141">
        <v>496.29975168462624</v>
      </c>
      <c r="AR141">
        <v>80.703174413191974</v>
      </c>
      <c r="AS141">
        <v>614.72024443588282</v>
      </c>
      <c r="AT141">
        <v>41.432993662556392</v>
      </c>
      <c r="AU141">
        <v>71.646716409130619</v>
      </c>
      <c r="AV141"/>
      <c r="AW141"/>
      <c r="AX141" s="146"/>
      <c r="AY141" s="76">
        <f t="shared" ca="1" si="86"/>
        <v>0.71338721619914036</v>
      </c>
      <c r="AZ141">
        <v>4</v>
      </c>
      <c r="BA141" s="129">
        <f t="shared" si="166"/>
        <v>39799</v>
      </c>
      <c r="BB141">
        <v>0</v>
      </c>
      <c r="BC141">
        <v>0</v>
      </c>
      <c r="BD141">
        <v>0</v>
      </c>
      <c r="BE141">
        <v>0</v>
      </c>
      <c r="BF141">
        <v>1</v>
      </c>
      <c r="BG141">
        <v>3</v>
      </c>
      <c r="BH141">
        <v>3</v>
      </c>
      <c r="BI141">
        <v>0</v>
      </c>
      <c r="BJ141">
        <v>0</v>
      </c>
      <c r="BK141">
        <v>0</v>
      </c>
      <c r="BL141">
        <v>0</v>
      </c>
      <c r="BM141">
        <v>0</v>
      </c>
      <c r="BN141">
        <v>0</v>
      </c>
      <c r="BO141">
        <v>0</v>
      </c>
      <c r="BP141">
        <v>0</v>
      </c>
      <c r="BQ141">
        <v>0</v>
      </c>
      <c r="BR141">
        <v>0</v>
      </c>
      <c r="BS141">
        <v>0</v>
      </c>
      <c r="BT141">
        <v>0</v>
      </c>
      <c r="BU141">
        <v>0</v>
      </c>
      <c r="BV141">
        <v>0</v>
      </c>
      <c r="BW141">
        <v>0</v>
      </c>
      <c r="BX141">
        <v>0</v>
      </c>
      <c r="BY141">
        <v>0</v>
      </c>
      <c r="BZ141">
        <v>0</v>
      </c>
      <c r="CA141">
        <v>0</v>
      </c>
      <c r="CB141">
        <v>0</v>
      </c>
      <c r="CC141">
        <v>0</v>
      </c>
      <c r="CD141">
        <v>0</v>
      </c>
      <c r="CE141">
        <v>0</v>
      </c>
      <c r="CF141">
        <v>0</v>
      </c>
      <c r="CG141" s="147"/>
      <c r="CH141" s="176"/>
      <c r="CJ141" s="146"/>
      <c r="CK141" s="76">
        <f t="shared" ca="1" si="88"/>
        <v>0.38848778316620947</v>
      </c>
      <c r="CL141" s="179">
        <f t="shared" si="89"/>
        <v>4</v>
      </c>
      <c r="CM141" s="180">
        <f t="shared" si="90"/>
        <v>39799</v>
      </c>
      <c r="CN141">
        <v>0</v>
      </c>
      <c r="CO141">
        <v>0</v>
      </c>
      <c r="CP141">
        <v>0</v>
      </c>
      <c r="CQ141">
        <v>0</v>
      </c>
      <c r="CR141">
        <v>1</v>
      </c>
      <c r="CS141">
        <v>0</v>
      </c>
      <c r="CT141">
        <v>0</v>
      </c>
      <c r="CU141">
        <v>0</v>
      </c>
      <c r="CV141" s="160"/>
      <c r="CW141">
        <f>40/11</f>
        <v>3.6363636363636362</v>
      </c>
      <c r="CX141">
        <f>10500/374</f>
        <v>28.074866310160427</v>
      </c>
      <c r="CY141" s="160"/>
      <c r="CZ141" s="177">
        <f t="shared" si="91"/>
        <v>9.6000000000000002E-2</v>
      </c>
      <c r="DB141" s="146"/>
      <c r="DC141" s="76">
        <f t="shared" ca="1" si="49"/>
        <v>6.1070484457196539E-2</v>
      </c>
      <c r="DD141">
        <f t="shared" si="92"/>
        <v>4</v>
      </c>
      <c r="DE141" s="129">
        <f t="shared" si="165"/>
        <v>39799</v>
      </c>
      <c r="DF141" s="161">
        <f t="shared" si="93"/>
        <v>0</v>
      </c>
      <c r="DG141" s="161">
        <f t="shared" si="94"/>
        <v>0</v>
      </c>
      <c r="DH141" s="161">
        <f t="shared" si="95"/>
        <v>0</v>
      </c>
      <c r="DI141" s="161">
        <f t="shared" si="96"/>
        <v>0</v>
      </c>
      <c r="DJ141" s="161">
        <f t="shared" si="97"/>
        <v>330.32531194295899</v>
      </c>
      <c r="DK141" s="161">
        <f t="shared" si="98"/>
        <v>113.63636363636363</v>
      </c>
      <c r="DL141" s="161">
        <f t="shared" si="99"/>
        <v>113.63636363636363</v>
      </c>
      <c r="DM141" s="161">
        <f t="shared" si="100"/>
        <v>0</v>
      </c>
      <c r="DN141" s="161">
        <f t="shared" si="101"/>
        <v>0</v>
      </c>
      <c r="DO141" s="161">
        <f t="shared" si="102"/>
        <v>0</v>
      </c>
      <c r="DP141" s="161">
        <f t="shared" si="103"/>
        <v>0</v>
      </c>
      <c r="DQ141" s="161">
        <f t="shared" si="104"/>
        <v>0</v>
      </c>
      <c r="DR141" s="161">
        <f t="shared" si="105"/>
        <v>0</v>
      </c>
      <c r="DS141" s="161">
        <f t="shared" si="106"/>
        <v>0</v>
      </c>
      <c r="DT141" s="161">
        <f t="shared" si="107"/>
        <v>0</v>
      </c>
      <c r="DU141" s="161">
        <f t="shared" si="108"/>
        <v>0</v>
      </c>
      <c r="DV141" s="161">
        <f t="shared" si="109"/>
        <v>0</v>
      </c>
      <c r="DW141" s="161">
        <f t="shared" si="110"/>
        <v>0</v>
      </c>
      <c r="DX141" s="161">
        <f t="shared" si="111"/>
        <v>0</v>
      </c>
      <c r="DY141" s="161">
        <f t="shared" si="112"/>
        <v>0</v>
      </c>
      <c r="DZ141" s="161">
        <f t="shared" si="113"/>
        <v>0</v>
      </c>
      <c r="EA141" s="161">
        <f t="shared" si="114"/>
        <v>0</v>
      </c>
      <c r="EB141" s="161">
        <f t="shared" si="115"/>
        <v>0</v>
      </c>
      <c r="EC141" s="161">
        <f t="shared" si="116"/>
        <v>0</v>
      </c>
      <c r="ED141" s="161">
        <f t="shared" si="117"/>
        <v>0</v>
      </c>
      <c r="EE141" s="161">
        <f t="shared" si="118"/>
        <v>0</v>
      </c>
      <c r="EF141" s="161">
        <f t="shared" si="119"/>
        <v>0</v>
      </c>
      <c r="EG141" s="161">
        <f t="shared" si="120"/>
        <v>0</v>
      </c>
      <c r="EH141" s="161">
        <f t="shared" si="121"/>
        <v>0</v>
      </c>
      <c r="EI141" s="161">
        <f t="shared" si="122"/>
        <v>0</v>
      </c>
      <c r="EJ141" s="161">
        <f t="shared" si="123"/>
        <v>0</v>
      </c>
      <c r="EK141" s="147">
        <f t="shared" si="130"/>
        <v>557.59803921568619</v>
      </c>
      <c r="EL141" s="149"/>
      <c r="EN141" s="146"/>
      <c r="EO141" s="146"/>
      <c r="EP141" s="139">
        <f t="shared" si="131"/>
        <v>0</v>
      </c>
      <c r="EQ141" s="139">
        <f t="shared" si="132"/>
        <v>0</v>
      </c>
      <c r="ER141" s="139">
        <f t="shared" si="133"/>
        <v>0</v>
      </c>
      <c r="ES141" s="139">
        <f t="shared" si="134"/>
        <v>0</v>
      </c>
      <c r="ET141" s="139">
        <f t="shared" si="135"/>
        <v>182.35796722242875</v>
      </c>
      <c r="EU141" s="139">
        <f t="shared" si="136"/>
        <v>119.90298201037689</v>
      </c>
      <c r="EV141" s="139">
        <f t="shared" si="137"/>
        <v>203.56032777024811</v>
      </c>
      <c r="EW141" s="139">
        <f t="shared" si="138"/>
        <v>0</v>
      </c>
      <c r="EX141" s="139">
        <f t="shared" si="139"/>
        <v>0</v>
      </c>
      <c r="EY141" s="139">
        <f t="shared" si="140"/>
        <v>0</v>
      </c>
      <c r="EZ141" s="139">
        <f t="shared" si="141"/>
        <v>0</v>
      </c>
      <c r="FA141" s="139">
        <f t="shared" si="142"/>
        <v>0</v>
      </c>
      <c r="FB141" s="139">
        <f t="shared" si="143"/>
        <v>0</v>
      </c>
      <c r="FC141" s="139">
        <f t="shared" si="144"/>
        <v>0</v>
      </c>
      <c r="FD141" s="139">
        <f t="shared" si="145"/>
        <v>0</v>
      </c>
      <c r="FE141" s="139">
        <f t="shared" si="146"/>
        <v>0</v>
      </c>
      <c r="FF141" s="139">
        <f t="shared" si="147"/>
        <v>0</v>
      </c>
      <c r="FG141" s="139">
        <f t="shared" si="148"/>
        <v>0</v>
      </c>
      <c r="FH141" s="139">
        <f t="shared" si="149"/>
        <v>0</v>
      </c>
      <c r="FI141" s="139">
        <f t="shared" si="150"/>
        <v>0</v>
      </c>
      <c r="FJ141" s="139">
        <f t="shared" si="151"/>
        <v>0</v>
      </c>
      <c r="FK141" s="139">
        <f t="shared" si="152"/>
        <v>0</v>
      </c>
      <c r="FL141" s="139">
        <f t="shared" si="153"/>
        <v>0</v>
      </c>
      <c r="FM141" s="139">
        <f t="shared" si="154"/>
        <v>0</v>
      </c>
      <c r="FN141" s="139">
        <f t="shared" si="155"/>
        <v>0</v>
      </c>
      <c r="FO141" s="139">
        <f t="shared" si="156"/>
        <v>0</v>
      </c>
      <c r="FP141" s="139">
        <f t="shared" si="157"/>
        <v>0</v>
      </c>
      <c r="FQ141" s="139">
        <f t="shared" si="158"/>
        <v>0</v>
      </c>
      <c r="FR141" s="139">
        <f t="shared" si="159"/>
        <v>0</v>
      </c>
      <c r="FS141" s="139">
        <f t="shared" si="160"/>
        <v>0</v>
      </c>
      <c r="FT141" s="139">
        <f t="shared" si="161"/>
        <v>0</v>
      </c>
      <c r="FU141" s="148">
        <f t="shared" si="162"/>
        <v>505.82127700305375</v>
      </c>
      <c r="FV141" s="149"/>
      <c r="FY141" s="211">
        <v>136</v>
      </c>
      <c r="FZ141">
        <v>18.18469907148646</v>
      </c>
      <c r="GA141">
        <v>40.161353606367271</v>
      </c>
      <c r="GB141">
        <v>71.562033850241221</v>
      </c>
      <c r="GC141">
        <v>46.079850107661237</v>
      </c>
      <c r="GD141">
        <v>14.644679623904043</v>
      </c>
      <c r="GE141">
        <v>53.381800968266973</v>
      </c>
      <c r="GF141">
        <v>123.66333093098105</v>
      </c>
      <c r="GG141">
        <v>56.047728571144077</v>
      </c>
      <c r="GH141">
        <v>10.065705584098836</v>
      </c>
      <c r="GI141">
        <v>56.893467739239448</v>
      </c>
      <c r="GJ141"/>
      <c r="GK141"/>
      <c r="GL141"/>
      <c r="GM141"/>
    </row>
    <row r="142" spans="1:195" s="7" customFormat="1">
      <c r="A142" s="1"/>
      <c r="B142" s="76">
        <f ca="1">IF(C142="", "", RAND())</f>
        <v>0.21022369028706578</v>
      </c>
      <c r="C142">
        <v>7</v>
      </c>
      <c r="D142">
        <v>39799</v>
      </c>
      <c r="E142">
        <v>0</v>
      </c>
      <c r="F142">
        <v>0</v>
      </c>
      <c r="G142">
        <v>10.416666666666666</v>
      </c>
      <c r="H142">
        <v>60.763888888888886</v>
      </c>
      <c r="I142">
        <v>20.833333333333332</v>
      </c>
      <c r="J142">
        <v>20.833333333333332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 s="2"/>
      <c r="AK142" s="80"/>
      <c r="AL142" s="74"/>
      <c r="AM142" s="43">
        <v>126</v>
      </c>
      <c r="AN142">
        <v>238.7458144527192</v>
      </c>
      <c r="AO142">
        <v>77.430860936780718</v>
      </c>
      <c r="AP142">
        <v>548.4331371773003</v>
      </c>
      <c r="AQ142">
        <v>408.74851537056759</v>
      </c>
      <c r="AR142">
        <v>70.918592758512148</v>
      </c>
      <c r="AS142">
        <v>608.48931382101398</v>
      </c>
      <c r="AT142">
        <v>37.203638758635293</v>
      </c>
      <c r="AU142">
        <v>68.916398737941691</v>
      </c>
      <c r="AV142"/>
      <c r="AW142"/>
      <c r="AX142" s="146"/>
      <c r="AY142" s="76">
        <f t="shared" ca="1" si="86"/>
        <v>0.57581343021806086</v>
      </c>
      <c r="AZ142">
        <v>5</v>
      </c>
      <c r="BA142" s="129">
        <f t="shared" si="166"/>
        <v>39799</v>
      </c>
      <c r="BB142">
        <v>0</v>
      </c>
      <c r="BC142">
        <v>0</v>
      </c>
      <c r="BD142">
        <v>0</v>
      </c>
      <c r="BE142">
        <v>0</v>
      </c>
      <c r="BF142">
        <v>5</v>
      </c>
      <c r="BG142">
        <v>2</v>
      </c>
      <c r="BH142">
        <v>0</v>
      </c>
      <c r="BI142">
        <v>0</v>
      </c>
      <c r="BJ142">
        <v>0</v>
      </c>
      <c r="BK142">
        <v>0</v>
      </c>
      <c r="BL142">
        <v>0</v>
      </c>
      <c r="BM142">
        <v>0</v>
      </c>
      <c r="BN142">
        <v>0</v>
      </c>
      <c r="BO142">
        <v>0</v>
      </c>
      <c r="BP142">
        <v>0</v>
      </c>
      <c r="BQ142">
        <v>0</v>
      </c>
      <c r="BR142">
        <v>0</v>
      </c>
      <c r="BS142">
        <v>0</v>
      </c>
      <c r="BT142">
        <v>0</v>
      </c>
      <c r="BU142">
        <v>0</v>
      </c>
      <c r="BV142">
        <v>0</v>
      </c>
      <c r="BW142">
        <v>0</v>
      </c>
      <c r="BX142">
        <v>0</v>
      </c>
      <c r="BY142">
        <v>0</v>
      </c>
      <c r="BZ142">
        <v>0</v>
      </c>
      <c r="CA142">
        <v>0</v>
      </c>
      <c r="CB142">
        <v>0</v>
      </c>
      <c r="CC142">
        <v>0</v>
      </c>
      <c r="CD142">
        <v>0</v>
      </c>
      <c r="CE142">
        <v>0</v>
      </c>
      <c r="CF142">
        <v>0</v>
      </c>
      <c r="CG142" s="147"/>
      <c r="CH142" s="176"/>
      <c r="CJ142" s="146"/>
      <c r="CK142" s="76">
        <f t="shared" ca="1" si="88"/>
        <v>0.91566753011740709</v>
      </c>
      <c r="CL142" s="179">
        <f t="shared" si="89"/>
        <v>5</v>
      </c>
      <c r="CM142" s="180">
        <f t="shared" si="90"/>
        <v>39799</v>
      </c>
      <c r="CN142">
        <v>0</v>
      </c>
      <c r="CO142">
        <v>1</v>
      </c>
      <c r="CP142">
        <v>1</v>
      </c>
      <c r="CQ142">
        <v>0</v>
      </c>
      <c r="CR142">
        <v>0</v>
      </c>
      <c r="CS142">
        <v>0</v>
      </c>
      <c r="CT142">
        <v>0</v>
      </c>
      <c r="CU142">
        <v>0</v>
      </c>
      <c r="CV142" s="160"/>
      <c r="CW142">
        <v>1</v>
      </c>
      <c r="CX142">
        <f>350/52</f>
        <v>6.7307692307692308</v>
      </c>
      <c r="CY142" s="160"/>
      <c r="CZ142" s="177">
        <f t="shared" si="91"/>
        <v>9.6000000000000002E-2</v>
      </c>
      <c r="DB142" s="146"/>
      <c r="DC142" s="76">
        <f t="shared" ca="1" si="49"/>
        <v>0.49771682576964782</v>
      </c>
      <c r="DD142">
        <f t="shared" si="92"/>
        <v>5</v>
      </c>
      <c r="DE142" s="129">
        <f t="shared" si="165"/>
        <v>39799</v>
      </c>
      <c r="DF142" s="161">
        <f t="shared" si="93"/>
        <v>0</v>
      </c>
      <c r="DG142" s="161">
        <f t="shared" si="94"/>
        <v>70.112179487179489</v>
      </c>
      <c r="DH142" s="161">
        <f t="shared" si="95"/>
        <v>70.112179487179489</v>
      </c>
      <c r="DI142" s="161">
        <f t="shared" si="96"/>
        <v>0</v>
      </c>
      <c r="DJ142" s="161">
        <f t="shared" si="97"/>
        <v>52.083333333333336</v>
      </c>
      <c r="DK142" s="161">
        <f t="shared" si="98"/>
        <v>20.833333333333332</v>
      </c>
      <c r="DL142" s="161">
        <f t="shared" si="99"/>
        <v>0</v>
      </c>
      <c r="DM142" s="161">
        <f t="shared" si="100"/>
        <v>0</v>
      </c>
      <c r="DN142" s="161">
        <f t="shared" si="101"/>
        <v>0</v>
      </c>
      <c r="DO142" s="161">
        <f t="shared" si="102"/>
        <v>0</v>
      </c>
      <c r="DP142" s="161">
        <f t="shared" si="103"/>
        <v>0</v>
      </c>
      <c r="DQ142" s="161">
        <f t="shared" si="104"/>
        <v>0</v>
      </c>
      <c r="DR142" s="161">
        <f t="shared" si="105"/>
        <v>0</v>
      </c>
      <c r="DS142" s="161">
        <f t="shared" si="106"/>
        <v>0</v>
      </c>
      <c r="DT142" s="161">
        <f t="shared" si="107"/>
        <v>0</v>
      </c>
      <c r="DU142" s="161">
        <f t="shared" si="108"/>
        <v>0</v>
      </c>
      <c r="DV142" s="161">
        <f t="shared" si="109"/>
        <v>0</v>
      </c>
      <c r="DW142" s="161">
        <f t="shared" si="110"/>
        <v>0</v>
      </c>
      <c r="DX142" s="161">
        <f t="shared" si="111"/>
        <v>0</v>
      </c>
      <c r="DY142" s="161">
        <f t="shared" si="112"/>
        <v>0</v>
      </c>
      <c r="DZ142" s="161">
        <f t="shared" si="113"/>
        <v>0</v>
      </c>
      <c r="EA142" s="161">
        <f t="shared" si="114"/>
        <v>0</v>
      </c>
      <c r="EB142" s="161">
        <f t="shared" si="115"/>
        <v>0</v>
      </c>
      <c r="EC142" s="161">
        <f t="shared" si="116"/>
        <v>0</v>
      </c>
      <c r="ED142" s="161">
        <f t="shared" si="117"/>
        <v>0</v>
      </c>
      <c r="EE142" s="161">
        <f t="shared" si="118"/>
        <v>0</v>
      </c>
      <c r="EF142" s="161">
        <f t="shared" si="119"/>
        <v>0</v>
      </c>
      <c r="EG142" s="161">
        <f t="shared" si="120"/>
        <v>0</v>
      </c>
      <c r="EH142" s="161">
        <f t="shared" si="121"/>
        <v>0</v>
      </c>
      <c r="EI142" s="161">
        <f t="shared" si="122"/>
        <v>0</v>
      </c>
      <c r="EJ142" s="161">
        <f t="shared" si="123"/>
        <v>0</v>
      </c>
      <c r="EK142" s="147">
        <f t="shared" si="130"/>
        <v>213.14102564102566</v>
      </c>
      <c r="EL142" s="149"/>
      <c r="EN142" s="146"/>
      <c r="EO142" s="146"/>
      <c r="EP142" s="139">
        <f t="shared" si="131"/>
        <v>0</v>
      </c>
      <c r="EQ142" s="139">
        <f t="shared" si="132"/>
        <v>0.69182491987179495</v>
      </c>
      <c r="ER142" s="139">
        <f t="shared" si="133"/>
        <v>5.1747131301321287</v>
      </c>
      <c r="ES142" s="139">
        <f t="shared" si="134"/>
        <v>0</v>
      </c>
      <c r="ET142" s="139">
        <f t="shared" si="135"/>
        <v>28.752900396791048</v>
      </c>
      <c r="EU142" s="139">
        <f t="shared" si="136"/>
        <v>21.982213368569095</v>
      </c>
      <c r="EV142" s="139">
        <f t="shared" si="137"/>
        <v>0</v>
      </c>
      <c r="EW142" s="139">
        <f t="shared" si="138"/>
        <v>0</v>
      </c>
      <c r="EX142" s="139">
        <f t="shared" si="139"/>
        <v>0</v>
      </c>
      <c r="EY142" s="139">
        <f t="shared" si="140"/>
        <v>0</v>
      </c>
      <c r="EZ142" s="139">
        <f t="shared" si="141"/>
        <v>0</v>
      </c>
      <c r="FA142" s="139">
        <f t="shared" si="142"/>
        <v>0</v>
      </c>
      <c r="FB142" s="139">
        <f t="shared" si="143"/>
        <v>0</v>
      </c>
      <c r="FC142" s="139">
        <f t="shared" si="144"/>
        <v>0</v>
      </c>
      <c r="FD142" s="139">
        <f t="shared" si="145"/>
        <v>0</v>
      </c>
      <c r="FE142" s="139">
        <f t="shared" si="146"/>
        <v>0</v>
      </c>
      <c r="FF142" s="139">
        <f t="shared" si="147"/>
        <v>0</v>
      </c>
      <c r="FG142" s="139">
        <f t="shared" si="148"/>
        <v>0</v>
      </c>
      <c r="FH142" s="139">
        <f t="shared" si="149"/>
        <v>0</v>
      </c>
      <c r="FI142" s="139">
        <f t="shared" si="150"/>
        <v>0</v>
      </c>
      <c r="FJ142" s="139">
        <f t="shared" si="151"/>
        <v>0</v>
      </c>
      <c r="FK142" s="139">
        <f t="shared" si="152"/>
        <v>0</v>
      </c>
      <c r="FL142" s="139">
        <f t="shared" si="153"/>
        <v>0</v>
      </c>
      <c r="FM142" s="139">
        <f t="shared" si="154"/>
        <v>0</v>
      </c>
      <c r="FN142" s="139">
        <f t="shared" si="155"/>
        <v>0</v>
      </c>
      <c r="FO142" s="139">
        <f t="shared" si="156"/>
        <v>0</v>
      </c>
      <c r="FP142" s="139">
        <f t="shared" si="157"/>
        <v>0</v>
      </c>
      <c r="FQ142" s="139">
        <f t="shared" si="158"/>
        <v>0</v>
      </c>
      <c r="FR142" s="139">
        <f t="shared" si="159"/>
        <v>0</v>
      </c>
      <c r="FS142" s="139">
        <f t="shared" si="160"/>
        <v>0</v>
      </c>
      <c r="FT142" s="139">
        <f t="shared" si="161"/>
        <v>0</v>
      </c>
      <c r="FU142" s="148">
        <f t="shared" si="162"/>
        <v>56.601651815364065</v>
      </c>
      <c r="FV142" s="149"/>
      <c r="FY142" s="211">
        <v>137</v>
      </c>
      <c r="FZ142">
        <v>29.044760324358869</v>
      </c>
      <c r="GA142">
        <v>62.601098408522567</v>
      </c>
      <c r="GB142">
        <v>54.868344389110732</v>
      </c>
      <c r="GC142">
        <v>35.661350637030857</v>
      </c>
      <c r="GD142">
        <v>16.501827483628169</v>
      </c>
      <c r="GE142">
        <v>22.710469528350536</v>
      </c>
      <c r="GF142">
        <v>56.664403947944876</v>
      </c>
      <c r="GG142">
        <v>54.431583608196263</v>
      </c>
      <c r="GH142">
        <v>27.276230048258402</v>
      </c>
      <c r="GI142">
        <v>44.462198227630346</v>
      </c>
      <c r="GJ142"/>
      <c r="GK142"/>
      <c r="GL142"/>
      <c r="GM142"/>
    </row>
    <row r="143" spans="1:195" s="7" customFormat="1">
      <c r="A143" s="1"/>
      <c r="B143" s="76">
        <f ca="1">IF(C143="", "", RAND())</f>
        <v>0.89224091815611639</v>
      </c>
      <c r="C143">
        <v>8</v>
      </c>
      <c r="D143">
        <v>39799</v>
      </c>
      <c r="E143">
        <v>0</v>
      </c>
      <c r="F143">
        <v>74.404761904761912</v>
      </c>
      <c r="G143">
        <v>223.21428571428572</v>
      </c>
      <c r="H143">
        <v>0</v>
      </c>
      <c r="I143">
        <v>10.416666666666666</v>
      </c>
      <c r="J143">
        <v>52.083333333333336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 s="2"/>
      <c r="AK143" s="80"/>
      <c r="AL143" s="74"/>
      <c r="AM143" s="43">
        <v>127</v>
      </c>
      <c r="AN143">
        <v>273.87973061009154</v>
      </c>
      <c r="AO143">
        <v>88.397158323635978</v>
      </c>
      <c r="AP143">
        <v>663.39073736026012</v>
      </c>
      <c r="AQ143">
        <v>487.51654992115073</v>
      </c>
      <c r="AR143">
        <v>79.198091390615687</v>
      </c>
      <c r="AS143">
        <v>641.6200043443198</v>
      </c>
      <c r="AT143">
        <v>42.996762956911716</v>
      </c>
      <c r="AU143">
        <v>66.031396712134551</v>
      </c>
      <c r="AV143"/>
      <c r="AW143"/>
      <c r="AX143" s="146"/>
      <c r="AY143" s="76">
        <f t="shared" ca="1" si="86"/>
        <v>0.93496740627580643</v>
      </c>
      <c r="AZ143">
        <v>6</v>
      </c>
      <c r="BA143" s="129">
        <f t="shared" si="166"/>
        <v>39799</v>
      </c>
      <c r="BB143">
        <v>0</v>
      </c>
      <c r="BC143">
        <v>0</v>
      </c>
      <c r="BD143">
        <v>0</v>
      </c>
      <c r="BE143">
        <v>0</v>
      </c>
      <c r="BF143">
        <v>0</v>
      </c>
      <c r="BG143">
        <v>0</v>
      </c>
      <c r="BH143">
        <v>0</v>
      </c>
      <c r="BI143">
        <v>0</v>
      </c>
      <c r="BJ143">
        <v>0</v>
      </c>
      <c r="BK143">
        <v>0</v>
      </c>
      <c r="BL143">
        <v>0</v>
      </c>
      <c r="BM143">
        <v>0</v>
      </c>
      <c r="BN143">
        <v>0</v>
      </c>
      <c r="BO143">
        <v>0</v>
      </c>
      <c r="BP143">
        <v>0</v>
      </c>
      <c r="BQ143">
        <v>0</v>
      </c>
      <c r="BR143">
        <v>0</v>
      </c>
      <c r="BS143">
        <v>0</v>
      </c>
      <c r="BT143">
        <v>0</v>
      </c>
      <c r="BU143">
        <v>0</v>
      </c>
      <c r="BV143">
        <v>0</v>
      </c>
      <c r="BW143">
        <v>0</v>
      </c>
      <c r="BX143">
        <v>0</v>
      </c>
      <c r="BY143">
        <v>0</v>
      </c>
      <c r="BZ143">
        <v>0</v>
      </c>
      <c r="CA143">
        <v>0</v>
      </c>
      <c r="CB143">
        <v>0</v>
      </c>
      <c r="CC143">
        <v>0</v>
      </c>
      <c r="CD143">
        <v>0</v>
      </c>
      <c r="CE143">
        <v>0</v>
      </c>
      <c r="CF143">
        <v>0</v>
      </c>
      <c r="CG143" s="147"/>
      <c r="CH143" s="176"/>
      <c r="CJ143" s="146"/>
      <c r="CK143" s="76">
        <f t="shared" ca="1" si="88"/>
        <v>0.96479248992336086</v>
      </c>
      <c r="CL143" s="179">
        <f t="shared" si="89"/>
        <v>6</v>
      </c>
      <c r="CM143" s="180">
        <f t="shared" si="90"/>
        <v>39799</v>
      </c>
      <c r="CN143">
        <v>0</v>
      </c>
      <c r="CO143">
        <v>0</v>
      </c>
      <c r="CP143">
        <v>0</v>
      </c>
      <c r="CQ143">
        <v>0</v>
      </c>
      <c r="CR143">
        <v>0</v>
      </c>
      <c r="CS143">
        <v>0</v>
      </c>
      <c r="CT143">
        <v>0</v>
      </c>
      <c r="CU143">
        <v>0</v>
      </c>
      <c r="CV143" s="160"/>
      <c r="CW143">
        <v>1</v>
      </c>
      <c r="CX143">
        <v>1</v>
      </c>
      <c r="CY143" s="160"/>
      <c r="CZ143" s="177">
        <f t="shared" si="91"/>
        <v>9.6000000000000002E-2</v>
      </c>
      <c r="DB143" s="146"/>
      <c r="DC143" s="76">
        <f t="shared" ca="1" si="49"/>
        <v>0.21460900130590144</v>
      </c>
      <c r="DD143">
        <f t="shared" si="92"/>
        <v>6</v>
      </c>
      <c r="DE143" s="129">
        <f t="shared" si="165"/>
        <v>39799</v>
      </c>
      <c r="DF143" s="161">
        <f t="shared" si="93"/>
        <v>0</v>
      </c>
      <c r="DG143" s="161">
        <f t="shared" si="94"/>
        <v>0</v>
      </c>
      <c r="DH143" s="161">
        <f t="shared" si="95"/>
        <v>0</v>
      </c>
      <c r="DI143" s="161">
        <f t="shared" si="96"/>
        <v>0</v>
      </c>
      <c r="DJ143" s="161">
        <f t="shared" si="97"/>
        <v>0</v>
      </c>
      <c r="DK143" s="161">
        <f t="shared" si="98"/>
        <v>0</v>
      </c>
      <c r="DL143" s="161">
        <f t="shared" si="99"/>
        <v>0</v>
      </c>
      <c r="DM143" s="161">
        <f t="shared" si="100"/>
        <v>0</v>
      </c>
      <c r="DN143" s="161">
        <f t="shared" si="101"/>
        <v>0</v>
      </c>
      <c r="DO143" s="161">
        <f t="shared" si="102"/>
        <v>0</v>
      </c>
      <c r="DP143" s="161">
        <f t="shared" si="103"/>
        <v>0</v>
      </c>
      <c r="DQ143" s="161">
        <f t="shared" si="104"/>
        <v>0</v>
      </c>
      <c r="DR143" s="161">
        <f t="shared" si="105"/>
        <v>0</v>
      </c>
      <c r="DS143" s="161">
        <f t="shared" si="106"/>
        <v>0</v>
      </c>
      <c r="DT143" s="161">
        <f t="shared" si="107"/>
        <v>0</v>
      </c>
      <c r="DU143" s="161">
        <f t="shared" si="108"/>
        <v>0</v>
      </c>
      <c r="DV143" s="161">
        <f t="shared" si="109"/>
        <v>0</v>
      </c>
      <c r="DW143" s="161">
        <f t="shared" si="110"/>
        <v>0</v>
      </c>
      <c r="DX143" s="161">
        <f t="shared" si="111"/>
        <v>0</v>
      </c>
      <c r="DY143" s="161">
        <f t="shared" si="112"/>
        <v>0</v>
      </c>
      <c r="DZ143" s="161">
        <f t="shared" si="113"/>
        <v>0</v>
      </c>
      <c r="EA143" s="161">
        <f t="shared" si="114"/>
        <v>0</v>
      </c>
      <c r="EB143" s="161">
        <f t="shared" si="115"/>
        <v>0</v>
      </c>
      <c r="EC143" s="161">
        <f t="shared" si="116"/>
        <v>0</v>
      </c>
      <c r="ED143" s="161">
        <f t="shared" si="117"/>
        <v>0</v>
      </c>
      <c r="EE143" s="161">
        <f t="shared" si="118"/>
        <v>0</v>
      </c>
      <c r="EF143" s="161">
        <f t="shared" si="119"/>
        <v>0</v>
      </c>
      <c r="EG143" s="161">
        <f t="shared" si="120"/>
        <v>0</v>
      </c>
      <c r="EH143" s="161">
        <f t="shared" si="121"/>
        <v>0</v>
      </c>
      <c r="EI143" s="161">
        <f t="shared" si="122"/>
        <v>0</v>
      </c>
      <c r="EJ143" s="161">
        <f t="shared" si="123"/>
        <v>0</v>
      </c>
      <c r="EK143" s="147">
        <f t="shared" si="130"/>
        <v>0</v>
      </c>
      <c r="EL143" s="149"/>
      <c r="EN143" s="146"/>
      <c r="EO143" s="146"/>
      <c r="EP143" s="139">
        <f t="shared" si="131"/>
        <v>0</v>
      </c>
      <c r="EQ143" s="139">
        <f t="shared" si="132"/>
        <v>0</v>
      </c>
      <c r="ER143" s="139">
        <f t="shared" si="133"/>
        <v>0</v>
      </c>
      <c r="ES143" s="139">
        <f t="shared" si="134"/>
        <v>0</v>
      </c>
      <c r="ET143" s="139">
        <f t="shared" si="135"/>
        <v>0</v>
      </c>
      <c r="EU143" s="139">
        <f t="shared" si="136"/>
        <v>0</v>
      </c>
      <c r="EV143" s="139">
        <f t="shared" si="137"/>
        <v>0</v>
      </c>
      <c r="EW143" s="139">
        <f t="shared" si="138"/>
        <v>0</v>
      </c>
      <c r="EX143" s="139">
        <f t="shared" si="139"/>
        <v>0</v>
      </c>
      <c r="EY143" s="139">
        <f t="shared" si="140"/>
        <v>0</v>
      </c>
      <c r="EZ143" s="139">
        <f t="shared" si="141"/>
        <v>0</v>
      </c>
      <c r="FA143" s="139">
        <f t="shared" si="142"/>
        <v>0</v>
      </c>
      <c r="FB143" s="139">
        <f t="shared" si="143"/>
        <v>0</v>
      </c>
      <c r="FC143" s="139">
        <f t="shared" si="144"/>
        <v>0</v>
      </c>
      <c r="FD143" s="139">
        <f t="shared" si="145"/>
        <v>0</v>
      </c>
      <c r="FE143" s="139">
        <f t="shared" si="146"/>
        <v>0</v>
      </c>
      <c r="FF143" s="139">
        <f t="shared" si="147"/>
        <v>0</v>
      </c>
      <c r="FG143" s="139">
        <f t="shared" si="148"/>
        <v>0</v>
      </c>
      <c r="FH143" s="139">
        <f t="shared" si="149"/>
        <v>0</v>
      </c>
      <c r="FI143" s="139">
        <f t="shared" si="150"/>
        <v>0</v>
      </c>
      <c r="FJ143" s="139">
        <f t="shared" si="151"/>
        <v>0</v>
      </c>
      <c r="FK143" s="139">
        <f t="shared" si="152"/>
        <v>0</v>
      </c>
      <c r="FL143" s="139">
        <f t="shared" si="153"/>
        <v>0</v>
      </c>
      <c r="FM143" s="139">
        <f t="shared" si="154"/>
        <v>0</v>
      </c>
      <c r="FN143" s="139">
        <f t="shared" si="155"/>
        <v>0</v>
      </c>
      <c r="FO143" s="139">
        <f t="shared" si="156"/>
        <v>0</v>
      </c>
      <c r="FP143" s="139">
        <f t="shared" si="157"/>
        <v>0</v>
      </c>
      <c r="FQ143" s="139">
        <f t="shared" si="158"/>
        <v>0</v>
      </c>
      <c r="FR143" s="139">
        <f t="shared" si="159"/>
        <v>0</v>
      </c>
      <c r="FS143" s="139">
        <f t="shared" si="160"/>
        <v>0</v>
      </c>
      <c r="FT143" s="139">
        <f t="shared" si="161"/>
        <v>0</v>
      </c>
      <c r="FU143" s="148">
        <f t="shared" si="162"/>
        <v>0</v>
      </c>
      <c r="FV143" s="149"/>
      <c r="FY143" s="211">
        <v>138</v>
      </c>
      <c r="FZ143">
        <v>17.686417344649627</v>
      </c>
      <c r="GA143">
        <v>47.683048334987731</v>
      </c>
      <c r="GB143">
        <v>55.459039870293601</v>
      </c>
      <c r="GC143">
        <v>34.460836181235067</v>
      </c>
      <c r="GD143">
        <v>14.451351276467207</v>
      </c>
      <c r="GE143">
        <v>16.427802671032353</v>
      </c>
      <c r="GF143">
        <v>23.498077235232607</v>
      </c>
      <c r="GG143">
        <v>22.054131025310312</v>
      </c>
      <c r="GH143">
        <v>14.113407742075012</v>
      </c>
      <c r="GI143">
        <v>32.22934006172305</v>
      </c>
      <c r="GJ143"/>
      <c r="GK143"/>
      <c r="GL143"/>
      <c r="GM143"/>
    </row>
    <row r="144" spans="1:195" s="7" customFormat="1">
      <c r="A144" s="1"/>
      <c r="B144" s="76">
        <f ca="1">IF(C144="", "", RAND())</f>
        <v>0.13683232711506377</v>
      </c>
      <c r="C144">
        <v>9</v>
      </c>
      <c r="D144">
        <v>39799</v>
      </c>
      <c r="E144">
        <v>0</v>
      </c>
      <c r="F144">
        <v>0</v>
      </c>
      <c r="G144">
        <v>0</v>
      </c>
      <c r="H144">
        <v>0</v>
      </c>
      <c r="I144">
        <v>67.950581395348834</v>
      </c>
      <c r="J144">
        <v>10.416666666666666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 s="2"/>
      <c r="AK144" s="80"/>
      <c r="AL144" s="74"/>
      <c r="AM144" s="43">
        <v>128</v>
      </c>
      <c r="AN144">
        <v>215.29389136426994</v>
      </c>
      <c r="AO144">
        <v>80.507077197364055</v>
      </c>
      <c r="AP144">
        <v>533.09244832119771</v>
      </c>
      <c r="AQ144">
        <v>419.02043957188283</v>
      </c>
      <c r="AR144">
        <v>73.511635342069269</v>
      </c>
      <c r="AS144">
        <v>595.49540988248475</v>
      </c>
      <c r="AT144">
        <v>40.962545832209429</v>
      </c>
      <c r="AU144">
        <v>93.718277990549325</v>
      </c>
      <c r="AV144"/>
      <c r="AW144"/>
      <c r="AX144" s="146"/>
      <c r="AY144" s="76">
        <f t="shared" ca="1" si="86"/>
        <v>0.59832721952509349</v>
      </c>
      <c r="AZ144">
        <v>7</v>
      </c>
      <c r="BA144" s="129">
        <f t="shared" si="166"/>
        <v>39799</v>
      </c>
      <c r="BB144">
        <v>0</v>
      </c>
      <c r="BC144">
        <v>0</v>
      </c>
      <c r="BD144">
        <v>1</v>
      </c>
      <c r="BE144">
        <v>0</v>
      </c>
      <c r="BF144">
        <v>2</v>
      </c>
      <c r="BG144">
        <v>2</v>
      </c>
      <c r="BH144">
        <v>0</v>
      </c>
      <c r="BI144">
        <v>0</v>
      </c>
      <c r="BJ144">
        <v>0</v>
      </c>
      <c r="BK144">
        <v>0</v>
      </c>
      <c r="BL144">
        <v>0</v>
      </c>
      <c r="BM144">
        <v>0</v>
      </c>
      <c r="BN144">
        <v>0</v>
      </c>
      <c r="BO144">
        <v>0</v>
      </c>
      <c r="BP144">
        <v>0</v>
      </c>
      <c r="BQ144">
        <v>0</v>
      </c>
      <c r="BR144">
        <v>0</v>
      </c>
      <c r="BS144">
        <v>0</v>
      </c>
      <c r="BT144">
        <v>0</v>
      </c>
      <c r="BU144">
        <v>0</v>
      </c>
      <c r="BV144">
        <v>0</v>
      </c>
      <c r="BW144">
        <v>0</v>
      </c>
      <c r="BX144">
        <v>0</v>
      </c>
      <c r="BY144">
        <v>0</v>
      </c>
      <c r="BZ144">
        <v>0</v>
      </c>
      <c r="CA144">
        <v>0</v>
      </c>
      <c r="CB144">
        <v>0</v>
      </c>
      <c r="CC144">
        <v>0</v>
      </c>
      <c r="CD144">
        <v>0</v>
      </c>
      <c r="CE144">
        <v>0</v>
      </c>
      <c r="CF144">
        <v>0</v>
      </c>
      <c r="CG144" s="147"/>
      <c r="CH144" s="176"/>
      <c r="CJ144" s="146"/>
      <c r="CK144" s="76">
        <f t="shared" ca="1" si="88"/>
        <v>0.2761578630384669</v>
      </c>
      <c r="CL144" s="179">
        <f t="shared" si="89"/>
        <v>7</v>
      </c>
      <c r="CM144" s="180">
        <f t="shared" si="90"/>
        <v>39799</v>
      </c>
      <c r="CN144">
        <v>0</v>
      </c>
      <c r="CO144">
        <v>0</v>
      </c>
      <c r="CP144">
        <v>0</v>
      </c>
      <c r="CQ144">
        <v>1</v>
      </c>
      <c r="CR144">
        <v>0</v>
      </c>
      <c r="CS144">
        <v>0</v>
      </c>
      <c r="CT144">
        <v>0</v>
      </c>
      <c r="CU144">
        <v>0</v>
      </c>
      <c r="CV144" s="160"/>
      <c r="CW144">
        <v>1</v>
      </c>
      <c r="CX144">
        <f>350/60</f>
        <v>5.833333333333333</v>
      </c>
      <c r="CY144" s="165"/>
      <c r="CZ144" s="177">
        <f t="shared" si="91"/>
        <v>9.6000000000000002E-2</v>
      </c>
      <c r="DB144" s="146"/>
      <c r="DC144" s="76">
        <f t="shared" ca="1" si="49"/>
        <v>0.45319715391098403</v>
      </c>
      <c r="DD144">
        <f t="shared" si="92"/>
        <v>7</v>
      </c>
      <c r="DE144" s="129">
        <f t="shared" si="165"/>
        <v>39799</v>
      </c>
      <c r="DF144" s="161">
        <f t="shared" si="93"/>
        <v>0</v>
      </c>
      <c r="DG144" s="161">
        <f t="shared" si="94"/>
        <v>0</v>
      </c>
      <c r="DH144" s="161">
        <f t="shared" si="95"/>
        <v>10.416666666666666</v>
      </c>
      <c r="DI144" s="161">
        <f t="shared" si="96"/>
        <v>60.763888888888886</v>
      </c>
      <c r="DJ144" s="161">
        <f t="shared" si="97"/>
        <v>20.833333333333332</v>
      </c>
      <c r="DK144" s="161">
        <f t="shared" si="98"/>
        <v>20.833333333333332</v>
      </c>
      <c r="DL144" s="161">
        <f t="shared" si="99"/>
        <v>0</v>
      </c>
      <c r="DM144" s="161">
        <f t="shared" si="100"/>
        <v>0</v>
      </c>
      <c r="DN144" s="161">
        <f t="shared" si="101"/>
        <v>0</v>
      </c>
      <c r="DO144" s="161">
        <f t="shared" si="102"/>
        <v>0</v>
      </c>
      <c r="DP144" s="161">
        <f t="shared" si="103"/>
        <v>0</v>
      </c>
      <c r="DQ144" s="161">
        <f t="shared" si="104"/>
        <v>0</v>
      </c>
      <c r="DR144" s="161">
        <f t="shared" si="105"/>
        <v>0</v>
      </c>
      <c r="DS144" s="161">
        <f t="shared" si="106"/>
        <v>0</v>
      </c>
      <c r="DT144" s="161">
        <f t="shared" si="107"/>
        <v>0</v>
      </c>
      <c r="DU144" s="161">
        <f t="shared" si="108"/>
        <v>0</v>
      </c>
      <c r="DV144" s="161">
        <f t="shared" si="109"/>
        <v>0</v>
      </c>
      <c r="DW144" s="161">
        <f t="shared" si="110"/>
        <v>0</v>
      </c>
      <c r="DX144" s="161">
        <f t="shared" si="111"/>
        <v>0</v>
      </c>
      <c r="DY144" s="161">
        <f t="shared" si="112"/>
        <v>0</v>
      </c>
      <c r="DZ144" s="161">
        <f t="shared" si="113"/>
        <v>0</v>
      </c>
      <c r="EA144" s="161">
        <f t="shared" si="114"/>
        <v>0</v>
      </c>
      <c r="EB144" s="161">
        <f t="shared" si="115"/>
        <v>0</v>
      </c>
      <c r="EC144" s="161">
        <f t="shared" si="116"/>
        <v>0</v>
      </c>
      <c r="ED144" s="161">
        <f t="shared" si="117"/>
        <v>0</v>
      </c>
      <c r="EE144" s="161">
        <f t="shared" si="118"/>
        <v>0</v>
      </c>
      <c r="EF144" s="161">
        <f t="shared" si="119"/>
        <v>0</v>
      </c>
      <c r="EG144" s="161">
        <f t="shared" si="120"/>
        <v>0</v>
      </c>
      <c r="EH144" s="161">
        <f t="shared" si="121"/>
        <v>0</v>
      </c>
      <c r="EI144" s="161">
        <f t="shared" si="122"/>
        <v>0</v>
      </c>
      <c r="EJ144" s="161">
        <f t="shared" si="123"/>
        <v>0</v>
      </c>
      <c r="EK144" s="147">
        <f t="shared" si="130"/>
        <v>112.84722222222221</v>
      </c>
      <c r="EL144" s="149"/>
      <c r="EN144" s="146"/>
      <c r="EO144" s="146"/>
      <c r="EP144" s="139">
        <f t="shared" si="131"/>
        <v>0</v>
      </c>
      <c r="EQ144" s="139">
        <f t="shared" si="132"/>
        <v>0</v>
      </c>
      <c r="ER144" s="139">
        <f t="shared" si="133"/>
        <v>0.76881452219105906</v>
      </c>
      <c r="ES144" s="139">
        <f t="shared" si="134"/>
        <v>14.552288537086705</v>
      </c>
      <c r="ET144" s="139">
        <f t="shared" si="135"/>
        <v>11.501160158716418</v>
      </c>
      <c r="EU144" s="139">
        <f t="shared" si="136"/>
        <v>21.982213368569095</v>
      </c>
      <c r="EV144" s="139">
        <f t="shared" si="137"/>
        <v>0</v>
      </c>
      <c r="EW144" s="139">
        <f t="shared" si="138"/>
        <v>0</v>
      </c>
      <c r="EX144" s="139">
        <f t="shared" si="139"/>
        <v>0</v>
      </c>
      <c r="EY144" s="139">
        <f t="shared" si="140"/>
        <v>0</v>
      </c>
      <c r="EZ144" s="139">
        <f t="shared" si="141"/>
        <v>0</v>
      </c>
      <c r="FA144" s="139">
        <f t="shared" si="142"/>
        <v>0</v>
      </c>
      <c r="FB144" s="139">
        <f t="shared" si="143"/>
        <v>0</v>
      </c>
      <c r="FC144" s="139">
        <f t="shared" si="144"/>
        <v>0</v>
      </c>
      <c r="FD144" s="139">
        <f t="shared" si="145"/>
        <v>0</v>
      </c>
      <c r="FE144" s="139">
        <f t="shared" si="146"/>
        <v>0</v>
      </c>
      <c r="FF144" s="139">
        <f t="shared" si="147"/>
        <v>0</v>
      </c>
      <c r="FG144" s="139">
        <f t="shared" si="148"/>
        <v>0</v>
      </c>
      <c r="FH144" s="139">
        <f t="shared" si="149"/>
        <v>0</v>
      </c>
      <c r="FI144" s="139">
        <f t="shared" si="150"/>
        <v>0</v>
      </c>
      <c r="FJ144" s="139">
        <f t="shared" si="151"/>
        <v>0</v>
      </c>
      <c r="FK144" s="139">
        <f t="shared" si="152"/>
        <v>0</v>
      </c>
      <c r="FL144" s="139">
        <f t="shared" si="153"/>
        <v>0</v>
      </c>
      <c r="FM144" s="139">
        <f t="shared" si="154"/>
        <v>0</v>
      </c>
      <c r="FN144" s="139">
        <f t="shared" si="155"/>
        <v>0</v>
      </c>
      <c r="FO144" s="139">
        <f t="shared" si="156"/>
        <v>0</v>
      </c>
      <c r="FP144" s="139">
        <f t="shared" si="157"/>
        <v>0</v>
      </c>
      <c r="FQ144" s="139">
        <f t="shared" si="158"/>
        <v>0</v>
      </c>
      <c r="FR144" s="139">
        <f t="shared" si="159"/>
        <v>0</v>
      </c>
      <c r="FS144" s="139">
        <f t="shared" si="160"/>
        <v>0</v>
      </c>
      <c r="FT144" s="139">
        <f t="shared" si="161"/>
        <v>0</v>
      </c>
      <c r="FU144" s="148">
        <f t="shared" si="162"/>
        <v>48.804476586563283</v>
      </c>
      <c r="FV144" s="149"/>
      <c r="FY144" s="211">
        <v>139</v>
      </c>
      <c r="FZ144">
        <v>12.273690905060489</v>
      </c>
      <c r="GA144">
        <v>53.028680768455132</v>
      </c>
      <c r="GB144">
        <v>72.121984142871881</v>
      </c>
      <c r="GC144">
        <v>43.109696410516882</v>
      </c>
      <c r="GD144">
        <v>31.649786109704852</v>
      </c>
      <c r="GE144">
        <v>83.670852812420804</v>
      </c>
      <c r="GF144">
        <v>90.023320188994802</v>
      </c>
      <c r="GG144">
        <v>31.746261836387177</v>
      </c>
      <c r="GH144">
        <v>17.045796902250288</v>
      </c>
      <c r="GI144">
        <v>60.3626733670826</v>
      </c>
      <c r="GJ144"/>
      <c r="GK144"/>
      <c r="GL144"/>
      <c r="GM144"/>
    </row>
    <row r="145" spans="1:195" s="7" customFormat="1">
      <c r="A145" s="1"/>
      <c r="B145" s="76">
        <f ca="1">IF(C145="", "", RAND())</f>
        <v>0.43325019268405396</v>
      </c>
      <c r="C145">
        <v>2</v>
      </c>
      <c r="D145">
        <v>39799</v>
      </c>
      <c r="E145">
        <v>0</v>
      </c>
      <c r="F145">
        <v>0</v>
      </c>
      <c r="G145">
        <v>52.083333333333336</v>
      </c>
      <c r="H145">
        <v>10.416666666666666</v>
      </c>
      <c r="I145">
        <v>20.833333333333332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0</v>
      </c>
      <c r="AJ145" s="2"/>
      <c r="AK145" s="80"/>
      <c r="AL145" s="74"/>
      <c r="AM145" s="43">
        <v>129</v>
      </c>
      <c r="AN145">
        <v>287.06255787443655</v>
      </c>
      <c r="AO145">
        <v>105.93421937625438</v>
      </c>
      <c r="AP145">
        <v>801.43953848202977</v>
      </c>
      <c r="AQ145">
        <v>584.027344395932</v>
      </c>
      <c r="AR145">
        <v>93.534993321087811</v>
      </c>
      <c r="AS145">
        <v>755.48588333071257</v>
      </c>
      <c r="AT145">
        <v>52.444250807851937</v>
      </c>
      <c r="AU145">
        <v>103.92236274014905</v>
      </c>
      <c r="AV145"/>
      <c r="AW145"/>
      <c r="AX145" s="146"/>
      <c r="AY145" s="76">
        <f t="shared" ca="1" si="86"/>
        <v>0.61829080416210513</v>
      </c>
      <c r="AZ145">
        <v>8</v>
      </c>
      <c r="BA145" s="129">
        <f t="shared" si="166"/>
        <v>39799</v>
      </c>
      <c r="BB145">
        <v>0</v>
      </c>
      <c r="BC145">
        <v>0</v>
      </c>
      <c r="BD145">
        <v>0</v>
      </c>
      <c r="BE145">
        <v>0</v>
      </c>
      <c r="BF145">
        <v>1</v>
      </c>
      <c r="BG145">
        <v>5</v>
      </c>
      <c r="BH145">
        <v>0</v>
      </c>
      <c r="BI145">
        <v>0</v>
      </c>
      <c r="BJ145">
        <v>0</v>
      </c>
      <c r="BK145">
        <v>0</v>
      </c>
      <c r="BL145">
        <v>0</v>
      </c>
      <c r="BM145">
        <v>0</v>
      </c>
      <c r="BN145">
        <v>0</v>
      </c>
      <c r="BO145">
        <v>0</v>
      </c>
      <c r="BP145">
        <v>0</v>
      </c>
      <c r="BQ145">
        <v>0</v>
      </c>
      <c r="BR145">
        <v>0</v>
      </c>
      <c r="BS145">
        <v>0</v>
      </c>
      <c r="BT145">
        <v>0</v>
      </c>
      <c r="BU145">
        <v>0</v>
      </c>
      <c r="BV145">
        <v>0</v>
      </c>
      <c r="BW145">
        <v>0</v>
      </c>
      <c r="BX145">
        <v>0</v>
      </c>
      <c r="BY145">
        <v>0</v>
      </c>
      <c r="BZ145">
        <v>0</v>
      </c>
      <c r="CA145">
        <v>0</v>
      </c>
      <c r="CB145">
        <v>0</v>
      </c>
      <c r="CC145">
        <v>0</v>
      </c>
      <c r="CD145">
        <v>0</v>
      </c>
      <c r="CE145">
        <v>0</v>
      </c>
      <c r="CF145">
        <v>0</v>
      </c>
      <c r="CG145" s="147"/>
      <c r="CH145" s="176"/>
      <c r="CJ145" s="146"/>
      <c r="CK145" s="76">
        <f t="shared" ca="1" si="88"/>
        <v>0.99609303620745671</v>
      </c>
      <c r="CL145" s="179">
        <f t="shared" si="89"/>
        <v>8</v>
      </c>
      <c r="CM145" s="180">
        <f t="shared" si="90"/>
        <v>39799</v>
      </c>
      <c r="CN145">
        <v>0</v>
      </c>
      <c r="CO145">
        <v>1</v>
      </c>
      <c r="CP145">
        <v>3</v>
      </c>
      <c r="CQ145">
        <v>0</v>
      </c>
      <c r="CR145">
        <v>0</v>
      </c>
      <c r="CS145">
        <v>0</v>
      </c>
      <c r="CT145">
        <v>0</v>
      </c>
      <c r="CU145">
        <v>0</v>
      </c>
      <c r="CV145" s="160"/>
      <c r="CW145">
        <v>1</v>
      </c>
      <c r="CX145">
        <f>350/49</f>
        <v>7.1428571428571432</v>
      </c>
      <c r="CY145" s="165"/>
      <c r="CZ145" s="177">
        <f t="shared" si="91"/>
        <v>9.6000000000000002E-2</v>
      </c>
      <c r="DB145" s="146"/>
      <c r="DC145" s="76">
        <f t="shared" ca="1" si="49"/>
        <v>0.31115165475393081</v>
      </c>
      <c r="DD145">
        <f t="shared" si="92"/>
        <v>8</v>
      </c>
      <c r="DE145" s="129">
        <f t="shared" si="165"/>
        <v>39799</v>
      </c>
      <c r="DF145" s="161">
        <f t="shared" si="93"/>
        <v>0</v>
      </c>
      <c r="DG145" s="161">
        <f t="shared" si="94"/>
        <v>74.404761904761912</v>
      </c>
      <c r="DH145" s="161">
        <f t="shared" si="95"/>
        <v>223.21428571428572</v>
      </c>
      <c r="DI145" s="161">
        <f t="shared" si="96"/>
        <v>0</v>
      </c>
      <c r="DJ145" s="161">
        <f t="shared" si="97"/>
        <v>10.416666666666666</v>
      </c>
      <c r="DK145" s="161">
        <f t="shared" si="98"/>
        <v>52.083333333333336</v>
      </c>
      <c r="DL145" s="161">
        <f t="shared" si="99"/>
        <v>0</v>
      </c>
      <c r="DM145" s="161">
        <f t="shared" si="100"/>
        <v>0</v>
      </c>
      <c r="DN145" s="161">
        <f t="shared" si="101"/>
        <v>0</v>
      </c>
      <c r="DO145" s="161">
        <f t="shared" si="102"/>
        <v>0</v>
      </c>
      <c r="DP145" s="161">
        <f t="shared" si="103"/>
        <v>0</v>
      </c>
      <c r="DQ145" s="161">
        <f t="shared" si="104"/>
        <v>0</v>
      </c>
      <c r="DR145" s="161">
        <f t="shared" si="105"/>
        <v>0</v>
      </c>
      <c r="DS145" s="161">
        <f t="shared" si="106"/>
        <v>0</v>
      </c>
      <c r="DT145" s="161">
        <f t="shared" si="107"/>
        <v>0</v>
      </c>
      <c r="DU145" s="161">
        <f t="shared" si="108"/>
        <v>0</v>
      </c>
      <c r="DV145" s="161">
        <f t="shared" si="109"/>
        <v>0</v>
      </c>
      <c r="DW145" s="161">
        <f t="shared" si="110"/>
        <v>0</v>
      </c>
      <c r="DX145" s="161">
        <f t="shared" si="111"/>
        <v>0</v>
      </c>
      <c r="DY145" s="161">
        <f t="shared" si="112"/>
        <v>0</v>
      </c>
      <c r="DZ145" s="161">
        <f t="shared" si="113"/>
        <v>0</v>
      </c>
      <c r="EA145" s="161">
        <f t="shared" si="114"/>
        <v>0</v>
      </c>
      <c r="EB145" s="161">
        <f t="shared" si="115"/>
        <v>0</v>
      </c>
      <c r="EC145" s="161">
        <f t="shared" si="116"/>
        <v>0</v>
      </c>
      <c r="ED145" s="161">
        <f t="shared" si="117"/>
        <v>0</v>
      </c>
      <c r="EE145" s="161">
        <f t="shared" si="118"/>
        <v>0</v>
      </c>
      <c r="EF145" s="161">
        <f t="shared" si="119"/>
        <v>0</v>
      </c>
      <c r="EG145" s="161">
        <f t="shared" si="120"/>
        <v>0</v>
      </c>
      <c r="EH145" s="161">
        <f t="shared" si="121"/>
        <v>0</v>
      </c>
      <c r="EI145" s="161">
        <f t="shared" si="122"/>
        <v>0</v>
      </c>
      <c r="EJ145" s="161">
        <f t="shared" si="123"/>
        <v>0</v>
      </c>
      <c r="EK145" s="147">
        <f t="shared" si="130"/>
        <v>360.11904761904765</v>
      </c>
      <c r="EL145" s="149"/>
      <c r="EN145" s="146"/>
      <c r="EO145" s="146"/>
      <c r="EP145" s="139">
        <f t="shared" si="131"/>
        <v>0</v>
      </c>
      <c r="EQ145" s="139">
        <f t="shared" si="132"/>
        <v>0.73418154761904775</v>
      </c>
      <c r="ER145" s="139">
        <f t="shared" si="133"/>
        <v>16.474596904094124</v>
      </c>
      <c r="ES145" s="139">
        <f t="shared" si="134"/>
        <v>0</v>
      </c>
      <c r="ET145" s="139">
        <f t="shared" si="135"/>
        <v>5.7505800793582091</v>
      </c>
      <c r="EU145" s="139">
        <f t="shared" si="136"/>
        <v>54.955533421422743</v>
      </c>
      <c r="EV145" s="139">
        <f t="shared" si="137"/>
        <v>0</v>
      </c>
      <c r="EW145" s="139">
        <f t="shared" si="138"/>
        <v>0</v>
      </c>
      <c r="EX145" s="139">
        <f t="shared" si="139"/>
        <v>0</v>
      </c>
      <c r="EY145" s="139">
        <f t="shared" si="140"/>
        <v>0</v>
      </c>
      <c r="EZ145" s="139">
        <f t="shared" si="141"/>
        <v>0</v>
      </c>
      <c r="FA145" s="139">
        <f t="shared" si="142"/>
        <v>0</v>
      </c>
      <c r="FB145" s="139">
        <f t="shared" si="143"/>
        <v>0</v>
      </c>
      <c r="FC145" s="139">
        <f t="shared" si="144"/>
        <v>0</v>
      </c>
      <c r="FD145" s="139">
        <f t="shared" si="145"/>
        <v>0</v>
      </c>
      <c r="FE145" s="139">
        <f t="shared" si="146"/>
        <v>0</v>
      </c>
      <c r="FF145" s="139">
        <f t="shared" si="147"/>
        <v>0</v>
      </c>
      <c r="FG145" s="139">
        <f t="shared" si="148"/>
        <v>0</v>
      </c>
      <c r="FH145" s="139">
        <f t="shared" si="149"/>
        <v>0</v>
      </c>
      <c r="FI145" s="139">
        <f t="shared" si="150"/>
        <v>0</v>
      </c>
      <c r="FJ145" s="139">
        <f t="shared" si="151"/>
        <v>0</v>
      </c>
      <c r="FK145" s="139">
        <f t="shared" si="152"/>
        <v>0</v>
      </c>
      <c r="FL145" s="139">
        <f t="shared" si="153"/>
        <v>0</v>
      </c>
      <c r="FM145" s="139">
        <f t="shared" si="154"/>
        <v>0</v>
      </c>
      <c r="FN145" s="139">
        <f t="shared" si="155"/>
        <v>0</v>
      </c>
      <c r="FO145" s="139">
        <f t="shared" si="156"/>
        <v>0</v>
      </c>
      <c r="FP145" s="139">
        <f t="shared" si="157"/>
        <v>0</v>
      </c>
      <c r="FQ145" s="139">
        <f t="shared" si="158"/>
        <v>0</v>
      </c>
      <c r="FR145" s="139">
        <f t="shared" si="159"/>
        <v>0</v>
      </c>
      <c r="FS145" s="139">
        <f t="shared" si="160"/>
        <v>0</v>
      </c>
      <c r="FT145" s="139">
        <f t="shared" si="161"/>
        <v>0</v>
      </c>
      <c r="FU145" s="148">
        <f t="shared" si="162"/>
        <v>77.914891952494116</v>
      </c>
      <c r="FV145" s="149"/>
      <c r="FY145" s="211">
        <v>140</v>
      </c>
      <c r="FZ145">
        <v>20.892357184363146</v>
      </c>
      <c r="GA145">
        <v>49.650770142248192</v>
      </c>
      <c r="GB145">
        <v>69.188134152458616</v>
      </c>
      <c r="GC145">
        <v>43.28264490361336</v>
      </c>
      <c r="GD145">
        <v>17.289142627998601</v>
      </c>
      <c r="GE145">
        <v>36.907799256451803</v>
      </c>
      <c r="GF145">
        <v>108.9085064541069</v>
      </c>
      <c r="GG145">
        <v>100.56149278692276</v>
      </c>
      <c r="GH145">
        <v>48.542333577279081</v>
      </c>
      <c r="GI145">
        <v>62.478463846197528</v>
      </c>
      <c r="GJ145"/>
      <c r="GK145"/>
      <c r="GL145"/>
      <c r="GM145"/>
    </row>
    <row r="146" spans="1:195" s="7" customFormat="1">
      <c r="A146" s="1"/>
      <c r="B146" s="76">
        <f ca="1">IF(C146="", "", RAND())</f>
        <v>6.4694717584957928E-2</v>
      </c>
      <c r="C146">
        <v>5</v>
      </c>
      <c r="D146">
        <v>39799</v>
      </c>
      <c r="E146">
        <v>0</v>
      </c>
      <c r="F146">
        <v>70.112179487179489</v>
      </c>
      <c r="G146">
        <v>70.112179487179489</v>
      </c>
      <c r="H146">
        <v>0</v>
      </c>
      <c r="I146">
        <v>52.083333333333336</v>
      </c>
      <c r="J146">
        <v>20.833333333333332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 s="2"/>
      <c r="AK146" s="80"/>
      <c r="AL146" s="74"/>
      <c r="AM146" s="43">
        <v>130</v>
      </c>
      <c r="AN146">
        <v>253.19848394207574</v>
      </c>
      <c r="AO146">
        <v>85.144037735800026</v>
      </c>
      <c r="AP146">
        <v>598.98142561752968</v>
      </c>
      <c r="AQ146">
        <v>466.92958682252589</v>
      </c>
      <c r="AR146">
        <v>78.38446330678606</v>
      </c>
      <c r="AS146">
        <v>636.96823391609462</v>
      </c>
      <c r="AT146">
        <v>44.088117085432316</v>
      </c>
      <c r="AU146">
        <v>96.809175625784206</v>
      </c>
      <c r="AV146"/>
      <c r="AW146"/>
      <c r="AX146" s="146"/>
      <c r="AY146" s="76">
        <f t="shared" ca="1" si="86"/>
        <v>0.38626392877351101</v>
      </c>
      <c r="AZ146">
        <v>9</v>
      </c>
      <c r="BA146" s="129">
        <f t="shared" si="166"/>
        <v>39799</v>
      </c>
      <c r="BB146">
        <v>0</v>
      </c>
      <c r="BC146">
        <v>0</v>
      </c>
      <c r="BD146">
        <v>0</v>
      </c>
      <c r="BE146">
        <v>0</v>
      </c>
      <c r="BF146">
        <v>1</v>
      </c>
      <c r="BG146">
        <v>1</v>
      </c>
      <c r="BH146">
        <v>0</v>
      </c>
      <c r="BI146">
        <v>0</v>
      </c>
      <c r="BJ146">
        <v>0</v>
      </c>
      <c r="BK146">
        <v>0</v>
      </c>
      <c r="BL146">
        <v>0</v>
      </c>
      <c r="BM146">
        <v>0</v>
      </c>
      <c r="BN146">
        <v>0</v>
      </c>
      <c r="BO146">
        <v>0</v>
      </c>
      <c r="BP146">
        <v>0</v>
      </c>
      <c r="BQ146">
        <v>0</v>
      </c>
      <c r="BR146">
        <v>0</v>
      </c>
      <c r="BS146">
        <v>0</v>
      </c>
      <c r="BT146">
        <v>0</v>
      </c>
      <c r="BU146">
        <v>0</v>
      </c>
      <c r="BV146">
        <v>0</v>
      </c>
      <c r="BW146">
        <v>0</v>
      </c>
      <c r="BX146">
        <v>0</v>
      </c>
      <c r="BY146">
        <v>0</v>
      </c>
      <c r="BZ146">
        <v>0</v>
      </c>
      <c r="CA146">
        <v>0</v>
      </c>
      <c r="CB146">
        <v>0</v>
      </c>
      <c r="CC146">
        <v>0</v>
      </c>
      <c r="CD146">
        <v>0</v>
      </c>
      <c r="CE146">
        <v>0</v>
      </c>
      <c r="CF146">
        <v>0</v>
      </c>
      <c r="CG146" s="147"/>
      <c r="CH146" s="176"/>
      <c r="CJ146" s="146"/>
      <c r="CK146" s="76">
        <f t="shared" ca="1" si="88"/>
        <v>0.13186653173117246</v>
      </c>
      <c r="CL146" s="179">
        <f t="shared" si="89"/>
        <v>9</v>
      </c>
      <c r="CM146" s="180">
        <f t="shared" si="90"/>
        <v>39799</v>
      </c>
      <c r="CN146">
        <v>0</v>
      </c>
      <c r="CO146">
        <v>0</v>
      </c>
      <c r="CP146">
        <v>0</v>
      </c>
      <c r="CQ146">
        <v>0</v>
      </c>
      <c r="CR146">
        <v>1</v>
      </c>
      <c r="CS146">
        <v>0</v>
      </c>
      <c r="CT146">
        <v>0</v>
      </c>
      <c r="CU146">
        <v>0</v>
      </c>
      <c r="CV146" s="160"/>
      <c r="CW146">
        <v>1</v>
      </c>
      <c r="CX146">
        <f>475/86</f>
        <v>5.5232558139534884</v>
      </c>
      <c r="CY146" s="165"/>
      <c r="CZ146" s="177">
        <f t="shared" si="91"/>
        <v>9.6000000000000002E-2</v>
      </c>
      <c r="DB146" s="146"/>
      <c r="DC146" s="76">
        <f t="shared" ca="1" si="49"/>
        <v>0.75323363265299648</v>
      </c>
      <c r="DD146">
        <f t="shared" si="92"/>
        <v>9</v>
      </c>
      <c r="DE146" s="129">
        <f t="shared" si="165"/>
        <v>39799</v>
      </c>
      <c r="DF146" s="161">
        <f t="shared" si="93"/>
        <v>0</v>
      </c>
      <c r="DG146" s="161">
        <f t="shared" si="94"/>
        <v>0</v>
      </c>
      <c r="DH146" s="161">
        <f t="shared" si="95"/>
        <v>0</v>
      </c>
      <c r="DI146" s="161">
        <f t="shared" si="96"/>
        <v>0</v>
      </c>
      <c r="DJ146" s="161">
        <f t="shared" si="97"/>
        <v>67.950581395348834</v>
      </c>
      <c r="DK146" s="161">
        <f t="shared" si="98"/>
        <v>10.416666666666666</v>
      </c>
      <c r="DL146" s="161">
        <f t="shared" si="99"/>
        <v>0</v>
      </c>
      <c r="DM146" s="161">
        <f t="shared" si="100"/>
        <v>0</v>
      </c>
      <c r="DN146" s="161">
        <f t="shared" si="101"/>
        <v>0</v>
      </c>
      <c r="DO146" s="161">
        <f t="shared" si="102"/>
        <v>0</v>
      </c>
      <c r="DP146" s="161">
        <f t="shared" si="103"/>
        <v>0</v>
      </c>
      <c r="DQ146" s="161">
        <f t="shared" si="104"/>
        <v>0</v>
      </c>
      <c r="DR146" s="161">
        <f t="shared" si="105"/>
        <v>0</v>
      </c>
      <c r="DS146" s="161">
        <f t="shared" si="106"/>
        <v>0</v>
      </c>
      <c r="DT146" s="161">
        <f t="shared" si="107"/>
        <v>0</v>
      </c>
      <c r="DU146" s="161">
        <f t="shared" si="108"/>
        <v>0</v>
      </c>
      <c r="DV146" s="161">
        <f t="shared" si="109"/>
        <v>0</v>
      </c>
      <c r="DW146" s="161">
        <f t="shared" si="110"/>
        <v>0</v>
      </c>
      <c r="DX146" s="161">
        <f t="shared" si="111"/>
        <v>0</v>
      </c>
      <c r="DY146" s="161">
        <f t="shared" si="112"/>
        <v>0</v>
      </c>
      <c r="DZ146" s="161">
        <f t="shared" si="113"/>
        <v>0</v>
      </c>
      <c r="EA146" s="161">
        <f t="shared" si="114"/>
        <v>0</v>
      </c>
      <c r="EB146" s="161">
        <f t="shared" si="115"/>
        <v>0</v>
      </c>
      <c r="EC146" s="161">
        <f t="shared" si="116"/>
        <v>0</v>
      </c>
      <c r="ED146" s="161">
        <f t="shared" si="117"/>
        <v>0</v>
      </c>
      <c r="EE146" s="161">
        <f t="shared" si="118"/>
        <v>0</v>
      </c>
      <c r="EF146" s="161">
        <f t="shared" si="119"/>
        <v>0</v>
      </c>
      <c r="EG146" s="161">
        <f t="shared" si="120"/>
        <v>0</v>
      </c>
      <c r="EH146" s="161">
        <f t="shared" si="121"/>
        <v>0</v>
      </c>
      <c r="EI146" s="161">
        <f t="shared" si="122"/>
        <v>0</v>
      </c>
      <c r="EJ146" s="161">
        <f t="shared" si="123"/>
        <v>0</v>
      </c>
      <c r="EK146" s="147">
        <f t="shared" si="130"/>
        <v>78.367248062015506</v>
      </c>
      <c r="EL146" s="149"/>
      <c r="EN146" s="146"/>
      <c r="EO146" s="146"/>
      <c r="EP146" s="139">
        <f t="shared" si="131"/>
        <v>0</v>
      </c>
      <c r="EQ146" s="139">
        <f t="shared" si="132"/>
        <v>0</v>
      </c>
      <c r="ER146" s="139">
        <f t="shared" si="133"/>
        <v>0</v>
      </c>
      <c r="ES146" s="139">
        <f t="shared" si="134"/>
        <v>0</v>
      </c>
      <c r="ET146" s="139">
        <f t="shared" si="135"/>
        <v>37.512504936278546</v>
      </c>
      <c r="EU146" s="139">
        <f t="shared" si="136"/>
        <v>10.991106684284548</v>
      </c>
      <c r="EV146" s="139">
        <f t="shared" si="137"/>
        <v>0</v>
      </c>
      <c r="EW146" s="139">
        <f t="shared" si="138"/>
        <v>0</v>
      </c>
      <c r="EX146" s="139">
        <f t="shared" si="139"/>
        <v>0</v>
      </c>
      <c r="EY146" s="139">
        <f t="shared" si="140"/>
        <v>0</v>
      </c>
      <c r="EZ146" s="139">
        <f t="shared" si="141"/>
        <v>0</v>
      </c>
      <c r="FA146" s="139">
        <f t="shared" si="142"/>
        <v>0</v>
      </c>
      <c r="FB146" s="139">
        <f t="shared" si="143"/>
        <v>0</v>
      </c>
      <c r="FC146" s="139">
        <f t="shared" si="144"/>
        <v>0</v>
      </c>
      <c r="FD146" s="139">
        <f t="shared" si="145"/>
        <v>0</v>
      </c>
      <c r="FE146" s="139">
        <f t="shared" si="146"/>
        <v>0</v>
      </c>
      <c r="FF146" s="139">
        <f t="shared" si="147"/>
        <v>0</v>
      </c>
      <c r="FG146" s="139">
        <f t="shared" si="148"/>
        <v>0</v>
      </c>
      <c r="FH146" s="139">
        <f t="shared" si="149"/>
        <v>0</v>
      </c>
      <c r="FI146" s="139">
        <f t="shared" si="150"/>
        <v>0</v>
      </c>
      <c r="FJ146" s="139">
        <f t="shared" si="151"/>
        <v>0</v>
      </c>
      <c r="FK146" s="139">
        <f t="shared" si="152"/>
        <v>0</v>
      </c>
      <c r="FL146" s="139">
        <f t="shared" si="153"/>
        <v>0</v>
      </c>
      <c r="FM146" s="139">
        <f t="shared" si="154"/>
        <v>0</v>
      </c>
      <c r="FN146" s="139">
        <f t="shared" si="155"/>
        <v>0</v>
      </c>
      <c r="FO146" s="139">
        <f t="shared" si="156"/>
        <v>0</v>
      </c>
      <c r="FP146" s="139">
        <f t="shared" si="157"/>
        <v>0</v>
      </c>
      <c r="FQ146" s="139">
        <f t="shared" si="158"/>
        <v>0</v>
      </c>
      <c r="FR146" s="139">
        <f t="shared" si="159"/>
        <v>0</v>
      </c>
      <c r="FS146" s="139">
        <f t="shared" si="160"/>
        <v>0</v>
      </c>
      <c r="FT146" s="139">
        <f t="shared" si="161"/>
        <v>0</v>
      </c>
      <c r="FU146" s="148">
        <f t="shared" si="162"/>
        <v>48.503611620563092</v>
      </c>
      <c r="FV146" s="149"/>
      <c r="FY146" s="211">
        <v>141</v>
      </c>
      <c r="FZ146">
        <v>33.721438828865374</v>
      </c>
      <c r="GA146">
        <v>71.552982113837373</v>
      </c>
      <c r="GB146">
        <v>92.40043313992669</v>
      </c>
      <c r="GC146">
        <v>49.520048937259617</v>
      </c>
      <c r="GD146">
        <v>13.31682757536144</v>
      </c>
      <c r="GE146">
        <v>29.608874897745274</v>
      </c>
      <c r="GF146">
        <v>55.361097768034952</v>
      </c>
      <c r="GG146">
        <v>37.823123636024278</v>
      </c>
      <c r="GH146">
        <v>18.836445480267638</v>
      </c>
      <c r="GI146">
        <v>50.582699243236995</v>
      </c>
      <c r="GJ146"/>
      <c r="GK146"/>
      <c r="GL146"/>
      <c r="GM146"/>
    </row>
    <row r="147" spans="1:195" s="7" customFormat="1">
      <c r="A147" s="1"/>
      <c r="B147" s="76">
        <f ca="1">IF(C147="", "", RAND())</f>
        <v>0.94440247188131377</v>
      </c>
      <c r="C147">
        <v>10</v>
      </c>
      <c r="D147">
        <v>39799</v>
      </c>
      <c r="E147">
        <v>0</v>
      </c>
      <c r="F147">
        <v>20.833333333333332</v>
      </c>
      <c r="G147">
        <v>83.333333333333329</v>
      </c>
      <c r="H147">
        <v>10.416666666666666</v>
      </c>
      <c r="I147">
        <v>10.416666666666666</v>
      </c>
      <c r="J147">
        <v>52.083333333333336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 s="2"/>
      <c r="AK147" s="80"/>
      <c r="AL147" s="74"/>
      <c r="AM147" s="43">
        <v>131</v>
      </c>
      <c r="AN147">
        <v>237.18008184412423</v>
      </c>
      <c r="AO147">
        <v>83.250814817876872</v>
      </c>
      <c r="AP147">
        <v>604.71126376994619</v>
      </c>
      <c r="AQ147">
        <v>461.04517966663133</v>
      </c>
      <c r="AR147">
        <v>74.71368493681328</v>
      </c>
      <c r="AS147">
        <v>593.18006249542714</v>
      </c>
      <c r="AT147">
        <v>40.751592132180086</v>
      </c>
      <c r="AU147">
        <v>38.029169653096062</v>
      </c>
      <c r="AV147"/>
      <c r="AW147"/>
      <c r="AX147" s="146"/>
      <c r="AY147" s="76">
        <f t="shared" ca="1" si="86"/>
        <v>0.5708318384418094</v>
      </c>
      <c r="AZ147">
        <v>10</v>
      </c>
      <c r="BA147" s="129">
        <f t="shared" si="166"/>
        <v>39799</v>
      </c>
      <c r="BB147">
        <v>0</v>
      </c>
      <c r="BC147">
        <v>2</v>
      </c>
      <c r="BD147">
        <v>3</v>
      </c>
      <c r="BE147">
        <v>0</v>
      </c>
      <c r="BF147">
        <v>1</v>
      </c>
      <c r="BG147">
        <v>5</v>
      </c>
      <c r="BH147">
        <v>0</v>
      </c>
      <c r="BI147">
        <v>0</v>
      </c>
      <c r="BJ147">
        <v>0</v>
      </c>
      <c r="BK147">
        <v>0</v>
      </c>
      <c r="BL147">
        <v>0</v>
      </c>
      <c r="BM147">
        <v>0</v>
      </c>
      <c r="BN147">
        <v>0</v>
      </c>
      <c r="BO147">
        <v>0</v>
      </c>
      <c r="BP147">
        <v>0</v>
      </c>
      <c r="BQ147">
        <v>0</v>
      </c>
      <c r="BR147">
        <v>0</v>
      </c>
      <c r="BS147">
        <v>0</v>
      </c>
      <c r="BT147">
        <v>0</v>
      </c>
      <c r="BU147">
        <v>0</v>
      </c>
      <c r="BV147">
        <v>0</v>
      </c>
      <c r="BW147">
        <v>0</v>
      </c>
      <c r="BX147">
        <v>0</v>
      </c>
      <c r="BY147">
        <v>0</v>
      </c>
      <c r="BZ147">
        <v>0</v>
      </c>
      <c r="CA147">
        <v>0</v>
      </c>
      <c r="CB147">
        <v>0</v>
      </c>
      <c r="CC147">
        <v>0</v>
      </c>
      <c r="CD147">
        <v>0</v>
      </c>
      <c r="CE147">
        <v>0</v>
      </c>
      <c r="CF147">
        <v>0</v>
      </c>
      <c r="CG147" s="147"/>
      <c r="CH147" s="176"/>
      <c r="CJ147" s="146"/>
      <c r="CK147" s="76">
        <f t="shared" ca="1" si="88"/>
        <v>0.76939477316435756</v>
      </c>
      <c r="CL147" s="179">
        <f t="shared" si="89"/>
        <v>10</v>
      </c>
      <c r="CM147" s="180">
        <f t="shared" si="90"/>
        <v>39799</v>
      </c>
      <c r="CN147">
        <v>0</v>
      </c>
      <c r="CO147">
        <v>0</v>
      </c>
      <c r="CP147">
        <v>5</v>
      </c>
      <c r="CQ147">
        <v>1</v>
      </c>
      <c r="CR147">
        <v>0</v>
      </c>
      <c r="CS147">
        <v>0</v>
      </c>
      <c r="CT147">
        <v>0</v>
      </c>
      <c r="CU147">
        <v>0</v>
      </c>
      <c r="CV147" s="160"/>
      <c r="CW147">
        <v>1</v>
      </c>
      <c r="CX147">
        <v>1</v>
      </c>
      <c r="CY147" s="165"/>
      <c r="CZ147" s="177">
        <f t="shared" si="91"/>
        <v>9.6000000000000002E-2</v>
      </c>
      <c r="DB147" s="146"/>
      <c r="DC147" s="76">
        <f t="shared" ca="1" si="49"/>
        <v>7.1754007439555512E-2</v>
      </c>
      <c r="DD147">
        <f t="shared" si="92"/>
        <v>10</v>
      </c>
      <c r="DE147" s="129">
        <f t="shared" si="165"/>
        <v>39799</v>
      </c>
      <c r="DF147" s="161">
        <f t="shared" si="93"/>
        <v>0</v>
      </c>
      <c r="DG147" s="161">
        <f t="shared" si="94"/>
        <v>20.833333333333332</v>
      </c>
      <c r="DH147" s="161">
        <f t="shared" si="95"/>
        <v>83.333333333333329</v>
      </c>
      <c r="DI147" s="161">
        <f t="shared" si="96"/>
        <v>10.416666666666666</v>
      </c>
      <c r="DJ147" s="161">
        <f t="shared" si="97"/>
        <v>10.416666666666666</v>
      </c>
      <c r="DK147" s="161">
        <f t="shared" si="98"/>
        <v>52.083333333333336</v>
      </c>
      <c r="DL147" s="161">
        <f t="shared" si="99"/>
        <v>0</v>
      </c>
      <c r="DM147" s="161">
        <f t="shared" si="100"/>
        <v>0</v>
      </c>
      <c r="DN147" s="161">
        <f t="shared" si="101"/>
        <v>0</v>
      </c>
      <c r="DO147" s="161">
        <f t="shared" si="102"/>
        <v>0</v>
      </c>
      <c r="DP147" s="161">
        <f t="shared" si="103"/>
        <v>0</v>
      </c>
      <c r="DQ147" s="161">
        <f t="shared" si="104"/>
        <v>0</v>
      </c>
      <c r="DR147" s="161">
        <f t="shared" si="105"/>
        <v>0</v>
      </c>
      <c r="DS147" s="161">
        <f t="shared" si="106"/>
        <v>0</v>
      </c>
      <c r="DT147" s="161">
        <f t="shared" si="107"/>
        <v>0</v>
      </c>
      <c r="DU147" s="161">
        <f t="shared" si="108"/>
        <v>0</v>
      </c>
      <c r="DV147" s="161">
        <f t="shared" si="109"/>
        <v>0</v>
      </c>
      <c r="DW147" s="161">
        <f t="shared" si="110"/>
        <v>0</v>
      </c>
      <c r="DX147" s="161">
        <f t="shared" si="111"/>
        <v>0</v>
      </c>
      <c r="DY147" s="161">
        <f t="shared" si="112"/>
        <v>0</v>
      </c>
      <c r="DZ147" s="161">
        <f t="shared" si="113"/>
        <v>0</v>
      </c>
      <c r="EA147" s="161">
        <f t="shared" si="114"/>
        <v>0</v>
      </c>
      <c r="EB147" s="161">
        <f t="shared" si="115"/>
        <v>0</v>
      </c>
      <c r="EC147" s="161">
        <f t="shared" si="116"/>
        <v>0</v>
      </c>
      <c r="ED147" s="161">
        <f t="shared" si="117"/>
        <v>0</v>
      </c>
      <c r="EE147" s="161">
        <f t="shared" si="118"/>
        <v>0</v>
      </c>
      <c r="EF147" s="161">
        <f t="shared" si="119"/>
        <v>0</v>
      </c>
      <c r="EG147" s="161">
        <f t="shared" si="120"/>
        <v>0</v>
      </c>
      <c r="EH147" s="161">
        <f t="shared" si="121"/>
        <v>0</v>
      </c>
      <c r="EI147" s="161">
        <f t="shared" si="122"/>
        <v>0</v>
      </c>
      <c r="EJ147" s="161">
        <f t="shared" si="123"/>
        <v>0</v>
      </c>
      <c r="EK147" s="147">
        <f t="shared" si="130"/>
        <v>177.08333333333334</v>
      </c>
      <c r="EL147" s="149"/>
      <c r="EN147" s="146"/>
      <c r="EO147" s="146"/>
      <c r="EP147" s="139">
        <f t="shared" si="131"/>
        <v>0</v>
      </c>
      <c r="EQ147" s="139">
        <f t="shared" si="132"/>
        <v>0.20557083333333331</v>
      </c>
      <c r="ER147" s="139">
        <f t="shared" si="133"/>
        <v>6.1505161775284725</v>
      </c>
      <c r="ES147" s="139">
        <f t="shared" si="134"/>
        <v>2.4946780349291493</v>
      </c>
      <c r="ET147" s="139">
        <f t="shared" si="135"/>
        <v>5.7505800793582091</v>
      </c>
      <c r="EU147" s="139">
        <f t="shared" si="136"/>
        <v>54.955533421422743</v>
      </c>
      <c r="EV147" s="139">
        <f t="shared" si="137"/>
        <v>0</v>
      </c>
      <c r="EW147" s="139">
        <f t="shared" si="138"/>
        <v>0</v>
      </c>
      <c r="EX147" s="139">
        <f t="shared" si="139"/>
        <v>0</v>
      </c>
      <c r="EY147" s="139">
        <f t="shared" si="140"/>
        <v>0</v>
      </c>
      <c r="EZ147" s="139">
        <f t="shared" si="141"/>
        <v>0</v>
      </c>
      <c r="FA147" s="139">
        <f t="shared" si="142"/>
        <v>0</v>
      </c>
      <c r="FB147" s="139">
        <f t="shared" si="143"/>
        <v>0</v>
      </c>
      <c r="FC147" s="139">
        <f t="shared" si="144"/>
        <v>0</v>
      </c>
      <c r="FD147" s="139">
        <f t="shared" si="145"/>
        <v>0</v>
      </c>
      <c r="FE147" s="139">
        <f t="shared" si="146"/>
        <v>0</v>
      </c>
      <c r="FF147" s="139">
        <f t="shared" si="147"/>
        <v>0</v>
      </c>
      <c r="FG147" s="139">
        <f t="shared" si="148"/>
        <v>0</v>
      </c>
      <c r="FH147" s="139">
        <f t="shared" si="149"/>
        <v>0</v>
      </c>
      <c r="FI147" s="139">
        <f t="shared" si="150"/>
        <v>0</v>
      </c>
      <c r="FJ147" s="139">
        <f t="shared" si="151"/>
        <v>0</v>
      </c>
      <c r="FK147" s="139">
        <f t="shared" si="152"/>
        <v>0</v>
      </c>
      <c r="FL147" s="139">
        <f t="shared" si="153"/>
        <v>0</v>
      </c>
      <c r="FM147" s="139">
        <f t="shared" si="154"/>
        <v>0</v>
      </c>
      <c r="FN147" s="139">
        <f t="shared" si="155"/>
        <v>0</v>
      </c>
      <c r="FO147" s="139">
        <f t="shared" si="156"/>
        <v>0</v>
      </c>
      <c r="FP147" s="139">
        <f t="shared" si="157"/>
        <v>0</v>
      </c>
      <c r="FQ147" s="139">
        <f t="shared" si="158"/>
        <v>0</v>
      </c>
      <c r="FR147" s="139">
        <f t="shared" si="159"/>
        <v>0</v>
      </c>
      <c r="FS147" s="139">
        <f t="shared" si="160"/>
        <v>0</v>
      </c>
      <c r="FT147" s="139">
        <f t="shared" si="161"/>
        <v>0</v>
      </c>
      <c r="FU147" s="148">
        <f t="shared" si="162"/>
        <v>69.556878546571909</v>
      </c>
      <c r="FV147" s="149"/>
      <c r="FY147" s="211">
        <v>142</v>
      </c>
      <c r="FZ147">
        <v>23.703896493350772</v>
      </c>
      <c r="GA147">
        <v>61.493664183288452</v>
      </c>
      <c r="GB147">
        <v>80.438273906660271</v>
      </c>
      <c r="GC147">
        <v>45.523130582040565</v>
      </c>
      <c r="GD147">
        <v>20.096946829918714</v>
      </c>
      <c r="GE147">
        <v>45.781686135916651</v>
      </c>
      <c r="GF147">
        <v>51.8283506119487</v>
      </c>
      <c r="GG147">
        <v>42.708196749870183</v>
      </c>
      <c r="GH147">
        <v>40.652357552914431</v>
      </c>
      <c r="GI147">
        <v>53.238067571154552</v>
      </c>
      <c r="GJ147"/>
      <c r="GK147"/>
      <c r="GL147"/>
      <c r="GM147"/>
    </row>
    <row r="148" spans="1:195" s="7" customFormat="1">
      <c r="A148" s="128"/>
      <c r="B148" s="76" t="str">
        <f ca="1">IF(C148="", "", RAND())</f>
        <v/>
      </c>
      <c r="C148" t="s">
        <v>104</v>
      </c>
      <c r="D148" t="s">
        <v>104</v>
      </c>
      <c r="E148" t="s">
        <v>104</v>
      </c>
      <c r="F148" t="s">
        <v>104</v>
      </c>
      <c r="G148" t="s">
        <v>104</v>
      </c>
      <c r="H148" t="s">
        <v>104</v>
      </c>
      <c r="I148" t="s">
        <v>104</v>
      </c>
      <c r="J148" t="s">
        <v>104</v>
      </c>
      <c r="K148" t="s">
        <v>104</v>
      </c>
      <c r="L148" t="s">
        <v>104</v>
      </c>
      <c r="M148" t="s">
        <v>104</v>
      </c>
      <c r="N148" t="s">
        <v>104</v>
      </c>
      <c r="O148" t="s">
        <v>104</v>
      </c>
      <c r="P148" t="s">
        <v>104</v>
      </c>
      <c r="Q148" t="s">
        <v>104</v>
      </c>
      <c r="R148" t="s">
        <v>104</v>
      </c>
      <c r="S148" t="s">
        <v>104</v>
      </c>
      <c r="T148" t="s">
        <v>104</v>
      </c>
      <c r="U148" t="s">
        <v>104</v>
      </c>
      <c r="V148" t="s">
        <v>104</v>
      </c>
      <c r="W148" t="s">
        <v>104</v>
      </c>
      <c r="X148" t="s">
        <v>104</v>
      </c>
      <c r="Y148" t="s">
        <v>104</v>
      </c>
      <c r="Z148" t="s">
        <v>104</v>
      </c>
      <c r="AA148" t="s">
        <v>104</v>
      </c>
      <c r="AB148" t="s">
        <v>104</v>
      </c>
      <c r="AC148" t="s">
        <v>104</v>
      </c>
      <c r="AD148" t="s">
        <v>104</v>
      </c>
      <c r="AE148" t="s">
        <v>104</v>
      </c>
      <c r="AF148" t="s">
        <v>104</v>
      </c>
      <c r="AG148" t="s">
        <v>104</v>
      </c>
      <c r="AH148" t="s">
        <v>104</v>
      </c>
      <c r="AI148" t="s">
        <v>104</v>
      </c>
      <c r="AJ148" s="2"/>
      <c r="AK148" s="80"/>
      <c r="AL148" s="74">
        <v>3.0028000000000028</v>
      </c>
      <c r="AM148" s="43">
        <v>132</v>
      </c>
      <c r="AN148">
        <v>226.36924337680733</v>
      </c>
      <c r="AO148">
        <v>69.210620655858136</v>
      </c>
      <c r="AP148">
        <v>484.21852914146785</v>
      </c>
      <c r="AQ148">
        <v>364.59264931385349</v>
      </c>
      <c r="AR148">
        <v>63.289252895167699</v>
      </c>
      <c r="AS148">
        <v>540.78202605596425</v>
      </c>
      <c r="AT148">
        <v>34.164053466212771</v>
      </c>
      <c r="AU148">
        <v>34.739750567001288</v>
      </c>
      <c r="AV148"/>
      <c r="AW148"/>
      <c r="AX148" s="128"/>
      <c r="AY148" s="76">
        <f t="shared" ca="1" si="86"/>
        <v>0.64964562967859685</v>
      </c>
      <c r="AZ148">
        <v>1</v>
      </c>
      <c r="BA148" s="129">
        <f>IF(AZ148="", "",$C$10)</f>
        <v>39847</v>
      </c>
      <c r="BB148">
        <v>0</v>
      </c>
      <c r="BC148">
        <v>0</v>
      </c>
      <c r="BD148">
        <v>0</v>
      </c>
      <c r="BE148">
        <v>0</v>
      </c>
      <c r="BF148">
        <v>8</v>
      </c>
      <c r="BG148">
        <v>7</v>
      </c>
      <c r="BH148">
        <v>0</v>
      </c>
      <c r="BI148">
        <v>0</v>
      </c>
      <c r="BJ148">
        <v>0</v>
      </c>
      <c r="BK148">
        <v>0</v>
      </c>
      <c r="BL148">
        <v>0</v>
      </c>
      <c r="BM148">
        <v>0</v>
      </c>
      <c r="BN148">
        <v>0</v>
      </c>
      <c r="BO148">
        <v>0</v>
      </c>
      <c r="BP148">
        <v>0</v>
      </c>
      <c r="BQ148">
        <v>0</v>
      </c>
      <c r="BR148">
        <v>0</v>
      </c>
      <c r="BS148">
        <v>0</v>
      </c>
      <c r="BT148">
        <v>0</v>
      </c>
      <c r="BU148">
        <v>0</v>
      </c>
      <c r="BV148">
        <v>0</v>
      </c>
      <c r="BW148">
        <v>0</v>
      </c>
      <c r="BX148">
        <v>0</v>
      </c>
      <c r="BY148">
        <v>0</v>
      </c>
      <c r="BZ148">
        <v>0</v>
      </c>
      <c r="CA148">
        <v>0</v>
      </c>
      <c r="CB148">
        <v>0</v>
      </c>
      <c r="CC148">
        <v>0</v>
      </c>
      <c r="CD148">
        <v>0</v>
      </c>
      <c r="CE148">
        <v>0</v>
      </c>
      <c r="CF148">
        <v>0</v>
      </c>
      <c r="CG148" s="147"/>
      <c r="CH148" s="176"/>
      <c r="CJ148" s="128"/>
      <c r="CK148" s="76">
        <f t="shared" ca="1" si="88"/>
        <v>0.71511763559785724</v>
      </c>
      <c r="CL148" s="179">
        <f t="shared" si="89"/>
        <v>1</v>
      </c>
      <c r="CM148" s="180">
        <f t="shared" si="90"/>
        <v>39847</v>
      </c>
      <c r="CN148">
        <v>0</v>
      </c>
      <c r="CO148">
        <v>0</v>
      </c>
      <c r="CP148">
        <v>11</v>
      </c>
      <c r="CQ148">
        <v>0</v>
      </c>
      <c r="CR148">
        <v>1</v>
      </c>
      <c r="CS148">
        <v>0</v>
      </c>
      <c r="CT148">
        <v>0</v>
      </c>
      <c r="CU148">
        <v>0</v>
      </c>
      <c r="CV148" s="160"/>
      <c r="CW148">
        <v>1</v>
      </c>
      <c r="CX148">
        <v>1</v>
      </c>
      <c r="CY148" s="160"/>
      <c r="CZ148" s="177">
        <f t="shared" si="91"/>
        <v>9.6000000000000002E-2</v>
      </c>
      <c r="DB148" s="128"/>
      <c r="DC148" s="76">
        <f t="shared" ca="1" si="49"/>
        <v>0.29461616857083528</v>
      </c>
      <c r="DD148">
        <f t="shared" si="92"/>
        <v>1</v>
      </c>
      <c r="DE148" s="129">
        <f t="shared" ref="DE148:DE157" si="167">IF((DD148)="", "", $C$10)</f>
        <v>39847</v>
      </c>
      <c r="DF148" s="161">
        <f t="shared" si="93"/>
        <v>0</v>
      </c>
      <c r="DG148" s="161">
        <f t="shared" si="94"/>
        <v>0</v>
      </c>
      <c r="DH148" s="161">
        <f t="shared" si="95"/>
        <v>114.58333333333333</v>
      </c>
      <c r="DI148" s="161">
        <f t="shared" si="96"/>
        <v>0</v>
      </c>
      <c r="DJ148" s="161">
        <f t="shared" si="97"/>
        <v>93.75</v>
      </c>
      <c r="DK148" s="161">
        <f t="shared" si="98"/>
        <v>72.916666666666671</v>
      </c>
      <c r="DL148" s="161">
        <f t="shared" si="99"/>
        <v>0</v>
      </c>
      <c r="DM148" s="161">
        <f t="shared" si="100"/>
        <v>0</v>
      </c>
      <c r="DN148" s="161">
        <f t="shared" si="101"/>
        <v>0</v>
      </c>
      <c r="DO148" s="161">
        <f t="shared" si="102"/>
        <v>0</v>
      </c>
      <c r="DP148" s="161">
        <f t="shared" si="103"/>
        <v>0</v>
      </c>
      <c r="DQ148" s="161">
        <f t="shared" si="104"/>
        <v>0</v>
      </c>
      <c r="DR148" s="161">
        <f t="shared" si="105"/>
        <v>0</v>
      </c>
      <c r="DS148" s="161">
        <f t="shared" si="106"/>
        <v>0</v>
      </c>
      <c r="DT148" s="161">
        <f t="shared" si="107"/>
        <v>0</v>
      </c>
      <c r="DU148" s="161">
        <f t="shared" si="108"/>
        <v>0</v>
      </c>
      <c r="DV148" s="161">
        <f t="shared" si="109"/>
        <v>0</v>
      </c>
      <c r="DW148" s="161">
        <f t="shared" si="110"/>
        <v>0</v>
      </c>
      <c r="DX148" s="161">
        <f t="shared" si="111"/>
        <v>0</v>
      </c>
      <c r="DY148" s="161">
        <f t="shared" si="112"/>
        <v>0</v>
      </c>
      <c r="DZ148" s="161">
        <f t="shared" si="113"/>
        <v>0</v>
      </c>
      <c r="EA148" s="161">
        <f t="shared" si="114"/>
        <v>0</v>
      </c>
      <c r="EB148" s="161">
        <f t="shared" si="115"/>
        <v>0</v>
      </c>
      <c r="EC148" s="161">
        <f t="shared" si="116"/>
        <v>0</v>
      </c>
      <c r="ED148" s="161">
        <f t="shared" si="117"/>
        <v>0</v>
      </c>
      <c r="EE148" s="161">
        <f t="shared" si="118"/>
        <v>0</v>
      </c>
      <c r="EF148" s="161">
        <f t="shared" si="119"/>
        <v>0</v>
      </c>
      <c r="EG148" s="161">
        <f t="shared" si="120"/>
        <v>0</v>
      </c>
      <c r="EH148" s="161">
        <f t="shared" si="121"/>
        <v>0</v>
      </c>
      <c r="EI148" s="161">
        <f t="shared" si="122"/>
        <v>0</v>
      </c>
      <c r="EJ148" s="161">
        <f t="shared" si="123"/>
        <v>0</v>
      </c>
      <c r="EK148" s="147">
        <f t="shared" si="130"/>
        <v>281.25</v>
      </c>
      <c r="EL148" s="149"/>
      <c r="EN148" s="146"/>
      <c r="EO148" s="146"/>
      <c r="EP148" s="139">
        <f t="shared" si="131"/>
        <v>0</v>
      </c>
      <c r="EQ148" s="139">
        <f t="shared" si="132"/>
        <v>0</v>
      </c>
      <c r="ER148" s="139">
        <f t="shared" si="133"/>
        <v>8.4569597441016491</v>
      </c>
      <c r="ES148" s="139">
        <f t="shared" si="134"/>
        <v>0</v>
      </c>
      <c r="ET148" s="139">
        <f t="shared" si="135"/>
        <v>51.755220714223881</v>
      </c>
      <c r="EU148" s="139">
        <f t="shared" si="136"/>
        <v>76.937746789991849</v>
      </c>
      <c r="EV148" s="139">
        <f t="shared" si="137"/>
        <v>0</v>
      </c>
      <c r="EW148" s="139">
        <f t="shared" si="138"/>
        <v>0</v>
      </c>
      <c r="EX148" s="139">
        <f t="shared" si="139"/>
        <v>0</v>
      </c>
      <c r="EY148" s="139">
        <f t="shared" si="140"/>
        <v>0</v>
      </c>
      <c r="EZ148" s="139">
        <f t="shared" si="141"/>
        <v>0</v>
      </c>
      <c r="FA148" s="139">
        <f t="shared" si="142"/>
        <v>0</v>
      </c>
      <c r="FB148" s="139">
        <f t="shared" si="143"/>
        <v>0</v>
      </c>
      <c r="FC148" s="139">
        <f t="shared" si="144"/>
        <v>0</v>
      </c>
      <c r="FD148" s="139">
        <f t="shared" si="145"/>
        <v>0</v>
      </c>
      <c r="FE148" s="139">
        <f t="shared" si="146"/>
        <v>0</v>
      </c>
      <c r="FF148" s="139">
        <f t="shared" si="147"/>
        <v>0</v>
      </c>
      <c r="FG148" s="139">
        <f t="shared" si="148"/>
        <v>0</v>
      </c>
      <c r="FH148" s="139">
        <f t="shared" si="149"/>
        <v>0</v>
      </c>
      <c r="FI148" s="139">
        <f t="shared" si="150"/>
        <v>0</v>
      </c>
      <c r="FJ148" s="139">
        <f t="shared" si="151"/>
        <v>0</v>
      </c>
      <c r="FK148" s="139">
        <f t="shared" si="152"/>
        <v>0</v>
      </c>
      <c r="FL148" s="139">
        <f t="shared" si="153"/>
        <v>0</v>
      </c>
      <c r="FM148" s="139">
        <f t="shared" si="154"/>
        <v>0</v>
      </c>
      <c r="FN148" s="139">
        <f t="shared" si="155"/>
        <v>0</v>
      </c>
      <c r="FO148" s="139">
        <f t="shared" si="156"/>
        <v>0</v>
      </c>
      <c r="FP148" s="139">
        <f t="shared" si="157"/>
        <v>0</v>
      </c>
      <c r="FQ148" s="139">
        <f t="shared" si="158"/>
        <v>0</v>
      </c>
      <c r="FR148" s="139">
        <f t="shared" si="159"/>
        <v>0</v>
      </c>
      <c r="FS148" s="139">
        <f t="shared" si="160"/>
        <v>0</v>
      </c>
      <c r="FT148" s="139">
        <f t="shared" si="161"/>
        <v>0</v>
      </c>
      <c r="FU148" s="148">
        <f t="shared" si="162"/>
        <v>137.1499272483174</v>
      </c>
      <c r="FV148" s="149"/>
      <c r="FY148" s="211">
        <v>143</v>
      </c>
      <c r="FZ148">
        <v>40.886500204594704</v>
      </c>
      <c r="GA148">
        <v>75.740266814103322</v>
      </c>
      <c r="GB148">
        <v>79.997693489902318</v>
      </c>
      <c r="GC148">
        <v>43.948884430450335</v>
      </c>
      <c r="GD148">
        <v>14.122097737123505</v>
      </c>
      <c r="GE148">
        <v>42.639857041424605</v>
      </c>
      <c r="GF148">
        <v>106.78954902459851</v>
      </c>
      <c r="GG148">
        <v>82.765438028087388</v>
      </c>
      <c r="GH148">
        <v>37.503344588814095</v>
      </c>
      <c r="GI148">
        <v>62.783210124498233</v>
      </c>
      <c r="GJ148"/>
      <c r="GK148"/>
      <c r="GL148"/>
      <c r="GM148"/>
    </row>
    <row r="149" spans="1:195" s="7" customFormat="1">
      <c r="A149" s="77"/>
      <c r="B149" s="76" t="str">
        <f ca="1">IF(C149="", "", RAND())</f>
        <v/>
      </c>
      <c r="C149" t="s">
        <v>104</v>
      </c>
      <c r="D149" t="s">
        <v>104</v>
      </c>
      <c r="E149" t="s">
        <v>104</v>
      </c>
      <c r="F149" t="s">
        <v>104</v>
      </c>
      <c r="G149" t="s">
        <v>104</v>
      </c>
      <c r="H149" t="s">
        <v>104</v>
      </c>
      <c r="I149" t="s">
        <v>104</v>
      </c>
      <c r="J149" t="s">
        <v>104</v>
      </c>
      <c r="K149" t="s">
        <v>104</v>
      </c>
      <c r="L149" t="s">
        <v>104</v>
      </c>
      <c r="M149" t="s">
        <v>104</v>
      </c>
      <c r="N149" t="s">
        <v>104</v>
      </c>
      <c r="O149" t="s">
        <v>104</v>
      </c>
      <c r="P149" t="s">
        <v>104</v>
      </c>
      <c r="Q149" t="s">
        <v>104</v>
      </c>
      <c r="R149" t="s">
        <v>104</v>
      </c>
      <c r="S149" t="s">
        <v>104</v>
      </c>
      <c r="T149" t="s">
        <v>104</v>
      </c>
      <c r="U149" t="s">
        <v>104</v>
      </c>
      <c r="V149" t="s">
        <v>104</v>
      </c>
      <c r="W149" t="s">
        <v>104</v>
      </c>
      <c r="X149" t="s">
        <v>104</v>
      </c>
      <c r="Y149" t="s">
        <v>104</v>
      </c>
      <c r="Z149" t="s">
        <v>104</v>
      </c>
      <c r="AA149" t="s">
        <v>104</v>
      </c>
      <c r="AB149" t="s">
        <v>104</v>
      </c>
      <c r="AC149" t="s">
        <v>104</v>
      </c>
      <c r="AD149" t="s">
        <v>104</v>
      </c>
      <c r="AE149" t="s">
        <v>104</v>
      </c>
      <c r="AF149" t="s">
        <v>104</v>
      </c>
      <c r="AG149" t="s">
        <v>104</v>
      </c>
      <c r="AH149" t="s">
        <v>104</v>
      </c>
      <c r="AI149" t="s">
        <v>104</v>
      </c>
      <c r="AJ149" s="2"/>
      <c r="AK149" s="80"/>
      <c r="AL149" s="74">
        <v>3.0028000000000028</v>
      </c>
      <c r="AM149" s="43">
        <v>133</v>
      </c>
      <c r="AN149">
        <v>276.90007054174373</v>
      </c>
      <c r="AO149">
        <v>87.563520251959829</v>
      </c>
      <c r="AP149">
        <v>678.09004101340918</v>
      </c>
      <c r="AQ149">
        <v>502.15589121685048</v>
      </c>
      <c r="AR149">
        <v>79.010970784370443</v>
      </c>
      <c r="AS149">
        <v>624.57320898290652</v>
      </c>
      <c r="AT149">
        <v>41.881939473871036</v>
      </c>
      <c r="AU149">
        <v>102.07452814849782</v>
      </c>
      <c r="AV149"/>
      <c r="AW149"/>
      <c r="AX149" s="151"/>
      <c r="AY149" s="76">
        <f t="shared" ca="1" si="86"/>
        <v>0.71225258327980256</v>
      </c>
      <c r="AZ149">
        <v>2</v>
      </c>
      <c r="BA149" s="129">
        <f t="shared" ref="BA149:BA157" si="168">IF(AZ149="", "",$C$10)</f>
        <v>39847</v>
      </c>
      <c r="BB149">
        <v>0</v>
      </c>
      <c r="BC149">
        <v>0</v>
      </c>
      <c r="BD149">
        <v>0</v>
      </c>
      <c r="BE149">
        <v>2</v>
      </c>
      <c r="BF149">
        <v>0</v>
      </c>
      <c r="BG149">
        <v>5</v>
      </c>
      <c r="BH149">
        <v>2</v>
      </c>
      <c r="BI149">
        <v>0</v>
      </c>
      <c r="BJ149">
        <v>0</v>
      </c>
      <c r="BK149">
        <v>0</v>
      </c>
      <c r="BL149">
        <v>0</v>
      </c>
      <c r="BM149">
        <v>0</v>
      </c>
      <c r="BN149">
        <v>0</v>
      </c>
      <c r="BO149">
        <v>0</v>
      </c>
      <c r="BP149">
        <v>0</v>
      </c>
      <c r="BQ149">
        <v>0</v>
      </c>
      <c r="BR149">
        <v>0</v>
      </c>
      <c r="BS149">
        <v>0</v>
      </c>
      <c r="BT149">
        <v>0</v>
      </c>
      <c r="BU149">
        <v>0</v>
      </c>
      <c r="BV149">
        <v>0</v>
      </c>
      <c r="BW149">
        <v>0</v>
      </c>
      <c r="BX149">
        <v>0</v>
      </c>
      <c r="BY149">
        <v>0</v>
      </c>
      <c r="BZ149">
        <v>0</v>
      </c>
      <c r="CA149">
        <v>0</v>
      </c>
      <c r="CB149">
        <v>0</v>
      </c>
      <c r="CC149">
        <v>0</v>
      </c>
      <c r="CD149">
        <v>0</v>
      </c>
      <c r="CE149">
        <v>0</v>
      </c>
      <c r="CF149">
        <v>0</v>
      </c>
      <c r="CG149" s="147"/>
      <c r="CH149" s="176"/>
      <c r="CJ149" s="151"/>
      <c r="CK149" s="76">
        <f t="shared" ca="1" si="88"/>
        <v>0.92099361878444097</v>
      </c>
      <c r="CL149" s="179">
        <f t="shared" si="89"/>
        <v>2</v>
      </c>
      <c r="CM149" s="180">
        <f t="shared" si="90"/>
        <v>39847</v>
      </c>
      <c r="CN149">
        <v>0</v>
      </c>
      <c r="CO149">
        <v>0</v>
      </c>
      <c r="CP149">
        <v>7</v>
      </c>
      <c r="CQ149">
        <v>1</v>
      </c>
      <c r="CR149">
        <v>0</v>
      </c>
      <c r="CS149">
        <v>0</v>
      </c>
      <c r="CT149">
        <v>0</v>
      </c>
      <c r="CU149">
        <v>0</v>
      </c>
      <c r="CV149" s="160"/>
      <c r="CW149">
        <f>40/12</f>
        <v>3.3333333333333335</v>
      </c>
      <c r="CX149">
        <f>350/32</f>
        <v>10.9375</v>
      </c>
      <c r="CY149" s="160"/>
      <c r="CZ149" s="177">
        <f t="shared" si="91"/>
        <v>9.6000000000000002E-2</v>
      </c>
      <c r="DB149" s="151"/>
      <c r="DC149" s="76">
        <f t="shared" ca="1" si="49"/>
        <v>3.1224981247144346E-2</v>
      </c>
      <c r="DD149">
        <f t="shared" si="92"/>
        <v>2</v>
      </c>
      <c r="DE149" s="129">
        <f t="shared" si="167"/>
        <v>39847</v>
      </c>
      <c r="DF149" s="161">
        <f t="shared" si="93"/>
        <v>0</v>
      </c>
      <c r="DG149" s="161">
        <f t="shared" si="94"/>
        <v>0</v>
      </c>
      <c r="DH149" s="161">
        <f t="shared" si="95"/>
        <v>797.52604166666663</v>
      </c>
      <c r="DI149" s="161">
        <f t="shared" si="96"/>
        <v>183.37673611111111</v>
      </c>
      <c r="DJ149" s="161">
        <f t="shared" si="97"/>
        <v>0</v>
      </c>
      <c r="DK149" s="161">
        <f t="shared" si="98"/>
        <v>173.61111111111111</v>
      </c>
      <c r="DL149" s="161">
        <f t="shared" si="99"/>
        <v>69.444444444444443</v>
      </c>
      <c r="DM149" s="161">
        <f t="shared" si="100"/>
        <v>0</v>
      </c>
      <c r="DN149" s="161">
        <f t="shared" si="101"/>
        <v>0</v>
      </c>
      <c r="DO149" s="161">
        <f t="shared" si="102"/>
        <v>0</v>
      </c>
      <c r="DP149" s="161">
        <f t="shared" si="103"/>
        <v>0</v>
      </c>
      <c r="DQ149" s="161">
        <f t="shared" si="104"/>
        <v>0</v>
      </c>
      <c r="DR149" s="161">
        <f t="shared" si="105"/>
        <v>0</v>
      </c>
      <c r="DS149" s="161">
        <f t="shared" si="106"/>
        <v>0</v>
      </c>
      <c r="DT149" s="161">
        <f t="shared" si="107"/>
        <v>0</v>
      </c>
      <c r="DU149" s="161">
        <f t="shared" si="108"/>
        <v>0</v>
      </c>
      <c r="DV149" s="161">
        <f t="shared" si="109"/>
        <v>0</v>
      </c>
      <c r="DW149" s="161">
        <f t="shared" si="110"/>
        <v>0</v>
      </c>
      <c r="DX149" s="161">
        <f t="shared" si="111"/>
        <v>0</v>
      </c>
      <c r="DY149" s="161">
        <f t="shared" si="112"/>
        <v>0</v>
      </c>
      <c r="DZ149" s="161">
        <f t="shared" si="113"/>
        <v>0</v>
      </c>
      <c r="EA149" s="161">
        <f t="shared" si="114"/>
        <v>0</v>
      </c>
      <c r="EB149" s="161">
        <f t="shared" si="115"/>
        <v>0</v>
      </c>
      <c r="EC149" s="161">
        <f t="shared" si="116"/>
        <v>0</v>
      </c>
      <c r="ED149" s="161">
        <f t="shared" si="117"/>
        <v>0</v>
      </c>
      <c r="EE149" s="161">
        <f t="shared" si="118"/>
        <v>0</v>
      </c>
      <c r="EF149" s="161">
        <f t="shared" si="119"/>
        <v>0</v>
      </c>
      <c r="EG149" s="161">
        <f t="shared" si="120"/>
        <v>0</v>
      </c>
      <c r="EH149" s="161">
        <f t="shared" si="121"/>
        <v>0</v>
      </c>
      <c r="EI149" s="161">
        <f t="shared" si="122"/>
        <v>0</v>
      </c>
      <c r="EJ149" s="161">
        <f t="shared" si="123"/>
        <v>0</v>
      </c>
      <c r="EK149" s="147">
        <f t="shared" si="130"/>
        <v>1223.9583333333333</v>
      </c>
      <c r="EL149" s="149"/>
      <c r="EN149" s="151"/>
      <c r="EO149" s="151"/>
      <c r="EP149" s="139">
        <f t="shared" si="131"/>
        <v>0</v>
      </c>
      <c r="EQ149" s="139">
        <f t="shared" si="132"/>
        <v>0</v>
      </c>
      <c r="ER149" s="139">
        <f t="shared" si="133"/>
        <v>58.862361855252956</v>
      </c>
      <c r="ES149" s="139">
        <f t="shared" si="134"/>
        <v>43.916727906565235</v>
      </c>
      <c r="ET149" s="139">
        <f t="shared" si="135"/>
        <v>0</v>
      </c>
      <c r="EU149" s="139">
        <f t="shared" si="136"/>
        <v>183.18511140474249</v>
      </c>
      <c r="EV149" s="139">
        <f t="shared" si="137"/>
        <v>124.39797808181829</v>
      </c>
      <c r="EW149" s="139">
        <f t="shared" si="138"/>
        <v>0</v>
      </c>
      <c r="EX149" s="139">
        <f t="shared" si="139"/>
        <v>0</v>
      </c>
      <c r="EY149" s="139">
        <f t="shared" si="140"/>
        <v>0</v>
      </c>
      <c r="EZ149" s="139">
        <f t="shared" si="141"/>
        <v>0</v>
      </c>
      <c r="FA149" s="139">
        <f t="shared" si="142"/>
        <v>0</v>
      </c>
      <c r="FB149" s="139">
        <f t="shared" si="143"/>
        <v>0</v>
      </c>
      <c r="FC149" s="139">
        <f t="shared" si="144"/>
        <v>0</v>
      </c>
      <c r="FD149" s="139">
        <f t="shared" si="145"/>
        <v>0</v>
      </c>
      <c r="FE149" s="139">
        <f t="shared" si="146"/>
        <v>0</v>
      </c>
      <c r="FF149" s="139">
        <f t="shared" si="147"/>
        <v>0</v>
      </c>
      <c r="FG149" s="139">
        <f t="shared" si="148"/>
        <v>0</v>
      </c>
      <c r="FH149" s="139">
        <f t="shared" si="149"/>
        <v>0</v>
      </c>
      <c r="FI149" s="139">
        <f t="shared" si="150"/>
        <v>0</v>
      </c>
      <c r="FJ149" s="139">
        <f t="shared" si="151"/>
        <v>0</v>
      </c>
      <c r="FK149" s="139">
        <f t="shared" si="152"/>
        <v>0</v>
      </c>
      <c r="FL149" s="139">
        <f t="shared" si="153"/>
        <v>0</v>
      </c>
      <c r="FM149" s="139">
        <f t="shared" si="154"/>
        <v>0</v>
      </c>
      <c r="FN149" s="139">
        <f t="shared" si="155"/>
        <v>0</v>
      </c>
      <c r="FO149" s="139">
        <f t="shared" si="156"/>
        <v>0</v>
      </c>
      <c r="FP149" s="139">
        <f t="shared" si="157"/>
        <v>0</v>
      </c>
      <c r="FQ149" s="139">
        <f t="shared" si="158"/>
        <v>0</v>
      </c>
      <c r="FR149" s="139">
        <f t="shared" si="159"/>
        <v>0</v>
      </c>
      <c r="FS149" s="139">
        <f t="shared" si="160"/>
        <v>0</v>
      </c>
      <c r="FT149" s="139">
        <f t="shared" si="161"/>
        <v>0</v>
      </c>
      <c r="FU149" s="148">
        <f t="shared" si="162"/>
        <v>410.36217924837894</v>
      </c>
      <c r="FV149" s="149"/>
      <c r="FY149" s="211">
        <v>144</v>
      </c>
      <c r="FZ149">
        <v>7.3003245259731298</v>
      </c>
      <c r="GA149">
        <v>29.380503159311779</v>
      </c>
      <c r="GB149">
        <v>60.495702082437319</v>
      </c>
      <c r="GC149">
        <v>44.522266659484394</v>
      </c>
      <c r="GD149">
        <v>24.761279951220573</v>
      </c>
      <c r="GE149">
        <v>37.940748757824842</v>
      </c>
      <c r="GF149">
        <v>47.415017135191341</v>
      </c>
      <c r="GG149">
        <v>25.82001004268453</v>
      </c>
      <c r="GH149">
        <v>7.5730195110915641</v>
      </c>
      <c r="GI149">
        <v>42.408980343638561</v>
      </c>
      <c r="GJ149"/>
      <c r="GK149"/>
      <c r="GL149"/>
      <c r="GM149"/>
    </row>
    <row r="150" spans="1:195" s="7" customFormat="1">
      <c r="A150" s="77"/>
      <c r="B150" s="76">
        <f ca="1">IF(C150="", "", RAND())</f>
        <v>0.51083449023822958</v>
      </c>
      <c r="C150">
        <v>1</v>
      </c>
      <c r="D150">
        <v>39847</v>
      </c>
      <c r="E150">
        <v>0</v>
      </c>
      <c r="F150">
        <v>0</v>
      </c>
      <c r="G150">
        <v>114.58333333333333</v>
      </c>
      <c r="H150">
        <v>0</v>
      </c>
      <c r="I150">
        <v>93.75</v>
      </c>
      <c r="J150">
        <v>72.916666666666671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 s="2"/>
      <c r="AK150" s="80"/>
      <c r="AL150" s="74">
        <v>3.0028000000000028</v>
      </c>
      <c r="AM150" s="43">
        <v>134</v>
      </c>
      <c r="AN150">
        <v>216.85136863923017</v>
      </c>
      <c r="AO150">
        <v>75.899882398381109</v>
      </c>
      <c r="AP150">
        <v>487.5440270581754</v>
      </c>
      <c r="AQ150">
        <v>390.21676345185926</v>
      </c>
      <c r="AR150">
        <v>68.64226349384721</v>
      </c>
      <c r="AS150">
        <v>589.09326440317534</v>
      </c>
      <c r="AT150">
        <v>40.530136182272287</v>
      </c>
      <c r="AU150">
        <v>88.901948055945098</v>
      </c>
      <c r="AV150"/>
      <c r="AW150"/>
      <c r="AX150" s="151"/>
      <c r="AY150" s="76"/>
      <c r="AZ150"/>
      <c r="BA150" s="129"/>
      <c r="BB150">
        <v>0</v>
      </c>
      <c r="BC150">
        <v>0</v>
      </c>
      <c r="BD150">
        <v>0</v>
      </c>
      <c r="BE150">
        <v>0</v>
      </c>
      <c r="BF150">
        <v>0</v>
      </c>
      <c r="BG150">
        <v>0</v>
      </c>
      <c r="BH150">
        <v>0</v>
      </c>
      <c r="BI150">
        <v>0</v>
      </c>
      <c r="BJ150">
        <v>0</v>
      </c>
      <c r="BK150">
        <v>0</v>
      </c>
      <c r="BL150">
        <v>0</v>
      </c>
      <c r="BM150">
        <v>0</v>
      </c>
      <c r="BN150">
        <v>0</v>
      </c>
      <c r="BO150">
        <v>0</v>
      </c>
      <c r="BP150">
        <v>0</v>
      </c>
      <c r="BQ150">
        <v>0</v>
      </c>
      <c r="BR150">
        <v>0</v>
      </c>
      <c r="BS150">
        <v>0</v>
      </c>
      <c r="BT150">
        <v>0</v>
      </c>
      <c r="BU150">
        <v>0</v>
      </c>
      <c r="BV150">
        <v>0</v>
      </c>
      <c r="BW150">
        <v>0</v>
      </c>
      <c r="BX150">
        <v>0</v>
      </c>
      <c r="BY150">
        <v>0</v>
      </c>
      <c r="BZ150">
        <v>0</v>
      </c>
      <c r="CA150">
        <v>0</v>
      </c>
      <c r="CB150">
        <v>0</v>
      </c>
      <c r="CC150">
        <v>0</v>
      </c>
      <c r="CD150">
        <v>0</v>
      </c>
      <c r="CE150">
        <v>0</v>
      </c>
      <c r="CF150">
        <v>0</v>
      </c>
      <c r="CG150" s="147"/>
      <c r="CH150" s="176"/>
      <c r="CJ150" s="151"/>
      <c r="CK150" s="76"/>
      <c r="CL150" s="179"/>
      <c r="CM150" s="180"/>
      <c r="CN150">
        <v>0</v>
      </c>
      <c r="CO150">
        <v>0</v>
      </c>
      <c r="CP150">
        <v>0</v>
      </c>
      <c r="CQ150">
        <v>0</v>
      </c>
      <c r="CR150">
        <v>0</v>
      </c>
      <c r="CS150">
        <v>0</v>
      </c>
      <c r="CT150">
        <v>0</v>
      </c>
      <c r="CU150">
        <v>0</v>
      </c>
      <c r="CV150" s="160"/>
      <c r="CW150"/>
      <c r="CX150"/>
      <c r="CY150" s="160"/>
      <c r="CZ150" s="177"/>
      <c r="DB150" s="151"/>
      <c r="DC150" s="76" t="str">
        <f t="shared" ca="1" si="49"/>
        <v/>
      </c>
      <c r="DD150" t="str">
        <f t="shared" si="92"/>
        <v/>
      </c>
      <c r="DE150" s="129" t="str">
        <f t="shared" si="167"/>
        <v/>
      </c>
      <c r="DF150" s="161" t="str">
        <f t="shared" si="93"/>
        <v/>
      </c>
      <c r="DG150" s="161" t="str">
        <f t="shared" si="94"/>
        <v/>
      </c>
      <c r="DH150" s="161" t="str">
        <f t="shared" si="95"/>
        <v/>
      </c>
      <c r="DI150" s="161" t="str">
        <f t="shared" si="96"/>
        <v/>
      </c>
      <c r="DJ150" s="161" t="str">
        <f t="shared" si="97"/>
        <v/>
      </c>
      <c r="DK150" s="161" t="str">
        <f t="shared" si="98"/>
        <v/>
      </c>
      <c r="DL150" s="161" t="str">
        <f t="shared" si="99"/>
        <v/>
      </c>
      <c r="DM150" s="161" t="str">
        <f t="shared" si="100"/>
        <v/>
      </c>
      <c r="DN150" s="161" t="str">
        <f t="shared" si="101"/>
        <v/>
      </c>
      <c r="DO150" s="161" t="str">
        <f t="shared" si="102"/>
        <v/>
      </c>
      <c r="DP150" s="161" t="str">
        <f t="shared" si="103"/>
        <v/>
      </c>
      <c r="DQ150" s="161" t="str">
        <f t="shared" si="104"/>
        <v/>
      </c>
      <c r="DR150" s="161" t="str">
        <f t="shared" si="105"/>
        <v/>
      </c>
      <c r="DS150" s="161" t="str">
        <f t="shared" si="106"/>
        <v/>
      </c>
      <c r="DT150" s="161" t="str">
        <f t="shared" si="107"/>
        <v/>
      </c>
      <c r="DU150" s="161" t="str">
        <f t="shared" si="108"/>
        <v/>
      </c>
      <c r="DV150" s="161" t="str">
        <f t="shared" si="109"/>
        <v/>
      </c>
      <c r="DW150" s="161" t="str">
        <f t="shared" si="110"/>
        <v/>
      </c>
      <c r="DX150" s="161" t="str">
        <f t="shared" si="111"/>
        <v/>
      </c>
      <c r="DY150" s="161" t="str">
        <f t="shared" si="112"/>
        <v/>
      </c>
      <c r="DZ150" s="161" t="str">
        <f t="shared" si="113"/>
        <v/>
      </c>
      <c r="EA150" s="161" t="str">
        <f t="shared" si="114"/>
        <v/>
      </c>
      <c r="EB150" s="161" t="str">
        <f t="shared" si="115"/>
        <v/>
      </c>
      <c r="EC150" s="161" t="str">
        <f t="shared" si="116"/>
        <v/>
      </c>
      <c r="ED150" s="161" t="str">
        <f t="shared" si="117"/>
        <v/>
      </c>
      <c r="EE150" s="161" t="str">
        <f t="shared" si="118"/>
        <v/>
      </c>
      <c r="EF150" s="161" t="str">
        <f t="shared" si="119"/>
        <v/>
      </c>
      <c r="EG150" s="161" t="str">
        <f t="shared" si="120"/>
        <v/>
      </c>
      <c r="EH150" s="161" t="str">
        <f t="shared" si="121"/>
        <v/>
      </c>
      <c r="EI150" s="161" t="str">
        <f t="shared" si="122"/>
        <v/>
      </c>
      <c r="EJ150" s="161" t="str">
        <f t="shared" si="123"/>
        <v/>
      </c>
      <c r="EK150" s="147" t="str">
        <f t="shared" si="130"/>
        <v/>
      </c>
      <c r="EL150" s="149"/>
      <c r="EN150" s="151"/>
      <c r="EO150" s="151"/>
      <c r="EP150" s="139" t="str">
        <f t="shared" si="131"/>
        <v/>
      </c>
      <c r="EQ150" s="139" t="str">
        <f t="shared" si="132"/>
        <v/>
      </c>
      <c r="ER150" s="139" t="str">
        <f t="shared" si="133"/>
        <v/>
      </c>
      <c r="ES150" s="139" t="str">
        <f t="shared" si="134"/>
        <v/>
      </c>
      <c r="ET150" s="139" t="str">
        <f t="shared" si="135"/>
        <v/>
      </c>
      <c r="EU150" s="139" t="str">
        <f t="shared" si="136"/>
        <v/>
      </c>
      <c r="EV150" s="139" t="str">
        <f t="shared" si="137"/>
        <v/>
      </c>
      <c r="EW150" s="139" t="str">
        <f t="shared" si="138"/>
        <v/>
      </c>
      <c r="EX150" s="139" t="str">
        <f t="shared" si="139"/>
        <v/>
      </c>
      <c r="EY150" s="139" t="str">
        <f t="shared" si="140"/>
        <v/>
      </c>
      <c r="EZ150" s="139" t="str">
        <f t="shared" si="141"/>
        <v/>
      </c>
      <c r="FA150" s="139" t="str">
        <f t="shared" si="142"/>
        <v/>
      </c>
      <c r="FB150" s="139" t="str">
        <f t="shared" si="143"/>
        <v/>
      </c>
      <c r="FC150" s="139" t="str">
        <f t="shared" si="144"/>
        <v/>
      </c>
      <c r="FD150" s="139" t="str">
        <f t="shared" si="145"/>
        <v/>
      </c>
      <c r="FE150" s="139" t="str">
        <f t="shared" si="146"/>
        <v/>
      </c>
      <c r="FF150" s="139" t="str">
        <f t="shared" si="147"/>
        <v/>
      </c>
      <c r="FG150" s="139" t="str">
        <f t="shared" si="148"/>
        <v/>
      </c>
      <c r="FH150" s="139" t="str">
        <f t="shared" si="149"/>
        <v/>
      </c>
      <c r="FI150" s="139" t="str">
        <f t="shared" si="150"/>
        <v/>
      </c>
      <c r="FJ150" s="139" t="str">
        <f t="shared" si="151"/>
        <v/>
      </c>
      <c r="FK150" s="139" t="str">
        <f t="shared" si="152"/>
        <v/>
      </c>
      <c r="FL150" s="139" t="str">
        <f t="shared" si="153"/>
        <v/>
      </c>
      <c r="FM150" s="139" t="str">
        <f t="shared" si="154"/>
        <v/>
      </c>
      <c r="FN150" s="139" t="str">
        <f t="shared" si="155"/>
        <v/>
      </c>
      <c r="FO150" s="139" t="str">
        <f t="shared" si="156"/>
        <v/>
      </c>
      <c r="FP150" s="139" t="str">
        <f t="shared" si="157"/>
        <v/>
      </c>
      <c r="FQ150" s="139" t="str">
        <f t="shared" si="158"/>
        <v/>
      </c>
      <c r="FR150" s="139" t="str">
        <f t="shared" si="159"/>
        <v/>
      </c>
      <c r="FS150" s="139" t="str">
        <f t="shared" si="160"/>
        <v/>
      </c>
      <c r="FT150" s="139" t="str">
        <f t="shared" si="161"/>
        <v/>
      </c>
      <c r="FU150" s="148" t="str">
        <f t="shared" si="162"/>
        <v/>
      </c>
      <c r="FV150" s="149"/>
      <c r="FY150" s="211">
        <v>145</v>
      </c>
      <c r="FZ150">
        <v>28.912573836700663</v>
      </c>
      <c r="GA150">
        <v>65.519287491386137</v>
      </c>
      <c r="GB150">
        <v>70.834386707517297</v>
      </c>
      <c r="GC150">
        <v>36.290630619811296</v>
      </c>
      <c r="GD150">
        <v>20.938916267308691</v>
      </c>
      <c r="GE150">
        <v>54.484550254693431</v>
      </c>
      <c r="GF150">
        <v>63.819144967785455</v>
      </c>
      <c r="GG150">
        <v>32.207115872766622</v>
      </c>
      <c r="GH150">
        <v>13.545813325377114</v>
      </c>
      <c r="GI150">
        <v>50.456209637275379</v>
      </c>
      <c r="GJ150"/>
      <c r="GK150"/>
      <c r="GL150"/>
      <c r="GM150"/>
    </row>
    <row r="151" spans="1:195" s="7" customFormat="1">
      <c r="A151" s="77"/>
      <c r="B151" s="76">
        <f ca="1">IF(C151="", "", RAND())</f>
        <v>0.11428344119367484</v>
      </c>
      <c r="C151">
        <v>8</v>
      </c>
      <c r="D151">
        <v>39847</v>
      </c>
      <c r="E151">
        <v>0</v>
      </c>
      <c r="F151">
        <v>0</v>
      </c>
      <c r="G151">
        <v>10.416666666666666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 s="2"/>
      <c r="AK151" s="80"/>
      <c r="AL151" s="74">
        <v>3.0028000000000028</v>
      </c>
      <c r="AM151" s="43">
        <v>135</v>
      </c>
      <c r="AN151">
        <v>226.96517603034061</v>
      </c>
      <c r="AO151">
        <v>73.087830364466498</v>
      </c>
      <c r="AP151">
        <v>522.26375632806469</v>
      </c>
      <c r="AQ151">
        <v>396.09007740383856</v>
      </c>
      <c r="AR151">
        <v>65.371601541763113</v>
      </c>
      <c r="AS151">
        <v>562.68464860456004</v>
      </c>
      <c r="AT151">
        <v>38.520485137602513</v>
      </c>
      <c r="AU151">
        <v>53.05648574259731</v>
      </c>
      <c r="AV151"/>
      <c r="AW151"/>
      <c r="AX151" s="151"/>
      <c r="AY151" s="76"/>
      <c r="AZ151"/>
      <c r="BA151" s="129"/>
      <c r="BB151">
        <v>0</v>
      </c>
      <c r="BC151">
        <v>0</v>
      </c>
      <c r="BD151">
        <v>0</v>
      </c>
      <c r="BE151">
        <v>0</v>
      </c>
      <c r="BF151">
        <v>0</v>
      </c>
      <c r="BG151">
        <v>0</v>
      </c>
      <c r="BH151">
        <v>0</v>
      </c>
      <c r="BI151">
        <v>0</v>
      </c>
      <c r="BJ151">
        <v>0</v>
      </c>
      <c r="BK151">
        <v>0</v>
      </c>
      <c r="BL151">
        <v>0</v>
      </c>
      <c r="BM151">
        <v>0</v>
      </c>
      <c r="BN151">
        <v>0</v>
      </c>
      <c r="BO151">
        <v>0</v>
      </c>
      <c r="BP151">
        <v>0</v>
      </c>
      <c r="BQ151">
        <v>0</v>
      </c>
      <c r="BR151">
        <v>0</v>
      </c>
      <c r="BS151">
        <v>0</v>
      </c>
      <c r="BT151">
        <v>0</v>
      </c>
      <c r="BU151">
        <v>0</v>
      </c>
      <c r="BV151">
        <v>0</v>
      </c>
      <c r="BW151">
        <v>0</v>
      </c>
      <c r="BX151">
        <v>0</v>
      </c>
      <c r="BY151">
        <v>0</v>
      </c>
      <c r="BZ151">
        <v>0</v>
      </c>
      <c r="CA151">
        <v>0</v>
      </c>
      <c r="CB151">
        <v>0</v>
      </c>
      <c r="CC151">
        <v>0</v>
      </c>
      <c r="CD151">
        <v>0</v>
      </c>
      <c r="CE151">
        <v>0</v>
      </c>
      <c r="CF151">
        <v>0</v>
      </c>
      <c r="CG151" s="147"/>
      <c r="CH151" s="176"/>
      <c r="CJ151" s="151"/>
      <c r="CK151" s="76"/>
      <c r="CL151" s="179"/>
      <c r="CM151" s="180"/>
      <c r="CN151">
        <v>0</v>
      </c>
      <c r="CO151">
        <v>0</v>
      </c>
      <c r="CP151">
        <v>0</v>
      </c>
      <c r="CQ151">
        <v>0</v>
      </c>
      <c r="CR151">
        <v>0</v>
      </c>
      <c r="CS151">
        <v>0</v>
      </c>
      <c r="CT151">
        <v>0</v>
      </c>
      <c r="CU151">
        <v>0</v>
      </c>
      <c r="CV151" s="160"/>
      <c r="CW151"/>
      <c r="CX151"/>
      <c r="CY151" s="160"/>
      <c r="CZ151" s="177"/>
      <c r="DB151" s="151"/>
      <c r="DC151" s="76" t="str">
        <f t="shared" ca="1" si="49"/>
        <v/>
      </c>
      <c r="DD151" t="str">
        <f t="shared" si="92"/>
        <v/>
      </c>
      <c r="DE151" s="129" t="str">
        <f t="shared" si="167"/>
        <v/>
      </c>
      <c r="DF151" s="161" t="str">
        <f t="shared" si="93"/>
        <v/>
      </c>
      <c r="DG151" s="161" t="str">
        <f t="shared" si="94"/>
        <v/>
      </c>
      <c r="DH151" s="161" t="str">
        <f t="shared" si="95"/>
        <v/>
      </c>
      <c r="DI151" s="161" t="str">
        <f t="shared" si="96"/>
        <v/>
      </c>
      <c r="DJ151" s="161" t="str">
        <f t="shared" si="97"/>
        <v/>
      </c>
      <c r="DK151" s="161" t="str">
        <f t="shared" si="98"/>
        <v/>
      </c>
      <c r="DL151" s="161" t="str">
        <f t="shared" si="99"/>
        <v/>
      </c>
      <c r="DM151" s="161" t="str">
        <f t="shared" si="100"/>
        <v/>
      </c>
      <c r="DN151" s="161" t="str">
        <f t="shared" si="101"/>
        <v/>
      </c>
      <c r="DO151" s="161" t="str">
        <f t="shared" si="102"/>
        <v/>
      </c>
      <c r="DP151" s="161" t="str">
        <f t="shared" si="103"/>
        <v/>
      </c>
      <c r="DQ151" s="161" t="str">
        <f t="shared" si="104"/>
        <v/>
      </c>
      <c r="DR151" s="161" t="str">
        <f t="shared" si="105"/>
        <v/>
      </c>
      <c r="DS151" s="161" t="str">
        <f t="shared" si="106"/>
        <v/>
      </c>
      <c r="DT151" s="161" t="str">
        <f t="shared" si="107"/>
        <v/>
      </c>
      <c r="DU151" s="161" t="str">
        <f t="shared" si="108"/>
        <v/>
      </c>
      <c r="DV151" s="161" t="str">
        <f t="shared" si="109"/>
        <v/>
      </c>
      <c r="DW151" s="161" t="str">
        <f t="shared" si="110"/>
        <v/>
      </c>
      <c r="DX151" s="161" t="str">
        <f t="shared" si="111"/>
        <v/>
      </c>
      <c r="DY151" s="161" t="str">
        <f t="shared" si="112"/>
        <v/>
      </c>
      <c r="DZ151" s="161" t="str">
        <f t="shared" si="113"/>
        <v/>
      </c>
      <c r="EA151" s="161" t="str">
        <f t="shared" si="114"/>
        <v/>
      </c>
      <c r="EB151" s="161" t="str">
        <f t="shared" si="115"/>
        <v/>
      </c>
      <c r="EC151" s="161" t="str">
        <f t="shared" si="116"/>
        <v/>
      </c>
      <c r="ED151" s="161" t="str">
        <f t="shared" si="117"/>
        <v/>
      </c>
      <c r="EE151" s="161" t="str">
        <f t="shared" si="118"/>
        <v/>
      </c>
      <c r="EF151" s="161" t="str">
        <f t="shared" si="119"/>
        <v/>
      </c>
      <c r="EG151" s="161" t="str">
        <f t="shared" si="120"/>
        <v/>
      </c>
      <c r="EH151" s="161" t="str">
        <f t="shared" si="121"/>
        <v/>
      </c>
      <c r="EI151" s="161" t="str">
        <f t="shared" si="122"/>
        <v/>
      </c>
      <c r="EJ151" s="161" t="str">
        <f t="shared" si="123"/>
        <v/>
      </c>
      <c r="EK151" s="147" t="str">
        <f t="shared" si="130"/>
        <v/>
      </c>
      <c r="EL151" s="149"/>
      <c r="EN151" s="151"/>
      <c r="EO151" s="151"/>
      <c r="EP151" s="139" t="str">
        <f t="shared" si="131"/>
        <v/>
      </c>
      <c r="EQ151" s="139" t="str">
        <f t="shared" si="132"/>
        <v/>
      </c>
      <c r="ER151" s="139" t="str">
        <f t="shared" si="133"/>
        <v/>
      </c>
      <c r="ES151" s="139" t="str">
        <f t="shared" si="134"/>
        <v/>
      </c>
      <c r="ET151" s="139" t="str">
        <f t="shared" si="135"/>
        <v/>
      </c>
      <c r="EU151" s="139" t="str">
        <f t="shared" si="136"/>
        <v/>
      </c>
      <c r="EV151" s="139" t="str">
        <f t="shared" si="137"/>
        <v/>
      </c>
      <c r="EW151" s="139" t="str">
        <f t="shared" si="138"/>
        <v/>
      </c>
      <c r="EX151" s="139" t="str">
        <f t="shared" si="139"/>
        <v/>
      </c>
      <c r="EY151" s="139" t="str">
        <f t="shared" si="140"/>
        <v/>
      </c>
      <c r="EZ151" s="139" t="str">
        <f t="shared" si="141"/>
        <v/>
      </c>
      <c r="FA151" s="139" t="str">
        <f t="shared" si="142"/>
        <v/>
      </c>
      <c r="FB151" s="139" t="str">
        <f t="shared" si="143"/>
        <v/>
      </c>
      <c r="FC151" s="139" t="str">
        <f t="shared" si="144"/>
        <v/>
      </c>
      <c r="FD151" s="139" t="str">
        <f t="shared" si="145"/>
        <v/>
      </c>
      <c r="FE151" s="139" t="str">
        <f t="shared" si="146"/>
        <v/>
      </c>
      <c r="FF151" s="139" t="str">
        <f t="shared" si="147"/>
        <v/>
      </c>
      <c r="FG151" s="139" t="str">
        <f t="shared" si="148"/>
        <v/>
      </c>
      <c r="FH151" s="139" t="str">
        <f t="shared" si="149"/>
        <v/>
      </c>
      <c r="FI151" s="139" t="str">
        <f t="shared" si="150"/>
        <v/>
      </c>
      <c r="FJ151" s="139" t="str">
        <f t="shared" si="151"/>
        <v/>
      </c>
      <c r="FK151" s="139" t="str">
        <f t="shared" si="152"/>
        <v/>
      </c>
      <c r="FL151" s="139" t="str">
        <f t="shared" si="153"/>
        <v/>
      </c>
      <c r="FM151" s="139" t="str">
        <f t="shared" si="154"/>
        <v/>
      </c>
      <c r="FN151" s="139" t="str">
        <f t="shared" si="155"/>
        <v/>
      </c>
      <c r="FO151" s="139" t="str">
        <f t="shared" si="156"/>
        <v/>
      </c>
      <c r="FP151" s="139" t="str">
        <f t="shared" si="157"/>
        <v/>
      </c>
      <c r="FQ151" s="139" t="str">
        <f t="shared" si="158"/>
        <v/>
      </c>
      <c r="FR151" s="139" t="str">
        <f t="shared" si="159"/>
        <v/>
      </c>
      <c r="FS151" s="139" t="str">
        <f t="shared" si="160"/>
        <v/>
      </c>
      <c r="FT151" s="139" t="str">
        <f t="shared" si="161"/>
        <v/>
      </c>
      <c r="FU151" s="148" t="str">
        <f t="shared" si="162"/>
        <v/>
      </c>
      <c r="FV151" s="149"/>
      <c r="FY151" s="211">
        <v>146</v>
      </c>
      <c r="FZ151">
        <v>16.094706186715896</v>
      </c>
      <c r="GA151">
        <v>42.944340127183239</v>
      </c>
      <c r="GB151">
        <v>131.16218260917276</v>
      </c>
      <c r="GC151">
        <v>74.786619833687666</v>
      </c>
      <c r="GD151">
        <v>19.375816445471511</v>
      </c>
      <c r="GE151">
        <v>54.896042644808318</v>
      </c>
      <c r="GF151">
        <v>104.72831276486302</v>
      </c>
      <c r="GG151">
        <v>57.06154354044007</v>
      </c>
      <c r="GH151">
        <v>15.476243680341646</v>
      </c>
      <c r="GI151">
        <v>71.830105181903704</v>
      </c>
      <c r="GJ151"/>
      <c r="GK151"/>
      <c r="GL151"/>
      <c r="GM151"/>
    </row>
    <row r="152" spans="1:195" s="7" customFormat="1">
      <c r="A152" s="77"/>
      <c r="B152" s="76">
        <f ca="1">IF(C152="", "", RAND())</f>
        <v>0.35926463587194402</v>
      </c>
      <c r="C152">
        <v>6</v>
      </c>
      <c r="D152">
        <v>39847</v>
      </c>
      <c r="E152">
        <v>0</v>
      </c>
      <c r="F152">
        <v>0</v>
      </c>
      <c r="G152">
        <v>0</v>
      </c>
      <c r="H152">
        <v>0</v>
      </c>
      <c r="I152">
        <v>31.25</v>
      </c>
      <c r="J152">
        <v>62.5</v>
      </c>
      <c r="K152">
        <v>62.5</v>
      </c>
      <c r="L152">
        <v>0</v>
      </c>
      <c r="M152">
        <v>0</v>
      </c>
      <c r="N152">
        <v>0</v>
      </c>
      <c r="O152">
        <v>10.416666666666666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 s="2"/>
      <c r="AK152" s="80"/>
      <c r="AL152" s="74"/>
      <c r="AM152" s="43">
        <v>136</v>
      </c>
      <c r="AN152">
        <v>232.63143155447642</v>
      </c>
      <c r="AO152">
        <v>91.119425664555592</v>
      </c>
      <c r="AP152">
        <v>684.07963512778701</v>
      </c>
      <c r="AQ152">
        <v>490.68465005339061</v>
      </c>
      <c r="AR152">
        <v>80.271493104354462</v>
      </c>
      <c r="AS152">
        <v>665.56453088066212</v>
      </c>
      <c r="AT152">
        <v>44.586880715709846</v>
      </c>
      <c r="AU152">
        <v>51.529249104941577</v>
      </c>
      <c r="AV152"/>
      <c r="AW152"/>
      <c r="AX152" s="151"/>
      <c r="AY152" s="76">
        <f t="shared" ref="AY152:AY207" ca="1" si="169">IF(AZ152="", "", RAND())</f>
        <v>0.78186121366725647</v>
      </c>
      <c r="AZ152">
        <v>5</v>
      </c>
      <c r="BA152" s="129">
        <f t="shared" si="168"/>
        <v>39847</v>
      </c>
      <c r="BB152">
        <v>0</v>
      </c>
      <c r="BC152">
        <v>0</v>
      </c>
      <c r="BD152">
        <v>0</v>
      </c>
      <c r="BE152">
        <v>0</v>
      </c>
      <c r="BF152">
        <v>1</v>
      </c>
      <c r="BG152">
        <v>0</v>
      </c>
      <c r="BH152">
        <v>0</v>
      </c>
      <c r="BI152">
        <v>0</v>
      </c>
      <c r="BJ152">
        <v>0</v>
      </c>
      <c r="BK152">
        <v>0</v>
      </c>
      <c r="BL152">
        <v>0</v>
      </c>
      <c r="BM152">
        <v>0</v>
      </c>
      <c r="BN152">
        <v>0</v>
      </c>
      <c r="BO152">
        <v>0</v>
      </c>
      <c r="BP152">
        <v>0</v>
      </c>
      <c r="BQ152">
        <v>0</v>
      </c>
      <c r="BR152">
        <v>0</v>
      </c>
      <c r="BS152">
        <v>0</v>
      </c>
      <c r="BT152">
        <v>0</v>
      </c>
      <c r="BU152">
        <v>0</v>
      </c>
      <c r="BV152">
        <v>0</v>
      </c>
      <c r="BW152">
        <v>0</v>
      </c>
      <c r="BX152">
        <v>0</v>
      </c>
      <c r="BY152">
        <v>0</v>
      </c>
      <c r="BZ152">
        <v>0</v>
      </c>
      <c r="CA152">
        <v>0</v>
      </c>
      <c r="CB152">
        <v>0</v>
      </c>
      <c r="CC152">
        <v>0</v>
      </c>
      <c r="CD152">
        <v>0</v>
      </c>
      <c r="CE152">
        <v>0</v>
      </c>
      <c r="CF152">
        <v>0</v>
      </c>
      <c r="CG152" s="147"/>
      <c r="CH152" s="176"/>
      <c r="CJ152" s="151"/>
      <c r="CK152" s="76">
        <f t="shared" ca="1" si="88"/>
        <v>0.72567498843029377</v>
      </c>
      <c r="CL152" s="179">
        <f t="shared" si="89"/>
        <v>5</v>
      </c>
      <c r="CM152" s="180">
        <f t="shared" si="90"/>
        <v>39847</v>
      </c>
      <c r="CN152">
        <v>0</v>
      </c>
      <c r="CO152">
        <v>0</v>
      </c>
      <c r="CP152">
        <v>0</v>
      </c>
      <c r="CQ152">
        <v>0</v>
      </c>
      <c r="CR152">
        <v>0</v>
      </c>
      <c r="CS152">
        <v>0</v>
      </c>
      <c r="CT152">
        <v>0</v>
      </c>
      <c r="CU152">
        <v>0</v>
      </c>
      <c r="CV152" s="160"/>
      <c r="CW152">
        <v>1</v>
      </c>
      <c r="CX152">
        <v>1</v>
      </c>
      <c r="CY152" s="160"/>
      <c r="CZ152" s="177">
        <f t="shared" si="91"/>
        <v>9.6000000000000002E-2</v>
      </c>
      <c r="DB152" s="151"/>
      <c r="DC152" s="76">
        <f t="shared" ref="DC152:DC207" ca="1" si="170">IF(DD152="", "", RAND())</f>
        <v>0.94906336609114117</v>
      </c>
      <c r="DD152">
        <f t="shared" si="92"/>
        <v>5</v>
      </c>
      <c r="DE152" s="129">
        <f t="shared" si="167"/>
        <v>39847</v>
      </c>
      <c r="DF152" s="161">
        <f t="shared" si="93"/>
        <v>0</v>
      </c>
      <c r="DG152" s="161">
        <f t="shared" si="94"/>
        <v>0</v>
      </c>
      <c r="DH152" s="161">
        <f t="shared" si="95"/>
        <v>0</v>
      </c>
      <c r="DI152" s="161">
        <f t="shared" si="96"/>
        <v>0</v>
      </c>
      <c r="DJ152" s="161">
        <f t="shared" si="97"/>
        <v>10.416666666666666</v>
      </c>
      <c r="DK152" s="161">
        <f t="shared" si="98"/>
        <v>0</v>
      </c>
      <c r="DL152" s="161">
        <f t="shared" si="99"/>
        <v>0</v>
      </c>
      <c r="DM152" s="161">
        <f t="shared" si="100"/>
        <v>0</v>
      </c>
      <c r="DN152" s="161">
        <f t="shared" si="101"/>
        <v>0</v>
      </c>
      <c r="DO152" s="161">
        <f t="shared" si="102"/>
        <v>0</v>
      </c>
      <c r="DP152" s="161">
        <f t="shared" si="103"/>
        <v>0</v>
      </c>
      <c r="DQ152" s="161">
        <f t="shared" si="104"/>
        <v>0</v>
      </c>
      <c r="DR152" s="161">
        <f t="shared" si="105"/>
        <v>0</v>
      </c>
      <c r="DS152" s="161">
        <f t="shared" si="106"/>
        <v>0</v>
      </c>
      <c r="DT152" s="161">
        <f t="shared" si="107"/>
        <v>0</v>
      </c>
      <c r="DU152" s="161">
        <f t="shared" si="108"/>
        <v>0</v>
      </c>
      <c r="DV152" s="161">
        <f t="shared" si="109"/>
        <v>0</v>
      </c>
      <c r="DW152" s="161">
        <f t="shared" si="110"/>
        <v>0</v>
      </c>
      <c r="DX152" s="161">
        <f t="shared" si="111"/>
        <v>0</v>
      </c>
      <c r="DY152" s="161">
        <f t="shared" si="112"/>
        <v>0</v>
      </c>
      <c r="DZ152" s="161">
        <f t="shared" si="113"/>
        <v>0</v>
      </c>
      <c r="EA152" s="161">
        <f t="shared" si="114"/>
        <v>0</v>
      </c>
      <c r="EB152" s="161">
        <f t="shared" si="115"/>
        <v>0</v>
      </c>
      <c r="EC152" s="161">
        <f t="shared" si="116"/>
        <v>0</v>
      </c>
      <c r="ED152" s="161">
        <f t="shared" si="117"/>
        <v>0</v>
      </c>
      <c r="EE152" s="161">
        <f t="shared" si="118"/>
        <v>0</v>
      </c>
      <c r="EF152" s="161">
        <f t="shared" si="119"/>
        <v>0</v>
      </c>
      <c r="EG152" s="161">
        <f t="shared" si="120"/>
        <v>0</v>
      </c>
      <c r="EH152" s="161">
        <f t="shared" si="121"/>
        <v>0</v>
      </c>
      <c r="EI152" s="161">
        <f t="shared" si="122"/>
        <v>0</v>
      </c>
      <c r="EJ152" s="161">
        <f t="shared" si="123"/>
        <v>0</v>
      </c>
      <c r="EK152" s="147">
        <f t="shared" ref="EK152:EK183" si="171">IF(DF152="", "", SUM(DF152:EJ152))</f>
        <v>10.416666666666666</v>
      </c>
      <c r="EL152" s="149"/>
      <c r="EN152" s="151"/>
      <c r="EO152" s="151"/>
      <c r="EP152" s="139">
        <f t="shared" ref="EP152:EP183" si="172">IF(DF152="", "", DF152*G$36)</f>
        <v>0</v>
      </c>
      <c r="EQ152" s="139">
        <f t="shared" ref="EQ152:EQ183" si="173">IF(DG152="", "", DG152*H$36)</f>
        <v>0</v>
      </c>
      <c r="ER152" s="139">
        <f t="shared" ref="ER152:ER183" si="174">IF(DH152="", "", DH152*I$36)</f>
        <v>0</v>
      </c>
      <c r="ES152" s="139">
        <f t="shared" ref="ES152:ES183" si="175">IF(DI152="", "", DI152*J$36)</f>
        <v>0</v>
      </c>
      <c r="ET152" s="139">
        <f t="shared" ref="ET152:ET183" si="176">IF(DJ152="", "", DJ152*K$36)</f>
        <v>5.7505800793582091</v>
      </c>
      <c r="EU152" s="139">
        <f t="shared" ref="EU152:EU183" si="177">IF(DK152="", "", DK152*L$36)</f>
        <v>0</v>
      </c>
      <c r="EV152" s="139">
        <f t="shared" ref="EV152:EV183" si="178">IF(DL152="", "", DL152*M$36)</f>
        <v>0</v>
      </c>
      <c r="EW152" s="139">
        <f t="shared" ref="EW152:EW183" si="179">IF(DM152="", "", DM152*N$36)</f>
        <v>0</v>
      </c>
      <c r="EX152" s="139">
        <f t="shared" ref="EX152:EX183" si="180">IF(DN152="", "", DN152*O$36)</f>
        <v>0</v>
      </c>
      <c r="EY152" s="139">
        <f t="shared" ref="EY152:EY183" si="181">IF(DO152="", "", DO152*P$36)</f>
        <v>0</v>
      </c>
      <c r="EZ152" s="139">
        <f t="shared" ref="EZ152:EZ183" si="182">IF(DP152="", "", DP152*Q$36)</f>
        <v>0</v>
      </c>
      <c r="FA152" s="139">
        <f t="shared" ref="FA152:FA183" si="183">IF(DQ152="", "", DQ152*R$36)</f>
        <v>0</v>
      </c>
      <c r="FB152" s="139">
        <f t="shared" ref="FB152:FB183" si="184">IF(DR152="", "", DR152*S$36)</f>
        <v>0</v>
      </c>
      <c r="FC152" s="139">
        <f t="shared" ref="FC152:FC183" si="185">IF(DS152="", "", DS152*T$36)</f>
        <v>0</v>
      </c>
      <c r="FD152" s="139">
        <f t="shared" ref="FD152:FD183" si="186">IF(DT152="", "", DT152*U$36)</f>
        <v>0</v>
      </c>
      <c r="FE152" s="139">
        <f t="shared" ref="FE152:FE183" si="187">IF(DU152="", "", DU152*V$36)</f>
        <v>0</v>
      </c>
      <c r="FF152" s="139">
        <f t="shared" ref="FF152:FF183" si="188">IF(DV152="", "", DV152*W$36)</f>
        <v>0</v>
      </c>
      <c r="FG152" s="139">
        <f t="shared" ref="FG152:FG183" si="189">IF(DW152="", "", DW152*X$36)</f>
        <v>0</v>
      </c>
      <c r="FH152" s="139">
        <f t="shared" ref="FH152:FH183" si="190">IF(DX152="", "", DX152*Y$36)</f>
        <v>0</v>
      </c>
      <c r="FI152" s="139">
        <f t="shared" ref="FI152:FI183" si="191">IF(DY152="", "", DY152*Z$36)</f>
        <v>0</v>
      </c>
      <c r="FJ152" s="139">
        <f t="shared" ref="FJ152:FJ183" si="192">IF(DZ152="", "", DZ152*AA$36)</f>
        <v>0</v>
      </c>
      <c r="FK152" s="139">
        <f t="shared" ref="FK152:FK183" si="193">IF(EA152="", "", EA152*AB$36)</f>
        <v>0</v>
      </c>
      <c r="FL152" s="139">
        <f t="shared" ref="FL152:FL183" si="194">IF(EB152="", "", EB152*AC$36)</f>
        <v>0</v>
      </c>
      <c r="FM152" s="139">
        <f t="shared" ref="FM152:FM183" si="195">IF(EC152="", "", EC152*AD$36)</f>
        <v>0</v>
      </c>
      <c r="FN152" s="139">
        <f t="shared" ref="FN152:FN183" si="196">IF(ED152="", "", ED152*AE$36)</f>
        <v>0</v>
      </c>
      <c r="FO152" s="139">
        <f t="shared" ref="FO152:FO183" si="197">IF(EE152="", "", EE152*AF$36)</f>
        <v>0</v>
      </c>
      <c r="FP152" s="139">
        <f t="shared" ref="FP152:FP183" si="198">IF(EF152="", "", EF152*AG$36)</f>
        <v>0</v>
      </c>
      <c r="FQ152" s="139">
        <f t="shared" ref="FQ152:FQ183" si="199">IF(EG152="", "", EG152*AH$36)</f>
        <v>0</v>
      </c>
      <c r="FR152" s="139">
        <f t="shared" ref="FR152:FR183" si="200">IF(EH152="", "", EH152*AI$36)</f>
        <v>0</v>
      </c>
      <c r="FS152" s="139">
        <f t="shared" ref="FS152:FS183" si="201">IF(EI152="", "", EI152*AJ$36)</f>
        <v>0</v>
      </c>
      <c r="FT152" s="139">
        <f t="shared" ref="FT152:FT183" si="202">IF(EJ152="", "", EJ152*AK$36)</f>
        <v>0</v>
      </c>
      <c r="FU152" s="148">
        <f t="shared" ref="FU152:FU183" si="203">IF(EP152="","",SUM(EP152:FT152))</f>
        <v>5.7505800793582091</v>
      </c>
      <c r="FV152" s="149"/>
      <c r="FY152" s="211">
        <v>147</v>
      </c>
      <c r="FZ152">
        <v>5.4901060694627564</v>
      </c>
      <c r="GA152">
        <v>48.475117808811774</v>
      </c>
      <c r="GB152">
        <v>72.893853848278141</v>
      </c>
      <c r="GC152">
        <v>38.522982608217866</v>
      </c>
      <c r="GD152">
        <v>23.802296072455995</v>
      </c>
      <c r="GE152">
        <v>43.842557826121556</v>
      </c>
      <c r="GF152">
        <v>52.119363752304942</v>
      </c>
      <c r="GG152">
        <v>53.553714856080596</v>
      </c>
      <c r="GH152">
        <v>33.807493440454095</v>
      </c>
      <c r="GI152">
        <v>50.134410187714082</v>
      </c>
      <c r="GJ152"/>
      <c r="GK152"/>
      <c r="GL152"/>
      <c r="GM152"/>
    </row>
    <row r="153" spans="1:195" s="7" customFormat="1">
      <c r="A153" s="77"/>
      <c r="B153" s="76">
        <f ca="1">IF(C153="", "", RAND())</f>
        <v>0.24716309194753183</v>
      </c>
      <c r="C153">
        <v>5</v>
      </c>
      <c r="D153">
        <v>39847</v>
      </c>
      <c r="E153">
        <v>0</v>
      </c>
      <c r="F153">
        <v>0</v>
      </c>
      <c r="G153">
        <v>0</v>
      </c>
      <c r="H153">
        <v>0</v>
      </c>
      <c r="I153">
        <v>10.416666666666666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 s="2"/>
      <c r="AK153" s="80"/>
      <c r="AL153" s="74"/>
      <c r="AM153" s="43">
        <v>137</v>
      </c>
      <c r="AN153">
        <v>201.73537889533907</v>
      </c>
      <c r="AO153">
        <v>71.027957929117804</v>
      </c>
      <c r="AP153">
        <v>548.34488831365763</v>
      </c>
      <c r="AQ153">
        <v>404.22226660303164</v>
      </c>
      <c r="AR153">
        <v>64.714088424942716</v>
      </c>
      <c r="AS153">
        <v>530.52635661901638</v>
      </c>
      <c r="AT153">
        <v>34.623334816604938</v>
      </c>
      <c r="AU153">
        <v>32.725678326036714</v>
      </c>
      <c r="AV153"/>
      <c r="AW153"/>
      <c r="AX153" s="151"/>
      <c r="AY153" s="76">
        <f t="shared" ca="1" si="169"/>
        <v>0.28279645121361607</v>
      </c>
      <c r="AZ153">
        <v>6</v>
      </c>
      <c r="BA153" s="129">
        <f t="shared" si="168"/>
        <v>39847</v>
      </c>
      <c r="BB153">
        <v>0</v>
      </c>
      <c r="BC153">
        <v>0</v>
      </c>
      <c r="BD153">
        <v>0</v>
      </c>
      <c r="BE153">
        <v>0</v>
      </c>
      <c r="BF153">
        <v>3</v>
      </c>
      <c r="BG153">
        <v>6</v>
      </c>
      <c r="BH153">
        <v>6</v>
      </c>
      <c r="BI153">
        <v>0</v>
      </c>
      <c r="BJ153">
        <v>0</v>
      </c>
      <c r="BK153">
        <v>0</v>
      </c>
      <c r="BL153">
        <v>1</v>
      </c>
      <c r="BM153">
        <v>0</v>
      </c>
      <c r="BN153">
        <v>0</v>
      </c>
      <c r="BO153">
        <v>0</v>
      </c>
      <c r="BP153">
        <v>0</v>
      </c>
      <c r="BQ153">
        <v>0</v>
      </c>
      <c r="BR153">
        <v>0</v>
      </c>
      <c r="BS153">
        <v>0</v>
      </c>
      <c r="BT153">
        <v>0</v>
      </c>
      <c r="BU153">
        <v>0</v>
      </c>
      <c r="BV153">
        <v>0</v>
      </c>
      <c r="BW153">
        <v>0</v>
      </c>
      <c r="BX153">
        <v>0</v>
      </c>
      <c r="BY153">
        <v>0</v>
      </c>
      <c r="BZ153">
        <v>0</v>
      </c>
      <c r="CA153">
        <v>0</v>
      </c>
      <c r="CB153">
        <v>0</v>
      </c>
      <c r="CC153">
        <v>0</v>
      </c>
      <c r="CD153">
        <v>0</v>
      </c>
      <c r="CE153">
        <v>0</v>
      </c>
      <c r="CF153">
        <v>0</v>
      </c>
      <c r="CG153" s="147"/>
      <c r="CH153" s="176"/>
      <c r="CJ153" s="151"/>
      <c r="CK153" s="76">
        <f t="shared" ref="CK153:CK207" ca="1" si="204">IF(AZ153="", "", RAND())</f>
        <v>0.46142946041923949</v>
      </c>
      <c r="CL153" s="179">
        <f t="shared" ref="CL153:CL207" si="205">IF(AZ153="", "", AZ153)</f>
        <v>6</v>
      </c>
      <c r="CM153" s="180">
        <f t="shared" ref="CM153:CM207" si="206">IF(AZ153="", "", BA153)</f>
        <v>39847</v>
      </c>
      <c r="CN153">
        <v>0</v>
      </c>
      <c r="CO153">
        <v>0</v>
      </c>
      <c r="CP153">
        <v>0</v>
      </c>
      <c r="CQ153">
        <v>0</v>
      </c>
      <c r="CR153">
        <v>0</v>
      </c>
      <c r="CS153">
        <v>0</v>
      </c>
      <c r="CT153">
        <v>0</v>
      </c>
      <c r="CU153">
        <v>0</v>
      </c>
      <c r="CV153" s="160"/>
      <c r="CW153">
        <v>1</v>
      </c>
      <c r="CX153">
        <v>1</v>
      </c>
      <c r="CY153" s="160"/>
      <c r="CZ153" s="177">
        <f t="shared" ref="CZ153:CZ207" si="207">IF(AZ153="", "", $G$15)</f>
        <v>9.6000000000000002E-2</v>
      </c>
      <c r="DB153" s="151"/>
      <c r="DC153" s="76">
        <f t="shared" ca="1" si="170"/>
        <v>0.41040723768310361</v>
      </c>
      <c r="DD153">
        <f t="shared" ref="DD153:DD207" si="208">IF(AZ153="", "", AZ153)</f>
        <v>6</v>
      </c>
      <c r="DE153" s="129">
        <f t="shared" si="167"/>
        <v>39847</v>
      </c>
      <c r="DF153" s="161">
        <f t="shared" ref="DF153:DF187" si="209">IF($AZ153="", "", ((BB153*$CW153)+(CN153*$CX153))/$CZ153)</f>
        <v>0</v>
      </c>
      <c r="DG153" s="161">
        <f t="shared" ref="DG153:DG187" si="210">IF($AZ153="", "", ((BC153*$CW153)+(CO153*$CX153))/$CZ153)</f>
        <v>0</v>
      </c>
      <c r="DH153" s="161">
        <f t="shared" ref="DH153:DH187" si="211">IF($AZ153="", "", ((BD153*$CW153)+(CP153*$CX153))/$CZ153)</f>
        <v>0</v>
      </c>
      <c r="DI153" s="161">
        <f t="shared" ref="DI153:DI187" si="212">IF($AZ153="", "", ((BE153*$CW153)+(CQ153*$CX153))/$CZ153)</f>
        <v>0</v>
      </c>
      <c r="DJ153" s="161">
        <f t="shared" ref="DJ153:DJ187" si="213">IF($AZ153="", "", ((BF153*$CW153)+(CR153*$CX153))/$CZ153)</f>
        <v>31.25</v>
      </c>
      <c r="DK153" s="161">
        <f t="shared" ref="DK153:DK187" si="214">IF($AZ153="", "", ((BG153*$CW153)+(CS153*$CX153))/$CZ153)</f>
        <v>62.5</v>
      </c>
      <c r="DL153" s="161">
        <f t="shared" ref="DL153:DL187" si="215">IF($AZ153="", "", ((BH153*$CW153)+(CT153*$CX153))/$CZ153)</f>
        <v>62.5</v>
      </c>
      <c r="DM153" s="161">
        <f t="shared" ref="DM153:DM187" si="216">IF($AZ153="", "", ((BI153*$CW153)+(CU153*$CX153))/$CZ153)</f>
        <v>0</v>
      </c>
      <c r="DN153" s="161">
        <f t="shared" ref="DN153:DN187" si="217">IF($AZ153="", "", (BJ153*$CW153)/$CZ153)</f>
        <v>0</v>
      </c>
      <c r="DO153" s="161">
        <f t="shared" ref="DO153:DO187" si="218">IF($AZ153="", "", (BK153*$CW153)/$CZ153)</f>
        <v>0</v>
      </c>
      <c r="DP153" s="161">
        <f t="shared" ref="DP153:DP187" si="219">IF($AZ153="", "", (BL153*$CW153)/$CZ153)</f>
        <v>10.416666666666666</v>
      </c>
      <c r="DQ153" s="161">
        <f t="shared" ref="DQ153:DQ187" si="220">IF($AZ153="", "", (BM153*$CW153)/$CZ153)</f>
        <v>0</v>
      </c>
      <c r="DR153" s="161">
        <f t="shared" ref="DR153:DR187" si="221">IF($AZ153="", "", (BN153*$CW153)/$CZ153)</f>
        <v>0</v>
      </c>
      <c r="DS153" s="161">
        <f t="shared" ref="DS153:DS187" si="222">IF($AZ153="", "", (BO153*$CW153)/$CZ153)</f>
        <v>0</v>
      </c>
      <c r="DT153" s="161">
        <f t="shared" ref="DT153:DT187" si="223">IF($AZ153="", "", (BP153*$CW153)/$CZ153)</f>
        <v>0</v>
      </c>
      <c r="DU153" s="161">
        <f t="shared" ref="DU153:DU187" si="224">IF($AZ153="", "", (BQ153*$CW153)/$CZ153)</f>
        <v>0</v>
      </c>
      <c r="DV153" s="161">
        <f t="shared" ref="DV153:DV187" si="225">IF($AZ153="", "", (BR153*$CW153)/$CZ153)</f>
        <v>0</v>
      </c>
      <c r="DW153" s="161">
        <f t="shared" ref="DW153:DW187" si="226">IF($AZ153="", "", (BS153*$CW153)/$CZ153)</f>
        <v>0</v>
      </c>
      <c r="DX153" s="161">
        <f t="shared" ref="DX153:DX187" si="227">IF($AZ153="", "", (BT153*$CW153)/$CZ153)</f>
        <v>0</v>
      </c>
      <c r="DY153" s="161">
        <f t="shared" ref="DY153:DY187" si="228">IF($AZ153="", "", (BU153*$CW153)/$CZ153)</f>
        <v>0</v>
      </c>
      <c r="DZ153" s="161">
        <f t="shared" ref="DZ153:DZ187" si="229">IF($AZ153="", "", (BV153*$CW153)/$CZ153)</f>
        <v>0</v>
      </c>
      <c r="EA153" s="161">
        <f t="shared" ref="EA153:EA187" si="230">IF($AZ153="", "", (BW153*$CW153)/$CZ153)</f>
        <v>0</v>
      </c>
      <c r="EB153" s="161">
        <f t="shared" ref="EB153:EB187" si="231">IF($AZ153="", "", (BX153*$CW153)/$CZ153)</f>
        <v>0</v>
      </c>
      <c r="EC153" s="161">
        <f t="shared" ref="EC153:EC187" si="232">IF($AZ153="", "", (BY153*$CW153)/$CZ153)</f>
        <v>0</v>
      </c>
      <c r="ED153" s="161">
        <f t="shared" ref="ED153:ED187" si="233">IF($AZ153="", "", (BZ153*$CW153)/$CZ153)</f>
        <v>0</v>
      </c>
      <c r="EE153" s="161">
        <f t="shared" ref="EE153:EE187" si="234">IF($AZ153="", "", (CA153*$CW153)/$CZ153)</f>
        <v>0</v>
      </c>
      <c r="EF153" s="161">
        <f t="shared" ref="EF153:EF187" si="235">IF($AZ153="", "", (CB153*$CW153)/$CZ153)</f>
        <v>0</v>
      </c>
      <c r="EG153" s="161">
        <f t="shared" ref="EG153:EG187" si="236">IF($AZ153="", "", (CC153*$CW153)/$CZ153)</f>
        <v>0</v>
      </c>
      <c r="EH153" s="161">
        <f t="shared" ref="EH153:EH187" si="237">IF($AZ153="", "", (CD153*$CW153)/$CZ153)</f>
        <v>0</v>
      </c>
      <c r="EI153" s="161">
        <f t="shared" ref="EI153:EI187" si="238">IF($AZ153="", "", (CE153*$CW153)/$CZ153)</f>
        <v>0</v>
      </c>
      <c r="EJ153" s="161">
        <f t="shared" ref="EJ153:EJ187" si="239">IF($AZ153="", "", (CF153*$CW153)/$CZ153)</f>
        <v>0</v>
      </c>
      <c r="EK153" s="147">
        <f t="shared" si="171"/>
        <v>166.66666666666666</v>
      </c>
      <c r="EL153" s="149"/>
      <c r="EN153" s="151"/>
      <c r="EO153" s="151"/>
      <c r="EP153" s="139">
        <f t="shared" si="172"/>
        <v>0</v>
      </c>
      <c r="EQ153" s="139">
        <f t="shared" si="173"/>
        <v>0</v>
      </c>
      <c r="ER153" s="139">
        <f t="shared" si="174"/>
        <v>0</v>
      </c>
      <c r="ES153" s="139">
        <f t="shared" si="175"/>
        <v>0</v>
      </c>
      <c r="ET153" s="139">
        <f t="shared" si="176"/>
        <v>17.251740238074628</v>
      </c>
      <c r="EU153" s="139">
        <f t="shared" si="177"/>
        <v>65.946640105707289</v>
      </c>
      <c r="EV153" s="139">
        <f t="shared" si="178"/>
        <v>111.95818027363646</v>
      </c>
      <c r="EW153" s="139">
        <f t="shared" si="179"/>
        <v>0</v>
      </c>
      <c r="EX153" s="139">
        <f t="shared" si="180"/>
        <v>0</v>
      </c>
      <c r="EY153" s="139">
        <f t="shared" si="181"/>
        <v>0</v>
      </c>
      <c r="EZ153" s="139">
        <f t="shared" si="182"/>
        <v>82.211297165170407</v>
      </c>
      <c r="FA153" s="139">
        <f t="shared" si="183"/>
        <v>0</v>
      </c>
      <c r="FB153" s="139">
        <f t="shared" si="184"/>
        <v>0</v>
      </c>
      <c r="FC153" s="139">
        <f t="shared" si="185"/>
        <v>0</v>
      </c>
      <c r="FD153" s="139">
        <f t="shared" si="186"/>
        <v>0</v>
      </c>
      <c r="FE153" s="139">
        <f t="shared" si="187"/>
        <v>0</v>
      </c>
      <c r="FF153" s="139">
        <f t="shared" si="188"/>
        <v>0</v>
      </c>
      <c r="FG153" s="139">
        <f t="shared" si="189"/>
        <v>0</v>
      </c>
      <c r="FH153" s="139">
        <f t="shared" si="190"/>
        <v>0</v>
      </c>
      <c r="FI153" s="139">
        <f t="shared" si="191"/>
        <v>0</v>
      </c>
      <c r="FJ153" s="139">
        <f t="shared" si="192"/>
        <v>0</v>
      </c>
      <c r="FK153" s="139">
        <f t="shared" si="193"/>
        <v>0</v>
      </c>
      <c r="FL153" s="139">
        <f t="shared" si="194"/>
        <v>0</v>
      </c>
      <c r="FM153" s="139">
        <f t="shared" si="195"/>
        <v>0</v>
      </c>
      <c r="FN153" s="139">
        <f t="shared" si="196"/>
        <v>0</v>
      </c>
      <c r="FO153" s="139">
        <f t="shared" si="197"/>
        <v>0</v>
      </c>
      <c r="FP153" s="139">
        <f t="shared" si="198"/>
        <v>0</v>
      </c>
      <c r="FQ153" s="139">
        <f t="shared" si="199"/>
        <v>0</v>
      </c>
      <c r="FR153" s="139">
        <f t="shared" si="200"/>
        <v>0</v>
      </c>
      <c r="FS153" s="139">
        <f t="shared" si="201"/>
        <v>0</v>
      </c>
      <c r="FT153" s="139">
        <f t="shared" si="202"/>
        <v>0</v>
      </c>
      <c r="FU153" s="148">
        <f t="shared" si="203"/>
        <v>277.36785778258877</v>
      </c>
      <c r="FV153" s="149"/>
      <c r="FY153" s="211">
        <v>148</v>
      </c>
      <c r="FZ153">
        <v>12.607820773546765</v>
      </c>
      <c r="GA153">
        <v>60.210167829271363</v>
      </c>
      <c r="GB153">
        <v>88.79676569610379</v>
      </c>
      <c r="GC153">
        <v>47.154655206405508</v>
      </c>
      <c r="GD153">
        <v>20.142333804111001</v>
      </c>
      <c r="GE153">
        <v>26.635258862183395</v>
      </c>
      <c r="GF153">
        <v>19.223412758666527</v>
      </c>
      <c r="GG153">
        <v>35.537932735432769</v>
      </c>
      <c r="GH153">
        <v>34.812750543489727</v>
      </c>
      <c r="GI153">
        <v>46.044431012711286</v>
      </c>
      <c r="GJ153"/>
      <c r="GK153"/>
      <c r="GL153"/>
      <c r="GM153"/>
    </row>
    <row r="154" spans="1:195" s="7" customFormat="1">
      <c r="A154" s="77"/>
      <c r="B154" s="76">
        <f ca="1">IF(C154="", "", RAND())</f>
        <v>0.83039300022675766</v>
      </c>
      <c r="C154">
        <v>7</v>
      </c>
      <c r="D154">
        <v>39847</v>
      </c>
      <c r="E154">
        <v>0</v>
      </c>
      <c r="F154">
        <v>0</v>
      </c>
      <c r="G154">
        <v>0</v>
      </c>
      <c r="H154">
        <v>0</v>
      </c>
      <c r="I154">
        <v>62.5</v>
      </c>
      <c r="J154">
        <v>31.25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 s="2"/>
      <c r="AK154" s="80"/>
      <c r="AL154" s="74"/>
      <c r="AM154" s="43">
        <v>138</v>
      </c>
      <c r="AN154">
        <v>167.88062003476986</v>
      </c>
      <c r="AO154">
        <v>49.85734892450769</v>
      </c>
      <c r="AP154">
        <v>353.93323046030571</v>
      </c>
      <c r="AQ154">
        <v>278.06345174300657</v>
      </c>
      <c r="AR154">
        <v>45.888259221827326</v>
      </c>
      <c r="AS154">
        <v>400.71239707175118</v>
      </c>
      <c r="AT154">
        <v>25.579310569395926</v>
      </c>
      <c r="AU154">
        <v>36.550730285925709</v>
      </c>
      <c r="AV154"/>
      <c r="AW154"/>
      <c r="AX154" s="151"/>
      <c r="AY154" s="76">
        <f t="shared" ca="1" si="169"/>
        <v>0.11753769481953502</v>
      </c>
      <c r="AZ154">
        <v>7</v>
      </c>
      <c r="BA154" s="129">
        <f t="shared" si="168"/>
        <v>39847</v>
      </c>
      <c r="BB154">
        <v>0</v>
      </c>
      <c r="BC154">
        <v>0</v>
      </c>
      <c r="BD154">
        <v>0</v>
      </c>
      <c r="BE154">
        <v>0</v>
      </c>
      <c r="BF154">
        <v>6</v>
      </c>
      <c r="BG154">
        <v>3</v>
      </c>
      <c r="BH154">
        <v>0</v>
      </c>
      <c r="BI154">
        <v>0</v>
      </c>
      <c r="BJ154">
        <v>0</v>
      </c>
      <c r="BK154">
        <v>0</v>
      </c>
      <c r="BL154">
        <v>0</v>
      </c>
      <c r="BM154">
        <v>0</v>
      </c>
      <c r="BN154">
        <v>0</v>
      </c>
      <c r="BO154">
        <v>0</v>
      </c>
      <c r="BP154">
        <v>0</v>
      </c>
      <c r="BQ154">
        <v>0</v>
      </c>
      <c r="BR154">
        <v>0</v>
      </c>
      <c r="BS154">
        <v>0</v>
      </c>
      <c r="BT154">
        <v>0</v>
      </c>
      <c r="BU154">
        <v>0</v>
      </c>
      <c r="BV154">
        <v>0</v>
      </c>
      <c r="BW154">
        <v>0</v>
      </c>
      <c r="BX154">
        <v>0</v>
      </c>
      <c r="BY154">
        <v>0</v>
      </c>
      <c r="BZ154">
        <v>0</v>
      </c>
      <c r="CA154">
        <v>0</v>
      </c>
      <c r="CB154">
        <v>0</v>
      </c>
      <c r="CC154">
        <v>0</v>
      </c>
      <c r="CD154">
        <v>0</v>
      </c>
      <c r="CE154">
        <v>0</v>
      </c>
      <c r="CF154">
        <v>0</v>
      </c>
      <c r="CG154" s="147"/>
      <c r="CH154" s="176"/>
      <c r="CJ154" s="151"/>
      <c r="CK154" s="76">
        <f t="shared" ca="1" si="204"/>
        <v>0.67570411678900477</v>
      </c>
      <c r="CL154" s="179">
        <f t="shared" si="205"/>
        <v>7</v>
      </c>
      <c r="CM154" s="180">
        <f t="shared" si="206"/>
        <v>39847</v>
      </c>
      <c r="CN154">
        <v>0</v>
      </c>
      <c r="CO154">
        <v>0</v>
      </c>
      <c r="CP154">
        <v>0</v>
      </c>
      <c r="CQ154">
        <v>0</v>
      </c>
      <c r="CR154">
        <v>0</v>
      </c>
      <c r="CS154">
        <v>0</v>
      </c>
      <c r="CT154">
        <v>0</v>
      </c>
      <c r="CU154">
        <v>0</v>
      </c>
      <c r="CV154" s="160"/>
      <c r="CW154">
        <v>1</v>
      </c>
      <c r="CX154">
        <v>1</v>
      </c>
      <c r="CY154" s="165"/>
      <c r="CZ154" s="177">
        <f t="shared" si="207"/>
        <v>9.6000000000000002E-2</v>
      </c>
      <c r="DB154" s="151"/>
      <c r="DC154" s="76">
        <f t="shared" ca="1" si="170"/>
        <v>0.57436863152762774</v>
      </c>
      <c r="DD154">
        <f t="shared" si="208"/>
        <v>7</v>
      </c>
      <c r="DE154" s="129">
        <f t="shared" si="167"/>
        <v>39847</v>
      </c>
      <c r="DF154" s="161">
        <f t="shared" si="209"/>
        <v>0</v>
      </c>
      <c r="DG154" s="161">
        <f t="shared" si="210"/>
        <v>0</v>
      </c>
      <c r="DH154" s="161">
        <f t="shared" si="211"/>
        <v>0</v>
      </c>
      <c r="DI154" s="161">
        <f t="shared" si="212"/>
        <v>0</v>
      </c>
      <c r="DJ154" s="161">
        <f t="shared" si="213"/>
        <v>62.5</v>
      </c>
      <c r="DK154" s="161">
        <f t="shared" si="214"/>
        <v>31.25</v>
      </c>
      <c r="DL154" s="161">
        <f t="shared" si="215"/>
        <v>0</v>
      </c>
      <c r="DM154" s="161">
        <f t="shared" si="216"/>
        <v>0</v>
      </c>
      <c r="DN154" s="161">
        <f t="shared" si="217"/>
        <v>0</v>
      </c>
      <c r="DO154" s="161">
        <f t="shared" si="218"/>
        <v>0</v>
      </c>
      <c r="DP154" s="161">
        <f t="shared" si="219"/>
        <v>0</v>
      </c>
      <c r="DQ154" s="161">
        <f t="shared" si="220"/>
        <v>0</v>
      </c>
      <c r="DR154" s="161">
        <f t="shared" si="221"/>
        <v>0</v>
      </c>
      <c r="DS154" s="161">
        <f t="shared" si="222"/>
        <v>0</v>
      </c>
      <c r="DT154" s="161">
        <f t="shared" si="223"/>
        <v>0</v>
      </c>
      <c r="DU154" s="161">
        <f t="shared" si="224"/>
        <v>0</v>
      </c>
      <c r="DV154" s="161">
        <f t="shared" si="225"/>
        <v>0</v>
      </c>
      <c r="DW154" s="161">
        <f t="shared" si="226"/>
        <v>0</v>
      </c>
      <c r="DX154" s="161">
        <f t="shared" si="227"/>
        <v>0</v>
      </c>
      <c r="DY154" s="161">
        <f t="shared" si="228"/>
        <v>0</v>
      </c>
      <c r="DZ154" s="161">
        <f t="shared" si="229"/>
        <v>0</v>
      </c>
      <c r="EA154" s="161">
        <f t="shared" si="230"/>
        <v>0</v>
      </c>
      <c r="EB154" s="161">
        <f t="shared" si="231"/>
        <v>0</v>
      </c>
      <c r="EC154" s="161">
        <f t="shared" si="232"/>
        <v>0</v>
      </c>
      <c r="ED154" s="161">
        <f t="shared" si="233"/>
        <v>0</v>
      </c>
      <c r="EE154" s="161">
        <f t="shared" si="234"/>
        <v>0</v>
      </c>
      <c r="EF154" s="161">
        <f t="shared" si="235"/>
        <v>0</v>
      </c>
      <c r="EG154" s="161">
        <f t="shared" si="236"/>
        <v>0</v>
      </c>
      <c r="EH154" s="161">
        <f t="shared" si="237"/>
        <v>0</v>
      </c>
      <c r="EI154" s="161">
        <f t="shared" si="238"/>
        <v>0</v>
      </c>
      <c r="EJ154" s="161">
        <f t="shared" si="239"/>
        <v>0</v>
      </c>
      <c r="EK154" s="147">
        <f t="shared" si="171"/>
        <v>93.75</v>
      </c>
      <c r="EL154" s="149"/>
      <c r="EN154" s="151"/>
      <c r="EO154" s="151"/>
      <c r="EP154" s="139">
        <f t="shared" si="172"/>
        <v>0</v>
      </c>
      <c r="EQ154" s="139">
        <f t="shared" si="173"/>
        <v>0</v>
      </c>
      <c r="ER154" s="139">
        <f t="shared" si="174"/>
        <v>0</v>
      </c>
      <c r="ES154" s="139">
        <f t="shared" si="175"/>
        <v>0</v>
      </c>
      <c r="ET154" s="139">
        <f t="shared" si="176"/>
        <v>34.503480476149257</v>
      </c>
      <c r="EU154" s="139">
        <f t="shared" si="177"/>
        <v>32.973320052853644</v>
      </c>
      <c r="EV154" s="139">
        <f t="shared" si="178"/>
        <v>0</v>
      </c>
      <c r="EW154" s="139">
        <f t="shared" si="179"/>
        <v>0</v>
      </c>
      <c r="EX154" s="139">
        <f t="shared" si="180"/>
        <v>0</v>
      </c>
      <c r="EY154" s="139">
        <f t="shared" si="181"/>
        <v>0</v>
      </c>
      <c r="EZ154" s="139">
        <f t="shared" si="182"/>
        <v>0</v>
      </c>
      <c r="FA154" s="139">
        <f t="shared" si="183"/>
        <v>0</v>
      </c>
      <c r="FB154" s="139">
        <f t="shared" si="184"/>
        <v>0</v>
      </c>
      <c r="FC154" s="139">
        <f t="shared" si="185"/>
        <v>0</v>
      </c>
      <c r="FD154" s="139">
        <f t="shared" si="186"/>
        <v>0</v>
      </c>
      <c r="FE154" s="139">
        <f t="shared" si="187"/>
        <v>0</v>
      </c>
      <c r="FF154" s="139">
        <f t="shared" si="188"/>
        <v>0</v>
      </c>
      <c r="FG154" s="139">
        <f t="shared" si="189"/>
        <v>0</v>
      </c>
      <c r="FH154" s="139">
        <f t="shared" si="190"/>
        <v>0</v>
      </c>
      <c r="FI154" s="139">
        <f t="shared" si="191"/>
        <v>0</v>
      </c>
      <c r="FJ154" s="139">
        <f t="shared" si="192"/>
        <v>0</v>
      </c>
      <c r="FK154" s="139">
        <f t="shared" si="193"/>
        <v>0</v>
      </c>
      <c r="FL154" s="139">
        <f t="shared" si="194"/>
        <v>0</v>
      </c>
      <c r="FM154" s="139">
        <f t="shared" si="195"/>
        <v>0</v>
      </c>
      <c r="FN154" s="139">
        <f t="shared" si="196"/>
        <v>0</v>
      </c>
      <c r="FO154" s="139">
        <f t="shared" si="197"/>
        <v>0</v>
      </c>
      <c r="FP154" s="139">
        <f t="shared" si="198"/>
        <v>0</v>
      </c>
      <c r="FQ154" s="139">
        <f t="shared" si="199"/>
        <v>0</v>
      </c>
      <c r="FR154" s="139">
        <f t="shared" si="200"/>
        <v>0</v>
      </c>
      <c r="FS154" s="139">
        <f t="shared" si="201"/>
        <v>0</v>
      </c>
      <c r="FT154" s="139">
        <f t="shared" si="202"/>
        <v>0</v>
      </c>
      <c r="FU154" s="148">
        <f t="shared" si="203"/>
        <v>67.476800529002901</v>
      </c>
      <c r="FV154" s="149"/>
      <c r="FY154" s="211">
        <v>149</v>
      </c>
      <c r="FZ154">
        <v>6.4021825502079679</v>
      </c>
      <c r="GA154">
        <v>53.79110340241953</v>
      </c>
      <c r="GB154">
        <v>86.159101222527013</v>
      </c>
      <c r="GC154">
        <v>46.116763515424481</v>
      </c>
      <c r="GD154">
        <v>15.738475447871807</v>
      </c>
      <c r="GE154">
        <v>26.748643556890961</v>
      </c>
      <c r="GF154">
        <v>28.026112842239211</v>
      </c>
      <c r="GG154">
        <v>9.4743361989451529</v>
      </c>
      <c r="GH154">
        <v>6.3343451921496969</v>
      </c>
      <c r="GI154">
        <v>38.574115650143369</v>
      </c>
      <c r="GJ154"/>
      <c r="GK154"/>
      <c r="GL154"/>
      <c r="GM154"/>
    </row>
    <row r="155" spans="1:195" s="7" customFormat="1">
      <c r="A155" s="77"/>
      <c r="B155" s="76">
        <f ca="1">IF(C155="", "", RAND())</f>
        <v>0.55508761985902333</v>
      </c>
      <c r="C155">
        <v>2</v>
      </c>
      <c r="D155">
        <v>39847</v>
      </c>
      <c r="E155">
        <v>0</v>
      </c>
      <c r="F155">
        <v>0</v>
      </c>
      <c r="G155">
        <v>797.52604166666663</v>
      </c>
      <c r="H155">
        <v>183.37673611111111</v>
      </c>
      <c r="I155">
        <v>0</v>
      </c>
      <c r="J155">
        <v>173.61111111111111</v>
      </c>
      <c r="K155">
        <v>69.444444444444443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 s="2"/>
      <c r="AK155" s="80"/>
      <c r="AL155" s="74"/>
      <c r="AM155" s="43">
        <v>139</v>
      </c>
      <c r="AN155">
        <v>270.68777708459641</v>
      </c>
      <c r="AO155">
        <v>94.190590749034484</v>
      </c>
      <c r="AP155">
        <v>604.36973810007191</v>
      </c>
      <c r="AQ155">
        <v>495.03274344374495</v>
      </c>
      <c r="AR155">
        <v>83.535339363740292</v>
      </c>
      <c r="AS155">
        <v>672.99985029472805</v>
      </c>
      <c r="AT155">
        <v>47.46459838323333</v>
      </c>
      <c r="AU155">
        <v>87.523579516192683</v>
      </c>
      <c r="AV155"/>
      <c r="AW155"/>
      <c r="AX155" s="151"/>
      <c r="AY155" s="76">
        <f t="shared" ca="1" si="169"/>
        <v>0.46422831228287631</v>
      </c>
      <c r="AZ155">
        <v>8</v>
      </c>
      <c r="BA155" s="129">
        <f t="shared" si="168"/>
        <v>39847</v>
      </c>
      <c r="BB155">
        <v>0</v>
      </c>
      <c r="BC155">
        <v>0</v>
      </c>
      <c r="BD155">
        <v>1</v>
      </c>
      <c r="BE155">
        <v>0</v>
      </c>
      <c r="BF155">
        <v>0</v>
      </c>
      <c r="BG155">
        <v>0</v>
      </c>
      <c r="BH155">
        <v>0</v>
      </c>
      <c r="BI155">
        <v>0</v>
      </c>
      <c r="BJ155">
        <v>0</v>
      </c>
      <c r="BK155">
        <v>0</v>
      </c>
      <c r="BL155">
        <v>0</v>
      </c>
      <c r="BM155">
        <v>0</v>
      </c>
      <c r="BN155">
        <v>0</v>
      </c>
      <c r="BO155">
        <v>0</v>
      </c>
      <c r="BP155">
        <v>0</v>
      </c>
      <c r="BQ155">
        <v>0</v>
      </c>
      <c r="BR155">
        <v>0</v>
      </c>
      <c r="BS155">
        <v>0</v>
      </c>
      <c r="BT155">
        <v>0</v>
      </c>
      <c r="BU155">
        <v>0</v>
      </c>
      <c r="BV155">
        <v>0</v>
      </c>
      <c r="BW155">
        <v>0</v>
      </c>
      <c r="BX155">
        <v>0</v>
      </c>
      <c r="BY155">
        <v>0</v>
      </c>
      <c r="BZ155">
        <v>0</v>
      </c>
      <c r="CA155">
        <v>0</v>
      </c>
      <c r="CB155">
        <v>0</v>
      </c>
      <c r="CC155">
        <v>0</v>
      </c>
      <c r="CD155">
        <v>0</v>
      </c>
      <c r="CE155">
        <v>0</v>
      </c>
      <c r="CF155">
        <v>0</v>
      </c>
      <c r="CG155" s="147"/>
      <c r="CH155" s="176"/>
      <c r="CJ155" s="151"/>
      <c r="CK155" s="76">
        <f t="shared" ca="1" si="204"/>
        <v>0.77515057387734787</v>
      </c>
      <c r="CL155" s="179">
        <f t="shared" si="205"/>
        <v>8</v>
      </c>
      <c r="CM155" s="180">
        <f t="shared" si="206"/>
        <v>39847</v>
      </c>
      <c r="CN155">
        <v>0</v>
      </c>
      <c r="CO155">
        <v>0</v>
      </c>
      <c r="CP155">
        <v>0</v>
      </c>
      <c r="CQ155">
        <v>0</v>
      </c>
      <c r="CR155">
        <v>0</v>
      </c>
      <c r="CS155">
        <v>0</v>
      </c>
      <c r="CT155">
        <v>0</v>
      </c>
      <c r="CU155">
        <v>0</v>
      </c>
      <c r="CV155" s="160"/>
      <c r="CW155">
        <v>1</v>
      </c>
      <c r="CX155">
        <f>360/54</f>
        <v>6.666666666666667</v>
      </c>
      <c r="CY155" s="165"/>
      <c r="CZ155" s="177">
        <f t="shared" si="207"/>
        <v>9.6000000000000002E-2</v>
      </c>
      <c r="DB155" s="151"/>
      <c r="DC155" s="76">
        <f t="shared" ca="1" si="170"/>
        <v>0.61622959809287536</v>
      </c>
      <c r="DD155">
        <f t="shared" si="208"/>
        <v>8</v>
      </c>
      <c r="DE155" s="129">
        <f t="shared" si="167"/>
        <v>39847</v>
      </c>
      <c r="DF155" s="161">
        <f t="shared" si="209"/>
        <v>0</v>
      </c>
      <c r="DG155" s="161">
        <f t="shared" si="210"/>
        <v>0</v>
      </c>
      <c r="DH155" s="161">
        <f t="shared" si="211"/>
        <v>10.416666666666666</v>
      </c>
      <c r="DI155" s="161">
        <f t="shared" si="212"/>
        <v>0</v>
      </c>
      <c r="DJ155" s="161">
        <f t="shared" si="213"/>
        <v>0</v>
      </c>
      <c r="DK155" s="161">
        <f t="shared" si="214"/>
        <v>0</v>
      </c>
      <c r="DL155" s="161">
        <f t="shared" si="215"/>
        <v>0</v>
      </c>
      <c r="DM155" s="161">
        <f t="shared" si="216"/>
        <v>0</v>
      </c>
      <c r="DN155" s="161">
        <f t="shared" si="217"/>
        <v>0</v>
      </c>
      <c r="DO155" s="161">
        <f t="shared" si="218"/>
        <v>0</v>
      </c>
      <c r="DP155" s="161">
        <f t="shared" si="219"/>
        <v>0</v>
      </c>
      <c r="DQ155" s="161">
        <f t="shared" si="220"/>
        <v>0</v>
      </c>
      <c r="DR155" s="161">
        <f t="shared" si="221"/>
        <v>0</v>
      </c>
      <c r="DS155" s="161">
        <f t="shared" si="222"/>
        <v>0</v>
      </c>
      <c r="DT155" s="161">
        <f t="shared" si="223"/>
        <v>0</v>
      </c>
      <c r="DU155" s="161">
        <f t="shared" si="224"/>
        <v>0</v>
      </c>
      <c r="DV155" s="161">
        <f t="shared" si="225"/>
        <v>0</v>
      </c>
      <c r="DW155" s="161">
        <f t="shared" si="226"/>
        <v>0</v>
      </c>
      <c r="DX155" s="161">
        <f t="shared" si="227"/>
        <v>0</v>
      </c>
      <c r="DY155" s="161">
        <f t="shared" si="228"/>
        <v>0</v>
      </c>
      <c r="DZ155" s="161">
        <f t="shared" si="229"/>
        <v>0</v>
      </c>
      <c r="EA155" s="161">
        <f t="shared" si="230"/>
        <v>0</v>
      </c>
      <c r="EB155" s="161">
        <f t="shared" si="231"/>
        <v>0</v>
      </c>
      <c r="EC155" s="161">
        <f t="shared" si="232"/>
        <v>0</v>
      </c>
      <c r="ED155" s="161">
        <f t="shared" si="233"/>
        <v>0</v>
      </c>
      <c r="EE155" s="161">
        <f t="shared" si="234"/>
        <v>0</v>
      </c>
      <c r="EF155" s="161">
        <f t="shared" si="235"/>
        <v>0</v>
      </c>
      <c r="EG155" s="161">
        <f t="shared" si="236"/>
        <v>0</v>
      </c>
      <c r="EH155" s="161">
        <f t="shared" si="237"/>
        <v>0</v>
      </c>
      <c r="EI155" s="161">
        <f t="shared" si="238"/>
        <v>0</v>
      </c>
      <c r="EJ155" s="161">
        <f t="shared" si="239"/>
        <v>0</v>
      </c>
      <c r="EK155" s="147">
        <f t="shared" si="171"/>
        <v>10.416666666666666</v>
      </c>
      <c r="EL155" s="149"/>
      <c r="EN155" s="151"/>
      <c r="EO155" s="151"/>
      <c r="EP155" s="139">
        <f t="shared" si="172"/>
        <v>0</v>
      </c>
      <c r="EQ155" s="139">
        <f t="shared" si="173"/>
        <v>0</v>
      </c>
      <c r="ER155" s="139">
        <f t="shared" si="174"/>
        <v>0.76881452219105906</v>
      </c>
      <c r="ES155" s="139">
        <f t="shared" si="175"/>
        <v>0</v>
      </c>
      <c r="ET155" s="139">
        <f t="shared" si="176"/>
        <v>0</v>
      </c>
      <c r="EU155" s="139">
        <f t="shared" si="177"/>
        <v>0</v>
      </c>
      <c r="EV155" s="139">
        <f t="shared" si="178"/>
        <v>0</v>
      </c>
      <c r="EW155" s="139">
        <f t="shared" si="179"/>
        <v>0</v>
      </c>
      <c r="EX155" s="139">
        <f t="shared" si="180"/>
        <v>0</v>
      </c>
      <c r="EY155" s="139">
        <f t="shared" si="181"/>
        <v>0</v>
      </c>
      <c r="EZ155" s="139">
        <f t="shared" si="182"/>
        <v>0</v>
      </c>
      <c r="FA155" s="139">
        <f t="shared" si="183"/>
        <v>0</v>
      </c>
      <c r="FB155" s="139">
        <f t="shared" si="184"/>
        <v>0</v>
      </c>
      <c r="FC155" s="139">
        <f t="shared" si="185"/>
        <v>0</v>
      </c>
      <c r="FD155" s="139">
        <f t="shared" si="186"/>
        <v>0</v>
      </c>
      <c r="FE155" s="139">
        <f t="shared" si="187"/>
        <v>0</v>
      </c>
      <c r="FF155" s="139">
        <f t="shared" si="188"/>
        <v>0</v>
      </c>
      <c r="FG155" s="139">
        <f t="shared" si="189"/>
        <v>0</v>
      </c>
      <c r="FH155" s="139">
        <f t="shared" si="190"/>
        <v>0</v>
      </c>
      <c r="FI155" s="139">
        <f t="shared" si="191"/>
        <v>0</v>
      </c>
      <c r="FJ155" s="139">
        <f t="shared" si="192"/>
        <v>0</v>
      </c>
      <c r="FK155" s="139">
        <f t="shared" si="193"/>
        <v>0</v>
      </c>
      <c r="FL155" s="139">
        <f t="shared" si="194"/>
        <v>0</v>
      </c>
      <c r="FM155" s="139">
        <f t="shared" si="195"/>
        <v>0</v>
      </c>
      <c r="FN155" s="139">
        <f t="shared" si="196"/>
        <v>0</v>
      </c>
      <c r="FO155" s="139">
        <f t="shared" si="197"/>
        <v>0</v>
      </c>
      <c r="FP155" s="139">
        <f t="shared" si="198"/>
        <v>0</v>
      </c>
      <c r="FQ155" s="139">
        <f t="shared" si="199"/>
        <v>0</v>
      </c>
      <c r="FR155" s="139">
        <f t="shared" si="200"/>
        <v>0</v>
      </c>
      <c r="FS155" s="139">
        <f t="shared" si="201"/>
        <v>0</v>
      </c>
      <c r="FT155" s="139">
        <f t="shared" si="202"/>
        <v>0</v>
      </c>
      <c r="FU155" s="148">
        <f t="shared" si="203"/>
        <v>0.76881452219105906</v>
      </c>
      <c r="FV155" s="149"/>
      <c r="FY155" s="211">
        <v>150</v>
      </c>
      <c r="FZ155">
        <v>23.758872106585514</v>
      </c>
      <c r="GA155">
        <v>63.510433209018018</v>
      </c>
      <c r="GB155">
        <v>55.933392151183689</v>
      </c>
      <c r="GC155">
        <v>29.099883184940698</v>
      </c>
      <c r="GD155">
        <v>18.256095263144818</v>
      </c>
      <c r="GE155">
        <v>47.116215375370146</v>
      </c>
      <c r="GF155">
        <v>86.418941772455767</v>
      </c>
      <c r="GG155">
        <v>69.826175784446463</v>
      </c>
      <c r="GH155">
        <v>36.314132292899913</v>
      </c>
      <c r="GI155">
        <v>51.973166422885356</v>
      </c>
      <c r="GJ155"/>
      <c r="GK155"/>
      <c r="GL155"/>
      <c r="GM155"/>
    </row>
    <row r="156" spans="1:195" s="7" customFormat="1">
      <c r="A156" s="77"/>
      <c r="B156" s="76">
        <f ca="1">IF(C156="", "", RAND())</f>
        <v>5.2727236095448049E-2</v>
      </c>
      <c r="C156">
        <v>10</v>
      </c>
      <c r="D156">
        <v>39847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10.416666666666666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 s="2"/>
      <c r="AK156" s="80"/>
      <c r="AL156" s="74"/>
      <c r="AM156" s="43">
        <v>140</v>
      </c>
      <c r="AN156">
        <v>267.93159736551684</v>
      </c>
      <c r="AO156">
        <v>101.79348925403742</v>
      </c>
      <c r="AP156">
        <v>806.30866086158426</v>
      </c>
      <c r="AQ156">
        <v>557.70164493163998</v>
      </c>
      <c r="AR156">
        <v>91.939307059477585</v>
      </c>
      <c r="AS156">
        <v>704.0999547018306</v>
      </c>
      <c r="AT156">
        <v>49.15406480443604</v>
      </c>
      <c r="AU156">
        <v>119.07011322319566</v>
      </c>
      <c r="AV156"/>
      <c r="AW156"/>
      <c r="AX156" s="151"/>
      <c r="AY156" s="76">
        <f t="shared" ca="1" si="169"/>
        <v>9.4406191619205382E-2</v>
      </c>
      <c r="AZ156">
        <v>9</v>
      </c>
      <c r="BA156" s="129">
        <f t="shared" si="168"/>
        <v>39847</v>
      </c>
      <c r="BB156">
        <v>0</v>
      </c>
      <c r="BC156">
        <v>0</v>
      </c>
      <c r="BD156">
        <v>0</v>
      </c>
      <c r="BE156">
        <v>0</v>
      </c>
      <c r="BF156">
        <v>4</v>
      </c>
      <c r="BG156">
        <v>1</v>
      </c>
      <c r="BH156">
        <v>0</v>
      </c>
      <c r="BI156">
        <v>0</v>
      </c>
      <c r="BJ156">
        <v>0</v>
      </c>
      <c r="BK156">
        <v>0</v>
      </c>
      <c r="BL156">
        <v>0</v>
      </c>
      <c r="BM156">
        <v>0</v>
      </c>
      <c r="BN156">
        <v>0</v>
      </c>
      <c r="BO156">
        <v>0</v>
      </c>
      <c r="BP156">
        <v>0</v>
      </c>
      <c r="BQ156">
        <v>0</v>
      </c>
      <c r="BR156">
        <v>0</v>
      </c>
      <c r="BS156">
        <v>0</v>
      </c>
      <c r="BT156">
        <v>0</v>
      </c>
      <c r="BU156">
        <v>0</v>
      </c>
      <c r="BV156">
        <v>0</v>
      </c>
      <c r="BW156">
        <v>0</v>
      </c>
      <c r="BX156">
        <v>0</v>
      </c>
      <c r="BY156">
        <v>0</v>
      </c>
      <c r="BZ156">
        <v>0</v>
      </c>
      <c r="CA156">
        <v>0</v>
      </c>
      <c r="CB156">
        <v>0</v>
      </c>
      <c r="CC156">
        <v>0</v>
      </c>
      <c r="CD156">
        <v>0</v>
      </c>
      <c r="CE156">
        <v>0</v>
      </c>
      <c r="CF156">
        <v>0</v>
      </c>
      <c r="CG156" s="147"/>
      <c r="CH156" s="176"/>
      <c r="CJ156" s="151"/>
      <c r="CK156" s="76">
        <f t="shared" ca="1" si="204"/>
        <v>0.37808922137856094</v>
      </c>
      <c r="CL156" s="179">
        <f t="shared" si="205"/>
        <v>9</v>
      </c>
      <c r="CM156" s="180">
        <f t="shared" si="206"/>
        <v>39847</v>
      </c>
      <c r="CN156" s="221">
        <v>0</v>
      </c>
      <c r="CO156">
        <v>0</v>
      </c>
      <c r="CP156">
        <v>0</v>
      </c>
      <c r="CQ156">
        <v>0</v>
      </c>
      <c r="CR156">
        <v>0</v>
      </c>
      <c r="CS156">
        <v>0</v>
      </c>
      <c r="CT156">
        <v>0</v>
      </c>
      <c r="CU156">
        <v>0</v>
      </c>
      <c r="CV156" s="160"/>
      <c r="CW156">
        <v>1</v>
      </c>
      <c r="CX156">
        <f>350/56</f>
        <v>6.25</v>
      </c>
      <c r="CY156" s="165"/>
      <c r="CZ156" s="177">
        <f t="shared" si="207"/>
        <v>9.6000000000000002E-2</v>
      </c>
      <c r="DB156" s="151"/>
      <c r="DC156" s="76">
        <f t="shared" ca="1" si="170"/>
        <v>0.73219499559829249</v>
      </c>
      <c r="DD156">
        <f t="shared" si="208"/>
        <v>9</v>
      </c>
      <c r="DE156" s="129">
        <f t="shared" si="167"/>
        <v>39847</v>
      </c>
      <c r="DF156" s="161">
        <f t="shared" si="209"/>
        <v>0</v>
      </c>
      <c r="DG156" s="161">
        <f t="shared" si="210"/>
        <v>0</v>
      </c>
      <c r="DH156" s="161">
        <f t="shared" si="211"/>
        <v>0</v>
      </c>
      <c r="DI156" s="161">
        <f t="shared" si="212"/>
        <v>0</v>
      </c>
      <c r="DJ156" s="161">
        <f t="shared" si="213"/>
        <v>41.666666666666664</v>
      </c>
      <c r="DK156" s="161">
        <f t="shared" si="214"/>
        <v>10.416666666666666</v>
      </c>
      <c r="DL156" s="161">
        <f t="shared" si="215"/>
        <v>0</v>
      </c>
      <c r="DM156" s="161">
        <f t="shared" si="216"/>
        <v>0</v>
      </c>
      <c r="DN156" s="161">
        <f t="shared" si="217"/>
        <v>0</v>
      </c>
      <c r="DO156" s="161">
        <f t="shared" si="218"/>
        <v>0</v>
      </c>
      <c r="DP156" s="161">
        <f t="shared" si="219"/>
        <v>0</v>
      </c>
      <c r="DQ156" s="161">
        <f t="shared" si="220"/>
        <v>0</v>
      </c>
      <c r="DR156" s="161">
        <f t="shared" si="221"/>
        <v>0</v>
      </c>
      <c r="DS156" s="161">
        <f t="shared" si="222"/>
        <v>0</v>
      </c>
      <c r="DT156" s="161">
        <f t="shared" si="223"/>
        <v>0</v>
      </c>
      <c r="DU156" s="161">
        <f t="shared" si="224"/>
        <v>0</v>
      </c>
      <c r="DV156" s="161">
        <f t="shared" si="225"/>
        <v>0</v>
      </c>
      <c r="DW156" s="161">
        <f t="shared" si="226"/>
        <v>0</v>
      </c>
      <c r="DX156" s="161">
        <f t="shared" si="227"/>
        <v>0</v>
      </c>
      <c r="DY156" s="161">
        <f t="shared" si="228"/>
        <v>0</v>
      </c>
      <c r="DZ156" s="161">
        <f t="shared" si="229"/>
        <v>0</v>
      </c>
      <c r="EA156" s="161">
        <f t="shared" si="230"/>
        <v>0</v>
      </c>
      <c r="EB156" s="161">
        <f t="shared" si="231"/>
        <v>0</v>
      </c>
      <c r="EC156" s="161">
        <f t="shared" si="232"/>
        <v>0</v>
      </c>
      <c r="ED156" s="161">
        <f t="shared" si="233"/>
        <v>0</v>
      </c>
      <c r="EE156" s="161">
        <f t="shared" si="234"/>
        <v>0</v>
      </c>
      <c r="EF156" s="161">
        <f t="shared" si="235"/>
        <v>0</v>
      </c>
      <c r="EG156" s="161">
        <f t="shared" si="236"/>
        <v>0</v>
      </c>
      <c r="EH156" s="161">
        <f t="shared" si="237"/>
        <v>0</v>
      </c>
      <c r="EI156" s="161">
        <f t="shared" si="238"/>
        <v>0</v>
      </c>
      <c r="EJ156" s="161">
        <f t="shared" si="239"/>
        <v>0</v>
      </c>
      <c r="EK156" s="147">
        <f t="shared" si="171"/>
        <v>52.083333333333329</v>
      </c>
      <c r="EL156" s="149"/>
      <c r="EN156" s="151"/>
      <c r="EO156" s="151"/>
      <c r="EP156" s="139">
        <f t="shared" si="172"/>
        <v>0</v>
      </c>
      <c r="EQ156" s="139">
        <f t="shared" si="173"/>
        <v>0</v>
      </c>
      <c r="ER156" s="139">
        <f t="shared" si="174"/>
        <v>0</v>
      </c>
      <c r="ES156" s="139">
        <f t="shared" si="175"/>
        <v>0</v>
      </c>
      <c r="ET156" s="139">
        <f t="shared" si="176"/>
        <v>23.002320317432837</v>
      </c>
      <c r="EU156" s="139">
        <f t="shared" si="177"/>
        <v>10.991106684284548</v>
      </c>
      <c r="EV156" s="139">
        <f t="shared" si="178"/>
        <v>0</v>
      </c>
      <c r="EW156" s="139">
        <f t="shared" si="179"/>
        <v>0</v>
      </c>
      <c r="EX156" s="139">
        <f t="shared" si="180"/>
        <v>0</v>
      </c>
      <c r="EY156" s="139">
        <f t="shared" si="181"/>
        <v>0</v>
      </c>
      <c r="EZ156" s="139">
        <f t="shared" si="182"/>
        <v>0</v>
      </c>
      <c r="FA156" s="139">
        <f t="shared" si="183"/>
        <v>0</v>
      </c>
      <c r="FB156" s="139">
        <f t="shared" si="184"/>
        <v>0</v>
      </c>
      <c r="FC156" s="139">
        <f t="shared" si="185"/>
        <v>0</v>
      </c>
      <c r="FD156" s="139">
        <f t="shared" si="186"/>
        <v>0</v>
      </c>
      <c r="FE156" s="139">
        <f t="shared" si="187"/>
        <v>0</v>
      </c>
      <c r="FF156" s="139">
        <f t="shared" si="188"/>
        <v>0</v>
      </c>
      <c r="FG156" s="139">
        <f t="shared" si="189"/>
        <v>0</v>
      </c>
      <c r="FH156" s="139">
        <f t="shared" si="190"/>
        <v>0</v>
      </c>
      <c r="FI156" s="139">
        <f t="shared" si="191"/>
        <v>0</v>
      </c>
      <c r="FJ156" s="139">
        <f t="shared" si="192"/>
        <v>0</v>
      </c>
      <c r="FK156" s="139">
        <f t="shared" si="193"/>
        <v>0</v>
      </c>
      <c r="FL156" s="139">
        <f t="shared" si="194"/>
        <v>0</v>
      </c>
      <c r="FM156" s="139">
        <f t="shared" si="195"/>
        <v>0</v>
      </c>
      <c r="FN156" s="139">
        <f t="shared" si="196"/>
        <v>0</v>
      </c>
      <c r="FO156" s="139">
        <f t="shared" si="197"/>
        <v>0</v>
      </c>
      <c r="FP156" s="139">
        <f t="shared" si="198"/>
        <v>0</v>
      </c>
      <c r="FQ156" s="139">
        <f t="shared" si="199"/>
        <v>0</v>
      </c>
      <c r="FR156" s="139">
        <f t="shared" si="200"/>
        <v>0</v>
      </c>
      <c r="FS156" s="139">
        <f t="shared" si="201"/>
        <v>0</v>
      </c>
      <c r="FT156" s="139">
        <f t="shared" si="202"/>
        <v>0</v>
      </c>
      <c r="FU156" s="148">
        <f t="shared" si="203"/>
        <v>33.993427001717386</v>
      </c>
      <c r="FV156" s="149"/>
      <c r="FY156" s="211">
        <v>151</v>
      </c>
      <c r="FZ156">
        <v>6.4773904811896452</v>
      </c>
      <c r="GA156">
        <v>34.429962444798328</v>
      </c>
      <c r="GB156">
        <v>97.598790578218569</v>
      </c>
      <c r="GC156">
        <v>54.095181731840519</v>
      </c>
      <c r="GD156">
        <v>11.780943543940019</v>
      </c>
      <c r="GE156">
        <v>41.081637681310582</v>
      </c>
      <c r="GF156">
        <v>106.12979806329352</v>
      </c>
      <c r="GG156">
        <v>59.630069977430047</v>
      </c>
      <c r="GH156">
        <v>13.271259712172625</v>
      </c>
      <c r="GI156">
        <v>56.259952670672597</v>
      </c>
      <c r="GJ156"/>
      <c r="GK156"/>
      <c r="GL156"/>
      <c r="GM156"/>
    </row>
    <row r="157" spans="1:195" s="7" customFormat="1">
      <c r="A157" s="77"/>
      <c r="B157" s="76">
        <f ca="1">IF(C157="", "", RAND())</f>
        <v>0.92608045864331245</v>
      </c>
      <c r="C157">
        <v>9</v>
      </c>
      <c r="D157">
        <v>39847</v>
      </c>
      <c r="E157">
        <v>0</v>
      </c>
      <c r="F157">
        <v>0</v>
      </c>
      <c r="G157">
        <v>0</v>
      </c>
      <c r="H157">
        <v>0</v>
      </c>
      <c r="I157">
        <v>41.666666666666664</v>
      </c>
      <c r="J157">
        <v>10.416666666666666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 s="2"/>
      <c r="AK157" s="80"/>
      <c r="AL157" s="74"/>
      <c r="AM157" s="43">
        <v>141</v>
      </c>
      <c r="AN157">
        <v>250.9729615056896</v>
      </c>
      <c r="AO157">
        <v>80.044518158506406</v>
      </c>
      <c r="AP157">
        <v>617.75704323801858</v>
      </c>
      <c r="AQ157">
        <v>452.72397162055967</v>
      </c>
      <c r="AR157">
        <v>72.869843729574271</v>
      </c>
      <c r="AS157">
        <v>613.96884528353985</v>
      </c>
      <c r="AT157">
        <v>36.463240250228708</v>
      </c>
      <c r="AU157">
        <v>50.920324475136638</v>
      </c>
      <c r="AV157"/>
      <c r="AW157"/>
      <c r="AX157" s="151"/>
      <c r="AY157" s="76">
        <f t="shared" ca="1" si="169"/>
        <v>0.6937097691738785</v>
      </c>
      <c r="AZ157">
        <v>10</v>
      </c>
      <c r="BA157" s="129">
        <f t="shared" si="168"/>
        <v>39847</v>
      </c>
      <c r="BB157">
        <v>0</v>
      </c>
      <c r="BC157">
        <v>0</v>
      </c>
      <c r="BD157">
        <v>0</v>
      </c>
      <c r="BE157">
        <v>0</v>
      </c>
      <c r="BF157">
        <v>0</v>
      </c>
      <c r="BG157">
        <v>1</v>
      </c>
      <c r="BH157">
        <v>0</v>
      </c>
      <c r="BI157">
        <v>0</v>
      </c>
      <c r="BJ157">
        <v>0</v>
      </c>
      <c r="BK157">
        <v>0</v>
      </c>
      <c r="BL157">
        <v>0</v>
      </c>
      <c r="BM157">
        <v>0</v>
      </c>
      <c r="BN157">
        <v>0</v>
      </c>
      <c r="BO157">
        <v>0</v>
      </c>
      <c r="BP157">
        <v>0</v>
      </c>
      <c r="BQ157">
        <v>0</v>
      </c>
      <c r="BR157">
        <v>0</v>
      </c>
      <c r="BS157">
        <v>0</v>
      </c>
      <c r="BT157">
        <v>0</v>
      </c>
      <c r="BU157">
        <v>0</v>
      </c>
      <c r="BV157">
        <v>0</v>
      </c>
      <c r="BW157">
        <v>0</v>
      </c>
      <c r="BX157">
        <v>0</v>
      </c>
      <c r="BY157">
        <v>0</v>
      </c>
      <c r="BZ157">
        <v>0</v>
      </c>
      <c r="CA157">
        <v>0</v>
      </c>
      <c r="CB157">
        <v>0</v>
      </c>
      <c r="CC157">
        <v>0</v>
      </c>
      <c r="CD157">
        <v>0</v>
      </c>
      <c r="CE157">
        <v>0</v>
      </c>
      <c r="CF157">
        <v>0</v>
      </c>
      <c r="CG157" s="147"/>
      <c r="CH157" s="176"/>
      <c r="CJ157" s="151"/>
      <c r="CK157" s="76">
        <f t="shared" ca="1" si="204"/>
        <v>0.61536223266105061</v>
      </c>
      <c r="CL157" s="179">
        <f t="shared" si="205"/>
        <v>10</v>
      </c>
      <c r="CM157" s="180">
        <f t="shared" si="206"/>
        <v>39847</v>
      </c>
      <c r="CN157">
        <v>0</v>
      </c>
      <c r="CO157">
        <v>0</v>
      </c>
      <c r="CP157">
        <v>0</v>
      </c>
      <c r="CQ157">
        <v>0</v>
      </c>
      <c r="CR157">
        <v>0</v>
      </c>
      <c r="CS157">
        <v>0</v>
      </c>
      <c r="CT157">
        <v>0</v>
      </c>
      <c r="CU157">
        <v>0</v>
      </c>
      <c r="CV157" s="160"/>
      <c r="CW157">
        <v>1</v>
      </c>
      <c r="CX157">
        <v>1</v>
      </c>
      <c r="CY157" s="165"/>
      <c r="CZ157" s="177">
        <f t="shared" si="207"/>
        <v>9.6000000000000002E-2</v>
      </c>
      <c r="DB157" s="151"/>
      <c r="DC157" s="76">
        <f t="shared" ca="1" si="170"/>
        <v>0.63746674715780727</v>
      </c>
      <c r="DD157">
        <f t="shared" si="208"/>
        <v>10</v>
      </c>
      <c r="DE157" s="129">
        <f t="shared" si="167"/>
        <v>39847</v>
      </c>
      <c r="DF157" s="161">
        <f t="shared" si="209"/>
        <v>0</v>
      </c>
      <c r="DG157" s="161">
        <f t="shared" si="210"/>
        <v>0</v>
      </c>
      <c r="DH157" s="161">
        <f t="shared" si="211"/>
        <v>0</v>
      </c>
      <c r="DI157" s="161">
        <f t="shared" si="212"/>
        <v>0</v>
      </c>
      <c r="DJ157" s="161">
        <f t="shared" si="213"/>
        <v>0</v>
      </c>
      <c r="DK157" s="161">
        <f t="shared" si="214"/>
        <v>10.416666666666666</v>
      </c>
      <c r="DL157" s="161">
        <f t="shared" si="215"/>
        <v>0</v>
      </c>
      <c r="DM157" s="161">
        <f t="shared" si="216"/>
        <v>0</v>
      </c>
      <c r="DN157" s="161">
        <f t="shared" si="217"/>
        <v>0</v>
      </c>
      <c r="DO157" s="161">
        <f t="shared" si="218"/>
        <v>0</v>
      </c>
      <c r="DP157" s="161">
        <f t="shared" si="219"/>
        <v>0</v>
      </c>
      <c r="DQ157" s="161">
        <f t="shared" si="220"/>
        <v>0</v>
      </c>
      <c r="DR157" s="161">
        <f t="shared" si="221"/>
        <v>0</v>
      </c>
      <c r="DS157" s="161">
        <f t="shared" si="222"/>
        <v>0</v>
      </c>
      <c r="DT157" s="161">
        <f t="shared" si="223"/>
        <v>0</v>
      </c>
      <c r="DU157" s="161">
        <f t="shared" si="224"/>
        <v>0</v>
      </c>
      <c r="DV157" s="161">
        <f t="shared" si="225"/>
        <v>0</v>
      </c>
      <c r="DW157" s="161">
        <f t="shared" si="226"/>
        <v>0</v>
      </c>
      <c r="DX157" s="161">
        <f t="shared" si="227"/>
        <v>0</v>
      </c>
      <c r="DY157" s="161">
        <f t="shared" si="228"/>
        <v>0</v>
      </c>
      <c r="DZ157" s="161">
        <f t="shared" si="229"/>
        <v>0</v>
      </c>
      <c r="EA157" s="161">
        <f t="shared" si="230"/>
        <v>0</v>
      </c>
      <c r="EB157" s="161">
        <f t="shared" si="231"/>
        <v>0</v>
      </c>
      <c r="EC157" s="161">
        <f t="shared" si="232"/>
        <v>0</v>
      </c>
      <c r="ED157" s="161">
        <f t="shared" si="233"/>
        <v>0</v>
      </c>
      <c r="EE157" s="161">
        <f t="shared" si="234"/>
        <v>0</v>
      </c>
      <c r="EF157" s="161">
        <f t="shared" si="235"/>
        <v>0</v>
      </c>
      <c r="EG157" s="161">
        <f t="shared" si="236"/>
        <v>0</v>
      </c>
      <c r="EH157" s="161">
        <f t="shared" si="237"/>
        <v>0</v>
      </c>
      <c r="EI157" s="161">
        <f t="shared" si="238"/>
        <v>0</v>
      </c>
      <c r="EJ157" s="161">
        <f t="shared" si="239"/>
        <v>0</v>
      </c>
      <c r="EK157" s="147">
        <f t="shared" si="171"/>
        <v>10.416666666666666</v>
      </c>
      <c r="EL157" s="149"/>
      <c r="EN157" s="151"/>
      <c r="EO157" s="151"/>
      <c r="EP157" s="139">
        <f t="shared" si="172"/>
        <v>0</v>
      </c>
      <c r="EQ157" s="139">
        <f t="shared" si="173"/>
        <v>0</v>
      </c>
      <c r="ER157" s="139">
        <f t="shared" si="174"/>
        <v>0</v>
      </c>
      <c r="ES157" s="139">
        <f t="shared" si="175"/>
        <v>0</v>
      </c>
      <c r="ET157" s="139">
        <f t="shared" si="176"/>
        <v>0</v>
      </c>
      <c r="EU157" s="139">
        <f t="shared" si="177"/>
        <v>10.991106684284548</v>
      </c>
      <c r="EV157" s="139">
        <f t="shared" si="178"/>
        <v>0</v>
      </c>
      <c r="EW157" s="139">
        <f t="shared" si="179"/>
        <v>0</v>
      </c>
      <c r="EX157" s="139">
        <f t="shared" si="180"/>
        <v>0</v>
      </c>
      <c r="EY157" s="139">
        <f t="shared" si="181"/>
        <v>0</v>
      </c>
      <c r="EZ157" s="139">
        <f t="shared" si="182"/>
        <v>0</v>
      </c>
      <c r="FA157" s="139">
        <f t="shared" si="183"/>
        <v>0</v>
      </c>
      <c r="FB157" s="139">
        <f t="shared" si="184"/>
        <v>0</v>
      </c>
      <c r="FC157" s="139">
        <f t="shared" si="185"/>
        <v>0</v>
      </c>
      <c r="FD157" s="139">
        <f t="shared" si="186"/>
        <v>0</v>
      </c>
      <c r="FE157" s="139">
        <f t="shared" si="187"/>
        <v>0</v>
      </c>
      <c r="FF157" s="139">
        <f t="shared" si="188"/>
        <v>0</v>
      </c>
      <c r="FG157" s="139">
        <f t="shared" si="189"/>
        <v>0</v>
      </c>
      <c r="FH157" s="139">
        <f t="shared" si="190"/>
        <v>0</v>
      </c>
      <c r="FI157" s="139">
        <f t="shared" si="191"/>
        <v>0</v>
      </c>
      <c r="FJ157" s="139">
        <f t="shared" si="192"/>
        <v>0</v>
      </c>
      <c r="FK157" s="139">
        <f t="shared" si="193"/>
        <v>0</v>
      </c>
      <c r="FL157" s="139">
        <f t="shared" si="194"/>
        <v>0</v>
      </c>
      <c r="FM157" s="139">
        <f t="shared" si="195"/>
        <v>0</v>
      </c>
      <c r="FN157" s="139">
        <f t="shared" si="196"/>
        <v>0</v>
      </c>
      <c r="FO157" s="139">
        <f t="shared" si="197"/>
        <v>0</v>
      </c>
      <c r="FP157" s="139">
        <f t="shared" si="198"/>
        <v>0</v>
      </c>
      <c r="FQ157" s="139">
        <f t="shared" si="199"/>
        <v>0</v>
      </c>
      <c r="FR157" s="139">
        <f t="shared" si="200"/>
        <v>0</v>
      </c>
      <c r="FS157" s="139">
        <f t="shared" si="201"/>
        <v>0</v>
      </c>
      <c r="FT157" s="139">
        <f t="shared" si="202"/>
        <v>0</v>
      </c>
      <c r="FU157" s="148">
        <f t="shared" si="203"/>
        <v>10.991106684284548</v>
      </c>
      <c r="FV157" s="149"/>
      <c r="FY157" s="211">
        <v>152</v>
      </c>
      <c r="FZ157">
        <v>36.199858012420108</v>
      </c>
      <c r="GA157">
        <v>82.248418922573308</v>
      </c>
      <c r="GB157">
        <v>87.652573026182253</v>
      </c>
      <c r="GC157">
        <v>45.809538116139855</v>
      </c>
      <c r="GD157">
        <v>24.108237341308374</v>
      </c>
      <c r="GE157">
        <v>61.230991834886879</v>
      </c>
      <c r="GF157">
        <v>77.950733983968817</v>
      </c>
      <c r="GG157">
        <v>54.043914703913096</v>
      </c>
      <c r="GH157">
        <v>33.926698064589253</v>
      </c>
      <c r="GI157">
        <v>63.640791695150199</v>
      </c>
      <c r="GJ157"/>
      <c r="GK157"/>
      <c r="GL157"/>
      <c r="GM157"/>
    </row>
    <row r="158" spans="1:195" s="7" customFormat="1">
      <c r="A158" s="128"/>
      <c r="B158" s="76">
        <f ca="1">IF(C158="", "", RAND())</f>
        <v>0.50734996518023046</v>
      </c>
      <c r="C158">
        <v>2</v>
      </c>
      <c r="D158">
        <v>39910</v>
      </c>
      <c r="E158">
        <v>0</v>
      </c>
      <c r="F158">
        <v>115.94202898550724</v>
      </c>
      <c r="G158">
        <v>0</v>
      </c>
      <c r="H158">
        <v>10.416666666666666</v>
      </c>
      <c r="I158">
        <v>20.833333333333332</v>
      </c>
      <c r="J158">
        <v>20.833333333333332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 s="2"/>
      <c r="AK158" s="80"/>
      <c r="AL158" s="74">
        <v>3.0028000000000028</v>
      </c>
      <c r="AM158" s="43">
        <v>142</v>
      </c>
      <c r="AN158">
        <v>257.61904623040402</v>
      </c>
      <c r="AO158">
        <v>83.737368765520714</v>
      </c>
      <c r="AP158">
        <v>603.51775722838045</v>
      </c>
      <c r="AQ158">
        <v>465.46457061706332</v>
      </c>
      <c r="AR158">
        <v>75.411543191749274</v>
      </c>
      <c r="AS158">
        <v>619.35458099174446</v>
      </c>
      <c r="AT158">
        <v>40.150115617315983</v>
      </c>
      <c r="AU158">
        <v>72.165535031653377</v>
      </c>
      <c r="AV158"/>
      <c r="AW158"/>
      <c r="AX158" s="128"/>
      <c r="AY158" s="76">
        <f t="shared" ca="1" si="169"/>
        <v>1.5338053268276752E-4</v>
      </c>
      <c r="AZ158">
        <v>1</v>
      </c>
      <c r="BA158" s="129">
        <f>IF(AZ158="", "",$C$11)</f>
        <v>39910</v>
      </c>
      <c r="BB158">
        <v>0</v>
      </c>
      <c r="BC158">
        <v>0</v>
      </c>
      <c r="BD158">
        <v>0</v>
      </c>
      <c r="BE158">
        <v>0</v>
      </c>
      <c r="BF158">
        <v>0</v>
      </c>
      <c r="BG158">
        <v>1</v>
      </c>
      <c r="BH158">
        <v>0</v>
      </c>
      <c r="BI158">
        <v>0</v>
      </c>
      <c r="BJ158">
        <v>0</v>
      </c>
      <c r="BK158">
        <v>0</v>
      </c>
      <c r="BL158">
        <v>0</v>
      </c>
      <c r="BM158">
        <v>0</v>
      </c>
      <c r="BN158">
        <v>0</v>
      </c>
      <c r="BO158">
        <v>0</v>
      </c>
      <c r="BP158">
        <v>0</v>
      </c>
      <c r="BQ158">
        <v>0</v>
      </c>
      <c r="BR158">
        <v>0</v>
      </c>
      <c r="BS158">
        <v>0</v>
      </c>
      <c r="BT158">
        <v>0</v>
      </c>
      <c r="BU158">
        <v>0</v>
      </c>
      <c r="BV158">
        <v>0</v>
      </c>
      <c r="BW158">
        <v>0</v>
      </c>
      <c r="BX158">
        <v>0</v>
      </c>
      <c r="BY158">
        <v>0</v>
      </c>
      <c r="BZ158">
        <v>0</v>
      </c>
      <c r="CA158">
        <v>0</v>
      </c>
      <c r="CB158">
        <v>0</v>
      </c>
      <c r="CC158">
        <v>0</v>
      </c>
      <c r="CD158">
        <v>0</v>
      </c>
      <c r="CE158">
        <v>0</v>
      </c>
      <c r="CF158">
        <v>0</v>
      </c>
      <c r="CG158" s="147"/>
      <c r="CH158" s="176"/>
      <c r="CJ158" s="128"/>
      <c r="CK158" s="76">
        <f t="shared" ca="1" si="204"/>
        <v>0.36189649902542387</v>
      </c>
      <c r="CL158" s="179">
        <f t="shared" si="205"/>
        <v>1</v>
      </c>
      <c r="CM158" s="180">
        <f t="shared" si="206"/>
        <v>39910</v>
      </c>
      <c r="CN158">
        <v>0</v>
      </c>
      <c r="CO158">
        <v>0</v>
      </c>
      <c r="CP158">
        <v>0</v>
      </c>
      <c r="CQ158">
        <v>0</v>
      </c>
      <c r="CR158">
        <v>0</v>
      </c>
      <c r="CS158">
        <v>0</v>
      </c>
      <c r="CT158">
        <v>0</v>
      </c>
      <c r="CU158">
        <v>0</v>
      </c>
      <c r="CV158" s="160"/>
      <c r="CW158">
        <v>1</v>
      </c>
      <c r="CX158">
        <v>1</v>
      </c>
      <c r="CY158" s="160"/>
      <c r="CZ158" s="177">
        <f t="shared" si="207"/>
        <v>9.6000000000000002E-2</v>
      </c>
      <c r="DB158" s="128"/>
      <c r="DC158" s="76">
        <f t="shared" ca="1" si="170"/>
        <v>0.36834538156767671</v>
      </c>
      <c r="DD158">
        <f t="shared" si="208"/>
        <v>1</v>
      </c>
      <c r="DE158" s="129">
        <f t="shared" ref="DE158:DE167" si="240">IF((DD158)="", "", $C$11)</f>
        <v>39910</v>
      </c>
      <c r="DF158" s="161">
        <f t="shared" si="209"/>
        <v>0</v>
      </c>
      <c r="DG158" s="161">
        <f t="shared" si="210"/>
        <v>0</v>
      </c>
      <c r="DH158" s="161">
        <f t="shared" si="211"/>
        <v>0</v>
      </c>
      <c r="DI158" s="161">
        <f t="shared" si="212"/>
        <v>0</v>
      </c>
      <c r="DJ158" s="161">
        <f t="shared" si="213"/>
        <v>0</v>
      </c>
      <c r="DK158" s="161">
        <f t="shared" si="214"/>
        <v>10.416666666666666</v>
      </c>
      <c r="DL158" s="161">
        <f t="shared" si="215"/>
        <v>0</v>
      </c>
      <c r="DM158" s="161">
        <f t="shared" si="216"/>
        <v>0</v>
      </c>
      <c r="DN158" s="161">
        <f t="shared" si="217"/>
        <v>0</v>
      </c>
      <c r="DO158" s="161">
        <f t="shared" si="218"/>
        <v>0</v>
      </c>
      <c r="DP158" s="161">
        <f t="shared" si="219"/>
        <v>0</v>
      </c>
      <c r="DQ158" s="161">
        <f t="shared" si="220"/>
        <v>0</v>
      </c>
      <c r="DR158" s="161">
        <f t="shared" si="221"/>
        <v>0</v>
      </c>
      <c r="DS158" s="161">
        <f t="shared" si="222"/>
        <v>0</v>
      </c>
      <c r="DT158" s="161">
        <f t="shared" si="223"/>
        <v>0</v>
      </c>
      <c r="DU158" s="161">
        <f t="shared" si="224"/>
        <v>0</v>
      </c>
      <c r="DV158" s="161">
        <f t="shared" si="225"/>
        <v>0</v>
      </c>
      <c r="DW158" s="161">
        <f t="shared" si="226"/>
        <v>0</v>
      </c>
      <c r="DX158" s="161">
        <f t="shared" si="227"/>
        <v>0</v>
      </c>
      <c r="DY158" s="161">
        <f t="shared" si="228"/>
        <v>0</v>
      </c>
      <c r="DZ158" s="161">
        <f t="shared" si="229"/>
        <v>0</v>
      </c>
      <c r="EA158" s="161">
        <f t="shared" si="230"/>
        <v>0</v>
      </c>
      <c r="EB158" s="161">
        <f t="shared" si="231"/>
        <v>0</v>
      </c>
      <c r="EC158" s="161">
        <f t="shared" si="232"/>
        <v>0</v>
      </c>
      <c r="ED158" s="161">
        <f t="shared" si="233"/>
        <v>0</v>
      </c>
      <c r="EE158" s="161">
        <f t="shared" si="234"/>
        <v>0</v>
      </c>
      <c r="EF158" s="161">
        <f t="shared" si="235"/>
        <v>0</v>
      </c>
      <c r="EG158" s="161">
        <f t="shared" si="236"/>
        <v>0</v>
      </c>
      <c r="EH158" s="161">
        <f t="shared" si="237"/>
        <v>0</v>
      </c>
      <c r="EI158" s="161">
        <f t="shared" si="238"/>
        <v>0</v>
      </c>
      <c r="EJ158" s="161">
        <f t="shared" si="239"/>
        <v>0</v>
      </c>
      <c r="EK158" s="147">
        <f t="shared" si="171"/>
        <v>10.416666666666666</v>
      </c>
      <c r="EL158" s="149"/>
      <c r="EN158" s="146"/>
      <c r="EO158" s="146"/>
      <c r="EP158" s="139">
        <f t="shared" si="172"/>
        <v>0</v>
      </c>
      <c r="EQ158" s="139">
        <f t="shared" si="173"/>
        <v>0</v>
      </c>
      <c r="ER158" s="139">
        <f t="shared" si="174"/>
        <v>0</v>
      </c>
      <c r="ES158" s="139">
        <f t="shared" si="175"/>
        <v>0</v>
      </c>
      <c r="ET158" s="139">
        <f t="shared" si="176"/>
        <v>0</v>
      </c>
      <c r="EU158" s="139">
        <f t="shared" si="177"/>
        <v>10.991106684284548</v>
      </c>
      <c r="EV158" s="139">
        <f t="shared" si="178"/>
        <v>0</v>
      </c>
      <c r="EW158" s="139">
        <f t="shared" si="179"/>
        <v>0</v>
      </c>
      <c r="EX158" s="139">
        <f t="shared" si="180"/>
        <v>0</v>
      </c>
      <c r="EY158" s="139">
        <f t="shared" si="181"/>
        <v>0</v>
      </c>
      <c r="EZ158" s="139">
        <f t="shared" si="182"/>
        <v>0</v>
      </c>
      <c r="FA158" s="139">
        <f t="shared" si="183"/>
        <v>0</v>
      </c>
      <c r="FB158" s="139">
        <f t="shared" si="184"/>
        <v>0</v>
      </c>
      <c r="FC158" s="139">
        <f t="shared" si="185"/>
        <v>0</v>
      </c>
      <c r="FD158" s="139">
        <f t="shared" si="186"/>
        <v>0</v>
      </c>
      <c r="FE158" s="139">
        <f t="shared" si="187"/>
        <v>0</v>
      </c>
      <c r="FF158" s="139">
        <f t="shared" si="188"/>
        <v>0</v>
      </c>
      <c r="FG158" s="139">
        <f t="shared" si="189"/>
        <v>0</v>
      </c>
      <c r="FH158" s="139">
        <f t="shared" si="190"/>
        <v>0</v>
      </c>
      <c r="FI158" s="139">
        <f t="shared" si="191"/>
        <v>0</v>
      </c>
      <c r="FJ158" s="139">
        <f t="shared" si="192"/>
        <v>0</v>
      </c>
      <c r="FK158" s="139">
        <f t="shared" si="193"/>
        <v>0</v>
      </c>
      <c r="FL158" s="139">
        <f t="shared" si="194"/>
        <v>0</v>
      </c>
      <c r="FM158" s="139">
        <f t="shared" si="195"/>
        <v>0</v>
      </c>
      <c r="FN158" s="139">
        <f t="shared" si="196"/>
        <v>0</v>
      </c>
      <c r="FO158" s="139">
        <f t="shared" si="197"/>
        <v>0</v>
      </c>
      <c r="FP158" s="139">
        <f t="shared" si="198"/>
        <v>0</v>
      </c>
      <c r="FQ158" s="139">
        <f t="shared" si="199"/>
        <v>0</v>
      </c>
      <c r="FR158" s="139">
        <f t="shared" si="200"/>
        <v>0</v>
      </c>
      <c r="FS158" s="139">
        <f t="shared" si="201"/>
        <v>0</v>
      </c>
      <c r="FT158" s="139">
        <f t="shared" si="202"/>
        <v>0</v>
      </c>
      <c r="FU158" s="148">
        <f t="shared" si="203"/>
        <v>10.991106684284548</v>
      </c>
      <c r="FV158" s="149"/>
      <c r="FY158" s="211">
        <v>153</v>
      </c>
      <c r="FZ158">
        <v>31.817611892432662</v>
      </c>
      <c r="GA158">
        <v>69.409826863805463</v>
      </c>
      <c r="GB158">
        <v>78.703140786281651</v>
      </c>
      <c r="GC158">
        <v>45.63440826350876</v>
      </c>
      <c r="GD158">
        <v>14.199458813949544</v>
      </c>
      <c r="GE158">
        <v>47.824902952766024</v>
      </c>
      <c r="GF158">
        <v>77.9139299670925</v>
      </c>
      <c r="GG158">
        <v>38.614125709038113</v>
      </c>
      <c r="GH158">
        <v>34.764039862766566</v>
      </c>
      <c r="GI158">
        <v>54.776302416578822</v>
      </c>
      <c r="GJ158"/>
      <c r="GK158"/>
      <c r="GL158"/>
      <c r="GM158"/>
    </row>
    <row r="159" spans="1:195" s="7" customFormat="1">
      <c r="A159" s="1"/>
      <c r="B159" s="76">
        <f ca="1">IF(C159="", "", RAND())</f>
        <v>0.8606576952759899</v>
      </c>
      <c r="C159">
        <v>10</v>
      </c>
      <c r="D159">
        <v>39910</v>
      </c>
      <c r="E159">
        <v>0</v>
      </c>
      <c r="F159">
        <v>0</v>
      </c>
      <c r="G159">
        <v>312.5</v>
      </c>
      <c r="H159">
        <v>208.33333333333334</v>
      </c>
      <c r="I159">
        <v>166.66666666666666</v>
      </c>
      <c r="J159">
        <v>197.91666666666666</v>
      </c>
      <c r="K159">
        <v>93.75</v>
      </c>
      <c r="L159">
        <v>0</v>
      </c>
      <c r="M159">
        <v>10.416666666666666</v>
      </c>
      <c r="N159">
        <v>0</v>
      </c>
      <c r="O159">
        <v>0</v>
      </c>
      <c r="P159">
        <v>10.416666666666666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 s="2"/>
      <c r="AK159" s="80"/>
      <c r="AL159" s="74">
        <v>3.0028000000000028</v>
      </c>
      <c r="AM159" s="43">
        <v>143</v>
      </c>
      <c r="AN159">
        <v>265.60340649928844</v>
      </c>
      <c r="AO159">
        <v>100.74364487864929</v>
      </c>
      <c r="AP159">
        <v>818.3018968116038</v>
      </c>
      <c r="AQ159">
        <v>587.17684148359706</v>
      </c>
      <c r="AR159">
        <v>90.800724174171947</v>
      </c>
      <c r="AS159">
        <v>741.58503329676626</v>
      </c>
      <c r="AT159">
        <v>49.514992454037447</v>
      </c>
      <c r="AU159">
        <v>120.16794470350457</v>
      </c>
      <c r="AV159"/>
      <c r="AW159"/>
      <c r="AX159" s="146"/>
      <c r="AY159" s="76">
        <f t="shared" ca="1" si="169"/>
        <v>0.86228929425347189</v>
      </c>
      <c r="AZ159">
        <v>2</v>
      </c>
      <c r="BA159" s="129">
        <f t="shared" ref="BA159:BA167" si="241">IF(AZ159="", "",$C$11)</f>
        <v>39910</v>
      </c>
      <c r="BB159">
        <v>0</v>
      </c>
      <c r="BC159">
        <v>0</v>
      </c>
      <c r="BD159">
        <v>0</v>
      </c>
      <c r="BE159">
        <v>1</v>
      </c>
      <c r="BF159">
        <v>2</v>
      </c>
      <c r="BG159">
        <v>2</v>
      </c>
      <c r="BH159">
        <v>0</v>
      </c>
      <c r="BI159">
        <v>0</v>
      </c>
      <c r="BJ159">
        <v>0</v>
      </c>
      <c r="BK159">
        <v>0</v>
      </c>
      <c r="BL159">
        <v>0</v>
      </c>
      <c r="BM159">
        <v>0</v>
      </c>
      <c r="BN159">
        <v>0</v>
      </c>
      <c r="BO159">
        <v>0</v>
      </c>
      <c r="BP159">
        <v>0</v>
      </c>
      <c r="BQ159">
        <v>0</v>
      </c>
      <c r="BR159">
        <v>0</v>
      </c>
      <c r="BS159">
        <v>0</v>
      </c>
      <c r="BT159">
        <v>0</v>
      </c>
      <c r="BU159">
        <v>0</v>
      </c>
      <c r="BV159">
        <v>0</v>
      </c>
      <c r="BW159">
        <v>0</v>
      </c>
      <c r="BX159">
        <v>0</v>
      </c>
      <c r="BY159">
        <v>0</v>
      </c>
      <c r="BZ159">
        <v>0</v>
      </c>
      <c r="CA159">
        <v>0</v>
      </c>
      <c r="CB159">
        <v>0</v>
      </c>
      <c r="CC159">
        <v>0</v>
      </c>
      <c r="CD159">
        <v>0</v>
      </c>
      <c r="CE159">
        <v>0</v>
      </c>
      <c r="CF159">
        <v>0</v>
      </c>
      <c r="CG159" s="147"/>
      <c r="CH159" s="176"/>
      <c r="CJ159" s="146"/>
      <c r="CK159" s="76">
        <f t="shared" ca="1" si="204"/>
        <v>0.68550832904466774</v>
      </c>
      <c r="CL159" s="179">
        <f t="shared" si="205"/>
        <v>2</v>
      </c>
      <c r="CM159" s="180">
        <f t="shared" si="206"/>
        <v>39910</v>
      </c>
      <c r="CN159" s="222">
        <v>0</v>
      </c>
      <c r="CO159" s="222">
        <v>1</v>
      </c>
      <c r="CP159" s="222">
        <v>0</v>
      </c>
      <c r="CQ159" s="222">
        <v>0</v>
      </c>
      <c r="CR159" s="222">
        <v>0</v>
      </c>
      <c r="CS159">
        <v>0</v>
      </c>
      <c r="CT159">
        <v>0</v>
      </c>
      <c r="CU159">
        <v>0</v>
      </c>
      <c r="CV159" s="160"/>
      <c r="CW159">
        <v>1</v>
      </c>
      <c r="CX159">
        <f>256/23</f>
        <v>11.130434782608695</v>
      </c>
      <c r="CY159" s="160"/>
      <c r="CZ159" s="177">
        <f t="shared" si="207"/>
        <v>9.6000000000000002E-2</v>
      </c>
      <c r="DB159" s="146"/>
      <c r="DC159" s="76">
        <f t="shared" ca="1" si="170"/>
        <v>0.40972288252867739</v>
      </c>
      <c r="DD159">
        <f t="shared" si="208"/>
        <v>2</v>
      </c>
      <c r="DE159" s="129">
        <f t="shared" si="240"/>
        <v>39910</v>
      </c>
      <c r="DF159" s="161">
        <f t="shared" si="209"/>
        <v>0</v>
      </c>
      <c r="DG159" s="161">
        <f t="shared" si="210"/>
        <v>115.94202898550724</v>
      </c>
      <c r="DH159" s="161">
        <f t="shared" si="211"/>
        <v>0</v>
      </c>
      <c r="DI159" s="161">
        <f t="shared" si="212"/>
        <v>10.416666666666666</v>
      </c>
      <c r="DJ159" s="161">
        <f t="shared" si="213"/>
        <v>20.833333333333332</v>
      </c>
      <c r="DK159" s="161">
        <f t="shared" si="214"/>
        <v>20.833333333333332</v>
      </c>
      <c r="DL159" s="161">
        <f t="shared" si="215"/>
        <v>0</v>
      </c>
      <c r="DM159" s="161">
        <f t="shared" si="216"/>
        <v>0</v>
      </c>
      <c r="DN159" s="161">
        <f t="shared" si="217"/>
        <v>0</v>
      </c>
      <c r="DO159" s="161">
        <f t="shared" si="218"/>
        <v>0</v>
      </c>
      <c r="DP159" s="161">
        <f t="shared" si="219"/>
        <v>0</v>
      </c>
      <c r="DQ159" s="161">
        <f t="shared" si="220"/>
        <v>0</v>
      </c>
      <c r="DR159" s="161">
        <f t="shared" si="221"/>
        <v>0</v>
      </c>
      <c r="DS159" s="161">
        <f t="shared" si="222"/>
        <v>0</v>
      </c>
      <c r="DT159" s="161">
        <f t="shared" si="223"/>
        <v>0</v>
      </c>
      <c r="DU159" s="161">
        <f t="shared" si="224"/>
        <v>0</v>
      </c>
      <c r="DV159" s="161">
        <f t="shared" si="225"/>
        <v>0</v>
      </c>
      <c r="DW159" s="161">
        <f t="shared" si="226"/>
        <v>0</v>
      </c>
      <c r="DX159" s="161">
        <f t="shared" si="227"/>
        <v>0</v>
      </c>
      <c r="DY159" s="161">
        <f t="shared" si="228"/>
        <v>0</v>
      </c>
      <c r="DZ159" s="161">
        <f t="shared" si="229"/>
        <v>0</v>
      </c>
      <c r="EA159" s="161">
        <f t="shared" si="230"/>
        <v>0</v>
      </c>
      <c r="EB159" s="161">
        <f t="shared" si="231"/>
        <v>0</v>
      </c>
      <c r="EC159" s="161">
        <f t="shared" si="232"/>
        <v>0</v>
      </c>
      <c r="ED159" s="161">
        <f t="shared" si="233"/>
        <v>0</v>
      </c>
      <c r="EE159" s="161">
        <f t="shared" si="234"/>
        <v>0</v>
      </c>
      <c r="EF159" s="161">
        <f t="shared" si="235"/>
        <v>0</v>
      </c>
      <c r="EG159" s="161">
        <f t="shared" si="236"/>
        <v>0</v>
      </c>
      <c r="EH159" s="161">
        <f t="shared" si="237"/>
        <v>0</v>
      </c>
      <c r="EI159" s="161">
        <f t="shared" si="238"/>
        <v>0</v>
      </c>
      <c r="EJ159" s="161">
        <f t="shared" si="239"/>
        <v>0</v>
      </c>
      <c r="EK159" s="147">
        <f t="shared" si="171"/>
        <v>168.02536231884059</v>
      </c>
      <c r="EL159" s="149"/>
      <c r="EN159" s="146"/>
      <c r="EO159" s="146"/>
      <c r="EP159" s="139">
        <f t="shared" si="172"/>
        <v>0</v>
      </c>
      <c r="EQ159" s="139">
        <f t="shared" si="173"/>
        <v>1.144046376811594</v>
      </c>
      <c r="ER159" s="139">
        <f t="shared" si="174"/>
        <v>0</v>
      </c>
      <c r="ES159" s="139">
        <f t="shared" si="175"/>
        <v>2.4946780349291493</v>
      </c>
      <c r="ET159" s="139">
        <f t="shared" si="176"/>
        <v>11.501160158716418</v>
      </c>
      <c r="EU159" s="139">
        <f t="shared" si="177"/>
        <v>21.982213368569095</v>
      </c>
      <c r="EV159" s="139">
        <f t="shared" si="178"/>
        <v>0</v>
      </c>
      <c r="EW159" s="139">
        <f t="shared" si="179"/>
        <v>0</v>
      </c>
      <c r="EX159" s="139">
        <f t="shared" si="180"/>
        <v>0</v>
      </c>
      <c r="EY159" s="139">
        <f t="shared" si="181"/>
        <v>0</v>
      </c>
      <c r="EZ159" s="139">
        <f t="shared" si="182"/>
        <v>0</v>
      </c>
      <c r="FA159" s="139">
        <f t="shared" si="183"/>
        <v>0</v>
      </c>
      <c r="FB159" s="139">
        <f t="shared" si="184"/>
        <v>0</v>
      </c>
      <c r="FC159" s="139">
        <f t="shared" si="185"/>
        <v>0</v>
      </c>
      <c r="FD159" s="139">
        <f t="shared" si="186"/>
        <v>0</v>
      </c>
      <c r="FE159" s="139">
        <f t="shared" si="187"/>
        <v>0</v>
      </c>
      <c r="FF159" s="139">
        <f t="shared" si="188"/>
        <v>0</v>
      </c>
      <c r="FG159" s="139">
        <f t="shared" si="189"/>
        <v>0</v>
      </c>
      <c r="FH159" s="139">
        <f t="shared" si="190"/>
        <v>0</v>
      </c>
      <c r="FI159" s="139">
        <f t="shared" si="191"/>
        <v>0</v>
      </c>
      <c r="FJ159" s="139">
        <f t="shared" si="192"/>
        <v>0</v>
      </c>
      <c r="FK159" s="139">
        <f t="shared" si="193"/>
        <v>0</v>
      </c>
      <c r="FL159" s="139">
        <f t="shared" si="194"/>
        <v>0</v>
      </c>
      <c r="FM159" s="139">
        <f t="shared" si="195"/>
        <v>0</v>
      </c>
      <c r="FN159" s="139">
        <f t="shared" si="196"/>
        <v>0</v>
      </c>
      <c r="FO159" s="139">
        <f t="shared" si="197"/>
        <v>0</v>
      </c>
      <c r="FP159" s="139">
        <f t="shared" si="198"/>
        <v>0</v>
      </c>
      <c r="FQ159" s="139">
        <f t="shared" si="199"/>
        <v>0</v>
      </c>
      <c r="FR159" s="139">
        <f t="shared" si="200"/>
        <v>0</v>
      </c>
      <c r="FS159" s="139">
        <f t="shared" si="201"/>
        <v>0</v>
      </c>
      <c r="FT159" s="139">
        <f t="shared" si="202"/>
        <v>0</v>
      </c>
      <c r="FU159" s="148">
        <f t="shared" si="203"/>
        <v>37.122097939026261</v>
      </c>
      <c r="FV159" s="149"/>
      <c r="FY159" s="211">
        <v>154</v>
      </c>
      <c r="FZ159">
        <v>28.485456894285328</v>
      </c>
      <c r="GA159">
        <v>78.371889677928181</v>
      </c>
      <c r="GB159">
        <v>104.02296171587541</v>
      </c>
      <c r="GC159">
        <v>59.290921283158596</v>
      </c>
      <c r="GD159">
        <v>27.799892675775151</v>
      </c>
      <c r="GE159">
        <v>37.383173897668513</v>
      </c>
      <c r="GF159">
        <v>31.680056223446982</v>
      </c>
      <c r="GG159">
        <v>47.654009567096907</v>
      </c>
      <c r="GH159">
        <v>38.628388491829654</v>
      </c>
      <c r="GI159">
        <v>60.22609973048646</v>
      </c>
      <c r="GJ159"/>
      <c r="GK159"/>
      <c r="GL159"/>
      <c r="GM159"/>
    </row>
    <row r="160" spans="1:195" s="7" customFormat="1">
      <c r="A160" s="1"/>
      <c r="B160" s="76">
        <f ca="1">IF(C160="", "", RAND())</f>
        <v>0.94135205598408445</v>
      </c>
      <c r="C160">
        <v>6</v>
      </c>
      <c r="D160">
        <v>39910</v>
      </c>
      <c r="E160">
        <v>0</v>
      </c>
      <c r="F160">
        <v>0</v>
      </c>
      <c r="G160">
        <v>0</v>
      </c>
      <c r="H160">
        <v>0</v>
      </c>
      <c r="I160">
        <v>72.916666666666671</v>
      </c>
      <c r="J160">
        <v>20.833333333333332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 s="2"/>
      <c r="AK160" s="80"/>
      <c r="AL160" s="74">
        <v>3.0028000000000028</v>
      </c>
      <c r="AM160" s="43">
        <v>144</v>
      </c>
      <c r="AN160">
        <v>211.24878718594204</v>
      </c>
      <c r="AO160">
        <v>65.82887379185442</v>
      </c>
      <c r="AP160">
        <v>403.39184348743595</v>
      </c>
      <c r="AQ160">
        <v>327.61785216885801</v>
      </c>
      <c r="AR160">
        <v>59.762476253490092</v>
      </c>
      <c r="AS160">
        <v>529.47919898390523</v>
      </c>
      <c r="AT160">
        <v>33.264588535892848</v>
      </c>
      <c r="AU160">
        <v>39.073854597377249</v>
      </c>
      <c r="AV160"/>
      <c r="AW160"/>
      <c r="AX160" s="146"/>
      <c r="AY160" s="76">
        <f t="shared" ca="1" si="169"/>
        <v>0.98957188499724591</v>
      </c>
      <c r="AZ160">
        <v>3</v>
      </c>
      <c r="BA160" s="129">
        <f t="shared" si="241"/>
        <v>39910</v>
      </c>
      <c r="BB160">
        <v>0</v>
      </c>
      <c r="BC160">
        <v>0</v>
      </c>
      <c r="BD160">
        <v>0</v>
      </c>
      <c r="BE160">
        <v>0</v>
      </c>
      <c r="BF160">
        <v>0</v>
      </c>
      <c r="BG160">
        <v>1</v>
      </c>
      <c r="BH160">
        <v>0</v>
      </c>
      <c r="BI160">
        <v>0</v>
      </c>
      <c r="BJ160">
        <v>0</v>
      </c>
      <c r="BK160">
        <v>0</v>
      </c>
      <c r="BL160">
        <v>0</v>
      </c>
      <c r="BM160">
        <v>0</v>
      </c>
      <c r="BN160">
        <v>0</v>
      </c>
      <c r="BO160">
        <v>0</v>
      </c>
      <c r="BP160">
        <v>0</v>
      </c>
      <c r="BQ160">
        <v>0</v>
      </c>
      <c r="BR160">
        <v>0</v>
      </c>
      <c r="BS160">
        <v>0</v>
      </c>
      <c r="BT160">
        <v>0</v>
      </c>
      <c r="BU160">
        <v>0</v>
      </c>
      <c r="BV160">
        <v>0</v>
      </c>
      <c r="BW160">
        <v>0</v>
      </c>
      <c r="BX160">
        <v>0</v>
      </c>
      <c r="BY160">
        <v>0</v>
      </c>
      <c r="BZ160">
        <v>0</v>
      </c>
      <c r="CA160">
        <v>0</v>
      </c>
      <c r="CB160">
        <v>0</v>
      </c>
      <c r="CC160">
        <v>0</v>
      </c>
      <c r="CD160">
        <v>0</v>
      </c>
      <c r="CE160">
        <v>0</v>
      </c>
      <c r="CF160">
        <v>0</v>
      </c>
      <c r="CG160" s="147"/>
      <c r="CH160" s="176"/>
      <c r="CJ160" s="146"/>
      <c r="CK160" s="76">
        <f t="shared" ca="1" si="204"/>
        <v>0.93373532154347849</v>
      </c>
      <c r="CL160" s="179">
        <f t="shared" si="205"/>
        <v>3</v>
      </c>
      <c r="CM160" s="180">
        <f t="shared" si="206"/>
        <v>39910</v>
      </c>
      <c r="CN160">
        <v>0</v>
      </c>
      <c r="CO160">
        <v>0</v>
      </c>
      <c r="CP160">
        <v>0</v>
      </c>
      <c r="CQ160">
        <v>1</v>
      </c>
      <c r="CR160">
        <v>1</v>
      </c>
      <c r="CS160">
        <v>0</v>
      </c>
      <c r="CT160">
        <v>0</v>
      </c>
      <c r="CU160">
        <v>0</v>
      </c>
      <c r="CV160" s="160"/>
      <c r="CW160">
        <f>30/11</f>
        <v>2.7272727272727271</v>
      </c>
      <c r="CX160">
        <f>350/42</f>
        <v>8.3333333333333339</v>
      </c>
      <c r="CY160" s="160"/>
      <c r="CZ160" s="177">
        <f t="shared" si="207"/>
        <v>9.6000000000000002E-2</v>
      </c>
      <c r="DB160" s="146"/>
      <c r="DC160" s="76">
        <f t="shared" ca="1" si="170"/>
        <v>0.41243948576809597</v>
      </c>
      <c r="DD160">
        <f t="shared" si="208"/>
        <v>3</v>
      </c>
      <c r="DE160" s="129">
        <f t="shared" si="240"/>
        <v>39910</v>
      </c>
      <c r="DF160" s="161">
        <f t="shared" si="209"/>
        <v>0</v>
      </c>
      <c r="DG160" s="161">
        <f t="shared" si="210"/>
        <v>0</v>
      </c>
      <c r="DH160" s="161">
        <f t="shared" si="211"/>
        <v>0</v>
      </c>
      <c r="DI160" s="161">
        <f t="shared" si="212"/>
        <v>86.805555555555557</v>
      </c>
      <c r="DJ160" s="161">
        <f t="shared" si="213"/>
        <v>86.805555555555557</v>
      </c>
      <c r="DK160" s="161">
        <f t="shared" si="214"/>
        <v>28.409090909090907</v>
      </c>
      <c r="DL160" s="161">
        <f t="shared" si="215"/>
        <v>0</v>
      </c>
      <c r="DM160" s="161">
        <f t="shared" si="216"/>
        <v>0</v>
      </c>
      <c r="DN160" s="161">
        <f t="shared" si="217"/>
        <v>0</v>
      </c>
      <c r="DO160" s="161">
        <f t="shared" si="218"/>
        <v>0</v>
      </c>
      <c r="DP160" s="161">
        <f t="shared" si="219"/>
        <v>0</v>
      </c>
      <c r="DQ160" s="161">
        <f t="shared" si="220"/>
        <v>0</v>
      </c>
      <c r="DR160" s="161">
        <f t="shared" si="221"/>
        <v>0</v>
      </c>
      <c r="DS160" s="161">
        <f t="shared" si="222"/>
        <v>0</v>
      </c>
      <c r="DT160" s="161">
        <f t="shared" si="223"/>
        <v>0</v>
      </c>
      <c r="DU160" s="161">
        <f t="shared" si="224"/>
        <v>0</v>
      </c>
      <c r="DV160" s="161">
        <f t="shared" si="225"/>
        <v>0</v>
      </c>
      <c r="DW160" s="161">
        <f t="shared" si="226"/>
        <v>0</v>
      </c>
      <c r="DX160" s="161">
        <f t="shared" si="227"/>
        <v>0</v>
      </c>
      <c r="DY160" s="161">
        <f t="shared" si="228"/>
        <v>0</v>
      </c>
      <c r="DZ160" s="161">
        <f t="shared" si="229"/>
        <v>0</v>
      </c>
      <c r="EA160" s="161">
        <f t="shared" si="230"/>
        <v>0</v>
      </c>
      <c r="EB160" s="161">
        <f t="shared" si="231"/>
        <v>0</v>
      </c>
      <c r="EC160" s="161">
        <f t="shared" si="232"/>
        <v>0</v>
      </c>
      <c r="ED160" s="161">
        <f t="shared" si="233"/>
        <v>0</v>
      </c>
      <c r="EE160" s="161">
        <f t="shared" si="234"/>
        <v>0</v>
      </c>
      <c r="EF160" s="161">
        <f t="shared" si="235"/>
        <v>0</v>
      </c>
      <c r="EG160" s="161">
        <f t="shared" si="236"/>
        <v>0</v>
      </c>
      <c r="EH160" s="161">
        <f t="shared" si="237"/>
        <v>0</v>
      </c>
      <c r="EI160" s="161">
        <f t="shared" si="238"/>
        <v>0</v>
      </c>
      <c r="EJ160" s="161">
        <f t="shared" si="239"/>
        <v>0</v>
      </c>
      <c r="EK160" s="147">
        <f t="shared" si="171"/>
        <v>202.02020202020202</v>
      </c>
      <c r="EL160" s="149"/>
      <c r="EN160" s="146"/>
      <c r="EO160" s="146"/>
      <c r="EP160" s="139">
        <f t="shared" si="172"/>
        <v>0</v>
      </c>
      <c r="EQ160" s="139">
        <f t="shared" si="173"/>
        <v>0</v>
      </c>
      <c r="ER160" s="139">
        <f t="shared" si="174"/>
        <v>0</v>
      </c>
      <c r="ES160" s="139">
        <f t="shared" si="175"/>
        <v>20.788983624409578</v>
      </c>
      <c r="ET160" s="139">
        <f t="shared" si="176"/>
        <v>47.921500661318412</v>
      </c>
      <c r="EU160" s="139">
        <f t="shared" si="177"/>
        <v>29.975745502594222</v>
      </c>
      <c r="EV160" s="139">
        <f t="shared" si="178"/>
        <v>0</v>
      </c>
      <c r="EW160" s="139">
        <f t="shared" si="179"/>
        <v>0</v>
      </c>
      <c r="EX160" s="139">
        <f t="shared" si="180"/>
        <v>0</v>
      </c>
      <c r="EY160" s="139">
        <f t="shared" si="181"/>
        <v>0</v>
      </c>
      <c r="EZ160" s="139">
        <f t="shared" si="182"/>
        <v>0</v>
      </c>
      <c r="FA160" s="139">
        <f t="shared" si="183"/>
        <v>0</v>
      </c>
      <c r="FB160" s="139">
        <f t="shared" si="184"/>
        <v>0</v>
      </c>
      <c r="FC160" s="139">
        <f t="shared" si="185"/>
        <v>0</v>
      </c>
      <c r="FD160" s="139">
        <f t="shared" si="186"/>
        <v>0</v>
      </c>
      <c r="FE160" s="139">
        <f t="shared" si="187"/>
        <v>0</v>
      </c>
      <c r="FF160" s="139">
        <f t="shared" si="188"/>
        <v>0</v>
      </c>
      <c r="FG160" s="139">
        <f t="shared" si="189"/>
        <v>0</v>
      </c>
      <c r="FH160" s="139">
        <f t="shared" si="190"/>
        <v>0</v>
      </c>
      <c r="FI160" s="139">
        <f t="shared" si="191"/>
        <v>0</v>
      </c>
      <c r="FJ160" s="139">
        <f t="shared" si="192"/>
        <v>0</v>
      </c>
      <c r="FK160" s="139">
        <f t="shared" si="193"/>
        <v>0</v>
      </c>
      <c r="FL160" s="139">
        <f t="shared" si="194"/>
        <v>0</v>
      </c>
      <c r="FM160" s="139">
        <f t="shared" si="195"/>
        <v>0</v>
      </c>
      <c r="FN160" s="139">
        <f t="shared" si="196"/>
        <v>0</v>
      </c>
      <c r="FO160" s="139">
        <f t="shared" si="197"/>
        <v>0</v>
      </c>
      <c r="FP160" s="139">
        <f t="shared" si="198"/>
        <v>0</v>
      </c>
      <c r="FQ160" s="139">
        <f t="shared" si="199"/>
        <v>0</v>
      </c>
      <c r="FR160" s="139">
        <f t="shared" si="200"/>
        <v>0</v>
      </c>
      <c r="FS160" s="139">
        <f t="shared" si="201"/>
        <v>0</v>
      </c>
      <c r="FT160" s="139">
        <f t="shared" si="202"/>
        <v>0</v>
      </c>
      <c r="FU160" s="148">
        <f t="shared" si="203"/>
        <v>98.686229788322208</v>
      </c>
      <c r="FV160" s="149"/>
      <c r="FY160" s="211">
        <v>155</v>
      </c>
      <c r="FZ160">
        <v>13.212283013464241</v>
      </c>
      <c r="GA160">
        <v>55.557197073766972</v>
      </c>
      <c r="GB160">
        <v>80.032374487308601</v>
      </c>
      <c r="GC160">
        <v>41.854057620925417</v>
      </c>
      <c r="GD160">
        <v>14.749469055916698</v>
      </c>
      <c r="GE160">
        <v>35.687072649299836</v>
      </c>
      <c r="GF160">
        <v>131.86748553172046</v>
      </c>
      <c r="GG160">
        <v>115.7388149586909</v>
      </c>
      <c r="GH160">
        <v>38.148352622883166</v>
      </c>
      <c r="GI160">
        <v>65.523960031799334</v>
      </c>
      <c r="GJ160"/>
      <c r="GK160"/>
      <c r="GL160"/>
      <c r="GM160"/>
    </row>
    <row r="161" spans="1:195" s="7" customFormat="1">
      <c r="A161" s="1"/>
      <c r="B161" s="76">
        <f ca="1">IF(C161="", "", RAND())</f>
        <v>0.98854363370286547</v>
      </c>
      <c r="C161">
        <v>9</v>
      </c>
      <c r="D161">
        <v>39910</v>
      </c>
      <c r="E161">
        <v>0</v>
      </c>
      <c r="F161">
        <v>0</v>
      </c>
      <c r="G161">
        <v>101.27314814814814</v>
      </c>
      <c r="H161">
        <v>101.27314814814814</v>
      </c>
      <c r="I161">
        <v>0</v>
      </c>
      <c r="J161">
        <v>0</v>
      </c>
      <c r="K161">
        <v>103.12499999999999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 s="2"/>
      <c r="AK161" s="80"/>
      <c r="AL161" s="74">
        <v>3.0028000000000028</v>
      </c>
      <c r="AM161" s="43">
        <v>145</v>
      </c>
      <c r="AN161">
        <v>238.96266385961968</v>
      </c>
      <c r="AO161">
        <v>79.515350254100582</v>
      </c>
      <c r="AP161">
        <v>563.53776259569952</v>
      </c>
      <c r="AQ161">
        <v>437.00862898062212</v>
      </c>
      <c r="AR161">
        <v>71.565422473276357</v>
      </c>
      <c r="AS161">
        <v>582.12898591877706</v>
      </c>
      <c r="AT161">
        <v>37.609134936834558</v>
      </c>
      <c r="AU161">
        <v>39.895997798947377</v>
      </c>
      <c r="AV161"/>
      <c r="AW161"/>
      <c r="AX161" s="146"/>
      <c r="AY161" s="76">
        <f t="shared" ca="1" si="169"/>
        <v>0.16670111547788791</v>
      </c>
      <c r="AZ161">
        <v>4</v>
      </c>
      <c r="BA161" s="129">
        <f t="shared" si="241"/>
        <v>39910</v>
      </c>
      <c r="BB161">
        <v>0</v>
      </c>
      <c r="BC161">
        <v>0</v>
      </c>
      <c r="BD161">
        <v>0</v>
      </c>
      <c r="BE161">
        <v>0</v>
      </c>
      <c r="BF161">
        <v>0</v>
      </c>
      <c r="BG161">
        <v>0</v>
      </c>
      <c r="BH161">
        <v>0</v>
      </c>
      <c r="BI161">
        <v>0</v>
      </c>
      <c r="BJ161">
        <v>0</v>
      </c>
      <c r="BK161">
        <v>0</v>
      </c>
      <c r="BL161">
        <v>0</v>
      </c>
      <c r="BM161">
        <v>0</v>
      </c>
      <c r="BN161">
        <v>0</v>
      </c>
      <c r="BO161">
        <v>0</v>
      </c>
      <c r="BP161">
        <v>0</v>
      </c>
      <c r="BQ161">
        <v>0</v>
      </c>
      <c r="BR161">
        <v>0</v>
      </c>
      <c r="BS161">
        <v>0</v>
      </c>
      <c r="BT161">
        <v>0</v>
      </c>
      <c r="BU161">
        <v>0</v>
      </c>
      <c r="BV161">
        <v>0</v>
      </c>
      <c r="BW161">
        <v>0</v>
      </c>
      <c r="BX161">
        <v>0</v>
      </c>
      <c r="BY161">
        <v>0</v>
      </c>
      <c r="BZ161">
        <v>0</v>
      </c>
      <c r="CA161">
        <v>0</v>
      </c>
      <c r="CB161">
        <v>0</v>
      </c>
      <c r="CC161">
        <v>0</v>
      </c>
      <c r="CD161">
        <v>0</v>
      </c>
      <c r="CE161">
        <v>0</v>
      </c>
      <c r="CF161">
        <v>0</v>
      </c>
      <c r="CG161" s="147"/>
      <c r="CH161" s="176"/>
      <c r="CJ161" s="146"/>
      <c r="CK161" s="76">
        <f t="shared" ca="1" si="204"/>
        <v>0.85631455981612792</v>
      </c>
      <c r="CL161" s="179">
        <f t="shared" si="205"/>
        <v>4</v>
      </c>
      <c r="CM161" s="180">
        <f t="shared" si="206"/>
        <v>39910</v>
      </c>
      <c r="CN161">
        <v>0</v>
      </c>
      <c r="CO161">
        <v>0</v>
      </c>
      <c r="CP161">
        <v>0</v>
      </c>
      <c r="CQ161">
        <v>0</v>
      </c>
      <c r="CR161">
        <v>0</v>
      </c>
      <c r="CS161">
        <v>0</v>
      </c>
      <c r="CT161">
        <v>0</v>
      </c>
      <c r="CU161">
        <v>0</v>
      </c>
      <c r="CV161" s="160"/>
      <c r="CW161">
        <v>1</v>
      </c>
      <c r="CX161">
        <f>310/93</f>
        <v>3.3333333333333335</v>
      </c>
      <c r="CY161" s="160"/>
      <c r="CZ161" s="177">
        <f t="shared" si="207"/>
        <v>9.6000000000000002E-2</v>
      </c>
      <c r="DB161" s="146"/>
      <c r="DC161" s="76">
        <f t="shared" ca="1" si="170"/>
        <v>4.6286505641465858E-2</v>
      </c>
      <c r="DD161">
        <f t="shared" si="208"/>
        <v>4</v>
      </c>
      <c r="DE161" s="129">
        <f t="shared" si="240"/>
        <v>39910</v>
      </c>
      <c r="DF161" s="161">
        <f t="shared" si="209"/>
        <v>0</v>
      </c>
      <c r="DG161" s="161">
        <f t="shared" si="210"/>
        <v>0</v>
      </c>
      <c r="DH161" s="161">
        <f t="shared" si="211"/>
        <v>0</v>
      </c>
      <c r="DI161" s="161">
        <f t="shared" si="212"/>
        <v>0</v>
      </c>
      <c r="DJ161" s="161">
        <f t="shared" si="213"/>
        <v>0</v>
      </c>
      <c r="DK161" s="161">
        <f t="shared" si="214"/>
        <v>0</v>
      </c>
      <c r="DL161" s="161">
        <f t="shared" si="215"/>
        <v>0</v>
      </c>
      <c r="DM161" s="161">
        <f t="shared" si="216"/>
        <v>0</v>
      </c>
      <c r="DN161" s="161">
        <f t="shared" si="217"/>
        <v>0</v>
      </c>
      <c r="DO161" s="161">
        <f t="shared" si="218"/>
        <v>0</v>
      </c>
      <c r="DP161" s="161">
        <f t="shared" si="219"/>
        <v>0</v>
      </c>
      <c r="DQ161" s="161">
        <f t="shared" si="220"/>
        <v>0</v>
      </c>
      <c r="DR161" s="161">
        <f t="shared" si="221"/>
        <v>0</v>
      </c>
      <c r="DS161" s="161">
        <f t="shared" si="222"/>
        <v>0</v>
      </c>
      <c r="DT161" s="161">
        <f t="shared" si="223"/>
        <v>0</v>
      </c>
      <c r="DU161" s="161">
        <f t="shared" si="224"/>
        <v>0</v>
      </c>
      <c r="DV161" s="161">
        <f t="shared" si="225"/>
        <v>0</v>
      </c>
      <c r="DW161" s="161">
        <f t="shared" si="226"/>
        <v>0</v>
      </c>
      <c r="DX161" s="161">
        <f t="shared" si="227"/>
        <v>0</v>
      </c>
      <c r="DY161" s="161">
        <f t="shared" si="228"/>
        <v>0</v>
      </c>
      <c r="DZ161" s="161">
        <f t="shared" si="229"/>
        <v>0</v>
      </c>
      <c r="EA161" s="161">
        <f t="shared" si="230"/>
        <v>0</v>
      </c>
      <c r="EB161" s="161">
        <f t="shared" si="231"/>
        <v>0</v>
      </c>
      <c r="EC161" s="161">
        <f t="shared" si="232"/>
        <v>0</v>
      </c>
      <c r="ED161" s="161">
        <f t="shared" si="233"/>
        <v>0</v>
      </c>
      <c r="EE161" s="161">
        <f t="shared" si="234"/>
        <v>0</v>
      </c>
      <c r="EF161" s="161">
        <f t="shared" si="235"/>
        <v>0</v>
      </c>
      <c r="EG161" s="161">
        <f t="shared" si="236"/>
        <v>0</v>
      </c>
      <c r="EH161" s="161">
        <f t="shared" si="237"/>
        <v>0</v>
      </c>
      <c r="EI161" s="161">
        <f t="shared" si="238"/>
        <v>0</v>
      </c>
      <c r="EJ161" s="161">
        <f t="shared" si="239"/>
        <v>0</v>
      </c>
      <c r="EK161" s="147">
        <f t="shared" si="171"/>
        <v>0</v>
      </c>
      <c r="EL161" s="149"/>
      <c r="EN161" s="146"/>
      <c r="EO161" s="146"/>
      <c r="EP161" s="139">
        <f t="shared" si="172"/>
        <v>0</v>
      </c>
      <c r="EQ161" s="139">
        <f t="shared" si="173"/>
        <v>0</v>
      </c>
      <c r="ER161" s="139">
        <f t="shared" si="174"/>
        <v>0</v>
      </c>
      <c r="ES161" s="139">
        <f t="shared" si="175"/>
        <v>0</v>
      </c>
      <c r="ET161" s="139">
        <f t="shared" si="176"/>
        <v>0</v>
      </c>
      <c r="EU161" s="139">
        <f t="shared" si="177"/>
        <v>0</v>
      </c>
      <c r="EV161" s="139">
        <f t="shared" si="178"/>
        <v>0</v>
      </c>
      <c r="EW161" s="139">
        <f t="shared" si="179"/>
        <v>0</v>
      </c>
      <c r="EX161" s="139">
        <f t="shared" si="180"/>
        <v>0</v>
      </c>
      <c r="EY161" s="139">
        <f t="shared" si="181"/>
        <v>0</v>
      </c>
      <c r="EZ161" s="139">
        <f t="shared" si="182"/>
        <v>0</v>
      </c>
      <c r="FA161" s="139">
        <f t="shared" si="183"/>
        <v>0</v>
      </c>
      <c r="FB161" s="139">
        <f t="shared" si="184"/>
        <v>0</v>
      </c>
      <c r="FC161" s="139">
        <f t="shared" si="185"/>
        <v>0</v>
      </c>
      <c r="FD161" s="139">
        <f t="shared" si="186"/>
        <v>0</v>
      </c>
      <c r="FE161" s="139">
        <f t="shared" si="187"/>
        <v>0</v>
      </c>
      <c r="FF161" s="139">
        <f t="shared" si="188"/>
        <v>0</v>
      </c>
      <c r="FG161" s="139">
        <f t="shared" si="189"/>
        <v>0</v>
      </c>
      <c r="FH161" s="139">
        <f t="shared" si="190"/>
        <v>0</v>
      </c>
      <c r="FI161" s="139">
        <f t="shared" si="191"/>
        <v>0</v>
      </c>
      <c r="FJ161" s="139">
        <f t="shared" si="192"/>
        <v>0</v>
      </c>
      <c r="FK161" s="139">
        <f t="shared" si="193"/>
        <v>0</v>
      </c>
      <c r="FL161" s="139">
        <f t="shared" si="194"/>
        <v>0</v>
      </c>
      <c r="FM161" s="139">
        <f t="shared" si="195"/>
        <v>0</v>
      </c>
      <c r="FN161" s="139">
        <f t="shared" si="196"/>
        <v>0</v>
      </c>
      <c r="FO161" s="139">
        <f t="shared" si="197"/>
        <v>0</v>
      </c>
      <c r="FP161" s="139">
        <f t="shared" si="198"/>
        <v>0</v>
      </c>
      <c r="FQ161" s="139">
        <f t="shared" si="199"/>
        <v>0</v>
      </c>
      <c r="FR161" s="139">
        <f t="shared" si="200"/>
        <v>0</v>
      </c>
      <c r="FS161" s="139">
        <f t="shared" si="201"/>
        <v>0</v>
      </c>
      <c r="FT161" s="139">
        <f t="shared" si="202"/>
        <v>0</v>
      </c>
      <c r="FU161" s="148">
        <f t="shared" si="203"/>
        <v>0</v>
      </c>
      <c r="FV161" s="149"/>
      <c r="FY161" s="211">
        <v>156</v>
      </c>
      <c r="FZ161">
        <v>15.772115047733507</v>
      </c>
      <c r="GA161">
        <v>44.990282781102749</v>
      </c>
      <c r="GB161">
        <v>94.178625347723454</v>
      </c>
      <c r="GC161">
        <v>55.104897050117145</v>
      </c>
      <c r="GD161">
        <v>29.690935966386274</v>
      </c>
      <c r="GE161">
        <v>82.305682219955983</v>
      </c>
      <c r="GF161">
        <v>126.31728532927468</v>
      </c>
      <c r="GG161">
        <v>71.722670502211969</v>
      </c>
      <c r="GH161">
        <v>22.6934557900992</v>
      </c>
      <c r="GI161">
        <v>74.806017711689208</v>
      </c>
      <c r="GJ161"/>
      <c r="GK161"/>
      <c r="GL161"/>
      <c r="GM161"/>
    </row>
    <row r="162" spans="1:195" s="7" customFormat="1">
      <c r="A162" s="1"/>
      <c r="B162" s="76">
        <f ca="1">IF(C162="", "", RAND())</f>
        <v>0.13233169413220125</v>
      </c>
      <c r="C162">
        <v>5</v>
      </c>
      <c r="D162">
        <v>39910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10.416666666666666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 s="2"/>
      <c r="AK162" s="80"/>
      <c r="AL162" s="74"/>
      <c r="AM162" s="43">
        <v>146</v>
      </c>
      <c r="AN162">
        <v>281.79203302101337</v>
      </c>
      <c r="AO162">
        <v>114.14714829099023</v>
      </c>
      <c r="AP162">
        <v>819.67244072954782</v>
      </c>
      <c r="AQ162">
        <v>588.35591301458783</v>
      </c>
      <c r="AR162">
        <v>102.73766728932623</v>
      </c>
      <c r="AS162">
        <v>816.38413336222845</v>
      </c>
      <c r="AT162">
        <v>55.4645067666277</v>
      </c>
      <c r="AU162">
        <v>32.900975019942507</v>
      </c>
      <c r="AV162"/>
      <c r="AW162"/>
      <c r="AX162" s="146"/>
      <c r="AY162" s="76">
        <f t="shared" ca="1" si="169"/>
        <v>0.57014760621544003</v>
      </c>
      <c r="AZ162">
        <v>5</v>
      </c>
      <c r="BA162" s="129">
        <f t="shared" si="241"/>
        <v>39910</v>
      </c>
      <c r="BB162">
        <v>0</v>
      </c>
      <c r="BC162">
        <v>0</v>
      </c>
      <c r="BD162">
        <v>0</v>
      </c>
      <c r="BE162">
        <v>0</v>
      </c>
      <c r="BF162">
        <v>0</v>
      </c>
      <c r="BG162">
        <v>0</v>
      </c>
      <c r="BH162">
        <v>0</v>
      </c>
      <c r="BI162">
        <v>0</v>
      </c>
      <c r="BJ162">
        <v>1</v>
      </c>
      <c r="BK162">
        <v>0</v>
      </c>
      <c r="BL162">
        <v>0</v>
      </c>
      <c r="BM162">
        <v>0</v>
      </c>
      <c r="BN162">
        <v>0</v>
      </c>
      <c r="BO162">
        <v>0</v>
      </c>
      <c r="BP162">
        <v>0</v>
      </c>
      <c r="BQ162">
        <v>0</v>
      </c>
      <c r="BR162">
        <v>0</v>
      </c>
      <c r="BS162">
        <v>0</v>
      </c>
      <c r="BT162">
        <v>0</v>
      </c>
      <c r="BU162">
        <v>0</v>
      </c>
      <c r="BV162">
        <v>0</v>
      </c>
      <c r="BW162">
        <v>0</v>
      </c>
      <c r="BX162">
        <v>0</v>
      </c>
      <c r="BY162">
        <v>0</v>
      </c>
      <c r="BZ162">
        <v>0</v>
      </c>
      <c r="CA162">
        <v>0</v>
      </c>
      <c r="CB162">
        <v>0</v>
      </c>
      <c r="CC162">
        <v>0</v>
      </c>
      <c r="CD162">
        <v>0</v>
      </c>
      <c r="CE162">
        <v>0</v>
      </c>
      <c r="CF162">
        <v>0</v>
      </c>
      <c r="CG162" s="147"/>
      <c r="CH162" s="176"/>
      <c r="CJ162" s="146"/>
      <c r="CK162" s="76">
        <f t="shared" ca="1" si="204"/>
        <v>0.35368622405935368</v>
      </c>
      <c r="CL162" s="179">
        <f t="shared" si="205"/>
        <v>5</v>
      </c>
      <c r="CM162" s="180">
        <f t="shared" si="206"/>
        <v>39910</v>
      </c>
      <c r="CN162">
        <v>0</v>
      </c>
      <c r="CO162">
        <v>0</v>
      </c>
      <c r="CP162">
        <v>0</v>
      </c>
      <c r="CQ162">
        <v>0</v>
      </c>
      <c r="CR162">
        <v>0</v>
      </c>
      <c r="CS162">
        <v>0</v>
      </c>
      <c r="CT162">
        <v>0</v>
      </c>
      <c r="CU162">
        <v>0</v>
      </c>
      <c r="CV162" s="160"/>
      <c r="CW162">
        <v>1</v>
      </c>
      <c r="CX162">
        <v>1</v>
      </c>
      <c r="CY162" s="160"/>
      <c r="CZ162" s="177">
        <f t="shared" si="207"/>
        <v>9.6000000000000002E-2</v>
      </c>
      <c r="DB162" s="146"/>
      <c r="DC162" s="76">
        <f t="shared" ca="1" si="170"/>
        <v>0.60267626556948461</v>
      </c>
      <c r="DD162">
        <f t="shared" si="208"/>
        <v>5</v>
      </c>
      <c r="DE162" s="129">
        <f t="shared" si="240"/>
        <v>39910</v>
      </c>
      <c r="DF162" s="161">
        <f t="shared" si="209"/>
        <v>0</v>
      </c>
      <c r="DG162" s="161">
        <f t="shared" si="210"/>
        <v>0</v>
      </c>
      <c r="DH162" s="161">
        <f t="shared" si="211"/>
        <v>0</v>
      </c>
      <c r="DI162" s="161">
        <f t="shared" si="212"/>
        <v>0</v>
      </c>
      <c r="DJ162" s="161">
        <f t="shared" si="213"/>
        <v>0</v>
      </c>
      <c r="DK162" s="161">
        <f t="shared" si="214"/>
        <v>0</v>
      </c>
      <c r="DL162" s="161">
        <f t="shared" si="215"/>
        <v>0</v>
      </c>
      <c r="DM162" s="161">
        <f t="shared" si="216"/>
        <v>0</v>
      </c>
      <c r="DN162" s="161">
        <f t="shared" si="217"/>
        <v>10.416666666666666</v>
      </c>
      <c r="DO162" s="161">
        <f t="shared" si="218"/>
        <v>0</v>
      </c>
      <c r="DP162" s="161">
        <f t="shared" si="219"/>
        <v>0</v>
      </c>
      <c r="DQ162" s="161">
        <f t="shared" si="220"/>
        <v>0</v>
      </c>
      <c r="DR162" s="161">
        <f t="shared" si="221"/>
        <v>0</v>
      </c>
      <c r="DS162" s="161">
        <f t="shared" si="222"/>
        <v>0</v>
      </c>
      <c r="DT162" s="161">
        <f t="shared" si="223"/>
        <v>0</v>
      </c>
      <c r="DU162" s="161">
        <f t="shared" si="224"/>
        <v>0</v>
      </c>
      <c r="DV162" s="161">
        <f t="shared" si="225"/>
        <v>0</v>
      </c>
      <c r="DW162" s="161">
        <f t="shared" si="226"/>
        <v>0</v>
      </c>
      <c r="DX162" s="161">
        <f t="shared" si="227"/>
        <v>0</v>
      </c>
      <c r="DY162" s="161">
        <f t="shared" si="228"/>
        <v>0</v>
      </c>
      <c r="DZ162" s="161">
        <f t="shared" si="229"/>
        <v>0</v>
      </c>
      <c r="EA162" s="161">
        <f t="shared" si="230"/>
        <v>0</v>
      </c>
      <c r="EB162" s="161">
        <f t="shared" si="231"/>
        <v>0</v>
      </c>
      <c r="EC162" s="161">
        <f t="shared" si="232"/>
        <v>0</v>
      </c>
      <c r="ED162" s="161">
        <f t="shared" si="233"/>
        <v>0</v>
      </c>
      <c r="EE162" s="161">
        <f t="shared" si="234"/>
        <v>0</v>
      </c>
      <c r="EF162" s="161">
        <f t="shared" si="235"/>
        <v>0</v>
      </c>
      <c r="EG162" s="161">
        <f t="shared" si="236"/>
        <v>0</v>
      </c>
      <c r="EH162" s="161">
        <f t="shared" si="237"/>
        <v>0</v>
      </c>
      <c r="EI162" s="161">
        <f t="shared" si="238"/>
        <v>0</v>
      </c>
      <c r="EJ162" s="161">
        <f t="shared" si="239"/>
        <v>0</v>
      </c>
      <c r="EK162" s="147">
        <f t="shared" si="171"/>
        <v>10.416666666666666</v>
      </c>
      <c r="EL162" s="149"/>
      <c r="EN162" s="146"/>
      <c r="EO162" s="146"/>
      <c r="EP162" s="139">
        <f t="shared" si="172"/>
        <v>0</v>
      </c>
      <c r="EQ162" s="139">
        <f t="shared" si="173"/>
        <v>0</v>
      </c>
      <c r="ER162" s="139">
        <f t="shared" si="174"/>
        <v>0</v>
      </c>
      <c r="ES162" s="139">
        <f t="shared" si="175"/>
        <v>0</v>
      </c>
      <c r="ET162" s="139">
        <f t="shared" si="176"/>
        <v>0</v>
      </c>
      <c r="EU162" s="139">
        <f t="shared" si="177"/>
        <v>0</v>
      </c>
      <c r="EV162" s="139">
        <f t="shared" si="178"/>
        <v>0</v>
      </c>
      <c r="EW162" s="139">
        <f t="shared" si="179"/>
        <v>0</v>
      </c>
      <c r="EX162" s="139">
        <f t="shared" si="180"/>
        <v>43.013197975068181</v>
      </c>
      <c r="EY162" s="139">
        <f t="shared" si="181"/>
        <v>0</v>
      </c>
      <c r="EZ162" s="139">
        <f t="shared" si="182"/>
        <v>0</v>
      </c>
      <c r="FA162" s="139">
        <f t="shared" si="183"/>
        <v>0</v>
      </c>
      <c r="FB162" s="139">
        <f t="shared" si="184"/>
        <v>0</v>
      </c>
      <c r="FC162" s="139">
        <f t="shared" si="185"/>
        <v>0</v>
      </c>
      <c r="FD162" s="139">
        <f t="shared" si="186"/>
        <v>0</v>
      </c>
      <c r="FE162" s="139">
        <f t="shared" si="187"/>
        <v>0</v>
      </c>
      <c r="FF162" s="139">
        <f t="shared" si="188"/>
        <v>0</v>
      </c>
      <c r="FG162" s="139">
        <f t="shared" si="189"/>
        <v>0</v>
      </c>
      <c r="FH162" s="139">
        <f t="shared" si="190"/>
        <v>0</v>
      </c>
      <c r="FI162" s="139">
        <f t="shared" si="191"/>
        <v>0</v>
      </c>
      <c r="FJ162" s="139">
        <f t="shared" si="192"/>
        <v>0</v>
      </c>
      <c r="FK162" s="139">
        <f t="shared" si="193"/>
        <v>0</v>
      </c>
      <c r="FL162" s="139">
        <f t="shared" si="194"/>
        <v>0</v>
      </c>
      <c r="FM162" s="139">
        <f t="shared" si="195"/>
        <v>0</v>
      </c>
      <c r="FN162" s="139">
        <f t="shared" si="196"/>
        <v>0</v>
      </c>
      <c r="FO162" s="139">
        <f t="shared" si="197"/>
        <v>0</v>
      </c>
      <c r="FP162" s="139">
        <f t="shared" si="198"/>
        <v>0</v>
      </c>
      <c r="FQ162" s="139">
        <f t="shared" si="199"/>
        <v>0</v>
      </c>
      <c r="FR162" s="139">
        <f t="shared" si="200"/>
        <v>0</v>
      </c>
      <c r="FS162" s="139">
        <f t="shared" si="201"/>
        <v>0</v>
      </c>
      <c r="FT162" s="139">
        <f t="shared" si="202"/>
        <v>0</v>
      </c>
      <c r="FU162" s="148">
        <f t="shared" si="203"/>
        <v>43.013197975068181</v>
      </c>
      <c r="FV162" s="149"/>
      <c r="FY162" s="211">
        <v>157</v>
      </c>
      <c r="FZ162">
        <v>19.331673891884172</v>
      </c>
      <c r="GA162">
        <v>50.17072184724568</v>
      </c>
      <c r="GB162">
        <v>55.644834327836818</v>
      </c>
      <c r="GC162">
        <v>34.219164674600705</v>
      </c>
      <c r="GD162">
        <v>17.387905063838076</v>
      </c>
      <c r="GE162">
        <v>25.351746352623859</v>
      </c>
      <c r="GF162">
        <v>76.920947898373527</v>
      </c>
      <c r="GG162">
        <v>71.461826221904062</v>
      </c>
      <c r="GH162">
        <v>19.674292209571604</v>
      </c>
      <c r="GI162">
        <v>46.356616495909421</v>
      </c>
      <c r="GJ162"/>
      <c r="GK162"/>
      <c r="GL162"/>
      <c r="GM162"/>
    </row>
    <row r="163" spans="1:195" s="7" customFormat="1">
      <c r="A163" s="1"/>
      <c r="B163" s="76">
        <f ca="1">IF(C163="", "", RAND())</f>
        <v>0.66237199971911576</v>
      </c>
      <c r="C163">
        <v>1</v>
      </c>
      <c r="D163">
        <v>39910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10.416666666666666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I163">
        <v>0</v>
      </c>
      <c r="AJ163" s="2"/>
      <c r="AK163" s="80"/>
      <c r="AL163" s="74"/>
      <c r="AM163" s="43">
        <v>147</v>
      </c>
      <c r="AN163">
        <v>220.06722993295884</v>
      </c>
      <c r="AO163">
        <v>78.701939811543568</v>
      </c>
      <c r="AP163">
        <v>546.77335027593415</v>
      </c>
      <c r="AQ163">
        <v>422.64189646990178</v>
      </c>
      <c r="AR163">
        <v>71.918805737285311</v>
      </c>
      <c r="AS163">
        <v>615.75946126685108</v>
      </c>
      <c r="AT163" t="e">
        <v>#DIV/0!</v>
      </c>
      <c r="AU163" t="e">
        <v>#DIV/0!</v>
      </c>
      <c r="AV163"/>
      <c r="AW163"/>
      <c r="AX163" s="146"/>
      <c r="AY163" s="76">
        <f t="shared" ca="1" si="169"/>
        <v>0.72476080730833647</v>
      </c>
      <c r="AZ163">
        <v>6</v>
      </c>
      <c r="BA163" s="129">
        <f t="shared" si="241"/>
        <v>39910</v>
      </c>
      <c r="BB163">
        <v>0</v>
      </c>
      <c r="BC163">
        <v>0</v>
      </c>
      <c r="BD163">
        <v>0</v>
      </c>
      <c r="BE163">
        <v>0</v>
      </c>
      <c r="BF163">
        <v>7</v>
      </c>
      <c r="BG163">
        <v>2</v>
      </c>
      <c r="BH163">
        <v>0</v>
      </c>
      <c r="BI163">
        <v>0</v>
      </c>
      <c r="BJ163">
        <v>0</v>
      </c>
      <c r="BK163">
        <v>0</v>
      </c>
      <c r="BL163">
        <v>0</v>
      </c>
      <c r="BM163">
        <v>0</v>
      </c>
      <c r="BN163">
        <v>0</v>
      </c>
      <c r="BO163">
        <v>0</v>
      </c>
      <c r="BP163">
        <v>0</v>
      </c>
      <c r="BQ163">
        <v>0</v>
      </c>
      <c r="BR163">
        <v>0</v>
      </c>
      <c r="BS163">
        <v>0</v>
      </c>
      <c r="BT163">
        <v>0</v>
      </c>
      <c r="BU163">
        <v>0</v>
      </c>
      <c r="BV163">
        <v>0</v>
      </c>
      <c r="BW163">
        <v>0</v>
      </c>
      <c r="BX163">
        <v>0</v>
      </c>
      <c r="BY163">
        <v>0</v>
      </c>
      <c r="BZ163">
        <v>0</v>
      </c>
      <c r="CA163">
        <v>0</v>
      </c>
      <c r="CB163">
        <v>0</v>
      </c>
      <c r="CC163">
        <v>0</v>
      </c>
      <c r="CD163">
        <v>0</v>
      </c>
      <c r="CE163">
        <v>0</v>
      </c>
      <c r="CF163">
        <v>0</v>
      </c>
      <c r="CG163" s="147"/>
      <c r="CH163" s="176"/>
      <c r="CJ163" s="146"/>
      <c r="CK163" s="76">
        <f t="shared" ca="1" si="204"/>
        <v>0.37527961036020585</v>
      </c>
      <c r="CL163" s="179">
        <f t="shared" si="205"/>
        <v>6</v>
      </c>
      <c r="CM163" s="180">
        <f t="shared" si="206"/>
        <v>39910</v>
      </c>
      <c r="CN163">
        <v>0</v>
      </c>
      <c r="CO163">
        <v>0</v>
      </c>
      <c r="CP163">
        <v>0</v>
      </c>
      <c r="CQ163">
        <v>0</v>
      </c>
      <c r="CR163">
        <v>0</v>
      </c>
      <c r="CS163">
        <v>0</v>
      </c>
      <c r="CT163">
        <v>0</v>
      </c>
      <c r="CU163">
        <v>0</v>
      </c>
      <c r="CV163" s="160"/>
      <c r="CW163">
        <v>1</v>
      </c>
      <c r="CX163">
        <v>1</v>
      </c>
      <c r="CY163" s="160"/>
      <c r="CZ163" s="177">
        <f t="shared" si="207"/>
        <v>9.6000000000000002E-2</v>
      </c>
      <c r="DB163" s="146"/>
      <c r="DC163" s="76">
        <f t="shared" ca="1" si="170"/>
        <v>0.89489900344780127</v>
      </c>
      <c r="DD163">
        <f t="shared" si="208"/>
        <v>6</v>
      </c>
      <c r="DE163" s="129">
        <f t="shared" si="240"/>
        <v>39910</v>
      </c>
      <c r="DF163" s="161">
        <f t="shared" si="209"/>
        <v>0</v>
      </c>
      <c r="DG163" s="161">
        <f t="shared" si="210"/>
        <v>0</v>
      </c>
      <c r="DH163" s="161">
        <f t="shared" si="211"/>
        <v>0</v>
      </c>
      <c r="DI163" s="161">
        <f t="shared" si="212"/>
        <v>0</v>
      </c>
      <c r="DJ163" s="161">
        <f t="shared" si="213"/>
        <v>72.916666666666671</v>
      </c>
      <c r="DK163" s="161">
        <f t="shared" si="214"/>
        <v>20.833333333333332</v>
      </c>
      <c r="DL163" s="161">
        <f t="shared" si="215"/>
        <v>0</v>
      </c>
      <c r="DM163" s="161">
        <f t="shared" si="216"/>
        <v>0</v>
      </c>
      <c r="DN163" s="161">
        <f t="shared" si="217"/>
        <v>0</v>
      </c>
      <c r="DO163" s="161">
        <f t="shared" si="218"/>
        <v>0</v>
      </c>
      <c r="DP163" s="161">
        <f t="shared" si="219"/>
        <v>0</v>
      </c>
      <c r="DQ163" s="161">
        <f t="shared" si="220"/>
        <v>0</v>
      </c>
      <c r="DR163" s="161">
        <f t="shared" si="221"/>
        <v>0</v>
      </c>
      <c r="DS163" s="161">
        <f t="shared" si="222"/>
        <v>0</v>
      </c>
      <c r="DT163" s="161">
        <f t="shared" si="223"/>
        <v>0</v>
      </c>
      <c r="DU163" s="161">
        <f t="shared" si="224"/>
        <v>0</v>
      </c>
      <c r="DV163" s="161">
        <f t="shared" si="225"/>
        <v>0</v>
      </c>
      <c r="DW163" s="161">
        <f t="shared" si="226"/>
        <v>0</v>
      </c>
      <c r="DX163" s="161">
        <f t="shared" si="227"/>
        <v>0</v>
      </c>
      <c r="DY163" s="161">
        <f t="shared" si="228"/>
        <v>0</v>
      </c>
      <c r="DZ163" s="161">
        <f t="shared" si="229"/>
        <v>0</v>
      </c>
      <c r="EA163" s="161">
        <f t="shared" si="230"/>
        <v>0</v>
      </c>
      <c r="EB163" s="161">
        <f t="shared" si="231"/>
        <v>0</v>
      </c>
      <c r="EC163" s="161">
        <f t="shared" si="232"/>
        <v>0</v>
      </c>
      <c r="ED163" s="161">
        <f t="shared" si="233"/>
        <v>0</v>
      </c>
      <c r="EE163" s="161">
        <f t="shared" si="234"/>
        <v>0</v>
      </c>
      <c r="EF163" s="161">
        <f t="shared" si="235"/>
        <v>0</v>
      </c>
      <c r="EG163" s="161">
        <f t="shared" si="236"/>
        <v>0</v>
      </c>
      <c r="EH163" s="161">
        <f t="shared" si="237"/>
        <v>0</v>
      </c>
      <c r="EI163" s="161">
        <f t="shared" si="238"/>
        <v>0</v>
      </c>
      <c r="EJ163" s="161">
        <f t="shared" si="239"/>
        <v>0</v>
      </c>
      <c r="EK163" s="147">
        <f t="shared" si="171"/>
        <v>93.75</v>
      </c>
      <c r="EL163" s="149"/>
      <c r="EN163" s="146"/>
      <c r="EO163" s="146"/>
      <c r="EP163" s="139">
        <f t="shared" si="172"/>
        <v>0</v>
      </c>
      <c r="EQ163" s="139">
        <f t="shared" si="173"/>
        <v>0</v>
      </c>
      <c r="ER163" s="139">
        <f t="shared" si="174"/>
        <v>0</v>
      </c>
      <c r="ES163" s="139">
        <f t="shared" si="175"/>
        <v>0</v>
      </c>
      <c r="ET163" s="139">
        <f t="shared" si="176"/>
        <v>40.254060555507465</v>
      </c>
      <c r="EU163" s="139">
        <f t="shared" si="177"/>
        <v>21.982213368569095</v>
      </c>
      <c r="EV163" s="139">
        <f t="shared" si="178"/>
        <v>0</v>
      </c>
      <c r="EW163" s="139">
        <f t="shared" si="179"/>
        <v>0</v>
      </c>
      <c r="EX163" s="139">
        <f t="shared" si="180"/>
        <v>0</v>
      </c>
      <c r="EY163" s="139">
        <f t="shared" si="181"/>
        <v>0</v>
      </c>
      <c r="EZ163" s="139">
        <f t="shared" si="182"/>
        <v>0</v>
      </c>
      <c r="FA163" s="139">
        <f t="shared" si="183"/>
        <v>0</v>
      </c>
      <c r="FB163" s="139">
        <f t="shared" si="184"/>
        <v>0</v>
      </c>
      <c r="FC163" s="139">
        <f t="shared" si="185"/>
        <v>0</v>
      </c>
      <c r="FD163" s="139">
        <f t="shared" si="186"/>
        <v>0</v>
      </c>
      <c r="FE163" s="139">
        <f t="shared" si="187"/>
        <v>0</v>
      </c>
      <c r="FF163" s="139">
        <f t="shared" si="188"/>
        <v>0</v>
      </c>
      <c r="FG163" s="139">
        <f t="shared" si="189"/>
        <v>0</v>
      </c>
      <c r="FH163" s="139">
        <f t="shared" si="190"/>
        <v>0</v>
      </c>
      <c r="FI163" s="139">
        <f t="shared" si="191"/>
        <v>0</v>
      </c>
      <c r="FJ163" s="139">
        <f t="shared" si="192"/>
        <v>0</v>
      </c>
      <c r="FK163" s="139">
        <f t="shared" si="193"/>
        <v>0</v>
      </c>
      <c r="FL163" s="139">
        <f t="shared" si="194"/>
        <v>0</v>
      </c>
      <c r="FM163" s="139">
        <f t="shared" si="195"/>
        <v>0</v>
      </c>
      <c r="FN163" s="139">
        <f t="shared" si="196"/>
        <v>0</v>
      </c>
      <c r="FO163" s="139">
        <f t="shared" si="197"/>
        <v>0</v>
      </c>
      <c r="FP163" s="139">
        <f t="shared" si="198"/>
        <v>0</v>
      </c>
      <c r="FQ163" s="139">
        <f t="shared" si="199"/>
        <v>0</v>
      </c>
      <c r="FR163" s="139">
        <f t="shared" si="200"/>
        <v>0</v>
      </c>
      <c r="FS163" s="139">
        <f t="shared" si="201"/>
        <v>0</v>
      </c>
      <c r="FT163" s="139">
        <f t="shared" si="202"/>
        <v>0</v>
      </c>
      <c r="FU163" s="148">
        <f t="shared" si="203"/>
        <v>62.236273924076556</v>
      </c>
      <c r="FV163" s="149"/>
      <c r="FY163" s="211">
        <v>158</v>
      </c>
      <c r="FZ163">
        <v>19.098861112986583</v>
      </c>
      <c r="GA163">
        <v>71.955588306695262</v>
      </c>
      <c r="GB163">
        <v>103.57798648916898</v>
      </c>
      <c r="GC163">
        <v>52.463992941190533</v>
      </c>
      <c r="GD163">
        <v>13.230084990825947</v>
      </c>
      <c r="GE163">
        <v>24.922507712779989</v>
      </c>
      <c r="GF163">
        <v>54.375490948936836</v>
      </c>
      <c r="GG163">
        <v>55.904622248313231</v>
      </c>
      <c r="GH163">
        <v>38.419438624581176</v>
      </c>
      <c r="GI163">
        <v>54.099013080206333</v>
      </c>
      <c r="GJ163"/>
      <c r="GK163"/>
      <c r="GL163"/>
      <c r="GM163"/>
    </row>
    <row r="164" spans="1:195" s="7" customFormat="1">
      <c r="A164" s="1"/>
      <c r="B164" s="76">
        <f ca="1">IF(C164="", "", RAND())</f>
        <v>0.48237940926751577</v>
      </c>
      <c r="C164">
        <v>8</v>
      </c>
      <c r="D164">
        <v>39910</v>
      </c>
      <c r="E164">
        <v>0</v>
      </c>
      <c r="F164">
        <v>0</v>
      </c>
      <c r="G164">
        <v>10.416666666666666</v>
      </c>
      <c r="H164">
        <v>31.25</v>
      </c>
      <c r="I164">
        <v>72.916666666666671</v>
      </c>
      <c r="J164">
        <v>20.833333333333332</v>
      </c>
      <c r="K164">
        <v>10.416666666666666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0</v>
      </c>
      <c r="AI164">
        <v>0</v>
      </c>
      <c r="AJ164" s="2"/>
      <c r="AK164" s="80"/>
      <c r="AL164" s="74"/>
      <c r="AM164" s="43">
        <v>148</v>
      </c>
      <c r="AN164">
        <v>230.58659133366436</v>
      </c>
      <c r="AO164">
        <v>71.757901268614845</v>
      </c>
      <c r="AP164">
        <v>505.28266433524709</v>
      </c>
      <c r="AQ164">
        <v>391.1655292219221</v>
      </c>
      <c r="AR164">
        <v>66.216681520814888</v>
      </c>
      <c r="AS164">
        <v>563.43543385703515</v>
      </c>
      <c r="AT164">
        <v>35.493830782171749</v>
      </c>
      <c r="AU164">
        <v>46.337238416248148</v>
      </c>
      <c r="AV164"/>
      <c r="AW164"/>
      <c r="AX164" s="146"/>
      <c r="AY164" s="76">
        <f t="shared" ca="1" si="169"/>
        <v>0.31014610595346959</v>
      </c>
      <c r="AZ164">
        <v>7</v>
      </c>
      <c r="BA164" s="129">
        <f t="shared" si="241"/>
        <v>39910</v>
      </c>
      <c r="BB164">
        <v>0</v>
      </c>
      <c r="BC164">
        <v>0</v>
      </c>
      <c r="BD164">
        <v>0</v>
      </c>
      <c r="BE164">
        <v>0</v>
      </c>
      <c r="BF164">
        <v>0</v>
      </c>
      <c r="BG164">
        <v>0</v>
      </c>
      <c r="BH164">
        <v>0</v>
      </c>
      <c r="BI164">
        <v>0</v>
      </c>
      <c r="BJ164">
        <v>0</v>
      </c>
      <c r="BK164">
        <v>0</v>
      </c>
      <c r="BL164">
        <v>0</v>
      </c>
      <c r="BM164">
        <v>0</v>
      </c>
      <c r="BN164">
        <v>0</v>
      </c>
      <c r="BO164">
        <v>0</v>
      </c>
      <c r="BP164">
        <v>0</v>
      </c>
      <c r="BQ164">
        <v>0</v>
      </c>
      <c r="BR164">
        <v>0</v>
      </c>
      <c r="BS164">
        <v>0</v>
      </c>
      <c r="BT164">
        <v>0</v>
      </c>
      <c r="BU164">
        <v>0</v>
      </c>
      <c r="BV164">
        <v>0</v>
      </c>
      <c r="BW164">
        <v>0</v>
      </c>
      <c r="BX164">
        <v>0</v>
      </c>
      <c r="BY164">
        <v>0</v>
      </c>
      <c r="BZ164">
        <v>0</v>
      </c>
      <c r="CA164">
        <v>0</v>
      </c>
      <c r="CB164">
        <v>0</v>
      </c>
      <c r="CC164">
        <v>0</v>
      </c>
      <c r="CD164">
        <v>0</v>
      </c>
      <c r="CE164">
        <v>0</v>
      </c>
      <c r="CF164">
        <v>0</v>
      </c>
      <c r="CG164" s="147"/>
      <c r="CH164" s="176"/>
      <c r="CJ164" s="146"/>
      <c r="CK164" s="76">
        <f t="shared" ca="1" si="204"/>
        <v>2.5557279033817437E-2</v>
      </c>
      <c r="CL164" s="179">
        <f t="shared" si="205"/>
        <v>7</v>
      </c>
      <c r="CM164" s="180">
        <f t="shared" si="206"/>
        <v>39910</v>
      </c>
      <c r="CN164">
        <v>0</v>
      </c>
      <c r="CO164">
        <v>0</v>
      </c>
      <c r="CP164">
        <v>0</v>
      </c>
      <c r="CQ164">
        <v>0</v>
      </c>
      <c r="CR164">
        <v>0</v>
      </c>
      <c r="CS164">
        <v>0</v>
      </c>
      <c r="CT164">
        <v>0</v>
      </c>
      <c r="CU164">
        <v>0</v>
      </c>
      <c r="CV164" s="160"/>
      <c r="CW164">
        <v>1</v>
      </c>
      <c r="CX164">
        <v>1</v>
      </c>
      <c r="CY164" s="165"/>
      <c r="CZ164" s="177">
        <f t="shared" si="207"/>
        <v>9.6000000000000002E-2</v>
      </c>
      <c r="DB164" s="146"/>
      <c r="DC164" s="76">
        <f t="shared" ca="1" si="170"/>
        <v>0.28195446233778565</v>
      </c>
      <c r="DD164">
        <f t="shared" si="208"/>
        <v>7</v>
      </c>
      <c r="DE164" s="129">
        <f t="shared" si="240"/>
        <v>39910</v>
      </c>
      <c r="DF164" s="161">
        <f t="shared" si="209"/>
        <v>0</v>
      </c>
      <c r="DG164" s="161">
        <f t="shared" si="210"/>
        <v>0</v>
      </c>
      <c r="DH164" s="161">
        <f t="shared" si="211"/>
        <v>0</v>
      </c>
      <c r="DI164" s="161">
        <f t="shared" si="212"/>
        <v>0</v>
      </c>
      <c r="DJ164" s="161">
        <f t="shared" si="213"/>
        <v>0</v>
      </c>
      <c r="DK164" s="161">
        <f t="shared" si="214"/>
        <v>0</v>
      </c>
      <c r="DL164" s="161">
        <f t="shared" si="215"/>
        <v>0</v>
      </c>
      <c r="DM164" s="161">
        <f t="shared" si="216"/>
        <v>0</v>
      </c>
      <c r="DN164" s="161">
        <f t="shared" si="217"/>
        <v>0</v>
      </c>
      <c r="DO164" s="161">
        <f t="shared" si="218"/>
        <v>0</v>
      </c>
      <c r="DP164" s="161">
        <f t="shared" si="219"/>
        <v>0</v>
      </c>
      <c r="DQ164" s="161">
        <f t="shared" si="220"/>
        <v>0</v>
      </c>
      <c r="DR164" s="161">
        <f t="shared" si="221"/>
        <v>0</v>
      </c>
      <c r="DS164" s="161">
        <f t="shared" si="222"/>
        <v>0</v>
      </c>
      <c r="DT164" s="161">
        <f t="shared" si="223"/>
        <v>0</v>
      </c>
      <c r="DU164" s="161">
        <f t="shared" si="224"/>
        <v>0</v>
      </c>
      <c r="DV164" s="161">
        <f t="shared" si="225"/>
        <v>0</v>
      </c>
      <c r="DW164" s="161">
        <f t="shared" si="226"/>
        <v>0</v>
      </c>
      <c r="DX164" s="161">
        <f t="shared" si="227"/>
        <v>0</v>
      </c>
      <c r="DY164" s="161">
        <f t="shared" si="228"/>
        <v>0</v>
      </c>
      <c r="DZ164" s="161">
        <f t="shared" si="229"/>
        <v>0</v>
      </c>
      <c r="EA164" s="161">
        <f t="shared" si="230"/>
        <v>0</v>
      </c>
      <c r="EB164" s="161">
        <f t="shared" si="231"/>
        <v>0</v>
      </c>
      <c r="EC164" s="161">
        <f t="shared" si="232"/>
        <v>0</v>
      </c>
      <c r="ED164" s="161">
        <f t="shared" si="233"/>
        <v>0</v>
      </c>
      <c r="EE164" s="161">
        <f t="shared" si="234"/>
        <v>0</v>
      </c>
      <c r="EF164" s="161">
        <f t="shared" si="235"/>
        <v>0</v>
      </c>
      <c r="EG164" s="161">
        <f t="shared" si="236"/>
        <v>0</v>
      </c>
      <c r="EH164" s="161">
        <f t="shared" si="237"/>
        <v>0</v>
      </c>
      <c r="EI164" s="161">
        <f t="shared" si="238"/>
        <v>0</v>
      </c>
      <c r="EJ164" s="161">
        <f t="shared" si="239"/>
        <v>0</v>
      </c>
      <c r="EK164" s="147">
        <f t="shared" si="171"/>
        <v>0</v>
      </c>
      <c r="EL164" s="149"/>
      <c r="EN164" s="146"/>
      <c r="EO164" s="146"/>
      <c r="EP164" s="139">
        <f t="shared" si="172"/>
        <v>0</v>
      </c>
      <c r="EQ164" s="139">
        <f t="shared" si="173"/>
        <v>0</v>
      </c>
      <c r="ER164" s="139">
        <f t="shared" si="174"/>
        <v>0</v>
      </c>
      <c r="ES164" s="139">
        <f t="shared" si="175"/>
        <v>0</v>
      </c>
      <c r="ET164" s="139">
        <f t="shared" si="176"/>
        <v>0</v>
      </c>
      <c r="EU164" s="139">
        <f t="shared" si="177"/>
        <v>0</v>
      </c>
      <c r="EV164" s="139">
        <f t="shared" si="178"/>
        <v>0</v>
      </c>
      <c r="EW164" s="139">
        <f t="shared" si="179"/>
        <v>0</v>
      </c>
      <c r="EX164" s="139">
        <f t="shared" si="180"/>
        <v>0</v>
      </c>
      <c r="EY164" s="139">
        <f t="shared" si="181"/>
        <v>0</v>
      </c>
      <c r="EZ164" s="139">
        <f t="shared" si="182"/>
        <v>0</v>
      </c>
      <c r="FA164" s="139">
        <f t="shared" si="183"/>
        <v>0</v>
      </c>
      <c r="FB164" s="139">
        <f t="shared" si="184"/>
        <v>0</v>
      </c>
      <c r="FC164" s="139">
        <f t="shared" si="185"/>
        <v>0</v>
      </c>
      <c r="FD164" s="139">
        <f t="shared" si="186"/>
        <v>0</v>
      </c>
      <c r="FE164" s="139">
        <f t="shared" si="187"/>
        <v>0</v>
      </c>
      <c r="FF164" s="139">
        <f t="shared" si="188"/>
        <v>0</v>
      </c>
      <c r="FG164" s="139">
        <f t="shared" si="189"/>
        <v>0</v>
      </c>
      <c r="FH164" s="139">
        <f t="shared" si="190"/>
        <v>0</v>
      </c>
      <c r="FI164" s="139">
        <f t="shared" si="191"/>
        <v>0</v>
      </c>
      <c r="FJ164" s="139">
        <f t="shared" si="192"/>
        <v>0</v>
      </c>
      <c r="FK164" s="139">
        <f t="shared" si="193"/>
        <v>0</v>
      </c>
      <c r="FL164" s="139">
        <f t="shared" si="194"/>
        <v>0</v>
      </c>
      <c r="FM164" s="139">
        <f t="shared" si="195"/>
        <v>0</v>
      </c>
      <c r="FN164" s="139">
        <f t="shared" si="196"/>
        <v>0</v>
      </c>
      <c r="FO164" s="139">
        <f t="shared" si="197"/>
        <v>0</v>
      </c>
      <c r="FP164" s="139">
        <f t="shared" si="198"/>
        <v>0</v>
      </c>
      <c r="FQ164" s="139">
        <f t="shared" si="199"/>
        <v>0</v>
      </c>
      <c r="FR164" s="139">
        <f t="shared" si="200"/>
        <v>0</v>
      </c>
      <c r="FS164" s="139">
        <f t="shared" si="201"/>
        <v>0</v>
      </c>
      <c r="FT164" s="139">
        <f t="shared" si="202"/>
        <v>0</v>
      </c>
      <c r="FU164" s="148">
        <f t="shared" si="203"/>
        <v>0</v>
      </c>
      <c r="FV164" s="149"/>
      <c r="FY164" s="211">
        <v>159</v>
      </c>
      <c r="FZ164">
        <v>18.067350395113266</v>
      </c>
      <c r="GA164">
        <v>53.320028300427253</v>
      </c>
      <c r="GB164">
        <v>76.501110554813451</v>
      </c>
      <c r="GC164">
        <v>45.739048887416637</v>
      </c>
      <c r="GD164">
        <v>20.682156428498612</v>
      </c>
      <c r="GE164">
        <v>36.685810693278164</v>
      </c>
      <c r="GF164">
        <v>63.110701812461073</v>
      </c>
      <c r="GG164">
        <v>51.946828542920862</v>
      </c>
      <c r="GH164">
        <v>25.247537102235967</v>
      </c>
      <c r="GI164">
        <v>51.649937220829408</v>
      </c>
      <c r="GJ164"/>
      <c r="GK164"/>
      <c r="GL164"/>
      <c r="GM164"/>
    </row>
    <row r="165" spans="1:195" s="7" customFormat="1">
      <c r="A165" s="1"/>
      <c r="B165" s="76">
        <f ca="1">IF(C165="", "", RAND())</f>
        <v>0.86083974739108715</v>
      </c>
      <c r="C165">
        <v>3</v>
      </c>
      <c r="D165">
        <v>39910</v>
      </c>
      <c r="E165">
        <v>0</v>
      </c>
      <c r="F165">
        <v>0</v>
      </c>
      <c r="G165">
        <v>0</v>
      </c>
      <c r="H165">
        <v>86.805555555555557</v>
      </c>
      <c r="I165">
        <v>86.805555555555557</v>
      </c>
      <c r="J165">
        <v>28.409090909090907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  <c r="AI165">
        <v>0</v>
      </c>
      <c r="AJ165" s="2"/>
      <c r="AK165" s="80"/>
      <c r="AL165" s="74"/>
      <c r="AM165" s="43">
        <v>149</v>
      </c>
      <c r="AN165">
        <v>218.25038531928649</v>
      </c>
      <c r="AO165">
        <v>59.06235803219122</v>
      </c>
      <c r="AP165">
        <v>403.65664558185176</v>
      </c>
      <c r="AQ165">
        <v>317.36517957881915</v>
      </c>
      <c r="AR165">
        <v>53.597798673858769</v>
      </c>
      <c r="AS165">
        <v>514.96845719159001</v>
      </c>
      <c r="AT165">
        <v>31.227268369075802</v>
      </c>
      <c r="AU165">
        <v>71.267443206943597</v>
      </c>
      <c r="AV165"/>
      <c r="AW165"/>
      <c r="AX165" s="146"/>
      <c r="AY165" s="76">
        <f t="shared" ca="1" si="169"/>
        <v>0.98004312874238408</v>
      </c>
      <c r="AZ165">
        <v>8</v>
      </c>
      <c r="BA165" s="129">
        <f t="shared" si="241"/>
        <v>39910</v>
      </c>
      <c r="BB165">
        <v>0</v>
      </c>
      <c r="BC165">
        <v>0</v>
      </c>
      <c r="BD165">
        <v>1</v>
      </c>
      <c r="BE165">
        <v>3</v>
      </c>
      <c r="BF165">
        <v>7</v>
      </c>
      <c r="BG165">
        <v>2</v>
      </c>
      <c r="BH165">
        <v>1</v>
      </c>
      <c r="BI165">
        <v>0</v>
      </c>
      <c r="BJ165">
        <v>0</v>
      </c>
      <c r="BK165">
        <v>0</v>
      </c>
      <c r="BL165">
        <v>0</v>
      </c>
      <c r="BM165">
        <v>0</v>
      </c>
      <c r="BN165">
        <v>0</v>
      </c>
      <c r="BO165">
        <v>0</v>
      </c>
      <c r="BP165">
        <v>0</v>
      </c>
      <c r="BQ165">
        <v>0</v>
      </c>
      <c r="BR165">
        <v>0</v>
      </c>
      <c r="BS165">
        <v>0</v>
      </c>
      <c r="BT165">
        <v>0</v>
      </c>
      <c r="BU165">
        <v>0</v>
      </c>
      <c r="BV165">
        <v>0</v>
      </c>
      <c r="BW165">
        <v>0</v>
      </c>
      <c r="BX165">
        <v>0</v>
      </c>
      <c r="BY165">
        <v>0</v>
      </c>
      <c r="BZ165">
        <v>0</v>
      </c>
      <c r="CA165">
        <v>0</v>
      </c>
      <c r="CB165">
        <v>0</v>
      </c>
      <c r="CC165">
        <v>0</v>
      </c>
      <c r="CD165">
        <v>0</v>
      </c>
      <c r="CE165">
        <v>0</v>
      </c>
      <c r="CF165">
        <v>0</v>
      </c>
      <c r="CG165" s="147"/>
      <c r="CH165" s="176"/>
      <c r="CJ165" s="146"/>
      <c r="CK165" s="76">
        <f t="shared" ca="1" si="204"/>
        <v>0.34073486913767659</v>
      </c>
      <c r="CL165" s="179">
        <f t="shared" si="205"/>
        <v>8</v>
      </c>
      <c r="CM165" s="180">
        <f t="shared" si="206"/>
        <v>39910</v>
      </c>
      <c r="CN165">
        <v>0</v>
      </c>
      <c r="CO165">
        <v>0</v>
      </c>
      <c r="CP165">
        <v>0</v>
      </c>
      <c r="CQ165">
        <v>0</v>
      </c>
      <c r="CR165">
        <v>0</v>
      </c>
      <c r="CS165">
        <v>0</v>
      </c>
      <c r="CT165">
        <v>0</v>
      </c>
      <c r="CU165">
        <v>0</v>
      </c>
      <c r="CV165" s="160"/>
      <c r="CW165">
        <v>1</v>
      </c>
      <c r="CX165">
        <v>1</v>
      </c>
      <c r="CY165" s="165"/>
      <c r="CZ165" s="177">
        <f t="shared" si="207"/>
        <v>9.6000000000000002E-2</v>
      </c>
      <c r="DB165" s="146"/>
      <c r="DC165" s="76">
        <f t="shared" ca="1" si="170"/>
        <v>0.7479080787100032</v>
      </c>
      <c r="DD165">
        <f t="shared" si="208"/>
        <v>8</v>
      </c>
      <c r="DE165" s="129">
        <f t="shared" si="240"/>
        <v>39910</v>
      </c>
      <c r="DF165" s="161">
        <f t="shared" si="209"/>
        <v>0</v>
      </c>
      <c r="DG165" s="161">
        <f t="shared" si="210"/>
        <v>0</v>
      </c>
      <c r="DH165" s="161">
        <f t="shared" si="211"/>
        <v>10.416666666666666</v>
      </c>
      <c r="DI165" s="161">
        <f t="shared" si="212"/>
        <v>31.25</v>
      </c>
      <c r="DJ165" s="161">
        <f t="shared" si="213"/>
        <v>72.916666666666671</v>
      </c>
      <c r="DK165" s="161">
        <f t="shared" si="214"/>
        <v>20.833333333333332</v>
      </c>
      <c r="DL165" s="161">
        <f t="shared" si="215"/>
        <v>10.416666666666666</v>
      </c>
      <c r="DM165" s="161">
        <f t="shared" si="216"/>
        <v>0</v>
      </c>
      <c r="DN165" s="161">
        <f t="shared" si="217"/>
        <v>0</v>
      </c>
      <c r="DO165" s="161">
        <f t="shared" si="218"/>
        <v>0</v>
      </c>
      <c r="DP165" s="161">
        <f t="shared" si="219"/>
        <v>0</v>
      </c>
      <c r="DQ165" s="161">
        <f t="shared" si="220"/>
        <v>0</v>
      </c>
      <c r="DR165" s="161">
        <f t="shared" si="221"/>
        <v>0</v>
      </c>
      <c r="DS165" s="161">
        <f t="shared" si="222"/>
        <v>0</v>
      </c>
      <c r="DT165" s="161">
        <f t="shared" si="223"/>
        <v>0</v>
      </c>
      <c r="DU165" s="161">
        <f t="shared" si="224"/>
        <v>0</v>
      </c>
      <c r="DV165" s="161">
        <f t="shared" si="225"/>
        <v>0</v>
      </c>
      <c r="DW165" s="161">
        <f t="shared" si="226"/>
        <v>0</v>
      </c>
      <c r="DX165" s="161">
        <f t="shared" si="227"/>
        <v>0</v>
      </c>
      <c r="DY165" s="161">
        <f t="shared" si="228"/>
        <v>0</v>
      </c>
      <c r="DZ165" s="161">
        <f t="shared" si="229"/>
        <v>0</v>
      </c>
      <c r="EA165" s="161">
        <f t="shared" si="230"/>
        <v>0</v>
      </c>
      <c r="EB165" s="161">
        <f t="shared" si="231"/>
        <v>0</v>
      </c>
      <c r="EC165" s="161">
        <f t="shared" si="232"/>
        <v>0</v>
      </c>
      <c r="ED165" s="161">
        <f t="shared" si="233"/>
        <v>0</v>
      </c>
      <c r="EE165" s="161">
        <f t="shared" si="234"/>
        <v>0</v>
      </c>
      <c r="EF165" s="161">
        <f t="shared" si="235"/>
        <v>0</v>
      </c>
      <c r="EG165" s="161">
        <f t="shared" si="236"/>
        <v>0</v>
      </c>
      <c r="EH165" s="161">
        <f t="shared" si="237"/>
        <v>0</v>
      </c>
      <c r="EI165" s="161">
        <f t="shared" si="238"/>
        <v>0</v>
      </c>
      <c r="EJ165" s="161">
        <f t="shared" si="239"/>
        <v>0</v>
      </c>
      <c r="EK165" s="147">
        <f t="shared" si="171"/>
        <v>145.83333333333334</v>
      </c>
      <c r="EL165" s="149"/>
      <c r="EN165" s="146"/>
      <c r="EO165" s="146"/>
      <c r="EP165" s="139">
        <f t="shared" si="172"/>
        <v>0</v>
      </c>
      <c r="EQ165" s="139">
        <f t="shared" si="173"/>
        <v>0</v>
      </c>
      <c r="ER165" s="139">
        <f t="shared" si="174"/>
        <v>0.76881452219105906</v>
      </c>
      <c r="ES165" s="139">
        <f t="shared" si="175"/>
        <v>7.4840341047874483</v>
      </c>
      <c r="ET165" s="139">
        <f t="shared" si="176"/>
        <v>40.254060555507465</v>
      </c>
      <c r="EU165" s="139">
        <f t="shared" si="177"/>
        <v>21.982213368569095</v>
      </c>
      <c r="EV165" s="139">
        <f t="shared" si="178"/>
        <v>18.659696712272744</v>
      </c>
      <c r="EW165" s="139">
        <f t="shared" si="179"/>
        <v>0</v>
      </c>
      <c r="EX165" s="139">
        <f t="shared" si="180"/>
        <v>0</v>
      </c>
      <c r="EY165" s="139">
        <f t="shared" si="181"/>
        <v>0</v>
      </c>
      <c r="EZ165" s="139">
        <f t="shared" si="182"/>
        <v>0</v>
      </c>
      <c r="FA165" s="139">
        <f t="shared" si="183"/>
        <v>0</v>
      </c>
      <c r="FB165" s="139">
        <f t="shared" si="184"/>
        <v>0</v>
      </c>
      <c r="FC165" s="139">
        <f t="shared" si="185"/>
        <v>0</v>
      </c>
      <c r="FD165" s="139">
        <f t="shared" si="186"/>
        <v>0</v>
      </c>
      <c r="FE165" s="139">
        <f t="shared" si="187"/>
        <v>0</v>
      </c>
      <c r="FF165" s="139">
        <f t="shared" si="188"/>
        <v>0</v>
      </c>
      <c r="FG165" s="139">
        <f t="shared" si="189"/>
        <v>0</v>
      </c>
      <c r="FH165" s="139">
        <f t="shared" si="190"/>
        <v>0</v>
      </c>
      <c r="FI165" s="139">
        <f t="shared" si="191"/>
        <v>0</v>
      </c>
      <c r="FJ165" s="139">
        <f t="shared" si="192"/>
        <v>0</v>
      </c>
      <c r="FK165" s="139">
        <f t="shared" si="193"/>
        <v>0</v>
      </c>
      <c r="FL165" s="139">
        <f t="shared" si="194"/>
        <v>0</v>
      </c>
      <c r="FM165" s="139">
        <f t="shared" si="195"/>
        <v>0</v>
      </c>
      <c r="FN165" s="139">
        <f t="shared" si="196"/>
        <v>0</v>
      </c>
      <c r="FO165" s="139">
        <f t="shared" si="197"/>
        <v>0</v>
      </c>
      <c r="FP165" s="139">
        <f t="shared" si="198"/>
        <v>0</v>
      </c>
      <c r="FQ165" s="139">
        <f t="shared" si="199"/>
        <v>0</v>
      </c>
      <c r="FR165" s="139">
        <f t="shared" si="200"/>
        <v>0</v>
      </c>
      <c r="FS165" s="139">
        <f t="shared" si="201"/>
        <v>0</v>
      </c>
      <c r="FT165" s="139">
        <f t="shared" si="202"/>
        <v>0</v>
      </c>
      <c r="FU165" s="148">
        <f t="shared" si="203"/>
        <v>89.148819263327809</v>
      </c>
      <c r="FV165" s="149"/>
      <c r="FY165" s="211">
        <v>160</v>
      </c>
      <c r="FZ165">
        <v>20.270818532692161</v>
      </c>
      <c r="GA165">
        <v>48.220729741058832</v>
      </c>
      <c r="GB165">
        <v>49.767428541479596</v>
      </c>
      <c r="GC165">
        <v>31.248097819771896</v>
      </c>
      <c r="GD165">
        <v>15.237963840204451</v>
      </c>
      <c r="GE165">
        <v>38.804560154358292</v>
      </c>
      <c r="GF165">
        <v>78.964651916581715</v>
      </c>
      <c r="GG165">
        <v>46.015748225395328</v>
      </c>
      <c r="GH165">
        <v>16.176042670148949</v>
      </c>
      <c r="GI165">
        <v>44.010277985040638</v>
      </c>
      <c r="GJ165"/>
      <c r="GK165"/>
      <c r="GL165"/>
      <c r="GM165"/>
    </row>
    <row r="166" spans="1:195" s="7" customFormat="1">
      <c r="A166" s="1"/>
      <c r="B166" s="76">
        <f ca="1">IF(C166="", "", RAND())</f>
        <v>0.67357577852115624</v>
      </c>
      <c r="C166">
        <v>4</v>
      </c>
      <c r="D166">
        <v>39910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I166">
        <v>0</v>
      </c>
      <c r="AJ166" s="2"/>
      <c r="AK166" s="80"/>
      <c r="AL166" s="74"/>
      <c r="AM166" s="43">
        <v>150</v>
      </c>
      <c r="AN166">
        <v>206.41003665790362</v>
      </c>
      <c r="AO166">
        <v>82.183063420593754</v>
      </c>
      <c r="AP166">
        <v>636.94910797195973</v>
      </c>
      <c r="AQ166">
        <v>482.2073075629304</v>
      </c>
      <c r="AR166">
        <v>74.155761859270825</v>
      </c>
      <c r="AS166">
        <v>574.84687687988594</v>
      </c>
      <c r="AT166">
        <v>41.723420757162927</v>
      </c>
      <c r="AU166">
        <v>62.792945293244252</v>
      </c>
      <c r="AV166"/>
      <c r="AW166"/>
      <c r="AX166" s="146"/>
      <c r="AY166" s="76">
        <f t="shared" ca="1" si="169"/>
        <v>0.191337983058258</v>
      </c>
      <c r="AZ166">
        <v>9</v>
      </c>
      <c r="BA166" s="129">
        <f t="shared" si="241"/>
        <v>39910</v>
      </c>
      <c r="BB166">
        <v>0</v>
      </c>
      <c r="BC166">
        <v>0</v>
      </c>
      <c r="BD166">
        <v>0</v>
      </c>
      <c r="BE166">
        <v>0</v>
      </c>
      <c r="BF166">
        <v>0</v>
      </c>
      <c r="BG166">
        <v>0</v>
      </c>
      <c r="BH166">
        <v>3</v>
      </c>
      <c r="BI166">
        <v>0</v>
      </c>
      <c r="BJ166">
        <v>0</v>
      </c>
      <c r="BK166">
        <v>0</v>
      </c>
      <c r="BL166">
        <v>0</v>
      </c>
      <c r="BM166">
        <v>0</v>
      </c>
      <c r="BN166">
        <v>0</v>
      </c>
      <c r="BO166">
        <v>0</v>
      </c>
      <c r="BP166">
        <v>0</v>
      </c>
      <c r="BQ166">
        <v>0</v>
      </c>
      <c r="BR166">
        <v>0</v>
      </c>
      <c r="BS166">
        <v>0</v>
      </c>
      <c r="BT166">
        <v>0</v>
      </c>
      <c r="BU166">
        <v>0</v>
      </c>
      <c r="BV166">
        <v>0</v>
      </c>
      <c r="BW166">
        <v>0</v>
      </c>
      <c r="BX166">
        <v>0</v>
      </c>
      <c r="BY166">
        <v>0</v>
      </c>
      <c r="BZ166">
        <v>0</v>
      </c>
      <c r="CA166">
        <v>0</v>
      </c>
      <c r="CB166">
        <v>0</v>
      </c>
      <c r="CC166">
        <v>0</v>
      </c>
      <c r="CD166">
        <v>0</v>
      </c>
      <c r="CE166">
        <v>0</v>
      </c>
      <c r="CF166">
        <v>0</v>
      </c>
      <c r="CG166" s="147"/>
      <c r="CH166" s="176"/>
      <c r="CJ166" s="146"/>
      <c r="CK166" s="76">
        <f t="shared" ca="1" si="204"/>
        <v>0.96737483963949877</v>
      </c>
      <c r="CL166" s="179">
        <f t="shared" si="205"/>
        <v>9</v>
      </c>
      <c r="CM166" s="180">
        <f t="shared" si="206"/>
        <v>39910</v>
      </c>
      <c r="CN166">
        <v>0</v>
      </c>
      <c r="CO166">
        <v>0</v>
      </c>
      <c r="CP166">
        <v>1</v>
      </c>
      <c r="CQ166">
        <v>1</v>
      </c>
      <c r="CR166">
        <v>0</v>
      </c>
      <c r="CS166">
        <v>0</v>
      </c>
      <c r="CT166">
        <v>0</v>
      </c>
      <c r="CU166">
        <v>0</v>
      </c>
      <c r="CV166" s="160"/>
      <c r="CW166">
        <f>33/10</f>
        <v>3.3</v>
      </c>
      <c r="CX166">
        <f>350/36</f>
        <v>9.7222222222222214</v>
      </c>
      <c r="CY166" s="165"/>
      <c r="CZ166" s="177">
        <f t="shared" si="207"/>
        <v>9.6000000000000002E-2</v>
      </c>
      <c r="DB166" s="146"/>
      <c r="DC166" s="76">
        <f t="shared" ca="1" si="170"/>
        <v>0.44842222972337908</v>
      </c>
      <c r="DD166">
        <f t="shared" si="208"/>
        <v>9</v>
      </c>
      <c r="DE166" s="129">
        <f t="shared" si="240"/>
        <v>39910</v>
      </c>
      <c r="DF166" s="161">
        <f t="shared" si="209"/>
        <v>0</v>
      </c>
      <c r="DG166" s="161">
        <f t="shared" si="210"/>
        <v>0</v>
      </c>
      <c r="DH166" s="161">
        <f t="shared" si="211"/>
        <v>101.27314814814814</v>
      </c>
      <c r="DI166" s="161">
        <f t="shared" si="212"/>
        <v>101.27314814814814</v>
      </c>
      <c r="DJ166" s="161">
        <f t="shared" si="213"/>
        <v>0</v>
      </c>
      <c r="DK166" s="161">
        <f t="shared" si="214"/>
        <v>0</v>
      </c>
      <c r="DL166" s="161">
        <f t="shared" si="215"/>
        <v>103.12499999999999</v>
      </c>
      <c r="DM166" s="161">
        <f t="shared" si="216"/>
        <v>0</v>
      </c>
      <c r="DN166" s="161">
        <f t="shared" si="217"/>
        <v>0</v>
      </c>
      <c r="DO166" s="161">
        <f t="shared" si="218"/>
        <v>0</v>
      </c>
      <c r="DP166" s="161">
        <f t="shared" si="219"/>
        <v>0</v>
      </c>
      <c r="DQ166" s="161">
        <f t="shared" si="220"/>
        <v>0</v>
      </c>
      <c r="DR166" s="161">
        <f t="shared" si="221"/>
        <v>0</v>
      </c>
      <c r="DS166" s="161">
        <f t="shared" si="222"/>
        <v>0</v>
      </c>
      <c r="DT166" s="161">
        <f t="shared" si="223"/>
        <v>0</v>
      </c>
      <c r="DU166" s="161">
        <f t="shared" si="224"/>
        <v>0</v>
      </c>
      <c r="DV166" s="161">
        <f t="shared" si="225"/>
        <v>0</v>
      </c>
      <c r="DW166" s="161">
        <f t="shared" si="226"/>
        <v>0</v>
      </c>
      <c r="DX166" s="161">
        <f t="shared" si="227"/>
        <v>0</v>
      </c>
      <c r="DY166" s="161">
        <f t="shared" si="228"/>
        <v>0</v>
      </c>
      <c r="DZ166" s="161">
        <f t="shared" si="229"/>
        <v>0</v>
      </c>
      <c r="EA166" s="161">
        <f t="shared" si="230"/>
        <v>0</v>
      </c>
      <c r="EB166" s="161">
        <f t="shared" si="231"/>
        <v>0</v>
      </c>
      <c r="EC166" s="161">
        <f t="shared" si="232"/>
        <v>0</v>
      </c>
      <c r="ED166" s="161">
        <f t="shared" si="233"/>
        <v>0</v>
      </c>
      <c r="EE166" s="161">
        <f t="shared" si="234"/>
        <v>0</v>
      </c>
      <c r="EF166" s="161">
        <f t="shared" si="235"/>
        <v>0</v>
      </c>
      <c r="EG166" s="161">
        <f t="shared" si="236"/>
        <v>0</v>
      </c>
      <c r="EH166" s="161">
        <f t="shared" si="237"/>
        <v>0</v>
      </c>
      <c r="EI166" s="161">
        <f t="shared" si="238"/>
        <v>0</v>
      </c>
      <c r="EJ166" s="161">
        <f t="shared" si="239"/>
        <v>0</v>
      </c>
      <c r="EK166" s="147">
        <f t="shared" si="171"/>
        <v>305.67129629629625</v>
      </c>
      <c r="EL166" s="149"/>
      <c r="EN166" s="146"/>
      <c r="EO166" s="146"/>
      <c r="EP166" s="139">
        <f t="shared" si="172"/>
        <v>0</v>
      </c>
      <c r="EQ166" s="139">
        <f t="shared" si="173"/>
        <v>0</v>
      </c>
      <c r="ER166" s="139">
        <f t="shared" si="174"/>
        <v>7.4745856324130742</v>
      </c>
      <c r="ES166" s="139">
        <f t="shared" si="175"/>
        <v>24.25381422847784</v>
      </c>
      <c r="ET166" s="139">
        <f t="shared" si="176"/>
        <v>0</v>
      </c>
      <c r="EU166" s="139">
        <f t="shared" si="177"/>
        <v>0</v>
      </c>
      <c r="EV166" s="139">
        <f t="shared" si="178"/>
        <v>184.73099745150014</v>
      </c>
      <c r="EW166" s="139">
        <f t="shared" si="179"/>
        <v>0</v>
      </c>
      <c r="EX166" s="139">
        <f t="shared" si="180"/>
        <v>0</v>
      </c>
      <c r="EY166" s="139">
        <f t="shared" si="181"/>
        <v>0</v>
      </c>
      <c r="EZ166" s="139">
        <f t="shared" si="182"/>
        <v>0</v>
      </c>
      <c r="FA166" s="139">
        <f t="shared" si="183"/>
        <v>0</v>
      </c>
      <c r="FB166" s="139">
        <f t="shared" si="184"/>
        <v>0</v>
      </c>
      <c r="FC166" s="139">
        <f t="shared" si="185"/>
        <v>0</v>
      </c>
      <c r="FD166" s="139">
        <f t="shared" si="186"/>
        <v>0</v>
      </c>
      <c r="FE166" s="139">
        <f t="shared" si="187"/>
        <v>0</v>
      </c>
      <c r="FF166" s="139">
        <f t="shared" si="188"/>
        <v>0</v>
      </c>
      <c r="FG166" s="139">
        <f t="shared" si="189"/>
        <v>0</v>
      </c>
      <c r="FH166" s="139">
        <f t="shared" si="190"/>
        <v>0</v>
      </c>
      <c r="FI166" s="139">
        <f t="shared" si="191"/>
        <v>0</v>
      </c>
      <c r="FJ166" s="139">
        <f t="shared" si="192"/>
        <v>0</v>
      </c>
      <c r="FK166" s="139">
        <f t="shared" si="193"/>
        <v>0</v>
      </c>
      <c r="FL166" s="139">
        <f t="shared" si="194"/>
        <v>0</v>
      </c>
      <c r="FM166" s="139">
        <f t="shared" si="195"/>
        <v>0</v>
      </c>
      <c r="FN166" s="139">
        <f t="shared" si="196"/>
        <v>0</v>
      </c>
      <c r="FO166" s="139">
        <f t="shared" si="197"/>
        <v>0</v>
      </c>
      <c r="FP166" s="139">
        <f t="shared" si="198"/>
        <v>0</v>
      </c>
      <c r="FQ166" s="139">
        <f t="shared" si="199"/>
        <v>0</v>
      </c>
      <c r="FR166" s="139">
        <f t="shared" si="200"/>
        <v>0</v>
      </c>
      <c r="FS166" s="139">
        <f t="shared" si="201"/>
        <v>0</v>
      </c>
      <c r="FT166" s="139">
        <f t="shared" si="202"/>
        <v>0</v>
      </c>
      <c r="FU166" s="148">
        <f t="shared" si="203"/>
        <v>216.45939731239105</v>
      </c>
      <c r="FV166" s="149"/>
      <c r="FY166" s="211">
        <v>161</v>
      </c>
      <c r="FZ166">
        <v>16.757058920556126</v>
      </c>
      <c r="GA166">
        <v>41.947374097405607</v>
      </c>
      <c r="GB166">
        <v>56.513591255233777</v>
      </c>
      <c r="GC166">
        <v>36.638264227000391</v>
      </c>
      <c r="GD166">
        <v>21.276178300983119</v>
      </c>
      <c r="GE166">
        <v>32.20772544341844</v>
      </c>
      <c r="GF166">
        <v>47.339288545588467</v>
      </c>
      <c r="GG166">
        <v>46.840092477272009</v>
      </c>
      <c r="GH166">
        <v>23.163445709632132</v>
      </c>
      <c r="GI166">
        <v>43.533314802072546</v>
      </c>
      <c r="GJ166"/>
      <c r="GK166"/>
      <c r="GL166"/>
      <c r="GM166"/>
    </row>
    <row r="167" spans="1:195" s="7" customFormat="1">
      <c r="A167" s="1"/>
      <c r="B167" s="76">
        <f ca="1">IF(C167="", "", RAND())</f>
        <v>0.85961144101448905</v>
      </c>
      <c r="C167">
        <v>7</v>
      </c>
      <c r="D167">
        <v>39910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0</v>
      </c>
      <c r="AH167">
        <v>0</v>
      </c>
      <c r="AI167">
        <v>0</v>
      </c>
      <c r="AJ167" s="2"/>
      <c r="AK167" s="80"/>
      <c r="AL167" s="74"/>
      <c r="AM167" s="43">
        <v>151</v>
      </c>
      <c r="AN167">
        <v>250.67731850150625</v>
      </c>
      <c r="AO167">
        <v>88.458970957756961</v>
      </c>
      <c r="AP167">
        <v>671.94042895254222</v>
      </c>
      <c r="AQ167">
        <v>480.75498688486647</v>
      </c>
      <c r="AR167">
        <v>79.406501369021527</v>
      </c>
      <c r="AS167">
        <v>631.02284561664192</v>
      </c>
      <c r="AT167">
        <v>45.560401994301991</v>
      </c>
      <c r="AU167">
        <v>58.227831644621418</v>
      </c>
      <c r="AV167"/>
      <c r="AW167"/>
      <c r="AX167" s="146"/>
      <c r="AY167" s="76">
        <f t="shared" ca="1" si="169"/>
        <v>0.72677343974229935</v>
      </c>
      <c r="AZ167">
        <v>10</v>
      </c>
      <c r="BA167" s="129">
        <f t="shared" si="241"/>
        <v>39910</v>
      </c>
      <c r="BB167">
        <v>0</v>
      </c>
      <c r="BC167">
        <v>0</v>
      </c>
      <c r="BD167">
        <v>0</v>
      </c>
      <c r="BE167">
        <v>0</v>
      </c>
      <c r="BF167">
        <v>6</v>
      </c>
      <c r="BG167">
        <v>19</v>
      </c>
      <c r="BH167">
        <v>9</v>
      </c>
      <c r="BI167">
        <v>0</v>
      </c>
      <c r="BJ167">
        <v>1</v>
      </c>
      <c r="BK167">
        <v>0</v>
      </c>
      <c r="BL167">
        <v>0</v>
      </c>
      <c r="BM167">
        <v>1</v>
      </c>
      <c r="BN167">
        <v>0</v>
      </c>
      <c r="BO167">
        <v>0</v>
      </c>
      <c r="BP167">
        <v>0</v>
      </c>
      <c r="BQ167">
        <v>0</v>
      </c>
      <c r="BR167">
        <v>0</v>
      </c>
      <c r="BS167">
        <v>0</v>
      </c>
      <c r="BT167">
        <v>0</v>
      </c>
      <c r="BU167">
        <v>0</v>
      </c>
      <c r="BV167">
        <v>0</v>
      </c>
      <c r="BW167">
        <v>0</v>
      </c>
      <c r="BX167">
        <v>0</v>
      </c>
      <c r="BY167">
        <v>0</v>
      </c>
      <c r="BZ167">
        <v>0</v>
      </c>
      <c r="CA167">
        <v>0</v>
      </c>
      <c r="CB167">
        <v>0</v>
      </c>
      <c r="CC167">
        <v>0</v>
      </c>
      <c r="CD167">
        <v>0</v>
      </c>
      <c r="CE167">
        <v>0</v>
      </c>
      <c r="CF167">
        <v>0</v>
      </c>
      <c r="CG167" s="147"/>
      <c r="CH167" s="176"/>
      <c r="CJ167" s="146"/>
      <c r="CK167" s="76">
        <f t="shared" ca="1" si="204"/>
        <v>0.18585647707495845</v>
      </c>
      <c r="CL167" s="179">
        <f t="shared" si="205"/>
        <v>10</v>
      </c>
      <c r="CM167" s="180">
        <f t="shared" si="206"/>
        <v>39910</v>
      </c>
      <c r="CN167" s="223">
        <v>0</v>
      </c>
      <c r="CO167" s="223">
        <v>0</v>
      </c>
      <c r="CP167" s="223">
        <v>3</v>
      </c>
      <c r="CQ167" s="223">
        <v>2</v>
      </c>
      <c r="CR167" s="223">
        <v>1</v>
      </c>
      <c r="CS167">
        <v>0</v>
      </c>
      <c r="CT167">
        <v>0</v>
      </c>
      <c r="CU167">
        <v>0</v>
      </c>
      <c r="CV167" s="160"/>
      <c r="CW167">
        <v>1</v>
      </c>
      <c r="CX167">
        <f>350/35</f>
        <v>10</v>
      </c>
      <c r="CY167" s="165"/>
      <c r="CZ167" s="177">
        <f t="shared" si="207"/>
        <v>9.6000000000000002E-2</v>
      </c>
      <c r="DB167" s="146"/>
      <c r="DC167" s="76">
        <f t="shared" ca="1" si="170"/>
        <v>0.68516673502590475</v>
      </c>
      <c r="DD167">
        <f t="shared" si="208"/>
        <v>10</v>
      </c>
      <c r="DE167" s="129">
        <f t="shared" si="240"/>
        <v>39910</v>
      </c>
      <c r="DF167" s="161">
        <f t="shared" si="209"/>
        <v>0</v>
      </c>
      <c r="DG167" s="161">
        <f t="shared" si="210"/>
        <v>0</v>
      </c>
      <c r="DH167" s="161">
        <f t="shared" si="211"/>
        <v>312.5</v>
      </c>
      <c r="DI167" s="161">
        <f t="shared" si="212"/>
        <v>208.33333333333334</v>
      </c>
      <c r="DJ167" s="161">
        <f t="shared" si="213"/>
        <v>166.66666666666666</v>
      </c>
      <c r="DK167" s="161">
        <f t="shared" si="214"/>
        <v>197.91666666666666</v>
      </c>
      <c r="DL167" s="161">
        <f t="shared" si="215"/>
        <v>93.75</v>
      </c>
      <c r="DM167" s="161">
        <f t="shared" si="216"/>
        <v>0</v>
      </c>
      <c r="DN167" s="161">
        <f t="shared" si="217"/>
        <v>10.416666666666666</v>
      </c>
      <c r="DO167" s="161">
        <f t="shared" si="218"/>
        <v>0</v>
      </c>
      <c r="DP167" s="161">
        <f t="shared" si="219"/>
        <v>0</v>
      </c>
      <c r="DQ167" s="161">
        <f t="shared" si="220"/>
        <v>10.416666666666666</v>
      </c>
      <c r="DR167" s="161">
        <f t="shared" si="221"/>
        <v>0</v>
      </c>
      <c r="DS167" s="161">
        <f t="shared" si="222"/>
        <v>0</v>
      </c>
      <c r="DT167" s="161">
        <f t="shared" si="223"/>
        <v>0</v>
      </c>
      <c r="DU167" s="161">
        <f t="shared" si="224"/>
        <v>0</v>
      </c>
      <c r="DV167" s="161">
        <f t="shared" si="225"/>
        <v>0</v>
      </c>
      <c r="DW167" s="161">
        <f t="shared" si="226"/>
        <v>0</v>
      </c>
      <c r="DX167" s="161">
        <f t="shared" si="227"/>
        <v>0</v>
      </c>
      <c r="DY167" s="161">
        <f t="shared" si="228"/>
        <v>0</v>
      </c>
      <c r="DZ167" s="161">
        <f t="shared" si="229"/>
        <v>0</v>
      </c>
      <c r="EA167" s="161">
        <f t="shared" si="230"/>
        <v>0</v>
      </c>
      <c r="EB167" s="161">
        <f t="shared" si="231"/>
        <v>0</v>
      </c>
      <c r="EC167" s="161">
        <f t="shared" si="232"/>
        <v>0</v>
      </c>
      <c r="ED167" s="161">
        <f t="shared" si="233"/>
        <v>0</v>
      </c>
      <c r="EE167" s="161">
        <f t="shared" si="234"/>
        <v>0</v>
      </c>
      <c r="EF167" s="161">
        <f t="shared" si="235"/>
        <v>0</v>
      </c>
      <c r="EG167" s="161">
        <f t="shared" si="236"/>
        <v>0</v>
      </c>
      <c r="EH167" s="161">
        <f t="shared" si="237"/>
        <v>0</v>
      </c>
      <c r="EI167" s="161">
        <f t="shared" si="238"/>
        <v>0</v>
      </c>
      <c r="EJ167" s="161">
        <f t="shared" si="239"/>
        <v>0</v>
      </c>
      <c r="EK167" s="147">
        <f t="shared" si="171"/>
        <v>999.99999999999989</v>
      </c>
      <c r="EL167" s="149"/>
      <c r="EN167" s="146"/>
      <c r="EO167" s="146"/>
      <c r="EP167" s="139">
        <f t="shared" si="172"/>
        <v>0</v>
      </c>
      <c r="EQ167" s="139">
        <f t="shared" si="173"/>
        <v>0</v>
      </c>
      <c r="ER167" s="139">
        <f t="shared" si="174"/>
        <v>23.064435665731772</v>
      </c>
      <c r="ES167" s="139">
        <f t="shared" si="175"/>
        <v>49.893560698582988</v>
      </c>
      <c r="ET167" s="139">
        <f t="shared" si="176"/>
        <v>92.009281269731346</v>
      </c>
      <c r="EU167" s="139">
        <f t="shared" si="177"/>
        <v>208.8310270014064</v>
      </c>
      <c r="EV167" s="139">
        <f t="shared" si="178"/>
        <v>167.93727041045469</v>
      </c>
      <c r="EW167" s="139">
        <f t="shared" si="179"/>
        <v>0</v>
      </c>
      <c r="EX167" s="139">
        <f t="shared" si="180"/>
        <v>43.013197975068181</v>
      </c>
      <c r="EY167" s="139">
        <f t="shared" si="181"/>
        <v>0</v>
      </c>
      <c r="EZ167" s="139">
        <f t="shared" si="182"/>
        <v>0</v>
      </c>
      <c r="FA167" s="139">
        <f t="shared" si="183"/>
        <v>108.41627105124688</v>
      </c>
      <c r="FB167" s="139">
        <f t="shared" si="184"/>
        <v>0</v>
      </c>
      <c r="FC167" s="139">
        <f t="shared" si="185"/>
        <v>0</v>
      </c>
      <c r="FD167" s="139">
        <f t="shared" si="186"/>
        <v>0</v>
      </c>
      <c r="FE167" s="139">
        <f t="shared" si="187"/>
        <v>0</v>
      </c>
      <c r="FF167" s="139">
        <f t="shared" si="188"/>
        <v>0</v>
      </c>
      <c r="FG167" s="139">
        <f t="shared" si="189"/>
        <v>0</v>
      </c>
      <c r="FH167" s="139">
        <f t="shared" si="190"/>
        <v>0</v>
      </c>
      <c r="FI167" s="139">
        <f t="shared" si="191"/>
        <v>0</v>
      </c>
      <c r="FJ167" s="139">
        <f t="shared" si="192"/>
        <v>0</v>
      </c>
      <c r="FK167" s="139">
        <f t="shared" si="193"/>
        <v>0</v>
      </c>
      <c r="FL167" s="139">
        <f t="shared" si="194"/>
        <v>0</v>
      </c>
      <c r="FM167" s="139">
        <f t="shared" si="195"/>
        <v>0</v>
      </c>
      <c r="FN167" s="139">
        <f t="shared" si="196"/>
        <v>0</v>
      </c>
      <c r="FO167" s="139">
        <f t="shared" si="197"/>
        <v>0</v>
      </c>
      <c r="FP167" s="139">
        <f t="shared" si="198"/>
        <v>0</v>
      </c>
      <c r="FQ167" s="139">
        <f t="shared" si="199"/>
        <v>0</v>
      </c>
      <c r="FR167" s="139">
        <f t="shared" si="200"/>
        <v>0</v>
      </c>
      <c r="FS167" s="139">
        <f t="shared" si="201"/>
        <v>0</v>
      </c>
      <c r="FT167" s="139">
        <f t="shared" si="202"/>
        <v>0</v>
      </c>
      <c r="FU167" s="148">
        <f t="shared" si="203"/>
        <v>693.16504407222214</v>
      </c>
      <c r="FV167" s="149"/>
      <c r="FY167" s="211">
        <v>162</v>
      </c>
      <c r="FZ167">
        <v>16.23611524676436</v>
      </c>
      <c r="GA167">
        <v>42.911931711263946</v>
      </c>
      <c r="GB167">
        <v>79.728325224769762</v>
      </c>
      <c r="GC167">
        <v>49.908245459560433</v>
      </c>
      <c r="GD167">
        <v>22.512642836167522</v>
      </c>
      <c r="GE167">
        <v>67.184471320252726</v>
      </c>
      <c r="GF167">
        <v>132.73441387510539</v>
      </c>
      <c r="GG167">
        <v>73.969682300425561</v>
      </c>
      <c r="GH167">
        <v>21.948115510076647</v>
      </c>
      <c r="GI167">
        <v>67.943772304398124</v>
      </c>
      <c r="GJ167"/>
      <c r="GK167"/>
      <c r="GL167"/>
      <c r="GM167"/>
    </row>
    <row r="168" spans="1:195" s="7" customFormat="1">
      <c r="A168" s="128"/>
      <c r="B168" s="76">
        <f ca="1">IF(C168="", "", RAND())</f>
        <v>0.37559275331429176</v>
      </c>
      <c r="C168">
        <v>4</v>
      </c>
      <c r="D168">
        <v>39949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 s="2"/>
      <c r="AK168" s="80"/>
      <c r="AL168" s="74">
        <v>3.0028000000000028</v>
      </c>
      <c r="AM168" s="43">
        <v>152</v>
      </c>
      <c r="AN168">
        <v>279.91334177917719</v>
      </c>
      <c r="AO168">
        <v>100.69578939356498</v>
      </c>
      <c r="AP168">
        <v>742.59097537575519</v>
      </c>
      <c r="AQ168">
        <v>566.81175570113214</v>
      </c>
      <c r="AR168">
        <v>91.038337586825207</v>
      </c>
      <c r="AS168">
        <v>718.4655343209854</v>
      </c>
      <c r="AT168">
        <v>49.133187899679911</v>
      </c>
      <c r="AU168">
        <v>83.346572587519418</v>
      </c>
      <c r="AV168"/>
      <c r="AW168"/>
      <c r="AX168" s="128"/>
      <c r="AY168" s="76">
        <f t="shared" ca="1" si="169"/>
        <v>0.80266577518987692</v>
      </c>
      <c r="AZ168">
        <v>1</v>
      </c>
      <c r="BA168" s="129">
        <f>IF(AZ168="", "",$C$12)</f>
        <v>39949</v>
      </c>
      <c r="BB168">
        <v>0</v>
      </c>
      <c r="BC168">
        <v>0</v>
      </c>
      <c r="BD168">
        <v>0</v>
      </c>
      <c r="BE168">
        <v>0</v>
      </c>
      <c r="BF168">
        <v>0</v>
      </c>
      <c r="BG168">
        <v>0</v>
      </c>
      <c r="BH168">
        <v>0</v>
      </c>
      <c r="BI168">
        <v>0</v>
      </c>
      <c r="BJ168">
        <v>0</v>
      </c>
      <c r="BK168">
        <v>0</v>
      </c>
      <c r="BL168">
        <v>0</v>
      </c>
      <c r="BM168">
        <v>0</v>
      </c>
      <c r="BN168">
        <v>0</v>
      </c>
      <c r="BO168">
        <v>0</v>
      </c>
      <c r="BP168">
        <v>0</v>
      </c>
      <c r="BQ168">
        <v>0</v>
      </c>
      <c r="BR168">
        <v>0</v>
      </c>
      <c r="BS168">
        <v>0</v>
      </c>
      <c r="BT168">
        <v>0</v>
      </c>
      <c r="BU168">
        <v>0</v>
      </c>
      <c r="BV168">
        <v>0</v>
      </c>
      <c r="BW168">
        <v>0</v>
      </c>
      <c r="BX168">
        <v>0</v>
      </c>
      <c r="BY168">
        <v>0</v>
      </c>
      <c r="BZ168">
        <v>0</v>
      </c>
      <c r="CA168">
        <v>0</v>
      </c>
      <c r="CB168">
        <v>0</v>
      </c>
      <c r="CC168">
        <v>0</v>
      </c>
      <c r="CD168">
        <v>0</v>
      </c>
      <c r="CE168">
        <v>0</v>
      </c>
      <c r="CF168">
        <v>0</v>
      </c>
      <c r="CG168" s="147"/>
      <c r="CH168" s="176"/>
      <c r="CJ168" s="128"/>
      <c r="CK168" s="76">
        <f t="shared" ca="1" si="204"/>
        <v>0.46468973300037208</v>
      </c>
      <c r="CL168" s="179">
        <f t="shared" si="205"/>
        <v>1</v>
      </c>
      <c r="CM168" s="180">
        <f t="shared" si="206"/>
        <v>39949</v>
      </c>
      <c r="CN168">
        <v>0</v>
      </c>
      <c r="CO168">
        <v>0</v>
      </c>
      <c r="CP168">
        <v>0</v>
      </c>
      <c r="CQ168">
        <v>0</v>
      </c>
      <c r="CR168">
        <v>0</v>
      </c>
      <c r="CS168">
        <v>0</v>
      </c>
      <c r="CT168">
        <v>0</v>
      </c>
      <c r="CU168">
        <v>0</v>
      </c>
      <c r="CV168" s="160"/>
      <c r="CW168">
        <v>1</v>
      </c>
      <c r="CX168">
        <f>325/83</f>
        <v>3.9156626506024095</v>
      </c>
      <c r="CY168" s="160"/>
      <c r="CZ168" s="177">
        <f t="shared" si="207"/>
        <v>9.6000000000000002E-2</v>
      </c>
      <c r="DB168" s="128"/>
      <c r="DC168" s="76">
        <f t="shared" ca="1" si="170"/>
        <v>0.372842447028505</v>
      </c>
      <c r="DD168">
        <f t="shared" si="208"/>
        <v>1</v>
      </c>
      <c r="DE168" s="129">
        <f t="shared" ref="DE168:DE177" si="242">IF((DD168)="", "", $C$12)</f>
        <v>39949</v>
      </c>
      <c r="DF168" s="161">
        <f t="shared" si="209"/>
        <v>0</v>
      </c>
      <c r="DG168" s="161">
        <f t="shared" si="210"/>
        <v>0</v>
      </c>
      <c r="DH168" s="161">
        <f t="shared" si="211"/>
        <v>0</v>
      </c>
      <c r="DI168" s="161">
        <f t="shared" si="212"/>
        <v>0</v>
      </c>
      <c r="DJ168" s="161">
        <f t="shared" si="213"/>
        <v>0</v>
      </c>
      <c r="DK168" s="161">
        <f t="shared" si="214"/>
        <v>0</v>
      </c>
      <c r="DL168" s="161">
        <f t="shared" si="215"/>
        <v>0</v>
      </c>
      <c r="DM168" s="161">
        <f t="shared" si="216"/>
        <v>0</v>
      </c>
      <c r="DN168" s="161">
        <f t="shared" si="217"/>
        <v>0</v>
      </c>
      <c r="DO168" s="161">
        <f t="shared" si="218"/>
        <v>0</v>
      </c>
      <c r="DP168" s="161">
        <f t="shared" si="219"/>
        <v>0</v>
      </c>
      <c r="DQ168" s="161">
        <f t="shared" si="220"/>
        <v>0</v>
      </c>
      <c r="DR168" s="161">
        <f t="shared" si="221"/>
        <v>0</v>
      </c>
      <c r="DS168" s="161">
        <f t="shared" si="222"/>
        <v>0</v>
      </c>
      <c r="DT168" s="161">
        <f t="shared" si="223"/>
        <v>0</v>
      </c>
      <c r="DU168" s="161">
        <f t="shared" si="224"/>
        <v>0</v>
      </c>
      <c r="DV168" s="161">
        <f t="shared" si="225"/>
        <v>0</v>
      </c>
      <c r="DW168" s="161">
        <f t="shared" si="226"/>
        <v>0</v>
      </c>
      <c r="DX168" s="161">
        <f t="shared" si="227"/>
        <v>0</v>
      </c>
      <c r="DY168" s="161">
        <f t="shared" si="228"/>
        <v>0</v>
      </c>
      <c r="DZ168" s="161">
        <f t="shared" si="229"/>
        <v>0</v>
      </c>
      <c r="EA168" s="161">
        <f t="shared" si="230"/>
        <v>0</v>
      </c>
      <c r="EB168" s="161">
        <f t="shared" si="231"/>
        <v>0</v>
      </c>
      <c r="EC168" s="161">
        <f t="shared" si="232"/>
        <v>0</v>
      </c>
      <c r="ED168" s="161">
        <f t="shared" si="233"/>
        <v>0</v>
      </c>
      <c r="EE168" s="161">
        <f t="shared" si="234"/>
        <v>0</v>
      </c>
      <c r="EF168" s="161">
        <f t="shared" si="235"/>
        <v>0</v>
      </c>
      <c r="EG168" s="161">
        <f t="shared" si="236"/>
        <v>0</v>
      </c>
      <c r="EH168" s="161">
        <f t="shared" si="237"/>
        <v>0</v>
      </c>
      <c r="EI168" s="161">
        <f t="shared" si="238"/>
        <v>0</v>
      </c>
      <c r="EJ168" s="161">
        <f t="shared" si="239"/>
        <v>0</v>
      </c>
      <c r="EK168" s="147">
        <f t="shared" si="171"/>
        <v>0</v>
      </c>
      <c r="EL168" s="149"/>
      <c r="EN168" s="146"/>
      <c r="EO168" s="146"/>
      <c r="EP168" s="139">
        <f t="shared" si="172"/>
        <v>0</v>
      </c>
      <c r="EQ168" s="139">
        <f t="shared" si="173"/>
        <v>0</v>
      </c>
      <c r="ER168" s="139">
        <f t="shared" si="174"/>
        <v>0</v>
      </c>
      <c r="ES168" s="139">
        <f t="shared" si="175"/>
        <v>0</v>
      </c>
      <c r="ET168" s="139">
        <f t="shared" si="176"/>
        <v>0</v>
      </c>
      <c r="EU168" s="139">
        <f t="shared" si="177"/>
        <v>0</v>
      </c>
      <c r="EV168" s="139">
        <f t="shared" si="178"/>
        <v>0</v>
      </c>
      <c r="EW168" s="139">
        <f t="shared" si="179"/>
        <v>0</v>
      </c>
      <c r="EX168" s="139">
        <f t="shared" si="180"/>
        <v>0</v>
      </c>
      <c r="EY168" s="139">
        <f t="shared" si="181"/>
        <v>0</v>
      </c>
      <c r="EZ168" s="139">
        <f t="shared" si="182"/>
        <v>0</v>
      </c>
      <c r="FA168" s="139">
        <f t="shared" si="183"/>
        <v>0</v>
      </c>
      <c r="FB168" s="139">
        <f t="shared" si="184"/>
        <v>0</v>
      </c>
      <c r="FC168" s="139">
        <f t="shared" si="185"/>
        <v>0</v>
      </c>
      <c r="FD168" s="139">
        <f t="shared" si="186"/>
        <v>0</v>
      </c>
      <c r="FE168" s="139">
        <f t="shared" si="187"/>
        <v>0</v>
      </c>
      <c r="FF168" s="139">
        <f t="shared" si="188"/>
        <v>0</v>
      </c>
      <c r="FG168" s="139">
        <f t="shared" si="189"/>
        <v>0</v>
      </c>
      <c r="FH168" s="139">
        <f t="shared" si="190"/>
        <v>0</v>
      </c>
      <c r="FI168" s="139">
        <f t="shared" si="191"/>
        <v>0</v>
      </c>
      <c r="FJ168" s="139">
        <f t="shared" si="192"/>
        <v>0</v>
      </c>
      <c r="FK168" s="139">
        <f t="shared" si="193"/>
        <v>0</v>
      </c>
      <c r="FL168" s="139">
        <f t="shared" si="194"/>
        <v>0</v>
      </c>
      <c r="FM168" s="139">
        <f t="shared" si="195"/>
        <v>0</v>
      </c>
      <c r="FN168" s="139">
        <f t="shared" si="196"/>
        <v>0</v>
      </c>
      <c r="FO168" s="139">
        <f t="shared" si="197"/>
        <v>0</v>
      </c>
      <c r="FP168" s="139">
        <f t="shared" si="198"/>
        <v>0</v>
      </c>
      <c r="FQ168" s="139">
        <f t="shared" si="199"/>
        <v>0</v>
      </c>
      <c r="FR168" s="139">
        <f t="shared" si="200"/>
        <v>0</v>
      </c>
      <c r="FS168" s="139">
        <f t="shared" si="201"/>
        <v>0</v>
      </c>
      <c r="FT168" s="139">
        <f t="shared" si="202"/>
        <v>0</v>
      </c>
      <c r="FU168" s="148">
        <f t="shared" si="203"/>
        <v>0</v>
      </c>
      <c r="FV168" s="149"/>
      <c r="FY168" s="211">
        <v>163</v>
      </c>
      <c r="FZ168">
        <v>27.111578364375557</v>
      </c>
      <c r="GA168">
        <v>60.862027510864657</v>
      </c>
      <c r="GB168">
        <v>80.530991220028312</v>
      </c>
      <c r="GC168">
        <v>48.674650687481517</v>
      </c>
      <c r="GD168">
        <v>22.498484013680425</v>
      </c>
      <c r="GE168">
        <v>34.94724314790399</v>
      </c>
      <c r="GF168">
        <v>54.205896372418501</v>
      </c>
      <c r="GG168">
        <v>74.18733559016809</v>
      </c>
      <c r="GH168">
        <v>55.845556817483399</v>
      </c>
      <c r="GI168">
        <v>58.50440562534979</v>
      </c>
      <c r="GJ168"/>
      <c r="GK168"/>
      <c r="GL168"/>
      <c r="GM168"/>
    </row>
    <row r="169" spans="1:195" s="7" customFormat="1">
      <c r="A169" s="1"/>
      <c r="B169" s="76">
        <f ca="1">IF(C169="", "", RAND())</f>
        <v>0.53586421396452266</v>
      </c>
      <c r="C169">
        <v>2</v>
      </c>
      <c r="D169">
        <v>39949</v>
      </c>
      <c r="E169">
        <v>0</v>
      </c>
      <c r="F169">
        <v>0</v>
      </c>
      <c r="G169">
        <v>0</v>
      </c>
      <c r="H169">
        <v>10.416666666666666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0</v>
      </c>
      <c r="AI169">
        <v>0</v>
      </c>
      <c r="AJ169" s="2"/>
      <c r="AK169" s="80"/>
      <c r="AL169" s="74">
        <v>3.0028000000000028</v>
      </c>
      <c r="AM169" s="43">
        <v>153</v>
      </c>
      <c r="AN169">
        <v>239.6715284087521</v>
      </c>
      <c r="AO169">
        <v>86.880886651024852</v>
      </c>
      <c r="AP169">
        <v>661.74512093221892</v>
      </c>
      <c r="AQ169">
        <v>493.65774752822006</v>
      </c>
      <c r="AR169">
        <v>76.686928918175155</v>
      </c>
      <c r="AS169">
        <v>605.87712927306222</v>
      </c>
      <c r="AT169">
        <v>41.975095012473354</v>
      </c>
      <c r="AU169">
        <v>60.574754890385471</v>
      </c>
      <c r="AV169"/>
      <c r="AW169"/>
      <c r="AX169" s="146"/>
      <c r="AY169" s="76">
        <f t="shared" ca="1" si="169"/>
        <v>0.34802182940452142</v>
      </c>
      <c r="AZ169">
        <v>2</v>
      </c>
      <c r="BA169" s="129">
        <f t="shared" ref="BA169:BA177" si="243">IF(AZ169="", "",$C$12)</f>
        <v>39949</v>
      </c>
      <c r="BB169">
        <v>0</v>
      </c>
      <c r="BC169">
        <v>0</v>
      </c>
      <c r="BD169">
        <v>0</v>
      </c>
      <c r="BE169">
        <v>1</v>
      </c>
      <c r="BF169">
        <v>0</v>
      </c>
      <c r="BG169">
        <v>0</v>
      </c>
      <c r="BH169">
        <v>0</v>
      </c>
      <c r="BI169">
        <v>0</v>
      </c>
      <c r="BJ169">
        <v>0</v>
      </c>
      <c r="BK169">
        <v>0</v>
      </c>
      <c r="BL169">
        <v>0</v>
      </c>
      <c r="BM169">
        <v>0</v>
      </c>
      <c r="BN169">
        <v>0</v>
      </c>
      <c r="BO169">
        <v>0</v>
      </c>
      <c r="BP169">
        <v>0</v>
      </c>
      <c r="BQ169">
        <v>0</v>
      </c>
      <c r="BR169">
        <v>0</v>
      </c>
      <c r="BS169">
        <v>0</v>
      </c>
      <c r="BT169">
        <v>0</v>
      </c>
      <c r="BU169">
        <v>0</v>
      </c>
      <c r="BV169">
        <v>0</v>
      </c>
      <c r="BW169">
        <v>0</v>
      </c>
      <c r="BX169">
        <v>0</v>
      </c>
      <c r="BY169">
        <v>0</v>
      </c>
      <c r="BZ169">
        <v>0</v>
      </c>
      <c r="CA169">
        <v>0</v>
      </c>
      <c r="CB169">
        <v>0</v>
      </c>
      <c r="CC169">
        <v>0</v>
      </c>
      <c r="CD169">
        <v>0</v>
      </c>
      <c r="CE169">
        <v>0</v>
      </c>
      <c r="CF169">
        <v>0</v>
      </c>
      <c r="CG169" s="147"/>
      <c r="CH169" s="176"/>
      <c r="CJ169" s="146"/>
      <c r="CK169" s="76">
        <f t="shared" ca="1" si="204"/>
        <v>0.92546241942061203</v>
      </c>
      <c r="CL169" s="179">
        <f t="shared" si="205"/>
        <v>2</v>
      </c>
      <c r="CM169" s="180">
        <f t="shared" si="206"/>
        <v>39949</v>
      </c>
      <c r="CN169">
        <v>0</v>
      </c>
      <c r="CO169">
        <v>0</v>
      </c>
      <c r="CP169">
        <v>0</v>
      </c>
      <c r="CQ169">
        <v>0</v>
      </c>
      <c r="CR169">
        <v>0</v>
      </c>
      <c r="CS169">
        <v>0</v>
      </c>
      <c r="CT169">
        <v>0</v>
      </c>
      <c r="CU169">
        <v>0</v>
      </c>
      <c r="CV169" s="160"/>
      <c r="CW169">
        <v>1</v>
      </c>
      <c r="CX169">
        <v>1</v>
      </c>
      <c r="CY169" s="160"/>
      <c r="CZ169" s="177">
        <f t="shared" si="207"/>
        <v>9.6000000000000002E-2</v>
      </c>
      <c r="DB169" s="146"/>
      <c r="DC169" s="76">
        <f t="shared" ca="1" si="170"/>
        <v>0.51038511347545246</v>
      </c>
      <c r="DD169">
        <f t="shared" si="208"/>
        <v>2</v>
      </c>
      <c r="DE169" s="129">
        <f t="shared" si="242"/>
        <v>39949</v>
      </c>
      <c r="DF169" s="161">
        <f t="shared" si="209"/>
        <v>0</v>
      </c>
      <c r="DG169" s="161">
        <f t="shared" si="210"/>
        <v>0</v>
      </c>
      <c r="DH169" s="161">
        <f t="shared" si="211"/>
        <v>0</v>
      </c>
      <c r="DI169" s="161">
        <f t="shared" si="212"/>
        <v>10.416666666666666</v>
      </c>
      <c r="DJ169" s="161">
        <f t="shared" si="213"/>
        <v>0</v>
      </c>
      <c r="DK169" s="161">
        <f t="shared" si="214"/>
        <v>0</v>
      </c>
      <c r="DL169" s="161">
        <f t="shared" si="215"/>
        <v>0</v>
      </c>
      <c r="DM169" s="161">
        <f t="shared" si="216"/>
        <v>0</v>
      </c>
      <c r="DN169" s="161">
        <f t="shared" si="217"/>
        <v>0</v>
      </c>
      <c r="DO169" s="161">
        <f t="shared" si="218"/>
        <v>0</v>
      </c>
      <c r="DP169" s="161">
        <f t="shared" si="219"/>
        <v>0</v>
      </c>
      <c r="DQ169" s="161">
        <f t="shared" si="220"/>
        <v>0</v>
      </c>
      <c r="DR169" s="161">
        <f t="shared" si="221"/>
        <v>0</v>
      </c>
      <c r="DS169" s="161">
        <f t="shared" si="222"/>
        <v>0</v>
      </c>
      <c r="DT169" s="161">
        <f t="shared" si="223"/>
        <v>0</v>
      </c>
      <c r="DU169" s="161">
        <f t="shared" si="224"/>
        <v>0</v>
      </c>
      <c r="DV169" s="161">
        <f t="shared" si="225"/>
        <v>0</v>
      </c>
      <c r="DW169" s="161">
        <f t="shared" si="226"/>
        <v>0</v>
      </c>
      <c r="DX169" s="161">
        <f t="shared" si="227"/>
        <v>0</v>
      </c>
      <c r="DY169" s="161">
        <f t="shared" si="228"/>
        <v>0</v>
      </c>
      <c r="DZ169" s="161">
        <f t="shared" si="229"/>
        <v>0</v>
      </c>
      <c r="EA169" s="161">
        <f t="shared" si="230"/>
        <v>0</v>
      </c>
      <c r="EB169" s="161">
        <f t="shared" si="231"/>
        <v>0</v>
      </c>
      <c r="EC169" s="161">
        <f t="shared" si="232"/>
        <v>0</v>
      </c>
      <c r="ED169" s="161">
        <f t="shared" si="233"/>
        <v>0</v>
      </c>
      <c r="EE169" s="161">
        <f t="shared" si="234"/>
        <v>0</v>
      </c>
      <c r="EF169" s="161">
        <f t="shared" si="235"/>
        <v>0</v>
      </c>
      <c r="EG169" s="161">
        <f t="shared" si="236"/>
        <v>0</v>
      </c>
      <c r="EH169" s="161">
        <f t="shared" si="237"/>
        <v>0</v>
      </c>
      <c r="EI169" s="161">
        <f t="shared" si="238"/>
        <v>0</v>
      </c>
      <c r="EJ169" s="161">
        <f t="shared" si="239"/>
        <v>0</v>
      </c>
      <c r="EK169" s="147">
        <f t="shared" si="171"/>
        <v>10.416666666666666</v>
      </c>
      <c r="EL169" s="149"/>
      <c r="EN169" s="146"/>
      <c r="EO169" s="146"/>
      <c r="EP169" s="139">
        <f t="shared" si="172"/>
        <v>0</v>
      </c>
      <c r="EQ169" s="139">
        <f t="shared" si="173"/>
        <v>0</v>
      </c>
      <c r="ER169" s="139">
        <f t="shared" si="174"/>
        <v>0</v>
      </c>
      <c r="ES169" s="139">
        <f t="shared" si="175"/>
        <v>2.4946780349291493</v>
      </c>
      <c r="ET169" s="139">
        <f t="shared" si="176"/>
        <v>0</v>
      </c>
      <c r="EU169" s="139">
        <f t="shared" si="177"/>
        <v>0</v>
      </c>
      <c r="EV169" s="139">
        <f t="shared" si="178"/>
        <v>0</v>
      </c>
      <c r="EW169" s="139">
        <f t="shared" si="179"/>
        <v>0</v>
      </c>
      <c r="EX169" s="139">
        <f t="shared" si="180"/>
        <v>0</v>
      </c>
      <c r="EY169" s="139">
        <f t="shared" si="181"/>
        <v>0</v>
      </c>
      <c r="EZ169" s="139">
        <f t="shared" si="182"/>
        <v>0</v>
      </c>
      <c r="FA169" s="139">
        <f t="shared" si="183"/>
        <v>0</v>
      </c>
      <c r="FB169" s="139">
        <f t="shared" si="184"/>
        <v>0</v>
      </c>
      <c r="FC169" s="139">
        <f t="shared" si="185"/>
        <v>0</v>
      </c>
      <c r="FD169" s="139">
        <f t="shared" si="186"/>
        <v>0</v>
      </c>
      <c r="FE169" s="139">
        <f t="shared" si="187"/>
        <v>0</v>
      </c>
      <c r="FF169" s="139">
        <f t="shared" si="188"/>
        <v>0</v>
      </c>
      <c r="FG169" s="139">
        <f t="shared" si="189"/>
        <v>0</v>
      </c>
      <c r="FH169" s="139">
        <f t="shared" si="190"/>
        <v>0</v>
      </c>
      <c r="FI169" s="139">
        <f t="shared" si="191"/>
        <v>0</v>
      </c>
      <c r="FJ169" s="139">
        <f t="shared" si="192"/>
        <v>0</v>
      </c>
      <c r="FK169" s="139">
        <f t="shared" si="193"/>
        <v>0</v>
      </c>
      <c r="FL169" s="139">
        <f t="shared" si="194"/>
        <v>0</v>
      </c>
      <c r="FM169" s="139">
        <f t="shared" si="195"/>
        <v>0</v>
      </c>
      <c r="FN169" s="139">
        <f t="shared" si="196"/>
        <v>0</v>
      </c>
      <c r="FO169" s="139">
        <f t="shared" si="197"/>
        <v>0</v>
      </c>
      <c r="FP169" s="139">
        <f t="shared" si="198"/>
        <v>0</v>
      </c>
      <c r="FQ169" s="139">
        <f t="shared" si="199"/>
        <v>0</v>
      </c>
      <c r="FR169" s="139">
        <f t="shared" si="200"/>
        <v>0</v>
      </c>
      <c r="FS169" s="139">
        <f t="shared" si="201"/>
        <v>0</v>
      </c>
      <c r="FT169" s="139">
        <f t="shared" si="202"/>
        <v>0</v>
      </c>
      <c r="FU169" s="148">
        <f t="shared" si="203"/>
        <v>2.4946780349291493</v>
      </c>
      <c r="FV169" s="149"/>
      <c r="FY169" s="211">
        <v>164</v>
      </c>
      <c r="FZ169">
        <v>31.075611996297233</v>
      </c>
      <c r="GA169">
        <v>67.209885814623362</v>
      </c>
      <c r="GB169">
        <v>65.259958259905147</v>
      </c>
      <c r="GC169">
        <v>39.22667013149524</v>
      </c>
      <c r="GD169">
        <v>15.072424235616239</v>
      </c>
      <c r="GE169">
        <v>23.481386499833281</v>
      </c>
      <c r="GF169">
        <v>62.066643733312333</v>
      </c>
      <c r="GG169">
        <v>74.494794181745618</v>
      </c>
      <c r="GH169">
        <v>51.646608403289406</v>
      </c>
      <c r="GI169">
        <v>51.326475571978278</v>
      </c>
      <c r="GJ169"/>
      <c r="GK169"/>
      <c r="GL169"/>
      <c r="GM169"/>
    </row>
    <row r="170" spans="1:195" s="7" customFormat="1">
      <c r="A170" s="1"/>
      <c r="B170" s="76">
        <f ca="1">IF(C170="", "", RAND())</f>
        <v>2.2656465518500202E-3</v>
      </c>
      <c r="C170">
        <v>1</v>
      </c>
      <c r="D170">
        <v>39949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 s="2"/>
      <c r="AK170" s="80"/>
      <c r="AL170" s="74">
        <v>3.0028000000000028</v>
      </c>
      <c r="AM170" s="43">
        <v>154</v>
      </c>
      <c r="AN170">
        <v>299.73713059593751</v>
      </c>
      <c r="AO170">
        <v>94.180754928041949</v>
      </c>
      <c r="AP170">
        <v>655.67031729666166</v>
      </c>
      <c r="AQ170">
        <v>513.54285015755113</v>
      </c>
      <c r="AR170">
        <v>87.003713644033979</v>
      </c>
      <c r="AS170">
        <v>716.78715622206016</v>
      </c>
      <c r="AT170">
        <v>44.661737939893506</v>
      </c>
      <c r="AU170">
        <v>105.81062605799104</v>
      </c>
      <c r="AV170"/>
      <c r="AW170"/>
      <c r="AX170" s="146"/>
      <c r="AY170" s="76">
        <f t="shared" ca="1" si="169"/>
        <v>0.47870731349320139</v>
      </c>
      <c r="AZ170">
        <v>3</v>
      </c>
      <c r="BA170" s="129">
        <f t="shared" si="243"/>
        <v>39949</v>
      </c>
      <c r="BB170">
        <v>0</v>
      </c>
      <c r="BC170">
        <v>0</v>
      </c>
      <c r="BD170">
        <v>0</v>
      </c>
      <c r="BE170">
        <v>1</v>
      </c>
      <c r="BF170">
        <v>0</v>
      </c>
      <c r="BG170">
        <v>0</v>
      </c>
      <c r="BH170">
        <v>2</v>
      </c>
      <c r="BI170">
        <v>0</v>
      </c>
      <c r="BJ170">
        <v>0</v>
      </c>
      <c r="BK170">
        <v>0</v>
      </c>
      <c r="BL170">
        <v>0</v>
      </c>
      <c r="BM170">
        <v>0</v>
      </c>
      <c r="BN170">
        <v>0</v>
      </c>
      <c r="BO170">
        <v>0</v>
      </c>
      <c r="BP170">
        <v>0</v>
      </c>
      <c r="BQ170">
        <v>0</v>
      </c>
      <c r="BR170">
        <v>0</v>
      </c>
      <c r="BS170">
        <v>0</v>
      </c>
      <c r="BT170">
        <v>0</v>
      </c>
      <c r="BU170">
        <v>0</v>
      </c>
      <c r="BV170">
        <v>0</v>
      </c>
      <c r="BW170">
        <v>0</v>
      </c>
      <c r="BX170">
        <v>0</v>
      </c>
      <c r="BY170">
        <v>0</v>
      </c>
      <c r="BZ170">
        <v>0</v>
      </c>
      <c r="CA170">
        <v>0</v>
      </c>
      <c r="CB170">
        <v>0</v>
      </c>
      <c r="CC170">
        <v>0</v>
      </c>
      <c r="CD170">
        <v>0</v>
      </c>
      <c r="CE170">
        <v>0</v>
      </c>
      <c r="CF170">
        <v>0</v>
      </c>
      <c r="CG170" s="147"/>
      <c r="CH170" s="176"/>
      <c r="CJ170" s="146"/>
      <c r="CK170" s="76">
        <f t="shared" ca="1" si="204"/>
        <v>0.46597333959205889</v>
      </c>
      <c r="CL170" s="179">
        <f t="shared" si="205"/>
        <v>3</v>
      </c>
      <c r="CM170" s="180">
        <f t="shared" si="206"/>
        <v>39949</v>
      </c>
      <c r="CN170">
        <v>0</v>
      </c>
      <c r="CO170">
        <v>0</v>
      </c>
      <c r="CP170">
        <v>0</v>
      </c>
      <c r="CQ170">
        <v>1</v>
      </c>
      <c r="CR170">
        <v>0</v>
      </c>
      <c r="CS170">
        <v>0</v>
      </c>
      <c r="CT170">
        <v>0</v>
      </c>
      <c r="CU170">
        <v>0</v>
      </c>
      <c r="CV170" s="160"/>
      <c r="CW170">
        <v>1</v>
      </c>
      <c r="CX170">
        <f>350/45</f>
        <v>7.7777777777777777</v>
      </c>
      <c r="CY170" s="160"/>
      <c r="CZ170" s="177">
        <f t="shared" si="207"/>
        <v>9.6000000000000002E-2</v>
      </c>
      <c r="DB170" s="146"/>
      <c r="DC170" s="76">
        <f t="shared" ca="1" si="170"/>
        <v>0.67941078522165022</v>
      </c>
      <c r="DD170">
        <f t="shared" si="208"/>
        <v>3</v>
      </c>
      <c r="DE170" s="129">
        <f t="shared" si="242"/>
        <v>39949</v>
      </c>
      <c r="DF170" s="161">
        <f t="shared" si="209"/>
        <v>0</v>
      </c>
      <c r="DG170" s="161">
        <f t="shared" si="210"/>
        <v>0</v>
      </c>
      <c r="DH170" s="161">
        <f t="shared" si="211"/>
        <v>0</v>
      </c>
      <c r="DI170" s="161">
        <f t="shared" si="212"/>
        <v>91.43518518518519</v>
      </c>
      <c r="DJ170" s="161">
        <f t="shared" si="213"/>
        <v>0</v>
      </c>
      <c r="DK170" s="161">
        <f t="shared" si="214"/>
        <v>0</v>
      </c>
      <c r="DL170" s="161">
        <f t="shared" si="215"/>
        <v>20.833333333333332</v>
      </c>
      <c r="DM170" s="161">
        <f t="shared" si="216"/>
        <v>0</v>
      </c>
      <c r="DN170" s="161">
        <f t="shared" si="217"/>
        <v>0</v>
      </c>
      <c r="DO170" s="161">
        <f t="shared" si="218"/>
        <v>0</v>
      </c>
      <c r="DP170" s="161">
        <f t="shared" si="219"/>
        <v>0</v>
      </c>
      <c r="DQ170" s="161">
        <f t="shared" si="220"/>
        <v>0</v>
      </c>
      <c r="DR170" s="161">
        <f t="shared" si="221"/>
        <v>0</v>
      </c>
      <c r="DS170" s="161">
        <f t="shared" si="222"/>
        <v>0</v>
      </c>
      <c r="DT170" s="161">
        <f t="shared" si="223"/>
        <v>0</v>
      </c>
      <c r="DU170" s="161">
        <f t="shared" si="224"/>
        <v>0</v>
      </c>
      <c r="DV170" s="161">
        <f t="shared" si="225"/>
        <v>0</v>
      </c>
      <c r="DW170" s="161">
        <f t="shared" si="226"/>
        <v>0</v>
      </c>
      <c r="DX170" s="161">
        <f t="shared" si="227"/>
        <v>0</v>
      </c>
      <c r="DY170" s="161">
        <f t="shared" si="228"/>
        <v>0</v>
      </c>
      <c r="DZ170" s="161">
        <f t="shared" si="229"/>
        <v>0</v>
      </c>
      <c r="EA170" s="161">
        <f t="shared" si="230"/>
        <v>0</v>
      </c>
      <c r="EB170" s="161">
        <f t="shared" si="231"/>
        <v>0</v>
      </c>
      <c r="EC170" s="161">
        <f t="shared" si="232"/>
        <v>0</v>
      </c>
      <c r="ED170" s="161">
        <f t="shared" si="233"/>
        <v>0</v>
      </c>
      <c r="EE170" s="161">
        <f t="shared" si="234"/>
        <v>0</v>
      </c>
      <c r="EF170" s="161">
        <f t="shared" si="235"/>
        <v>0</v>
      </c>
      <c r="EG170" s="161">
        <f t="shared" si="236"/>
        <v>0</v>
      </c>
      <c r="EH170" s="161">
        <f t="shared" si="237"/>
        <v>0</v>
      </c>
      <c r="EI170" s="161">
        <f t="shared" si="238"/>
        <v>0</v>
      </c>
      <c r="EJ170" s="161">
        <f t="shared" si="239"/>
        <v>0</v>
      </c>
      <c r="EK170" s="147">
        <f t="shared" si="171"/>
        <v>112.26851851851852</v>
      </c>
      <c r="EL170" s="149"/>
      <c r="EN170" s="146"/>
      <c r="EO170" s="146"/>
      <c r="EP170" s="139">
        <f t="shared" si="172"/>
        <v>0</v>
      </c>
      <c r="EQ170" s="139">
        <f t="shared" si="173"/>
        <v>0</v>
      </c>
      <c r="ER170" s="139">
        <f t="shared" si="174"/>
        <v>0</v>
      </c>
      <c r="ES170" s="139">
        <f t="shared" si="175"/>
        <v>21.897729417711425</v>
      </c>
      <c r="ET170" s="139">
        <f t="shared" si="176"/>
        <v>0</v>
      </c>
      <c r="EU170" s="139">
        <f t="shared" si="177"/>
        <v>0</v>
      </c>
      <c r="EV170" s="139">
        <f t="shared" si="178"/>
        <v>37.319393424545488</v>
      </c>
      <c r="EW170" s="139">
        <f t="shared" si="179"/>
        <v>0</v>
      </c>
      <c r="EX170" s="139">
        <f t="shared" si="180"/>
        <v>0</v>
      </c>
      <c r="EY170" s="139">
        <f t="shared" si="181"/>
        <v>0</v>
      </c>
      <c r="EZ170" s="139">
        <f t="shared" si="182"/>
        <v>0</v>
      </c>
      <c r="FA170" s="139">
        <f t="shared" si="183"/>
        <v>0</v>
      </c>
      <c r="FB170" s="139">
        <f t="shared" si="184"/>
        <v>0</v>
      </c>
      <c r="FC170" s="139">
        <f t="shared" si="185"/>
        <v>0</v>
      </c>
      <c r="FD170" s="139">
        <f t="shared" si="186"/>
        <v>0</v>
      </c>
      <c r="FE170" s="139">
        <f t="shared" si="187"/>
        <v>0</v>
      </c>
      <c r="FF170" s="139">
        <f t="shared" si="188"/>
        <v>0</v>
      </c>
      <c r="FG170" s="139">
        <f t="shared" si="189"/>
        <v>0</v>
      </c>
      <c r="FH170" s="139">
        <f t="shared" si="190"/>
        <v>0</v>
      </c>
      <c r="FI170" s="139">
        <f t="shared" si="191"/>
        <v>0</v>
      </c>
      <c r="FJ170" s="139">
        <f t="shared" si="192"/>
        <v>0</v>
      </c>
      <c r="FK170" s="139">
        <f t="shared" si="193"/>
        <v>0</v>
      </c>
      <c r="FL170" s="139">
        <f t="shared" si="194"/>
        <v>0</v>
      </c>
      <c r="FM170" s="139">
        <f t="shared" si="195"/>
        <v>0</v>
      </c>
      <c r="FN170" s="139">
        <f t="shared" si="196"/>
        <v>0</v>
      </c>
      <c r="FO170" s="139">
        <f t="shared" si="197"/>
        <v>0</v>
      </c>
      <c r="FP170" s="139">
        <f t="shared" si="198"/>
        <v>0</v>
      </c>
      <c r="FQ170" s="139">
        <f t="shared" si="199"/>
        <v>0</v>
      </c>
      <c r="FR170" s="139">
        <f t="shared" si="200"/>
        <v>0</v>
      </c>
      <c r="FS170" s="139">
        <f t="shared" si="201"/>
        <v>0</v>
      </c>
      <c r="FT170" s="139">
        <f t="shared" si="202"/>
        <v>0</v>
      </c>
      <c r="FU170" s="148">
        <f t="shared" si="203"/>
        <v>59.217122842256913</v>
      </c>
      <c r="FV170" s="149"/>
      <c r="FY170" s="211">
        <v>165</v>
      </c>
      <c r="FZ170">
        <v>17.402195004685289</v>
      </c>
      <c r="GA170">
        <v>57.042370757167774</v>
      </c>
      <c r="GB170">
        <v>100.94648378268036</v>
      </c>
      <c r="GC170">
        <v>54.280095519193026</v>
      </c>
      <c r="GD170">
        <v>18.63626822373007</v>
      </c>
      <c r="GE170">
        <v>46.271993963816115</v>
      </c>
      <c r="GF170">
        <v>119.87002606830883</v>
      </c>
      <c r="GG170">
        <v>96.13758721742883</v>
      </c>
      <c r="GH170">
        <v>31.674401826947665</v>
      </c>
      <c r="GI170">
        <v>70.96906351861054</v>
      </c>
      <c r="GJ170"/>
      <c r="GK170"/>
      <c r="GL170"/>
      <c r="GM170"/>
    </row>
    <row r="171" spans="1:195" s="7" customFormat="1">
      <c r="A171" s="1"/>
      <c r="B171" s="76">
        <f ca="1">IF(C171="", "", RAND())</f>
        <v>0.57340338723845963</v>
      </c>
      <c r="C171">
        <v>9</v>
      </c>
      <c r="D171">
        <v>39949</v>
      </c>
      <c r="E171">
        <v>0</v>
      </c>
      <c r="F171">
        <v>0</v>
      </c>
      <c r="G171">
        <v>0</v>
      </c>
      <c r="H171">
        <v>10.416666666666666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 s="2"/>
      <c r="AK171" s="80"/>
      <c r="AL171" s="74">
        <v>3.0028000000000028</v>
      </c>
      <c r="AM171" s="43">
        <v>155</v>
      </c>
      <c r="AN171">
        <v>272.81363860876115</v>
      </c>
      <c r="AO171">
        <v>106.55657378417558</v>
      </c>
      <c r="AP171">
        <v>873.24459300348792</v>
      </c>
      <c r="AQ171">
        <v>592.3710670457757</v>
      </c>
      <c r="AR171">
        <v>96.571913102446757</v>
      </c>
      <c r="AS171">
        <v>763.88713464449211</v>
      </c>
      <c r="AT171">
        <v>53.642928071277673</v>
      </c>
      <c r="AU171">
        <v>91.509580690486743</v>
      </c>
      <c r="AV171"/>
      <c r="AW171"/>
      <c r="AX171" s="146"/>
      <c r="AY171" s="76">
        <f t="shared" ca="1" si="169"/>
        <v>0.34833292861188569</v>
      </c>
      <c r="AZ171">
        <v>4</v>
      </c>
      <c r="BA171" s="129">
        <f t="shared" si="243"/>
        <v>39949</v>
      </c>
      <c r="BB171">
        <v>0</v>
      </c>
      <c r="BC171">
        <v>0</v>
      </c>
      <c r="BD171">
        <v>0</v>
      </c>
      <c r="BE171">
        <v>0</v>
      </c>
      <c r="BF171">
        <v>0</v>
      </c>
      <c r="BG171">
        <v>0</v>
      </c>
      <c r="BH171">
        <v>0</v>
      </c>
      <c r="BI171">
        <v>0</v>
      </c>
      <c r="BJ171">
        <v>0</v>
      </c>
      <c r="BK171">
        <v>0</v>
      </c>
      <c r="BL171">
        <v>0</v>
      </c>
      <c r="BM171">
        <v>0</v>
      </c>
      <c r="BN171">
        <v>0</v>
      </c>
      <c r="BO171">
        <v>0</v>
      </c>
      <c r="BP171">
        <v>0</v>
      </c>
      <c r="BQ171">
        <v>0</v>
      </c>
      <c r="BR171">
        <v>0</v>
      </c>
      <c r="BS171">
        <v>0</v>
      </c>
      <c r="BT171">
        <v>0</v>
      </c>
      <c r="BU171">
        <v>0</v>
      </c>
      <c r="BV171">
        <v>0</v>
      </c>
      <c r="BW171">
        <v>0</v>
      </c>
      <c r="BX171">
        <v>0</v>
      </c>
      <c r="BY171">
        <v>0</v>
      </c>
      <c r="BZ171">
        <v>0</v>
      </c>
      <c r="CA171">
        <v>0</v>
      </c>
      <c r="CB171">
        <v>0</v>
      </c>
      <c r="CC171">
        <v>0</v>
      </c>
      <c r="CD171">
        <v>0</v>
      </c>
      <c r="CE171">
        <v>0</v>
      </c>
      <c r="CF171">
        <v>0</v>
      </c>
      <c r="CG171" s="147"/>
      <c r="CH171" s="176"/>
      <c r="CJ171" s="146"/>
      <c r="CK171" s="76">
        <f t="shared" ca="1" si="204"/>
        <v>0.31950286411466333</v>
      </c>
      <c r="CL171" s="179">
        <f t="shared" si="205"/>
        <v>4</v>
      </c>
      <c r="CM171" s="180">
        <f t="shared" si="206"/>
        <v>39949</v>
      </c>
      <c r="CN171">
        <v>0</v>
      </c>
      <c r="CO171">
        <v>0</v>
      </c>
      <c r="CP171">
        <v>0</v>
      </c>
      <c r="CQ171">
        <v>0</v>
      </c>
      <c r="CR171">
        <v>0</v>
      </c>
      <c r="CS171">
        <v>0</v>
      </c>
      <c r="CT171">
        <v>0</v>
      </c>
      <c r="CU171">
        <v>0</v>
      </c>
      <c r="CV171" s="160"/>
      <c r="CW171">
        <v>1</v>
      </c>
      <c r="CX171">
        <f>320/73</f>
        <v>4.3835616438356162</v>
      </c>
      <c r="CY171" s="160"/>
      <c r="CZ171" s="177">
        <f t="shared" si="207"/>
        <v>9.6000000000000002E-2</v>
      </c>
      <c r="DB171" s="146"/>
      <c r="DC171" s="76">
        <f t="shared" ca="1" si="170"/>
        <v>0.49336173742955469</v>
      </c>
      <c r="DD171">
        <f t="shared" si="208"/>
        <v>4</v>
      </c>
      <c r="DE171" s="129">
        <f t="shared" si="242"/>
        <v>39949</v>
      </c>
      <c r="DF171" s="161">
        <f t="shared" si="209"/>
        <v>0</v>
      </c>
      <c r="DG171" s="161">
        <f t="shared" si="210"/>
        <v>0</v>
      </c>
      <c r="DH171" s="161">
        <f t="shared" si="211"/>
        <v>0</v>
      </c>
      <c r="DI171" s="161">
        <f t="shared" si="212"/>
        <v>0</v>
      </c>
      <c r="DJ171" s="161">
        <f t="shared" si="213"/>
        <v>0</v>
      </c>
      <c r="DK171" s="161">
        <f t="shared" si="214"/>
        <v>0</v>
      </c>
      <c r="DL171" s="161">
        <f t="shared" si="215"/>
        <v>0</v>
      </c>
      <c r="DM171" s="161">
        <f t="shared" si="216"/>
        <v>0</v>
      </c>
      <c r="DN171" s="161">
        <f t="shared" si="217"/>
        <v>0</v>
      </c>
      <c r="DO171" s="161">
        <f t="shared" si="218"/>
        <v>0</v>
      </c>
      <c r="DP171" s="161">
        <f t="shared" si="219"/>
        <v>0</v>
      </c>
      <c r="DQ171" s="161">
        <f t="shared" si="220"/>
        <v>0</v>
      </c>
      <c r="DR171" s="161">
        <f t="shared" si="221"/>
        <v>0</v>
      </c>
      <c r="DS171" s="161">
        <f t="shared" si="222"/>
        <v>0</v>
      </c>
      <c r="DT171" s="161">
        <f t="shared" si="223"/>
        <v>0</v>
      </c>
      <c r="DU171" s="161">
        <f t="shared" si="224"/>
        <v>0</v>
      </c>
      <c r="DV171" s="161">
        <f t="shared" si="225"/>
        <v>0</v>
      </c>
      <c r="DW171" s="161">
        <f t="shared" si="226"/>
        <v>0</v>
      </c>
      <c r="DX171" s="161">
        <f t="shared" si="227"/>
        <v>0</v>
      </c>
      <c r="DY171" s="161">
        <f t="shared" si="228"/>
        <v>0</v>
      </c>
      <c r="DZ171" s="161">
        <f t="shared" si="229"/>
        <v>0</v>
      </c>
      <c r="EA171" s="161">
        <f t="shared" si="230"/>
        <v>0</v>
      </c>
      <c r="EB171" s="161">
        <f t="shared" si="231"/>
        <v>0</v>
      </c>
      <c r="EC171" s="161">
        <f t="shared" si="232"/>
        <v>0</v>
      </c>
      <c r="ED171" s="161">
        <f t="shared" si="233"/>
        <v>0</v>
      </c>
      <c r="EE171" s="161">
        <f t="shared" si="234"/>
        <v>0</v>
      </c>
      <c r="EF171" s="161">
        <f t="shared" si="235"/>
        <v>0</v>
      </c>
      <c r="EG171" s="161">
        <f t="shared" si="236"/>
        <v>0</v>
      </c>
      <c r="EH171" s="161">
        <f t="shared" si="237"/>
        <v>0</v>
      </c>
      <c r="EI171" s="161">
        <f t="shared" si="238"/>
        <v>0</v>
      </c>
      <c r="EJ171" s="161">
        <f t="shared" si="239"/>
        <v>0</v>
      </c>
      <c r="EK171" s="147">
        <f t="shared" si="171"/>
        <v>0</v>
      </c>
      <c r="EL171" s="149"/>
      <c r="EN171" s="146"/>
      <c r="EO171" s="146"/>
      <c r="EP171" s="139">
        <f t="shared" si="172"/>
        <v>0</v>
      </c>
      <c r="EQ171" s="139">
        <f t="shared" si="173"/>
        <v>0</v>
      </c>
      <c r="ER171" s="139">
        <f t="shared" si="174"/>
        <v>0</v>
      </c>
      <c r="ES171" s="139">
        <f t="shared" si="175"/>
        <v>0</v>
      </c>
      <c r="ET171" s="139">
        <f t="shared" si="176"/>
        <v>0</v>
      </c>
      <c r="EU171" s="139">
        <f t="shared" si="177"/>
        <v>0</v>
      </c>
      <c r="EV171" s="139">
        <f t="shared" si="178"/>
        <v>0</v>
      </c>
      <c r="EW171" s="139">
        <f t="shared" si="179"/>
        <v>0</v>
      </c>
      <c r="EX171" s="139">
        <f t="shared" si="180"/>
        <v>0</v>
      </c>
      <c r="EY171" s="139">
        <f t="shared" si="181"/>
        <v>0</v>
      </c>
      <c r="EZ171" s="139">
        <f t="shared" si="182"/>
        <v>0</v>
      </c>
      <c r="FA171" s="139">
        <f t="shared" si="183"/>
        <v>0</v>
      </c>
      <c r="FB171" s="139">
        <f t="shared" si="184"/>
        <v>0</v>
      </c>
      <c r="FC171" s="139">
        <f t="shared" si="185"/>
        <v>0</v>
      </c>
      <c r="FD171" s="139">
        <f t="shared" si="186"/>
        <v>0</v>
      </c>
      <c r="FE171" s="139">
        <f t="shared" si="187"/>
        <v>0</v>
      </c>
      <c r="FF171" s="139">
        <f t="shared" si="188"/>
        <v>0</v>
      </c>
      <c r="FG171" s="139">
        <f t="shared" si="189"/>
        <v>0</v>
      </c>
      <c r="FH171" s="139">
        <f t="shared" si="190"/>
        <v>0</v>
      </c>
      <c r="FI171" s="139">
        <f t="shared" si="191"/>
        <v>0</v>
      </c>
      <c r="FJ171" s="139">
        <f t="shared" si="192"/>
        <v>0</v>
      </c>
      <c r="FK171" s="139">
        <f t="shared" si="193"/>
        <v>0</v>
      </c>
      <c r="FL171" s="139">
        <f t="shared" si="194"/>
        <v>0</v>
      </c>
      <c r="FM171" s="139">
        <f t="shared" si="195"/>
        <v>0</v>
      </c>
      <c r="FN171" s="139">
        <f t="shared" si="196"/>
        <v>0</v>
      </c>
      <c r="FO171" s="139">
        <f t="shared" si="197"/>
        <v>0</v>
      </c>
      <c r="FP171" s="139">
        <f t="shared" si="198"/>
        <v>0</v>
      </c>
      <c r="FQ171" s="139">
        <f t="shared" si="199"/>
        <v>0</v>
      </c>
      <c r="FR171" s="139">
        <f t="shared" si="200"/>
        <v>0</v>
      </c>
      <c r="FS171" s="139">
        <f t="shared" si="201"/>
        <v>0</v>
      </c>
      <c r="FT171" s="139">
        <f t="shared" si="202"/>
        <v>0</v>
      </c>
      <c r="FU171" s="148">
        <f t="shared" si="203"/>
        <v>0</v>
      </c>
      <c r="FV171" s="149"/>
      <c r="FY171" s="211">
        <v>166</v>
      </c>
      <c r="FZ171">
        <v>7.9306912632767723</v>
      </c>
      <c r="GA171">
        <v>44.795870527730266</v>
      </c>
      <c r="GB171">
        <v>91.820553268899445</v>
      </c>
      <c r="GC171">
        <v>48.584820964517299</v>
      </c>
      <c r="GD171">
        <v>23.689976690979378</v>
      </c>
      <c r="GE171">
        <v>37.788278806022646</v>
      </c>
      <c r="GF171">
        <v>28.431227951464056</v>
      </c>
      <c r="GG171">
        <v>54.667510004625271</v>
      </c>
      <c r="GH171">
        <v>48.652110739166467</v>
      </c>
      <c r="GI171">
        <v>52.711082998967704</v>
      </c>
      <c r="GJ171"/>
      <c r="GK171"/>
      <c r="GL171"/>
      <c r="GM171"/>
    </row>
    <row r="172" spans="1:195" s="7" customFormat="1">
      <c r="A172" s="1"/>
      <c r="B172" s="76">
        <f ca="1">IF(C172="", "", RAND())</f>
        <v>0.22089450743502592</v>
      </c>
      <c r="C172">
        <v>10</v>
      </c>
      <c r="D172">
        <v>39949</v>
      </c>
      <c r="E172">
        <v>0</v>
      </c>
      <c r="F172">
        <v>59.865900383141756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 s="2"/>
      <c r="AK172" s="80"/>
      <c r="AL172" s="74"/>
      <c r="AM172" s="43">
        <v>156</v>
      </c>
      <c r="AN172">
        <v>296.19321141264288</v>
      </c>
      <c r="AO172">
        <v>119.55061871278774</v>
      </c>
      <c r="AP172">
        <v>831.25093517239861</v>
      </c>
      <c r="AQ172">
        <v>617.58196774629414</v>
      </c>
      <c r="AR172">
        <v>106.91375911890249</v>
      </c>
      <c r="AS172">
        <v>874.41066786279259</v>
      </c>
      <c r="AT172" t="e">
        <v>#DIV/0!</v>
      </c>
      <c r="AU172" t="e">
        <v>#DIV/0!</v>
      </c>
      <c r="AV172"/>
      <c r="AW172"/>
      <c r="AX172" s="146"/>
      <c r="AY172" s="76">
        <f t="shared" ca="1" si="169"/>
        <v>0.7549964293587621</v>
      </c>
      <c r="AZ172">
        <v>5</v>
      </c>
      <c r="BA172" s="129">
        <f t="shared" si="243"/>
        <v>39949</v>
      </c>
      <c r="BB172">
        <v>0</v>
      </c>
      <c r="BC172">
        <v>0</v>
      </c>
      <c r="BD172">
        <v>0</v>
      </c>
      <c r="BE172">
        <v>2</v>
      </c>
      <c r="BF172">
        <v>1</v>
      </c>
      <c r="BG172">
        <v>0</v>
      </c>
      <c r="BH172">
        <v>0</v>
      </c>
      <c r="BI172">
        <v>0</v>
      </c>
      <c r="BJ172">
        <v>0</v>
      </c>
      <c r="BK172">
        <v>0</v>
      </c>
      <c r="BL172">
        <v>0</v>
      </c>
      <c r="BM172">
        <v>0</v>
      </c>
      <c r="BN172">
        <v>0</v>
      </c>
      <c r="BO172">
        <v>0</v>
      </c>
      <c r="BP172">
        <v>0</v>
      </c>
      <c r="BQ172">
        <v>0</v>
      </c>
      <c r="BR172">
        <v>0</v>
      </c>
      <c r="BS172">
        <v>0</v>
      </c>
      <c r="BT172">
        <v>0</v>
      </c>
      <c r="BU172">
        <v>0</v>
      </c>
      <c r="BV172">
        <v>0</v>
      </c>
      <c r="BW172">
        <v>0</v>
      </c>
      <c r="BX172">
        <v>0</v>
      </c>
      <c r="BY172">
        <v>0</v>
      </c>
      <c r="BZ172">
        <v>0</v>
      </c>
      <c r="CA172">
        <v>0</v>
      </c>
      <c r="CB172">
        <v>0</v>
      </c>
      <c r="CC172">
        <v>0</v>
      </c>
      <c r="CD172">
        <v>0</v>
      </c>
      <c r="CE172">
        <v>0</v>
      </c>
      <c r="CF172">
        <v>0</v>
      </c>
      <c r="CG172" s="147"/>
      <c r="CH172" s="176"/>
      <c r="CJ172" s="146"/>
      <c r="CK172" s="76">
        <f t="shared" ca="1" si="204"/>
        <v>9.0516333719363296E-2</v>
      </c>
      <c r="CL172" s="179">
        <f t="shared" si="205"/>
        <v>5</v>
      </c>
      <c r="CM172" s="180">
        <f t="shared" si="206"/>
        <v>39949</v>
      </c>
      <c r="CN172">
        <v>0</v>
      </c>
      <c r="CO172">
        <v>0</v>
      </c>
      <c r="CP172">
        <v>0</v>
      </c>
      <c r="CQ172">
        <v>0</v>
      </c>
      <c r="CR172">
        <v>0</v>
      </c>
      <c r="CS172">
        <v>0</v>
      </c>
      <c r="CT172">
        <v>0</v>
      </c>
      <c r="CU172">
        <v>0</v>
      </c>
      <c r="CV172" s="160"/>
      <c r="CW172">
        <v>1</v>
      </c>
      <c r="CX172">
        <v>1</v>
      </c>
      <c r="CY172" s="160"/>
      <c r="CZ172" s="177">
        <f t="shared" si="207"/>
        <v>9.6000000000000002E-2</v>
      </c>
      <c r="DB172" s="146"/>
      <c r="DC172" s="76">
        <f t="shared" ca="1" si="170"/>
        <v>0.30111820157633762</v>
      </c>
      <c r="DD172">
        <f t="shared" si="208"/>
        <v>5</v>
      </c>
      <c r="DE172" s="129">
        <f t="shared" si="242"/>
        <v>39949</v>
      </c>
      <c r="DF172" s="161">
        <f t="shared" si="209"/>
        <v>0</v>
      </c>
      <c r="DG172" s="161">
        <f t="shared" si="210"/>
        <v>0</v>
      </c>
      <c r="DH172" s="161">
        <f t="shared" si="211"/>
        <v>0</v>
      </c>
      <c r="DI172" s="161">
        <f t="shared" si="212"/>
        <v>20.833333333333332</v>
      </c>
      <c r="DJ172" s="161">
        <f t="shared" si="213"/>
        <v>10.416666666666666</v>
      </c>
      <c r="DK172" s="161">
        <f t="shared" si="214"/>
        <v>0</v>
      </c>
      <c r="DL172" s="161">
        <f t="shared" si="215"/>
        <v>0</v>
      </c>
      <c r="DM172" s="161">
        <f t="shared" si="216"/>
        <v>0</v>
      </c>
      <c r="DN172" s="161">
        <f t="shared" si="217"/>
        <v>0</v>
      </c>
      <c r="DO172" s="161">
        <f t="shared" si="218"/>
        <v>0</v>
      </c>
      <c r="DP172" s="161">
        <f t="shared" si="219"/>
        <v>0</v>
      </c>
      <c r="DQ172" s="161">
        <f t="shared" si="220"/>
        <v>0</v>
      </c>
      <c r="DR172" s="161">
        <f t="shared" si="221"/>
        <v>0</v>
      </c>
      <c r="DS172" s="161">
        <f t="shared" si="222"/>
        <v>0</v>
      </c>
      <c r="DT172" s="161">
        <f t="shared" si="223"/>
        <v>0</v>
      </c>
      <c r="DU172" s="161">
        <f t="shared" si="224"/>
        <v>0</v>
      </c>
      <c r="DV172" s="161">
        <f t="shared" si="225"/>
        <v>0</v>
      </c>
      <c r="DW172" s="161">
        <f t="shared" si="226"/>
        <v>0</v>
      </c>
      <c r="DX172" s="161">
        <f t="shared" si="227"/>
        <v>0</v>
      </c>
      <c r="DY172" s="161">
        <f t="shared" si="228"/>
        <v>0</v>
      </c>
      <c r="DZ172" s="161">
        <f t="shared" si="229"/>
        <v>0</v>
      </c>
      <c r="EA172" s="161">
        <f t="shared" si="230"/>
        <v>0</v>
      </c>
      <c r="EB172" s="161">
        <f t="shared" si="231"/>
        <v>0</v>
      </c>
      <c r="EC172" s="161">
        <f t="shared" si="232"/>
        <v>0</v>
      </c>
      <c r="ED172" s="161">
        <f t="shared" si="233"/>
        <v>0</v>
      </c>
      <c r="EE172" s="161">
        <f t="shared" si="234"/>
        <v>0</v>
      </c>
      <c r="EF172" s="161">
        <f t="shared" si="235"/>
        <v>0</v>
      </c>
      <c r="EG172" s="161">
        <f t="shared" si="236"/>
        <v>0</v>
      </c>
      <c r="EH172" s="161">
        <f t="shared" si="237"/>
        <v>0</v>
      </c>
      <c r="EI172" s="161">
        <f t="shared" si="238"/>
        <v>0</v>
      </c>
      <c r="EJ172" s="161">
        <f t="shared" si="239"/>
        <v>0</v>
      </c>
      <c r="EK172" s="147">
        <f t="shared" si="171"/>
        <v>31.25</v>
      </c>
      <c r="EL172" s="149"/>
      <c r="EN172" s="146"/>
      <c r="EO172" s="146"/>
      <c r="EP172" s="139">
        <f t="shared" si="172"/>
        <v>0</v>
      </c>
      <c r="EQ172" s="139">
        <f t="shared" si="173"/>
        <v>0</v>
      </c>
      <c r="ER172" s="139">
        <f t="shared" si="174"/>
        <v>0</v>
      </c>
      <c r="ES172" s="139">
        <f t="shared" si="175"/>
        <v>4.9893560698582986</v>
      </c>
      <c r="ET172" s="139">
        <f t="shared" si="176"/>
        <v>5.7505800793582091</v>
      </c>
      <c r="EU172" s="139">
        <f t="shared" si="177"/>
        <v>0</v>
      </c>
      <c r="EV172" s="139">
        <f t="shared" si="178"/>
        <v>0</v>
      </c>
      <c r="EW172" s="139">
        <f t="shared" si="179"/>
        <v>0</v>
      </c>
      <c r="EX172" s="139">
        <f t="shared" si="180"/>
        <v>0</v>
      </c>
      <c r="EY172" s="139">
        <f t="shared" si="181"/>
        <v>0</v>
      </c>
      <c r="EZ172" s="139">
        <f t="shared" si="182"/>
        <v>0</v>
      </c>
      <c r="FA172" s="139">
        <f t="shared" si="183"/>
        <v>0</v>
      </c>
      <c r="FB172" s="139">
        <f t="shared" si="184"/>
        <v>0</v>
      </c>
      <c r="FC172" s="139">
        <f t="shared" si="185"/>
        <v>0</v>
      </c>
      <c r="FD172" s="139">
        <f t="shared" si="186"/>
        <v>0</v>
      </c>
      <c r="FE172" s="139">
        <f t="shared" si="187"/>
        <v>0</v>
      </c>
      <c r="FF172" s="139">
        <f t="shared" si="188"/>
        <v>0</v>
      </c>
      <c r="FG172" s="139">
        <f t="shared" si="189"/>
        <v>0</v>
      </c>
      <c r="FH172" s="139">
        <f t="shared" si="190"/>
        <v>0</v>
      </c>
      <c r="FI172" s="139">
        <f t="shared" si="191"/>
        <v>0</v>
      </c>
      <c r="FJ172" s="139">
        <f t="shared" si="192"/>
        <v>0</v>
      </c>
      <c r="FK172" s="139">
        <f t="shared" si="193"/>
        <v>0</v>
      </c>
      <c r="FL172" s="139">
        <f t="shared" si="194"/>
        <v>0</v>
      </c>
      <c r="FM172" s="139">
        <f t="shared" si="195"/>
        <v>0</v>
      </c>
      <c r="FN172" s="139">
        <f t="shared" si="196"/>
        <v>0</v>
      </c>
      <c r="FO172" s="139">
        <f t="shared" si="197"/>
        <v>0</v>
      </c>
      <c r="FP172" s="139">
        <f t="shared" si="198"/>
        <v>0</v>
      </c>
      <c r="FQ172" s="139">
        <f t="shared" si="199"/>
        <v>0</v>
      </c>
      <c r="FR172" s="139">
        <f t="shared" si="200"/>
        <v>0</v>
      </c>
      <c r="FS172" s="139">
        <f t="shared" si="201"/>
        <v>0</v>
      </c>
      <c r="FT172" s="139">
        <f t="shared" si="202"/>
        <v>0</v>
      </c>
      <c r="FU172" s="148">
        <f t="shared" si="203"/>
        <v>10.739936149216508</v>
      </c>
      <c r="FV172" s="149"/>
      <c r="FY172" s="211">
        <v>167</v>
      </c>
      <c r="FZ172">
        <v>12.614429684017882</v>
      </c>
      <c r="GA172">
        <v>46.503934045222074</v>
      </c>
      <c r="GB172">
        <v>71.68047735158882</v>
      </c>
      <c r="GC172">
        <v>42.729154845907637</v>
      </c>
      <c r="GD172">
        <v>21.413046045756825</v>
      </c>
      <c r="GE172">
        <v>52.829063960942939</v>
      </c>
      <c r="GF172">
        <v>82.689500869435662</v>
      </c>
      <c r="GG172">
        <v>36.237689761254721</v>
      </c>
      <c r="GH172">
        <v>6.4390754715404004</v>
      </c>
      <c r="GI172">
        <v>51.419735930259158</v>
      </c>
      <c r="GJ172"/>
      <c r="GK172"/>
      <c r="GL172"/>
      <c r="GM172"/>
    </row>
    <row r="173" spans="1:195" s="7" customFormat="1">
      <c r="A173" s="1"/>
      <c r="B173" s="76">
        <f ca="1">IF(C173="", "", RAND())</f>
        <v>0.56541473532164632</v>
      </c>
      <c r="C173">
        <v>3</v>
      </c>
      <c r="D173">
        <v>39949</v>
      </c>
      <c r="E173">
        <v>0</v>
      </c>
      <c r="F173">
        <v>0</v>
      </c>
      <c r="G173">
        <v>0</v>
      </c>
      <c r="H173">
        <v>91.43518518518519</v>
      </c>
      <c r="I173">
        <v>0</v>
      </c>
      <c r="J173">
        <v>0</v>
      </c>
      <c r="K173">
        <v>20.833333333333332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 s="2"/>
      <c r="AK173" s="80"/>
      <c r="AL173" s="74"/>
      <c r="AM173" s="43">
        <v>157</v>
      </c>
      <c r="AN173">
        <v>224.43844190794499</v>
      </c>
      <c r="AO173">
        <v>74.009667191383542</v>
      </c>
      <c r="AP173">
        <v>572.57915375940331</v>
      </c>
      <c r="AQ173">
        <v>416.5197289837879</v>
      </c>
      <c r="AR173">
        <v>67.952863144718947</v>
      </c>
      <c r="AS173">
        <v>556.25345633119559</v>
      </c>
      <c r="AT173" t="e">
        <v>#DIV/0!</v>
      </c>
      <c r="AU173" t="e">
        <v>#DIV/0!</v>
      </c>
      <c r="AV173"/>
      <c r="AW173"/>
      <c r="AX173" s="146"/>
      <c r="AY173" s="76">
        <f t="shared" ca="1" si="169"/>
        <v>0.93084026590460489</v>
      </c>
      <c r="AZ173">
        <v>6</v>
      </c>
      <c r="BA173" s="129">
        <f t="shared" si="243"/>
        <v>39949</v>
      </c>
      <c r="BB173">
        <v>0</v>
      </c>
      <c r="BC173">
        <v>0</v>
      </c>
      <c r="BD173">
        <v>0</v>
      </c>
      <c r="BE173">
        <v>0</v>
      </c>
      <c r="BF173">
        <v>0</v>
      </c>
      <c r="BG173">
        <v>0</v>
      </c>
      <c r="BH173">
        <v>0</v>
      </c>
      <c r="BI173">
        <v>0</v>
      </c>
      <c r="BJ173">
        <v>0</v>
      </c>
      <c r="BK173">
        <v>0</v>
      </c>
      <c r="BL173">
        <v>0</v>
      </c>
      <c r="BM173">
        <v>0</v>
      </c>
      <c r="BN173">
        <v>0</v>
      </c>
      <c r="BO173">
        <v>0</v>
      </c>
      <c r="BP173">
        <v>0</v>
      </c>
      <c r="BQ173">
        <v>0</v>
      </c>
      <c r="BR173">
        <v>0</v>
      </c>
      <c r="BS173">
        <v>0</v>
      </c>
      <c r="BT173">
        <v>0</v>
      </c>
      <c r="BU173">
        <v>0</v>
      </c>
      <c r="BV173">
        <v>0</v>
      </c>
      <c r="BW173">
        <v>0</v>
      </c>
      <c r="BX173">
        <v>0</v>
      </c>
      <c r="BY173">
        <v>0</v>
      </c>
      <c r="BZ173">
        <v>0</v>
      </c>
      <c r="CA173">
        <v>0</v>
      </c>
      <c r="CB173">
        <v>0</v>
      </c>
      <c r="CC173">
        <v>0</v>
      </c>
      <c r="CD173">
        <v>0</v>
      </c>
      <c r="CE173">
        <v>0</v>
      </c>
      <c r="CF173">
        <v>0</v>
      </c>
      <c r="CG173" s="147"/>
      <c r="CH173" s="176"/>
      <c r="CJ173" s="146"/>
      <c r="CK173" s="76">
        <f t="shared" ca="1" si="204"/>
        <v>0.65401349912128159</v>
      </c>
      <c r="CL173" s="179">
        <f t="shared" si="205"/>
        <v>6</v>
      </c>
      <c r="CM173" s="180">
        <f t="shared" si="206"/>
        <v>39949</v>
      </c>
      <c r="CN173">
        <v>0</v>
      </c>
      <c r="CO173">
        <v>0</v>
      </c>
      <c r="CP173">
        <v>0</v>
      </c>
      <c r="CQ173">
        <v>0</v>
      </c>
      <c r="CR173">
        <v>0</v>
      </c>
      <c r="CS173">
        <v>0</v>
      </c>
      <c r="CT173">
        <v>0</v>
      </c>
      <c r="CU173">
        <v>0</v>
      </c>
      <c r="CV173" s="160"/>
      <c r="CW173">
        <v>1</v>
      </c>
      <c r="CX173">
        <v>1</v>
      </c>
      <c r="CY173" s="160"/>
      <c r="CZ173" s="177">
        <f t="shared" si="207"/>
        <v>9.6000000000000002E-2</v>
      </c>
      <c r="DB173" s="146"/>
      <c r="DC173" s="76">
        <f t="shared" ca="1" si="170"/>
        <v>0.52188445118636451</v>
      </c>
      <c r="DD173">
        <f t="shared" si="208"/>
        <v>6</v>
      </c>
      <c r="DE173" s="129">
        <f t="shared" si="242"/>
        <v>39949</v>
      </c>
      <c r="DF173" s="161">
        <f t="shared" si="209"/>
        <v>0</v>
      </c>
      <c r="DG173" s="161">
        <f t="shared" si="210"/>
        <v>0</v>
      </c>
      <c r="DH173" s="161">
        <f t="shared" si="211"/>
        <v>0</v>
      </c>
      <c r="DI173" s="161">
        <f t="shared" si="212"/>
        <v>0</v>
      </c>
      <c r="DJ173" s="161">
        <f t="shared" si="213"/>
        <v>0</v>
      </c>
      <c r="DK173" s="161">
        <f t="shared" si="214"/>
        <v>0</v>
      </c>
      <c r="DL173" s="161">
        <f t="shared" si="215"/>
        <v>0</v>
      </c>
      <c r="DM173" s="161">
        <f t="shared" si="216"/>
        <v>0</v>
      </c>
      <c r="DN173" s="161">
        <f t="shared" si="217"/>
        <v>0</v>
      </c>
      <c r="DO173" s="161">
        <f t="shared" si="218"/>
        <v>0</v>
      </c>
      <c r="DP173" s="161">
        <f t="shared" si="219"/>
        <v>0</v>
      </c>
      <c r="DQ173" s="161">
        <f t="shared" si="220"/>
        <v>0</v>
      </c>
      <c r="DR173" s="161">
        <f t="shared" si="221"/>
        <v>0</v>
      </c>
      <c r="DS173" s="161">
        <f t="shared" si="222"/>
        <v>0</v>
      </c>
      <c r="DT173" s="161">
        <f t="shared" si="223"/>
        <v>0</v>
      </c>
      <c r="DU173" s="161">
        <f t="shared" si="224"/>
        <v>0</v>
      </c>
      <c r="DV173" s="161">
        <f t="shared" si="225"/>
        <v>0</v>
      </c>
      <c r="DW173" s="161">
        <f t="shared" si="226"/>
        <v>0</v>
      </c>
      <c r="DX173" s="161">
        <f t="shared" si="227"/>
        <v>0</v>
      </c>
      <c r="DY173" s="161">
        <f t="shared" si="228"/>
        <v>0</v>
      </c>
      <c r="DZ173" s="161">
        <f t="shared" si="229"/>
        <v>0</v>
      </c>
      <c r="EA173" s="161">
        <f t="shared" si="230"/>
        <v>0</v>
      </c>
      <c r="EB173" s="161">
        <f t="shared" si="231"/>
        <v>0</v>
      </c>
      <c r="EC173" s="161">
        <f t="shared" si="232"/>
        <v>0</v>
      </c>
      <c r="ED173" s="161">
        <f t="shared" si="233"/>
        <v>0</v>
      </c>
      <c r="EE173" s="161">
        <f t="shared" si="234"/>
        <v>0</v>
      </c>
      <c r="EF173" s="161">
        <f t="shared" si="235"/>
        <v>0</v>
      </c>
      <c r="EG173" s="161">
        <f t="shared" si="236"/>
        <v>0</v>
      </c>
      <c r="EH173" s="161">
        <f t="shared" si="237"/>
        <v>0</v>
      </c>
      <c r="EI173" s="161">
        <f t="shared" si="238"/>
        <v>0</v>
      </c>
      <c r="EJ173" s="161">
        <f t="shared" si="239"/>
        <v>0</v>
      </c>
      <c r="EK173" s="147">
        <f t="shared" si="171"/>
        <v>0</v>
      </c>
      <c r="EL173" s="149"/>
      <c r="EN173" s="146"/>
      <c r="EO173" s="146"/>
      <c r="EP173" s="139">
        <f t="shared" si="172"/>
        <v>0</v>
      </c>
      <c r="EQ173" s="139">
        <f t="shared" si="173"/>
        <v>0</v>
      </c>
      <c r="ER173" s="139">
        <f t="shared" si="174"/>
        <v>0</v>
      </c>
      <c r="ES173" s="139">
        <f t="shared" si="175"/>
        <v>0</v>
      </c>
      <c r="ET173" s="139">
        <f t="shared" si="176"/>
        <v>0</v>
      </c>
      <c r="EU173" s="139">
        <f t="shared" si="177"/>
        <v>0</v>
      </c>
      <c r="EV173" s="139">
        <f t="shared" si="178"/>
        <v>0</v>
      </c>
      <c r="EW173" s="139">
        <f t="shared" si="179"/>
        <v>0</v>
      </c>
      <c r="EX173" s="139">
        <f t="shared" si="180"/>
        <v>0</v>
      </c>
      <c r="EY173" s="139">
        <f t="shared" si="181"/>
        <v>0</v>
      </c>
      <c r="EZ173" s="139">
        <f t="shared" si="182"/>
        <v>0</v>
      </c>
      <c r="FA173" s="139">
        <f t="shared" si="183"/>
        <v>0</v>
      </c>
      <c r="FB173" s="139">
        <f t="shared" si="184"/>
        <v>0</v>
      </c>
      <c r="FC173" s="139">
        <f t="shared" si="185"/>
        <v>0</v>
      </c>
      <c r="FD173" s="139">
        <f t="shared" si="186"/>
        <v>0</v>
      </c>
      <c r="FE173" s="139">
        <f t="shared" si="187"/>
        <v>0</v>
      </c>
      <c r="FF173" s="139">
        <f t="shared" si="188"/>
        <v>0</v>
      </c>
      <c r="FG173" s="139">
        <f t="shared" si="189"/>
        <v>0</v>
      </c>
      <c r="FH173" s="139">
        <f t="shared" si="190"/>
        <v>0</v>
      </c>
      <c r="FI173" s="139">
        <f t="shared" si="191"/>
        <v>0</v>
      </c>
      <c r="FJ173" s="139">
        <f t="shared" si="192"/>
        <v>0</v>
      </c>
      <c r="FK173" s="139">
        <f t="shared" si="193"/>
        <v>0</v>
      </c>
      <c r="FL173" s="139">
        <f t="shared" si="194"/>
        <v>0</v>
      </c>
      <c r="FM173" s="139">
        <f t="shared" si="195"/>
        <v>0</v>
      </c>
      <c r="FN173" s="139">
        <f t="shared" si="196"/>
        <v>0</v>
      </c>
      <c r="FO173" s="139">
        <f t="shared" si="197"/>
        <v>0</v>
      </c>
      <c r="FP173" s="139">
        <f t="shared" si="198"/>
        <v>0</v>
      </c>
      <c r="FQ173" s="139">
        <f t="shared" si="199"/>
        <v>0</v>
      </c>
      <c r="FR173" s="139">
        <f t="shared" si="200"/>
        <v>0</v>
      </c>
      <c r="FS173" s="139">
        <f t="shared" si="201"/>
        <v>0</v>
      </c>
      <c r="FT173" s="139">
        <f t="shared" si="202"/>
        <v>0</v>
      </c>
      <c r="FU173" s="148">
        <f t="shared" si="203"/>
        <v>0</v>
      </c>
      <c r="FV173" s="149"/>
      <c r="FY173" s="211">
        <v>168</v>
      </c>
      <c r="FZ173">
        <v>25.185853700423237</v>
      </c>
      <c r="GA173">
        <v>45.335647056773226</v>
      </c>
      <c r="GB173">
        <v>85.862265544789722</v>
      </c>
      <c r="GC173">
        <v>58.824227559301718</v>
      </c>
      <c r="GD173">
        <v>20.218748258913447</v>
      </c>
      <c r="GE173">
        <v>40.315252362380392</v>
      </c>
      <c r="GF173">
        <v>61.841841071566336</v>
      </c>
      <c r="GG173">
        <v>50.747213141422733</v>
      </c>
      <c r="GH173">
        <v>47.070993384735502</v>
      </c>
      <c r="GI173">
        <v>58.419763308332492</v>
      </c>
      <c r="GJ173"/>
      <c r="GK173"/>
      <c r="GL173"/>
      <c r="GM173"/>
    </row>
    <row r="174" spans="1:195" s="7" customFormat="1">
      <c r="A174" s="1"/>
      <c r="B174" s="76">
        <f ca="1">IF(C174="", "", RAND())</f>
        <v>0.9976716540201338</v>
      </c>
      <c r="C174">
        <v>8</v>
      </c>
      <c r="D174">
        <v>39949</v>
      </c>
      <c r="E174">
        <v>0</v>
      </c>
      <c r="F174">
        <v>0</v>
      </c>
      <c r="G174">
        <v>114.58333333333333</v>
      </c>
      <c r="H174">
        <v>41.666666666666664</v>
      </c>
      <c r="I174">
        <v>0</v>
      </c>
      <c r="J174">
        <v>62.5</v>
      </c>
      <c r="K174">
        <v>10.416666666666666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 s="2"/>
      <c r="AK174" s="80"/>
      <c r="AL174" s="74"/>
      <c r="AM174" s="43">
        <v>158</v>
      </c>
      <c r="AN174">
        <v>266.11924183575309</v>
      </c>
      <c r="AO174">
        <v>84.887977462671913</v>
      </c>
      <c r="AP174">
        <v>667.2255457314518</v>
      </c>
      <c r="AQ174">
        <v>488.04758645568484</v>
      </c>
      <c r="AR174">
        <v>77.535211282781617</v>
      </c>
      <c r="AS174">
        <v>653.49746039147578</v>
      </c>
      <c r="AT174">
        <v>43.170181921720463</v>
      </c>
      <c r="AU174">
        <v>75.5345492702439</v>
      </c>
      <c r="AV174"/>
      <c r="AW174"/>
      <c r="AX174" s="146"/>
      <c r="AY174" s="76">
        <f t="shared" ca="1" si="169"/>
        <v>0.4222109793566986</v>
      </c>
      <c r="AZ174">
        <v>7</v>
      </c>
      <c r="BA174" s="129">
        <f t="shared" si="243"/>
        <v>39949</v>
      </c>
      <c r="BB174" s="218">
        <v>0</v>
      </c>
      <c r="BC174" s="218">
        <v>0</v>
      </c>
      <c r="BD174" s="218">
        <v>0</v>
      </c>
      <c r="BE174" s="218">
        <v>1</v>
      </c>
      <c r="BF174" s="218">
        <v>4</v>
      </c>
      <c r="BG174" s="218">
        <v>10</v>
      </c>
      <c r="BH174" s="218">
        <v>11</v>
      </c>
      <c r="BI174" s="218">
        <v>0</v>
      </c>
      <c r="BJ174">
        <v>0</v>
      </c>
      <c r="BK174">
        <v>0</v>
      </c>
      <c r="BL174">
        <v>0</v>
      </c>
      <c r="BM174">
        <v>0</v>
      </c>
      <c r="BN174">
        <v>0</v>
      </c>
      <c r="BO174">
        <v>0</v>
      </c>
      <c r="BP174">
        <v>0</v>
      </c>
      <c r="BQ174">
        <v>0</v>
      </c>
      <c r="BR174">
        <v>0</v>
      </c>
      <c r="BS174">
        <v>0</v>
      </c>
      <c r="BT174">
        <v>0</v>
      </c>
      <c r="BU174">
        <v>0</v>
      </c>
      <c r="BV174">
        <v>0</v>
      </c>
      <c r="BW174">
        <v>0</v>
      </c>
      <c r="BX174">
        <v>0</v>
      </c>
      <c r="BY174">
        <v>0</v>
      </c>
      <c r="BZ174">
        <v>0</v>
      </c>
      <c r="CA174">
        <v>0</v>
      </c>
      <c r="CB174">
        <v>0</v>
      </c>
      <c r="CC174">
        <v>0</v>
      </c>
      <c r="CD174">
        <v>0</v>
      </c>
      <c r="CE174">
        <v>0</v>
      </c>
      <c r="CF174">
        <v>0</v>
      </c>
      <c r="CG174" s="147"/>
      <c r="CH174" s="176"/>
      <c r="CJ174" s="146"/>
      <c r="CK174" s="76">
        <f t="shared" ca="1" si="204"/>
        <v>0.58879306928185482</v>
      </c>
      <c r="CL174" s="179">
        <f t="shared" si="205"/>
        <v>7</v>
      </c>
      <c r="CM174" s="180">
        <f t="shared" si="206"/>
        <v>39949</v>
      </c>
      <c r="CN174">
        <v>0</v>
      </c>
      <c r="CO174">
        <v>0</v>
      </c>
      <c r="CP174">
        <v>0</v>
      </c>
      <c r="CQ174">
        <v>0</v>
      </c>
      <c r="CR174">
        <v>0</v>
      </c>
      <c r="CS174">
        <v>0</v>
      </c>
      <c r="CT174">
        <v>0</v>
      </c>
      <c r="CU174">
        <v>0</v>
      </c>
      <c r="CV174" s="160"/>
      <c r="CW174">
        <v>1</v>
      </c>
      <c r="CX174">
        <v>1</v>
      </c>
      <c r="CY174" s="165"/>
      <c r="CZ174" s="177">
        <f t="shared" si="207"/>
        <v>9.6000000000000002E-2</v>
      </c>
      <c r="DB174" s="146"/>
      <c r="DC174" s="76">
        <f t="shared" ca="1" si="170"/>
        <v>0.78972919067700165</v>
      </c>
      <c r="DD174">
        <f t="shared" si="208"/>
        <v>7</v>
      </c>
      <c r="DE174" s="129">
        <f t="shared" si="242"/>
        <v>39949</v>
      </c>
      <c r="DF174" s="161">
        <f t="shared" si="209"/>
        <v>0</v>
      </c>
      <c r="DG174" s="161">
        <f t="shared" si="210"/>
        <v>0</v>
      </c>
      <c r="DH174" s="161">
        <f t="shared" si="211"/>
        <v>0</v>
      </c>
      <c r="DI174" s="161">
        <f t="shared" si="212"/>
        <v>10.416666666666666</v>
      </c>
      <c r="DJ174" s="161">
        <f t="shared" si="213"/>
        <v>41.666666666666664</v>
      </c>
      <c r="DK174" s="161">
        <f t="shared" si="214"/>
        <v>104.16666666666667</v>
      </c>
      <c r="DL174" s="161">
        <f t="shared" si="215"/>
        <v>114.58333333333333</v>
      </c>
      <c r="DM174" s="161">
        <f t="shared" si="216"/>
        <v>0</v>
      </c>
      <c r="DN174" s="161">
        <f t="shared" si="217"/>
        <v>0</v>
      </c>
      <c r="DO174" s="161">
        <f t="shared" si="218"/>
        <v>0</v>
      </c>
      <c r="DP174" s="161">
        <f t="shared" si="219"/>
        <v>0</v>
      </c>
      <c r="DQ174" s="161">
        <f t="shared" si="220"/>
        <v>0</v>
      </c>
      <c r="DR174" s="161">
        <f t="shared" si="221"/>
        <v>0</v>
      </c>
      <c r="DS174" s="161">
        <f t="shared" si="222"/>
        <v>0</v>
      </c>
      <c r="DT174" s="161">
        <f t="shared" si="223"/>
        <v>0</v>
      </c>
      <c r="DU174" s="161">
        <f t="shared" si="224"/>
        <v>0</v>
      </c>
      <c r="DV174" s="161">
        <f t="shared" si="225"/>
        <v>0</v>
      </c>
      <c r="DW174" s="161">
        <f t="shared" si="226"/>
        <v>0</v>
      </c>
      <c r="DX174" s="161">
        <f t="shared" si="227"/>
        <v>0</v>
      </c>
      <c r="DY174" s="161">
        <f t="shared" si="228"/>
        <v>0</v>
      </c>
      <c r="DZ174" s="161">
        <f t="shared" si="229"/>
        <v>0</v>
      </c>
      <c r="EA174" s="161">
        <f t="shared" si="230"/>
        <v>0</v>
      </c>
      <c r="EB174" s="161">
        <f t="shared" si="231"/>
        <v>0</v>
      </c>
      <c r="EC174" s="161">
        <f t="shared" si="232"/>
        <v>0</v>
      </c>
      <c r="ED174" s="161">
        <f t="shared" si="233"/>
        <v>0</v>
      </c>
      <c r="EE174" s="161">
        <f t="shared" si="234"/>
        <v>0</v>
      </c>
      <c r="EF174" s="161">
        <f t="shared" si="235"/>
        <v>0</v>
      </c>
      <c r="EG174" s="161">
        <f t="shared" si="236"/>
        <v>0</v>
      </c>
      <c r="EH174" s="161">
        <f t="shared" si="237"/>
        <v>0</v>
      </c>
      <c r="EI174" s="161">
        <f t="shared" si="238"/>
        <v>0</v>
      </c>
      <c r="EJ174" s="161">
        <f t="shared" si="239"/>
        <v>0</v>
      </c>
      <c r="EK174" s="147">
        <f t="shared" si="171"/>
        <v>270.83333333333331</v>
      </c>
      <c r="EL174" s="149"/>
      <c r="EN174" s="146"/>
      <c r="EO174" s="146"/>
      <c r="EP174" s="139">
        <f t="shared" si="172"/>
        <v>0</v>
      </c>
      <c r="EQ174" s="139">
        <f t="shared" si="173"/>
        <v>0</v>
      </c>
      <c r="ER174" s="139">
        <f t="shared" si="174"/>
        <v>0</v>
      </c>
      <c r="ES174" s="139">
        <f t="shared" si="175"/>
        <v>2.4946780349291493</v>
      </c>
      <c r="ET174" s="139">
        <f t="shared" si="176"/>
        <v>23.002320317432837</v>
      </c>
      <c r="EU174" s="139">
        <f t="shared" si="177"/>
        <v>109.91106684284549</v>
      </c>
      <c r="EV174" s="139">
        <f t="shared" si="178"/>
        <v>205.25666383500018</v>
      </c>
      <c r="EW174" s="139">
        <f t="shared" si="179"/>
        <v>0</v>
      </c>
      <c r="EX174" s="139">
        <f t="shared" si="180"/>
        <v>0</v>
      </c>
      <c r="EY174" s="139">
        <f t="shared" si="181"/>
        <v>0</v>
      </c>
      <c r="EZ174" s="139">
        <f t="shared" si="182"/>
        <v>0</v>
      </c>
      <c r="FA174" s="139">
        <f t="shared" si="183"/>
        <v>0</v>
      </c>
      <c r="FB174" s="139">
        <f t="shared" si="184"/>
        <v>0</v>
      </c>
      <c r="FC174" s="139">
        <f t="shared" si="185"/>
        <v>0</v>
      </c>
      <c r="FD174" s="139">
        <f t="shared" si="186"/>
        <v>0</v>
      </c>
      <c r="FE174" s="139">
        <f t="shared" si="187"/>
        <v>0</v>
      </c>
      <c r="FF174" s="139">
        <f t="shared" si="188"/>
        <v>0</v>
      </c>
      <c r="FG174" s="139">
        <f t="shared" si="189"/>
        <v>0</v>
      </c>
      <c r="FH174" s="139">
        <f t="shared" si="190"/>
        <v>0</v>
      </c>
      <c r="FI174" s="139">
        <f t="shared" si="191"/>
        <v>0</v>
      </c>
      <c r="FJ174" s="139">
        <f t="shared" si="192"/>
        <v>0</v>
      </c>
      <c r="FK174" s="139">
        <f t="shared" si="193"/>
        <v>0</v>
      </c>
      <c r="FL174" s="139">
        <f t="shared" si="194"/>
        <v>0</v>
      </c>
      <c r="FM174" s="139">
        <f t="shared" si="195"/>
        <v>0</v>
      </c>
      <c r="FN174" s="139">
        <f t="shared" si="196"/>
        <v>0</v>
      </c>
      <c r="FO174" s="139">
        <f t="shared" si="197"/>
        <v>0</v>
      </c>
      <c r="FP174" s="139">
        <f t="shared" si="198"/>
        <v>0</v>
      </c>
      <c r="FQ174" s="139">
        <f t="shared" si="199"/>
        <v>0</v>
      </c>
      <c r="FR174" s="139">
        <f t="shared" si="200"/>
        <v>0</v>
      </c>
      <c r="FS174" s="139">
        <f t="shared" si="201"/>
        <v>0</v>
      </c>
      <c r="FT174" s="139">
        <f t="shared" si="202"/>
        <v>0</v>
      </c>
      <c r="FU174" s="148">
        <f t="shared" si="203"/>
        <v>340.6647290302077</v>
      </c>
      <c r="FV174" s="149"/>
      <c r="FY174" s="211">
        <v>169</v>
      </c>
      <c r="FZ174">
        <v>28.134591050431986</v>
      </c>
      <c r="GA174">
        <v>74.818997899713366</v>
      </c>
      <c r="GB174">
        <v>69.344511373273932</v>
      </c>
      <c r="GC174">
        <v>39.591394257201458</v>
      </c>
      <c r="GD174">
        <v>17.243429697593768</v>
      </c>
      <c r="GE174">
        <v>35.611443230366987</v>
      </c>
      <c r="GF174">
        <v>61.747640288048586</v>
      </c>
      <c r="GG174">
        <v>49.936311157752698</v>
      </c>
      <c r="GH174">
        <v>37.206413589474963</v>
      </c>
      <c r="GI174">
        <v>50.319641345972776</v>
      </c>
      <c r="GJ174"/>
      <c r="GK174"/>
      <c r="GL174"/>
      <c r="GM174"/>
    </row>
    <row r="175" spans="1:195" s="7" customFormat="1">
      <c r="A175" s="1"/>
      <c r="B175" s="76">
        <f ca="1">IF(C175="", "", RAND())</f>
        <v>0.69364738342812426</v>
      </c>
      <c r="C175">
        <v>5</v>
      </c>
      <c r="D175">
        <v>39949</v>
      </c>
      <c r="E175">
        <v>0</v>
      </c>
      <c r="F175">
        <v>0</v>
      </c>
      <c r="G175">
        <v>0</v>
      </c>
      <c r="H175">
        <v>20.833333333333332</v>
      </c>
      <c r="I175">
        <v>10.416666666666666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 s="2"/>
      <c r="AK175" s="80"/>
      <c r="AL175" s="74"/>
      <c r="AM175" s="43">
        <v>159</v>
      </c>
      <c r="AN175">
        <v>245.22827069977126</v>
      </c>
      <c r="AO175">
        <v>81.284912555096128</v>
      </c>
      <c r="AP175">
        <v>587.55274257571409</v>
      </c>
      <c r="AQ175">
        <v>442.95050993799475</v>
      </c>
      <c r="AR175">
        <v>74.123265392807795</v>
      </c>
      <c r="AS175">
        <v>618.96513610458123</v>
      </c>
      <c r="AT175">
        <v>39.506075277667129</v>
      </c>
      <c r="AU175">
        <v>49.595764053532818</v>
      </c>
      <c r="AV175"/>
      <c r="AW175"/>
      <c r="AX175" s="146"/>
      <c r="AY175" s="76">
        <f t="shared" ca="1" si="169"/>
        <v>0.98673983283942235</v>
      </c>
      <c r="AZ175">
        <v>8</v>
      </c>
      <c r="BA175" s="129">
        <f t="shared" si="243"/>
        <v>39949</v>
      </c>
      <c r="BB175">
        <v>0</v>
      </c>
      <c r="BC175">
        <v>0</v>
      </c>
      <c r="BD175">
        <v>11</v>
      </c>
      <c r="BE175">
        <v>4</v>
      </c>
      <c r="BF175">
        <v>0</v>
      </c>
      <c r="BG175">
        <v>6</v>
      </c>
      <c r="BH175">
        <v>1</v>
      </c>
      <c r="BI175">
        <v>0</v>
      </c>
      <c r="BJ175">
        <v>0</v>
      </c>
      <c r="BK175">
        <v>0</v>
      </c>
      <c r="BL175">
        <v>0</v>
      </c>
      <c r="BM175">
        <v>0</v>
      </c>
      <c r="BN175">
        <v>0</v>
      </c>
      <c r="BO175">
        <v>0</v>
      </c>
      <c r="BP175">
        <v>0</v>
      </c>
      <c r="BQ175">
        <v>0</v>
      </c>
      <c r="BR175">
        <v>0</v>
      </c>
      <c r="BS175">
        <v>0</v>
      </c>
      <c r="BT175">
        <v>0</v>
      </c>
      <c r="BU175">
        <v>0</v>
      </c>
      <c r="BV175">
        <v>0</v>
      </c>
      <c r="BW175">
        <v>0</v>
      </c>
      <c r="BX175">
        <v>0</v>
      </c>
      <c r="BY175">
        <v>0</v>
      </c>
      <c r="BZ175">
        <v>0</v>
      </c>
      <c r="CA175">
        <v>0</v>
      </c>
      <c r="CB175">
        <v>0</v>
      </c>
      <c r="CC175">
        <v>0</v>
      </c>
      <c r="CD175">
        <v>0</v>
      </c>
      <c r="CE175">
        <v>0</v>
      </c>
      <c r="CF175">
        <v>0</v>
      </c>
      <c r="CG175" s="147"/>
      <c r="CH175" s="176"/>
      <c r="CJ175" s="146"/>
      <c r="CK175" s="76">
        <f t="shared" ca="1" si="204"/>
        <v>0.39577553113539143</v>
      </c>
      <c r="CL175" s="179">
        <f t="shared" si="205"/>
        <v>8</v>
      </c>
      <c r="CM175" s="180">
        <f t="shared" si="206"/>
        <v>39949</v>
      </c>
      <c r="CN175">
        <v>0</v>
      </c>
      <c r="CO175">
        <v>0</v>
      </c>
      <c r="CP175">
        <v>0</v>
      </c>
      <c r="CQ175">
        <v>0</v>
      </c>
      <c r="CR175">
        <v>0</v>
      </c>
      <c r="CS175">
        <v>0</v>
      </c>
      <c r="CT175">
        <v>0</v>
      </c>
      <c r="CU175">
        <v>0</v>
      </c>
      <c r="CV175" s="160"/>
      <c r="CW175">
        <v>1</v>
      </c>
      <c r="CX175">
        <v>1</v>
      </c>
      <c r="CY175" s="165"/>
      <c r="CZ175" s="177">
        <f t="shared" si="207"/>
        <v>9.6000000000000002E-2</v>
      </c>
      <c r="DB175" s="146"/>
      <c r="DC175" s="76">
        <f t="shared" ca="1" si="170"/>
        <v>0.89761015213860773</v>
      </c>
      <c r="DD175">
        <f t="shared" si="208"/>
        <v>8</v>
      </c>
      <c r="DE175" s="129">
        <f t="shared" si="242"/>
        <v>39949</v>
      </c>
      <c r="DF175" s="161">
        <f t="shared" si="209"/>
        <v>0</v>
      </c>
      <c r="DG175" s="161">
        <f t="shared" si="210"/>
        <v>0</v>
      </c>
      <c r="DH175" s="161">
        <f t="shared" si="211"/>
        <v>114.58333333333333</v>
      </c>
      <c r="DI175" s="161">
        <f t="shared" si="212"/>
        <v>41.666666666666664</v>
      </c>
      <c r="DJ175" s="161">
        <f t="shared" si="213"/>
        <v>0</v>
      </c>
      <c r="DK175" s="161">
        <f t="shared" si="214"/>
        <v>62.5</v>
      </c>
      <c r="DL175" s="161">
        <f t="shared" si="215"/>
        <v>10.416666666666666</v>
      </c>
      <c r="DM175" s="161">
        <f t="shared" si="216"/>
        <v>0</v>
      </c>
      <c r="DN175" s="161">
        <f t="shared" si="217"/>
        <v>0</v>
      </c>
      <c r="DO175" s="161">
        <f t="shared" si="218"/>
        <v>0</v>
      </c>
      <c r="DP175" s="161">
        <f t="shared" si="219"/>
        <v>0</v>
      </c>
      <c r="DQ175" s="161">
        <f t="shared" si="220"/>
        <v>0</v>
      </c>
      <c r="DR175" s="161">
        <f t="shared" si="221"/>
        <v>0</v>
      </c>
      <c r="DS175" s="161">
        <f t="shared" si="222"/>
        <v>0</v>
      </c>
      <c r="DT175" s="161">
        <f t="shared" si="223"/>
        <v>0</v>
      </c>
      <c r="DU175" s="161">
        <f t="shared" si="224"/>
        <v>0</v>
      </c>
      <c r="DV175" s="161">
        <f t="shared" si="225"/>
        <v>0</v>
      </c>
      <c r="DW175" s="161">
        <f t="shared" si="226"/>
        <v>0</v>
      </c>
      <c r="DX175" s="161">
        <f t="shared" si="227"/>
        <v>0</v>
      </c>
      <c r="DY175" s="161">
        <f t="shared" si="228"/>
        <v>0</v>
      </c>
      <c r="DZ175" s="161">
        <f t="shared" si="229"/>
        <v>0</v>
      </c>
      <c r="EA175" s="161">
        <f t="shared" si="230"/>
        <v>0</v>
      </c>
      <c r="EB175" s="161">
        <f t="shared" si="231"/>
        <v>0</v>
      </c>
      <c r="EC175" s="161">
        <f t="shared" si="232"/>
        <v>0</v>
      </c>
      <c r="ED175" s="161">
        <f t="shared" si="233"/>
        <v>0</v>
      </c>
      <c r="EE175" s="161">
        <f t="shared" si="234"/>
        <v>0</v>
      </c>
      <c r="EF175" s="161">
        <f t="shared" si="235"/>
        <v>0</v>
      </c>
      <c r="EG175" s="161">
        <f t="shared" si="236"/>
        <v>0</v>
      </c>
      <c r="EH175" s="161">
        <f t="shared" si="237"/>
        <v>0</v>
      </c>
      <c r="EI175" s="161">
        <f t="shared" si="238"/>
        <v>0</v>
      </c>
      <c r="EJ175" s="161">
        <f t="shared" si="239"/>
        <v>0</v>
      </c>
      <c r="EK175" s="147">
        <f t="shared" si="171"/>
        <v>229.16666666666666</v>
      </c>
      <c r="EL175" s="149"/>
      <c r="EN175" s="146"/>
      <c r="EO175" s="146"/>
      <c r="EP175" s="139">
        <f t="shared" si="172"/>
        <v>0</v>
      </c>
      <c r="EQ175" s="139">
        <f t="shared" si="173"/>
        <v>0</v>
      </c>
      <c r="ER175" s="139">
        <f t="shared" si="174"/>
        <v>8.4569597441016491</v>
      </c>
      <c r="ES175" s="139">
        <f t="shared" si="175"/>
        <v>9.9787121397165972</v>
      </c>
      <c r="ET175" s="139">
        <f t="shared" si="176"/>
        <v>0</v>
      </c>
      <c r="EU175" s="139">
        <f t="shared" si="177"/>
        <v>65.946640105707289</v>
      </c>
      <c r="EV175" s="139">
        <f t="shared" si="178"/>
        <v>18.659696712272744</v>
      </c>
      <c r="EW175" s="139">
        <f t="shared" si="179"/>
        <v>0</v>
      </c>
      <c r="EX175" s="139">
        <f t="shared" si="180"/>
        <v>0</v>
      </c>
      <c r="EY175" s="139">
        <f t="shared" si="181"/>
        <v>0</v>
      </c>
      <c r="EZ175" s="139">
        <f t="shared" si="182"/>
        <v>0</v>
      </c>
      <c r="FA175" s="139">
        <f t="shared" si="183"/>
        <v>0</v>
      </c>
      <c r="FB175" s="139">
        <f t="shared" si="184"/>
        <v>0</v>
      </c>
      <c r="FC175" s="139">
        <f t="shared" si="185"/>
        <v>0</v>
      </c>
      <c r="FD175" s="139">
        <f t="shared" si="186"/>
        <v>0</v>
      </c>
      <c r="FE175" s="139">
        <f t="shared" si="187"/>
        <v>0</v>
      </c>
      <c r="FF175" s="139">
        <f t="shared" si="188"/>
        <v>0</v>
      </c>
      <c r="FG175" s="139">
        <f t="shared" si="189"/>
        <v>0</v>
      </c>
      <c r="FH175" s="139">
        <f t="shared" si="190"/>
        <v>0</v>
      </c>
      <c r="FI175" s="139">
        <f t="shared" si="191"/>
        <v>0</v>
      </c>
      <c r="FJ175" s="139">
        <f t="shared" si="192"/>
        <v>0</v>
      </c>
      <c r="FK175" s="139">
        <f t="shared" si="193"/>
        <v>0</v>
      </c>
      <c r="FL175" s="139">
        <f t="shared" si="194"/>
        <v>0</v>
      </c>
      <c r="FM175" s="139">
        <f t="shared" si="195"/>
        <v>0</v>
      </c>
      <c r="FN175" s="139">
        <f t="shared" si="196"/>
        <v>0</v>
      </c>
      <c r="FO175" s="139">
        <f t="shared" si="197"/>
        <v>0</v>
      </c>
      <c r="FP175" s="139">
        <f t="shared" si="198"/>
        <v>0</v>
      </c>
      <c r="FQ175" s="139">
        <f t="shared" si="199"/>
        <v>0</v>
      </c>
      <c r="FR175" s="139">
        <f t="shared" si="200"/>
        <v>0</v>
      </c>
      <c r="FS175" s="139">
        <f t="shared" si="201"/>
        <v>0</v>
      </c>
      <c r="FT175" s="139">
        <f t="shared" si="202"/>
        <v>0</v>
      </c>
      <c r="FU175" s="148">
        <f t="shared" si="203"/>
        <v>103.04200870179828</v>
      </c>
      <c r="FV175" s="149"/>
      <c r="FY175" s="211">
        <v>170</v>
      </c>
      <c r="FZ175">
        <v>29.108195935328187</v>
      </c>
      <c r="GA175">
        <v>71.624621320649737</v>
      </c>
      <c r="GB175">
        <v>76.03308163669692</v>
      </c>
      <c r="GC175">
        <v>44.933106679587986</v>
      </c>
      <c r="GD175">
        <v>18.382581773263627</v>
      </c>
      <c r="GE175">
        <v>34.892588853945036</v>
      </c>
      <c r="GF175">
        <v>67.679261022144374</v>
      </c>
      <c r="GG175">
        <v>42.893240088570323</v>
      </c>
      <c r="GH175">
        <v>15.280591983065989</v>
      </c>
      <c r="GI175">
        <v>50.54219540719982</v>
      </c>
      <c r="GJ175"/>
      <c r="GK175"/>
      <c r="GL175"/>
      <c r="GM175"/>
    </row>
    <row r="176" spans="1:195" s="7" customFormat="1">
      <c r="A176" s="1"/>
      <c r="B176" s="76">
        <f ca="1">IF(C176="", "", RAND())</f>
        <v>0.65277550747796531</v>
      </c>
      <c r="C176">
        <v>7</v>
      </c>
      <c r="D176">
        <v>39949</v>
      </c>
      <c r="E176">
        <v>0</v>
      </c>
      <c r="F176">
        <v>0</v>
      </c>
      <c r="G176">
        <v>0</v>
      </c>
      <c r="H176">
        <v>10.416666666666666</v>
      </c>
      <c r="I176">
        <v>41.666666666666664</v>
      </c>
      <c r="J176">
        <v>104.16666666666667</v>
      </c>
      <c r="K176">
        <v>114.58333333333333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 s="2"/>
      <c r="AK176" s="80"/>
      <c r="AL176" s="74"/>
      <c r="AM176" s="43">
        <v>160</v>
      </c>
      <c r="AN176">
        <v>236.65192080167208</v>
      </c>
      <c r="AO176">
        <v>70.382719873939322</v>
      </c>
      <c r="AP176">
        <v>530.40986106678224</v>
      </c>
      <c r="AQ176">
        <v>388.7163194267319</v>
      </c>
      <c r="AR176">
        <v>62.843180476853782</v>
      </c>
      <c r="AS176">
        <v>518.29143953797347</v>
      </c>
      <c r="AT176">
        <v>32.183885006303065</v>
      </c>
      <c r="AU176">
        <v>75.778341889511836</v>
      </c>
      <c r="AV176"/>
      <c r="AW176"/>
      <c r="AX176" s="146"/>
      <c r="AY176" s="76">
        <f t="shared" ca="1" si="169"/>
        <v>0.38381198149997631</v>
      </c>
      <c r="AZ176">
        <v>9</v>
      </c>
      <c r="BA176" s="129">
        <f t="shared" si="243"/>
        <v>39949</v>
      </c>
      <c r="BB176">
        <v>0</v>
      </c>
      <c r="BC176">
        <v>0</v>
      </c>
      <c r="BD176">
        <v>0</v>
      </c>
      <c r="BE176">
        <v>1</v>
      </c>
      <c r="BF176">
        <v>0</v>
      </c>
      <c r="BG176">
        <v>0</v>
      </c>
      <c r="BH176">
        <v>0</v>
      </c>
      <c r="BI176">
        <v>0</v>
      </c>
      <c r="BJ176">
        <v>0</v>
      </c>
      <c r="BK176">
        <v>0</v>
      </c>
      <c r="BL176">
        <v>0</v>
      </c>
      <c r="BM176">
        <v>0</v>
      </c>
      <c r="BN176">
        <v>0</v>
      </c>
      <c r="BO176">
        <v>0</v>
      </c>
      <c r="BP176">
        <v>0</v>
      </c>
      <c r="BQ176">
        <v>0</v>
      </c>
      <c r="BR176">
        <v>0</v>
      </c>
      <c r="BS176">
        <v>0</v>
      </c>
      <c r="BT176">
        <v>0</v>
      </c>
      <c r="BU176">
        <v>0</v>
      </c>
      <c r="BV176">
        <v>0</v>
      </c>
      <c r="BW176">
        <v>0</v>
      </c>
      <c r="BX176">
        <v>0</v>
      </c>
      <c r="BY176">
        <v>0</v>
      </c>
      <c r="BZ176">
        <v>0</v>
      </c>
      <c r="CA176">
        <v>0</v>
      </c>
      <c r="CB176">
        <v>0</v>
      </c>
      <c r="CC176">
        <v>0</v>
      </c>
      <c r="CD176">
        <v>0</v>
      </c>
      <c r="CE176">
        <v>0</v>
      </c>
      <c r="CF176">
        <v>0</v>
      </c>
      <c r="CG176" s="147"/>
      <c r="CH176" s="176"/>
      <c r="CJ176" s="146"/>
      <c r="CK176" s="76">
        <f t="shared" ca="1" si="204"/>
        <v>0.20903387956856889</v>
      </c>
      <c r="CL176" s="179">
        <f t="shared" si="205"/>
        <v>9</v>
      </c>
      <c r="CM176" s="180">
        <f t="shared" si="206"/>
        <v>39949</v>
      </c>
      <c r="CN176">
        <v>0</v>
      </c>
      <c r="CO176">
        <v>0</v>
      </c>
      <c r="CP176">
        <v>0</v>
      </c>
      <c r="CQ176">
        <v>0</v>
      </c>
      <c r="CR176">
        <v>0</v>
      </c>
      <c r="CS176">
        <v>0</v>
      </c>
      <c r="CT176">
        <v>0</v>
      </c>
      <c r="CU176">
        <v>0</v>
      </c>
      <c r="CV176" s="160"/>
      <c r="CW176">
        <v>1</v>
      </c>
      <c r="CX176">
        <v>1</v>
      </c>
      <c r="CY176" s="165"/>
      <c r="CZ176" s="177">
        <f t="shared" si="207"/>
        <v>9.6000000000000002E-2</v>
      </c>
      <c r="DB176" s="146"/>
      <c r="DC176" s="76">
        <f t="shared" ca="1" si="170"/>
        <v>0.4198140829330681</v>
      </c>
      <c r="DD176">
        <f t="shared" si="208"/>
        <v>9</v>
      </c>
      <c r="DE176" s="129">
        <f t="shared" si="242"/>
        <v>39949</v>
      </c>
      <c r="DF176" s="161">
        <f t="shared" si="209"/>
        <v>0</v>
      </c>
      <c r="DG176" s="161">
        <f t="shared" si="210"/>
        <v>0</v>
      </c>
      <c r="DH176" s="161">
        <f t="shared" si="211"/>
        <v>0</v>
      </c>
      <c r="DI176" s="161">
        <f t="shared" si="212"/>
        <v>10.416666666666666</v>
      </c>
      <c r="DJ176" s="161">
        <f t="shared" si="213"/>
        <v>0</v>
      </c>
      <c r="DK176" s="161">
        <f t="shared" si="214"/>
        <v>0</v>
      </c>
      <c r="DL176" s="161">
        <f t="shared" si="215"/>
        <v>0</v>
      </c>
      <c r="DM176" s="161">
        <f t="shared" si="216"/>
        <v>0</v>
      </c>
      <c r="DN176" s="161">
        <f t="shared" si="217"/>
        <v>0</v>
      </c>
      <c r="DO176" s="161">
        <f t="shared" si="218"/>
        <v>0</v>
      </c>
      <c r="DP176" s="161">
        <f t="shared" si="219"/>
        <v>0</v>
      </c>
      <c r="DQ176" s="161">
        <f t="shared" si="220"/>
        <v>0</v>
      </c>
      <c r="DR176" s="161">
        <f t="shared" si="221"/>
        <v>0</v>
      </c>
      <c r="DS176" s="161">
        <f t="shared" si="222"/>
        <v>0</v>
      </c>
      <c r="DT176" s="161">
        <f t="shared" si="223"/>
        <v>0</v>
      </c>
      <c r="DU176" s="161">
        <f t="shared" si="224"/>
        <v>0</v>
      </c>
      <c r="DV176" s="161">
        <f t="shared" si="225"/>
        <v>0</v>
      </c>
      <c r="DW176" s="161">
        <f t="shared" si="226"/>
        <v>0</v>
      </c>
      <c r="DX176" s="161">
        <f t="shared" si="227"/>
        <v>0</v>
      </c>
      <c r="DY176" s="161">
        <f t="shared" si="228"/>
        <v>0</v>
      </c>
      <c r="DZ176" s="161">
        <f t="shared" si="229"/>
        <v>0</v>
      </c>
      <c r="EA176" s="161">
        <f t="shared" si="230"/>
        <v>0</v>
      </c>
      <c r="EB176" s="161">
        <f t="shared" si="231"/>
        <v>0</v>
      </c>
      <c r="EC176" s="161">
        <f t="shared" si="232"/>
        <v>0</v>
      </c>
      <c r="ED176" s="161">
        <f t="shared" si="233"/>
        <v>0</v>
      </c>
      <c r="EE176" s="161">
        <f t="shared" si="234"/>
        <v>0</v>
      </c>
      <c r="EF176" s="161">
        <f t="shared" si="235"/>
        <v>0</v>
      </c>
      <c r="EG176" s="161">
        <f t="shared" si="236"/>
        <v>0</v>
      </c>
      <c r="EH176" s="161">
        <f t="shared" si="237"/>
        <v>0</v>
      </c>
      <c r="EI176" s="161">
        <f t="shared" si="238"/>
        <v>0</v>
      </c>
      <c r="EJ176" s="161">
        <f t="shared" si="239"/>
        <v>0</v>
      </c>
      <c r="EK176" s="147">
        <f t="shared" si="171"/>
        <v>10.416666666666666</v>
      </c>
      <c r="EL176" s="149"/>
      <c r="EN176" s="146"/>
      <c r="EO176" s="146"/>
      <c r="EP176" s="139">
        <f t="shared" si="172"/>
        <v>0</v>
      </c>
      <c r="EQ176" s="139">
        <f t="shared" si="173"/>
        <v>0</v>
      </c>
      <c r="ER176" s="139">
        <f t="shared" si="174"/>
        <v>0</v>
      </c>
      <c r="ES176" s="139">
        <f t="shared" si="175"/>
        <v>2.4946780349291493</v>
      </c>
      <c r="ET176" s="139">
        <f t="shared" si="176"/>
        <v>0</v>
      </c>
      <c r="EU176" s="139">
        <f t="shared" si="177"/>
        <v>0</v>
      </c>
      <c r="EV176" s="139">
        <f t="shared" si="178"/>
        <v>0</v>
      </c>
      <c r="EW176" s="139">
        <f t="shared" si="179"/>
        <v>0</v>
      </c>
      <c r="EX176" s="139">
        <f t="shared" si="180"/>
        <v>0</v>
      </c>
      <c r="EY176" s="139">
        <f t="shared" si="181"/>
        <v>0</v>
      </c>
      <c r="EZ176" s="139">
        <f t="shared" si="182"/>
        <v>0</v>
      </c>
      <c r="FA176" s="139">
        <f t="shared" si="183"/>
        <v>0</v>
      </c>
      <c r="FB176" s="139">
        <f t="shared" si="184"/>
        <v>0</v>
      </c>
      <c r="FC176" s="139">
        <f t="shared" si="185"/>
        <v>0</v>
      </c>
      <c r="FD176" s="139">
        <f t="shared" si="186"/>
        <v>0</v>
      </c>
      <c r="FE176" s="139">
        <f t="shared" si="187"/>
        <v>0</v>
      </c>
      <c r="FF176" s="139">
        <f t="shared" si="188"/>
        <v>0</v>
      </c>
      <c r="FG176" s="139">
        <f t="shared" si="189"/>
        <v>0</v>
      </c>
      <c r="FH176" s="139">
        <f t="shared" si="190"/>
        <v>0</v>
      </c>
      <c r="FI176" s="139">
        <f t="shared" si="191"/>
        <v>0</v>
      </c>
      <c r="FJ176" s="139">
        <f t="shared" si="192"/>
        <v>0</v>
      </c>
      <c r="FK176" s="139">
        <f t="shared" si="193"/>
        <v>0</v>
      </c>
      <c r="FL176" s="139">
        <f t="shared" si="194"/>
        <v>0</v>
      </c>
      <c r="FM176" s="139">
        <f t="shared" si="195"/>
        <v>0</v>
      </c>
      <c r="FN176" s="139">
        <f t="shared" si="196"/>
        <v>0</v>
      </c>
      <c r="FO176" s="139">
        <f t="shared" si="197"/>
        <v>0</v>
      </c>
      <c r="FP176" s="139">
        <f t="shared" si="198"/>
        <v>0</v>
      </c>
      <c r="FQ176" s="139">
        <f t="shared" si="199"/>
        <v>0</v>
      </c>
      <c r="FR176" s="139">
        <f t="shared" si="200"/>
        <v>0</v>
      </c>
      <c r="FS176" s="139">
        <f t="shared" si="201"/>
        <v>0</v>
      </c>
      <c r="FT176" s="139">
        <f t="shared" si="202"/>
        <v>0</v>
      </c>
      <c r="FU176" s="148">
        <f t="shared" si="203"/>
        <v>2.4946780349291493</v>
      </c>
      <c r="FV176" s="149"/>
      <c r="FY176" s="211">
        <v>171</v>
      </c>
      <c r="FZ176">
        <v>22.334080852862431</v>
      </c>
      <c r="GA176">
        <v>70.604510262336547</v>
      </c>
      <c r="GB176">
        <v>77.721842163764194</v>
      </c>
      <c r="GC176">
        <v>40.708069633748977</v>
      </c>
      <c r="GD176">
        <v>19.694413742129317</v>
      </c>
      <c r="GE176">
        <v>56.411917909023614</v>
      </c>
      <c r="GF176">
        <v>75.773311508327581</v>
      </c>
      <c r="GG176">
        <v>22.399667466817966</v>
      </c>
      <c r="GH176">
        <v>5.804093709743138</v>
      </c>
      <c r="GI176">
        <v>51.997040921237748</v>
      </c>
      <c r="GJ176"/>
      <c r="GK176"/>
      <c r="GL176"/>
      <c r="GM176"/>
    </row>
    <row r="177" spans="1:195" s="7" customFormat="1">
      <c r="A177" s="1"/>
      <c r="B177" s="76">
        <f ca="1">IF(C177="", "", RAND())</f>
        <v>7.1169603084240585E-2</v>
      </c>
      <c r="C177">
        <v>6</v>
      </c>
      <c r="D177">
        <v>39949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 s="2"/>
      <c r="AK177" s="80"/>
      <c r="AL177" s="74"/>
      <c r="AM177" s="43">
        <v>161</v>
      </c>
      <c r="AN177">
        <v>239.35506530342332</v>
      </c>
      <c r="AO177">
        <v>68.829849084856036</v>
      </c>
      <c r="AP177">
        <v>480.19144253082783</v>
      </c>
      <c r="AQ177">
        <v>366.2163337791626</v>
      </c>
      <c r="AR177">
        <v>63.01829179237491</v>
      </c>
      <c r="AS177">
        <v>574.79341631997761</v>
      </c>
      <c r="AT177">
        <v>34.563645523178735</v>
      </c>
      <c r="AU177">
        <v>102.33734021743084</v>
      </c>
      <c r="AV177"/>
      <c r="AW177"/>
      <c r="AX177" s="146"/>
      <c r="AY177" s="76">
        <f t="shared" ca="1" si="169"/>
        <v>0.8503208184666089</v>
      </c>
      <c r="AZ177">
        <v>10</v>
      </c>
      <c r="BA177" s="129">
        <f t="shared" si="243"/>
        <v>39949</v>
      </c>
      <c r="BB177">
        <v>0</v>
      </c>
      <c r="BC177">
        <v>0</v>
      </c>
      <c r="BD177">
        <v>0</v>
      </c>
      <c r="BE177">
        <v>0</v>
      </c>
      <c r="BF177">
        <v>0</v>
      </c>
      <c r="BG177">
        <v>0</v>
      </c>
      <c r="BH177">
        <v>0</v>
      </c>
      <c r="BI177">
        <v>0</v>
      </c>
      <c r="BJ177">
        <v>0</v>
      </c>
      <c r="BK177">
        <v>0</v>
      </c>
      <c r="BL177">
        <v>0</v>
      </c>
      <c r="BM177">
        <v>0</v>
      </c>
      <c r="BN177">
        <v>0</v>
      </c>
      <c r="BO177">
        <v>0</v>
      </c>
      <c r="BP177">
        <v>0</v>
      </c>
      <c r="BQ177">
        <v>0</v>
      </c>
      <c r="BR177">
        <v>0</v>
      </c>
      <c r="BS177">
        <v>0</v>
      </c>
      <c r="BT177">
        <v>0</v>
      </c>
      <c r="BU177">
        <v>0</v>
      </c>
      <c r="BV177">
        <v>0</v>
      </c>
      <c r="BW177">
        <v>0</v>
      </c>
      <c r="BX177">
        <v>0</v>
      </c>
      <c r="BY177">
        <v>0</v>
      </c>
      <c r="BZ177">
        <v>0</v>
      </c>
      <c r="CA177">
        <v>0</v>
      </c>
      <c r="CB177">
        <v>0</v>
      </c>
      <c r="CC177">
        <v>0</v>
      </c>
      <c r="CD177">
        <v>0</v>
      </c>
      <c r="CE177">
        <v>0</v>
      </c>
      <c r="CF177">
        <v>0</v>
      </c>
      <c r="CG177" s="147"/>
      <c r="CH177" s="176"/>
      <c r="CJ177" s="146"/>
      <c r="CK177" s="76">
        <f t="shared" ca="1" si="204"/>
        <v>0.63952411893136674</v>
      </c>
      <c r="CL177" s="179">
        <f t="shared" si="205"/>
        <v>10</v>
      </c>
      <c r="CM177" s="180">
        <f t="shared" si="206"/>
        <v>39949</v>
      </c>
      <c r="CN177">
        <v>0</v>
      </c>
      <c r="CO177">
        <v>1</v>
      </c>
      <c r="CP177">
        <v>0</v>
      </c>
      <c r="CQ177">
        <v>0</v>
      </c>
      <c r="CR177">
        <v>0</v>
      </c>
      <c r="CS177">
        <v>0</v>
      </c>
      <c r="CT177">
        <v>0</v>
      </c>
      <c r="CU177">
        <v>0</v>
      </c>
      <c r="CV177" s="160"/>
      <c r="CW177">
        <v>1</v>
      </c>
      <c r="CX177">
        <f>500/87</f>
        <v>5.7471264367816088</v>
      </c>
      <c r="CY177" s="165"/>
      <c r="CZ177" s="177">
        <f t="shared" si="207"/>
        <v>9.6000000000000002E-2</v>
      </c>
      <c r="DB177" s="146"/>
      <c r="DC177" s="76">
        <f t="shared" ca="1" si="170"/>
        <v>0.4457325638622458</v>
      </c>
      <c r="DD177">
        <f t="shared" si="208"/>
        <v>10</v>
      </c>
      <c r="DE177" s="129">
        <f t="shared" si="242"/>
        <v>39949</v>
      </c>
      <c r="DF177" s="161">
        <f t="shared" si="209"/>
        <v>0</v>
      </c>
      <c r="DG177" s="161">
        <f t="shared" si="210"/>
        <v>59.865900383141756</v>
      </c>
      <c r="DH177" s="161">
        <f t="shared" si="211"/>
        <v>0</v>
      </c>
      <c r="DI177" s="161">
        <f t="shared" si="212"/>
        <v>0</v>
      </c>
      <c r="DJ177" s="161">
        <f t="shared" si="213"/>
        <v>0</v>
      </c>
      <c r="DK177" s="161">
        <f t="shared" si="214"/>
        <v>0</v>
      </c>
      <c r="DL177" s="161">
        <f t="shared" si="215"/>
        <v>0</v>
      </c>
      <c r="DM177" s="161">
        <f t="shared" si="216"/>
        <v>0</v>
      </c>
      <c r="DN177" s="161">
        <f t="shared" si="217"/>
        <v>0</v>
      </c>
      <c r="DO177" s="161">
        <f t="shared" si="218"/>
        <v>0</v>
      </c>
      <c r="DP177" s="161">
        <f t="shared" si="219"/>
        <v>0</v>
      </c>
      <c r="DQ177" s="161">
        <f t="shared" si="220"/>
        <v>0</v>
      </c>
      <c r="DR177" s="161">
        <f t="shared" si="221"/>
        <v>0</v>
      </c>
      <c r="DS177" s="161">
        <f t="shared" si="222"/>
        <v>0</v>
      </c>
      <c r="DT177" s="161">
        <f t="shared" si="223"/>
        <v>0</v>
      </c>
      <c r="DU177" s="161">
        <f t="shared" si="224"/>
        <v>0</v>
      </c>
      <c r="DV177" s="161">
        <f t="shared" si="225"/>
        <v>0</v>
      </c>
      <c r="DW177" s="161">
        <f t="shared" si="226"/>
        <v>0</v>
      </c>
      <c r="DX177" s="161">
        <f t="shared" si="227"/>
        <v>0</v>
      </c>
      <c r="DY177" s="161">
        <f t="shared" si="228"/>
        <v>0</v>
      </c>
      <c r="DZ177" s="161">
        <f t="shared" si="229"/>
        <v>0</v>
      </c>
      <c r="EA177" s="161">
        <f t="shared" si="230"/>
        <v>0</v>
      </c>
      <c r="EB177" s="161">
        <f t="shared" si="231"/>
        <v>0</v>
      </c>
      <c r="EC177" s="161">
        <f t="shared" si="232"/>
        <v>0</v>
      </c>
      <c r="ED177" s="161">
        <f t="shared" si="233"/>
        <v>0</v>
      </c>
      <c r="EE177" s="161">
        <f t="shared" si="234"/>
        <v>0</v>
      </c>
      <c r="EF177" s="161">
        <f t="shared" si="235"/>
        <v>0</v>
      </c>
      <c r="EG177" s="161">
        <f t="shared" si="236"/>
        <v>0</v>
      </c>
      <c r="EH177" s="161">
        <f t="shared" si="237"/>
        <v>0</v>
      </c>
      <c r="EI177" s="161">
        <f t="shared" si="238"/>
        <v>0</v>
      </c>
      <c r="EJ177" s="161">
        <f t="shared" si="239"/>
        <v>0</v>
      </c>
      <c r="EK177" s="147">
        <f t="shared" si="171"/>
        <v>59.865900383141756</v>
      </c>
      <c r="EL177" s="149"/>
      <c r="EN177" s="146"/>
      <c r="EO177" s="146"/>
      <c r="EP177" s="139">
        <f t="shared" si="172"/>
        <v>0</v>
      </c>
      <c r="EQ177" s="139">
        <f t="shared" si="173"/>
        <v>0.59072078544061302</v>
      </c>
      <c r="ER177" s="139">
        <f t="shared" si="174"/>
        <v>0</v>
      </c>
      <c r="ES177" s="139">
        <f t="shared" si="175"/>
        <v>0</v>
      </c>
      <c r="ET177" s="139">
        <f t="shared" si="176"/>
        <v>0</v>
      </c>
      <c r="EU177" s="139">
        <f t="shared" si="177"/>
        <v>0</v>
      </c>
      <c r="EV177" s="139">
        <f t="shared" si="178"/>
        <v>0</v>
      </c>
      <c r="EW177" s="139">
        <f t="shared" si="179"/>
        <v>0</v>
      </c>
      <c r="EX177" s="139">
        <f t="shared" si="180"/>
        <v>0</v>
      </c>
      <c r="EY177" s="139">
        <f t="shared" si="181"/>
        <v>0</v>
      </c>
      <c r="EZ177" s="139">
        <f t="shared" si="182"/>
        <v>0</v>
      </c>
      <c r="FA177" s="139">
        <f t="shared" si="183"/>
        <v>0</v>
      </c>
      <c r="FB177" s="139">
        <f t="shared" si="184"/>
        <v>0</v>
      </c>
      <c r="FC177" s="139">
        <f t="shared" si="185"/>
        <v>0</v>
      </c>
      <c r="FD177" s="139">
        <f t="shared" si="186"/>
        <v>0</v>
      </c>
      <c r="FE177" s="139">
        <f t="shared" si="187"/>
        <v>0</v>
      </c>
      <c r="FF177" s="139">
        <f t="shared" si="188"/>
        <v>0</v>
      </c>
      <c r="FG177" s="139">
        <f t="shared" si="189"/>
        <v>0</v>
      </c>
      <c r="FH177" s="139">
        <f t="shared" si="190"/>
        <v>0</v>
      </c>
      <c r="FI177" s="139">
        <f t="shared" si="191"/>
        <v>0</v>
      </c>
      <c r="FJ177" s="139">
        <f t="shared" si="192"/>
        <v>0</v>
      </c>
      <c r="FK177" s="139">
        <f t="shared" si="193"/>
        <v>0</v>
      </c>
      <c r="FL177" s="139">
        <f t="shared" si="194"/>
        <v>0</v>
      </c>
      <c r="FM177" s="139">
        <f t="shared" si="195"/>
        <v>0</v>
      </c>
      <c r="FN177" s="139">
        <f t="shared" si="196"/>
        <v>0</v>
      </c>
      <c r="FO177" s="139">
        <f t="shared" si="197"/>
        <v>0</v>
      </c>
      <c r="FP177" s="139">
        <f t="shared" si="198"/>
        <v>0</v>
      </c>
      <c r="FQ177" s="139">
        <f t="shared" si="199"/>
        <v>0</v>
      </c>
      <c r="FR177" s="139">
        <f t="shared" si="200"/>
        <v>0</v>
      </c>
      <c r="FS177" s="139">
        <f t="shared" si="201"/>
        <v>0</v>
      </c>
      <c r="FT177" s="139">
        <f t="shared" si="202"/>
        <v>0</v>
      </c>
      <c r="FU177" s="148">
        <f t="shared" si="203"/>
        <v>0.59072078544061302</v>
      </c>
      <c r="FV177" s="149"/>
      <c r="FY177" s="211">
        <v>172</v>
      </c>
      <c r="FZ177">
        <v>11.67553511151662</v>
      </c>
      <c r="GA177">
        <v>53.275683361027838</v>
      </c>
      <c r="GB177">
        <v>60.575218358073592</v>
      </c>
      <c r="GC177">
        <v>33.08253927625028</v>
      </c>
      <c r="GD177">
        <v>19.236662738993189</v>
      </c>
      <c r="GE177">
        <v>45.362626240887678</v>
      </c>
      <c r="GF177">
        <v>69.988227955209879</v>
      </c>
      <c r="GG177">
        <v>46.006226744303589</v>
      </c>
      <c r="GH177">
        <v>24.203159226171913</v>
      </c>
      <c r="GI177">
        <v>46.851925576694228</v>
      </c>
      <c r="GJ177"/>
      <c r="GK177"/>
      <c r="GL177"/>
      <c r="GM177"/>
    </row>
    <row r="178" spans="1:195" s="7" customFormat="1">
      <c r="A178" s="128"/>
      <c r="B178" s="76">
        <f ca="1">IF(C178="", "", RAND())</f>
        <v>0.8162991560845172</v>
      </c>
      <c r="C178">
        <v>9</v>
      </c>
      <c r="D178">
        <v>39987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 s="2"/>
      <c r="AK178" s="80"/>
      <c r="AL178" s="74">
        <v>3.0028000000000028</v>
      </c>
      <c r="AM178" s="43">
        <v>162</v>
      </c>
      <c r="AN178">
        <v>274.90940673482123</v>
      </c>
      <c r="AO178">
        <v>109.35930834906837</v>
      </c>
      <c r="AP178">
        <v>799.81945550850719</v>
      </c>
      <c r="AQ178">
        <v>575.07771578878453</v>
      </c>
      <c r="AR178">
        <v>97.280816444447538</v>
      </c>
      <c r="AS178">
        <v>798.61847958527028</v>
      </c>
      <c r="AT178">
        <v>52.578304532729469</v>
      </c>
      <c r="AU178">
        <v>101.74171691706567</v>
      </c>
      <c r="AV178"/>
      <c r="AW178"/>
      <c r="AX178" s="128"/>
      <c r="AY178" s="76">
        <f t="shared" ca="1" si="169"/>
        <v>0.90186607822459752</v>
      </c>
      <c r="AZ178">
        <v>1</v>
      </c>
      <c r="BA178" s="129">
        <f>IF(AZ178="", "",$C$13)</f>
        <v>39987</v>
      </c>
      <c r="BB178">
        <v>0</v>
      </c>
      <c r="BC178">
        <v>0</v>
      </c>
      <c r="BD178">
        <v>0</v>
      </c>
      <c r="BE178">
        <v>0</v>
      </c>
      <c r="BF178">
        <v>0</v>
      </c>
      <c r="BG178">
        <v>0</v>
      </c>
      <c r="BH178">
        <v>0</v>
      </c>
      <c r="BI178">
        <v>0</v>
      </c>
      <c r="BJ178">
        <v>0</v>
      </c>
      <c r="BK178">
        <v>0</v>
      </c>
      <c r="BL178">
        <v>0</v>
      </c>
      <c r="BM178">
        <v>0</v>
      </c>
      <c r="BN178">
        <v>0</v>
      </c>
      <c r="BO178">
        <v>0</v>
      </c>
      <c r="BP178">
        <v>0</v>
      </c>
      <c r="BQ178">
        <v>0</v>
      </c>
      <c r="BR178">
        <v>0</v>
      </c>
      <c r="BS178">
        <v>0</v>
      </c>
      <c r="BT178">
        <v>0</v>
      </c>
      <c r="BU178">
        <v>0</v>
      </c>
      <c r="BV178">
        <v>0</v>
      </c>
      <c r="BW178">
        <v>0</v>
      </c>
      <c r="BX178">
        <v>0</v>
      </c>
      <c r="BY178">
        <v>0</v>
      </c>
      <c r="BZ178">
        <v>0</v>
      </c>
      <c r="CA178">
        <v>0</v>
      </c>
      <c r="CB178">
        <v>0</v>
      </c>
      <c r="CC178">
        <v>0</v>
      </c>
      <c r="CD178">
        <v>0</v>
      </c>
      <c r="CE178">
        <v>0</v>
      </c>
      <c r="CF178">
        <v>0</v>
      </c>
      <c r="CG178" s="147"/>
      <c r="CH178" s="176"/>
      <c r="CJ178" s="128"/>
      <c r="CK178" s="76">
        <f t="shared" ca="1" si="204"/>
        <v>0.73474755025737082</v>
      </c>
      <c r="CL178" s="179">
        <f t="shared" si="205"/>
        <v>1</v>
      </c>
      <c r="CM178" s="180">
        <f t="shared" si="206"/>
        <v>39987</v>
      </c>
      <c r="CN178">
        <v>0</v>
      </c>
      <c r="CO178">
        <v>0</v>
      </c>
      <c r="CP178">
        <v>0</v>
      </c>
      <c r="CQ178">
        <v>0</v>
      </c>
      <c r="CR178">
        <v>0</v>
      </c>
      <c r="CS178">
        <v>0</v>
      </c>
      <c r="CT178">
        <v>0</v>
      </c>
      <c r="CU178">
        <v>0</v>
      </c>
      <c r="CV178" s="160"/>
      <c r="CW178">
        <v>1</v>
      </c>
      <c r="CX178">
        <f>350/47</f>
        <v>7.4468085106382977</v>
      </c>
      <c r="CY178" s="160"/>
      <c r="CZ178" s="177">
        <f t="shared" si="207"/>
        <v>9.6000000000000002E-2</v>
      </c>
      <c r="DB178" s="128"/>
      <c r="DC178" s="76">
        <f t="shared" ca="1" si="170"/>
        <v>0.5829661372221786</v>
      </c>
      <c r="DD178">
        <f t="shared" si="208"/>
        <v>1</v>
      </c>
      <c r="DE178" s="129">
        <f t="shared" ref="DE178:DE187" si="244">IF((DD178)="", "", $C$13)</f>
        <v>39987</v>
      </c>
      <c r="DF178" s="161">
        <f t="shared" si="209"/>
        <v>0</v>
      </c>
      <c r="DG178" s="161">
        <f t="shared" si="210"/>
        <v>0</v>
      </c>
      <c r="DH178" s="161">
        <f t="shared" si="211"/>
        <v>0</v>
      </c>
      <c r="DI178" s="161">
        <f t="shared" si="212"/>
        <v>0</v>
      </c>
      <c r="DJ178" s="161">
        <f t="shared" si="213"/>
        <v>0</v>
      </c>
      <c r="DK178" s="161">
        <f t="shared" si="214"/>
        <v>0</v>
      </c>
      <c r="DL178" s="161">
        <f t="shared" si="215"/>
        <v>0</v>
      </c>
      <c r="DM178" s="161">
        <f t="shared" si="216"/>
        <v>0</v>
      </c>
      <c r="DN178" s="161">
        <f t="shared" si="217"/>
        <v>0</v>
      </c>
      <c r="DO178" s="161">
        <f t="shared" si="218"/>
        <v>0</v>
      </c>
      <c r="DP178" s="161">
        <f t="shared" si="219"/>
        <v>0</v>
      </c>
      <c r="DQ178" s="161">
        <f t="shared" si="220"/>
        <v>0</v>
      </c>
      <c r="DR178" s="161">
        <f t="shared" si="221"/>
        <v>0</v>
      </c>
      <c r="DS178" s="161">
        <f t="shared" si="222"/>
        <v>0</v>
      </c>
      <c r="DT178" s="161">
        <f t="shared" si="223"/>
        <v>0</v>
      </c>
      <c r="DU178" s="161">
        <f t="shared" si="224"/>
        <v>0</v>
      </c>
      <c r="DV178" s="161">
        <f t="shared" si="225"/>
        <v>0</v>
      </c>
      <c r="DW178" s="161">
        <f t="shared" si="226"/>
        <v>0</v>
      </c>
      <c r="DX178" s="161">
        <f t="shared" si="227"/>
        <v>0</v>
      </c>
      <c r="DY178" s="161">
        <f t="shared" si="228"/>
        <v>0</v>
      </c>
      <c r="DZ178" s="161">
        <f t="shared" si="229"/>
        <v>0</v>
      </c>
      <c r="EA178" s="161">
        <f t="shared" si="230"/>
        <v>0</v>
      </c>
      <c r="EB178" s="161">
        <f t="shared" si="231"/>
        <v>0</v>
      </c>
      <c r="EC178" s="161">
        <f t="shared" si="232"/>
        <v>0</v>
      </c>
      <c r="ED178" s="161">
        <f t="shared" si="233"/>
        <v>0</v>
      </c>
      <c r="EE178" s="161">
        <f t="shared" si="234"/>
        <v>0</v>
      </c>
      <c r="EF178" s="161">
        <f t="shared" si="235"/>
        <v>0</v>
      </c>
      <c r="EG178" s="161">
        <f t="shared" si="236"/>
        <v>0</v>
      </c>
      <c r="EH178" s="161">
        <f t="shared" si="237"/>
        <v>0</v>
      </c>
      <c r="EI178" s="161">
        <f t="shared" si="238"/>
        <v>0</v>
      </c>
      <c r="EJ178" s="161">
        <f t="shared" si="239"/>
        <v>0</v>
      </c>
      <c r="EK178" s="147">
        <f t="shared" si="171"/>
        <v>0</v>
      </c>
      <c r="EL178" s="149"/>
      <c r="EN178" s="146"/>
      <c r="EO178" s="146"/>
      <c r="EP178" s="139">
        <f t="shared" si="172"/>
        <v>0</v>
      </c>
      <c r="EQ178" s="139">
        <f t="shared" si="173"/>
        <v>0</v>
      </c>
      <c r="ER178" s="139">
        <f t="shared" si="174"/>
        <v>0</v>
      </c>
      <c r="ES178" s="139">
        <f t="shared" si="175"/>
        <v>0</v>
      </c>
      <c r="ET178" s="139">
        <f t="shared" si="176"/>
        <v>0</v>
      </c>
      <c r="EU178" s="139">
        <f t="shared" si="177"/>
        <v>0</v>
      </c>
      <c r="EV178" s="139">
        <f t="shared" si="178"/>
        <v>0</v>
      </c>
      <c r="EW178" s="139">
        <f t="shared" si="179"/>
        <v>0</v>
      </c>
      <c r="EX178" s="139">
        <f t="shared" si="180"/>
        <v>0</v>
      </c>
      <c r="EY178" s="139">
        <f t="shared" si="181"/>
        <v>0</v>
      </c>
      <c r="EZ178" s="139">
        <f t="shared" si="182"/>
        <v>0</v>
      </c>
      <c r="FA178" s="139">
        <f t="shared" si="183"/>
        <v>0</v>
      </c>
      <c r="FB178" s="139">
        <f t="shared" si="184"/>
        <v>0</v>
      </c>
      <c r="FC178" s="139">
        <f t="shared" si="185"/>
        <v>0</v>
      </c>
      <c r="FD178" s="139">
        <f t="shared" si="186"/>
        <v>0</v>
      </c>
      <c r="FE178" s="139">
        <f t="shared" si="187"/>
        <v>0</v>
      </c>
      <c r="FF178" s="139">
        <f t="shared" si="188"/>
        <v>0</v>
      </c>
      <c r="FG178" s="139">
        <f t="shared" si="189"/>
        <v>0</v>
      </c>
      <c r="FH178" s="139">
        <f t="shared" si="190"/>
        <v>0</v>
      </c>
      <c r="FI178" s="139">
        <f t="shared" si="191"/>
        <v>0</v>
      </c>
      <c r="FJ178" s="139">
        <f t="shared" si="192"/>
        <v>0</v>
      </c>
      <c r="FK178" s="139">
        <f t="shared" si="193"/>
        <v>0</v>
      </c>
      <c r="FL178" s="139">
        <f t="shared" si="194"/>
        <v>0</v>
      </c>
      <c r="FM178" s="139">
        <f t="shared" si="195"/>
        <v>0</v>
      </c>
      <c r="FN178" s="139">
        <f t="shared" si="196"/>
        <v>0</v>
      </c>
      <c r="FO178" s="139">
        <f t="shared" si="197"/>
        <v>0</v>
      </c>
      <c r="FP178" s="139">
        <f t="shared" si="198"/>
        <v>0</v>
      </c>
      <c r="FQ178" s="139">
        <f t="shared" si="199"/>
        <v>0</v>
      </c>
      <c r="FR178" s="139">
        <f t="shared" si="200"/>
        <v>0</v>
      </c>
      <c r="FS178" s="139">
        <f t="shared" si="201"/>
        <v>0</v>
      </c>
      <c r="FT178" s="139">
        <f t="shared" si="202"/>
        <v>0</v>
      </c>
      <c r="FU178" s="148">
        <f t="shared" si="203"/>
        <v>0</v>
      </c>
      <c r="FV178" s="149"/>
      <c r="FY178" s="211">
        <v>173</v>
      </c>
      <c r="FZ178">
        <v>16.415119801676219</v>
      </c>
      <c r="GA178">
        <v>64.918094291252558</v>
      </c>
      <c r="GB178">
        <v>84.056305365672088</v>
      </c>
      <c r="GC178">
        <v>45.294400191171704</v>
      </c>
      <c r="GD178">
        <v>25.419346381730815</v>
      </c>
      <c r="GE178">
        <v>58.335372675021041</v>
      </c>
      <c r="GF178">
        <v>101.57323240330906</v>
      </c>
      <c r="GG178">
        <v>68.973313805354778</v>
      </c>
      <c r="GH178">
        <v>23.076447944972479</v>
      </c>
      <c r="GI178">
        <v>64.971306037929722</v>
      </c>
      <c r="GJ178"/>
      <c r="GK178"/>
      <c r="GL178"/>
      <c r="GM178"/>
    </row>
    <row r="179" spans="1:195" s="7" customFormat="1">
      <c r="A179" s="1"/>
      <c r="B179" s="76">
        <f ca="1">IF(C179="", "", RAND())</f>
        <v>0.35717933294545356</v>
      </c>
      <c r="C179">
        <v>5</v>
      </c>
      <c r="D179">
        <v>39987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 s="2"/>
      <c r="AK179" s="80"/>
      <c r="AL179" s="74">
        <v>3.0028000000000028</v>
      </c>
      <c r="AM179" s="43">
        <v>163</v>
      </c>
      <c r="AN179">
        <v>245.21179437142206</v>
      </c>
      <c r="AO179">
        <v>92.942413220560951</v>
      </c>
      <c r="AP179">
        <v>688.26882803425076</v>
      </c>
      <c r="AQ179">
        <v>517.36816934975423</v>
      </c>
      <c r="AR179">
        <v>85.127857682677799</v>
      </c>
      <c r="AS179">
        <v>682.08775581157181</v>
      </c>
      <c r="AT179">
        <v>45.871758307504471</v>
      </c>
      <c r="AU179">
        <v>96.111363447744949</v>
      </c>
      <c r="AV179"/>
      <c r="AW179"/>
      <c r="AX179" s="146"/>
      <c r="AY179" s="76">
        <f t="shared" ca="1" si="169"/>
        <v>0.74407167006171648</v>
      </c>
      <c r="AZ179">
        <v>2</v>
      </c>
      <c r="BA179" s="129">
        <f t="shared" ref="BA179:BA187" si="245">IF(AZ179="", "",$C$13)</f>
        <v>39987</v>
      </c>
      <c r="BB179">
        <v>0</v>
      </c>
      <c r="BC179">
        <v>0</v>
      </c>
      <c r="BD179">
        <v>0</v>
      </c>
      <c r="BE179">
        <v>0</v>
      </c>
      <c r="BF179">
        <v>0</v>
      </c>
      <c r="BG179">
        <v>0</v>
      </c>
      <c r="BH179">
        <v>0</v>
      </c>
      <c r="BI179">
        <v>0</v>
      </c>
      <c r="BJ179">
        <v>0</v>
      </c>
      <c r="BK179">
        <v>0</v>
      </c>
      <c r="BL179">
        <v>0</v>
      </c>
      <c r="BM179">
        <v>0</v>
      </c>
      <c r="BN179">
        <v>0</v>
      </c>
      <c r="BO179">
        <v>0</v>
      </c>
      <c r="BP179">
        <v>0</v>
      </c>
      <c r="BQ179">
        <v>0</v>
      </c>
      <c r="BR179">
        <v>0</v>
      </c>
      <c r="BS179">
        <v>0</v>
      </c>
      <c r="BT179">
        <v>0</v>
      </c>
      <c r="BU179">
        <v>0</v>
      </c>
      <c r="BV179">
        <v>0</v>
      </c>
      <c r="BW179">
        <v>0</v>
      </c>
      <c r="BX179">
        <v>0</v>
      </c>
      <c r="BY179">
        <v>0</v>
      </c>
      <c r="BZ179">
        <v>0</v>
      </c>
      <c r="CA179">
        <v>0</v>
      </c>
      <c r="CB179">
        <v>0</v>
      </c>
      <c r="CC179">
        <v>0</v>
      </c>
      <c r="CD179">
        <v>0</v>
      </c>
      <c r="CE179">
        <v>0</v>
      </c>
      <c r="CF179">
        <v>0</v>
      </c>
      <c r="CG179" s="147"/>
      <c r="CH179" s="176"/>
      <c r="CJ179" s="146"/>
      <c r="CK179" s="76">
        <f t="shared" ca="1" si="204"/>
        <v>0.45045640409765264</v>
      </c>
      <c r="CL179" s="179">
        <f t="shared" si="205"/>
        <v>2</v>
      </c>
      <c r="CM179" s="180">
        <f t="shared" si="206"/>
        <v>39987</v>
      </c>
      <c r="CN179">
        <v>0</v>
      </c>
      <c r="CO179">
        <v>0</v>
      </c>
      <c r="CP179">
        <v>0</v>
      </c>
      <c r="CQ179">
        <v>0</v>
      </c>
      <c r="CR179">
        <v>0</v>
      </c>
      <c r="CS179">
        <v>0</v>
      </c>
      <c r="CT179">
        <v>0</v>
      </c>
      <c r="CU179">
        <v>0</v>
      </c>
      <c r="CV179" s="160"/>
      <c r="CW179">
        <v>1</v>
      </c>
      <c r="CX179">
        <f>355/64</f>
        <v>5.546875</v>
      </c>
      <c r="CY179" s="160"/>
      <c r="CZ179" s="177">
        <f t="shared" si="207"/>
        <v>9.6000000000000002E-2</v>
      </c>
      <c r="DB179" s="146"/>
      <c r="DC179" s="76">
        <f t="shared" ca="1" si="170"/>
        <v>0.24815202990858887</v>
      </c>
      <c r="DD179">
        <f t="shared" si="208"/>
        <v>2</v>
      </c>
      <c r="DE179" s="129">
        <f t="shared" si="244"/>
        <v>39987</v>
      </c>
      <c r="DF179" s="161">
        <f t="shared" si="209"/>
        <v>0</v>
      </c>
      <c r="DG179" s="161">
        <f t="shared" si="210"/>
        <v>0</v>
      </c>
      <c r="DH179" s="161">
        <f t="shared" si="211"/>
        <v>0</v>
      </c>
      <c r="DI179" s="161">
        <f t="shared" si="212"/>
        <v>0</v>
      </c>
      <c r="DJ179" s="161">
        <f t="shared" si="213"/>
        <v>0</v>
      </c>
      <c r="DK179" s="161">
        <f t="shared" si="214"/>
        <v>0</v>
      </c>
      <c r="DL179" s="161">
        <f t="shared" si="215"/>
        <v>0</v>
      </c>
      <c r="DM179" s="161">
        <f t="shared" si="216"/>
        <v>0</v>
      </c>
      <c r="DN179" s="161">
        <f t="shared" si="217"/>
        <v>0</v>
      </c>
      <c r="DO179" s="161">
        <f t="shared" si="218"/>
        <v>0</v>
      </c>
      <c r="DP179" s="161">
        <f t="shared" si="219"/>
        <v>0</v>
      </c>
      <c r="DQ179" s="161">
        <f t="shared" si="220"/>
        <v>0</v>
      </c>
      <c r="DR179" s="161">
        <f t="shared" si="221"/>
        <v>0</v>
      </c>
      <c r="DS179" s="161">
        <f t="shared" si="222"/>
        <v>0</v>
      </c>
      <c r="DT179" s="161">
        <f t="shared" si="223"/>
        <v>0</v>
      </c>
      <c r="DU179" s="161">
        <f t="shared" si="224"/>
        <v>0</v>
      </c>
      <c r="DV179" s="161">
        <f t="shared" si="225"/>
        <v>0</v>
      </c>
      <c r="DW179" s="161">
        <f t="shared" si="226"/>
        <v>0</v>
      </c>
      <c r="DX179" s="161">
        <f t="shared" si="227"/>
        <v>0</v>
      </c>
      <c r="DY179" s="161">
        <f t="shared" si="228"/>
        <v>0</v>
      </c>
      <c r="DZ179" s="161">
        <f t="shared" si="229"/>
        <v>0</v>
      </c>
      <c r="EA179" s="161">
        <f t="shared" si="230"/>
        <v>0</v>
      </c>
      <c r="EB179" s="161">
        <f t="shared" si="231"/>
        <v>0</v>
      </c>
      <c r="EC179" s="161">
        <f t="shared" si="232"/>
        <v>0</v>
      </c>
      <c r="ED179" s="161">
        <f t="shared" si="233"/>
        <v>0</v>
      </c>
      <c r="EE179" s="161">
        <f t="shared" si="234"/>
        <v>0</v>
      </c>
      <c r="EF179" s="161">
        <f t="shared" si="235"/>
        <v>0</v>
      </c>
      <c r="EG179" s="161">
        <f t="shared" si="236"/>
        <v>0</v>
      </c>
      <c r="EH179" s="161">
        <f t="shared" si="237"/>
        <v>0</v>
      </c>
      <c r="EI179" s="161">
        <f t="shared" si="238"/>
        <v>0</v>
      </c>
      <c r="EJ179" s="161">
        <f t="shared" si="239"/>
        <v>0</v>
      </c>
      <c r="EK179" s="147">
        <f t="shared" si="171"/>
        <v>0</v>
      </c>
      <c r="EL179" s="149"/>
      <c r="EN179" s="146"/>
      <c r="EO179" s="146"/>
      <c r="EP179" s="139">
        <f t="shared" si="172"/>
        <v>0</v>
      </c>
      <c r="EQ179" s="139">
        <f t="shared" si="173"/>
        <v>0</v>
      </c>
      <c r="ER179" s="139">
        <f t="shared" si="174"/>
        <v>0</v>
      </c>
      <c r="ES179" s="139">
        <f t="shared" si="175"/>
        <v>0</v>
      </c>
      <c r="ET179" s="139">
        <f t="shared" si="176"/>
        <v>0</v>
      </c>
      <c r="EU179" s="139">
        <f t="shared" si="177"/>
        <v>0</v>
      </c>
      <c r="EV179" s="139">
        <f t="shared" si="178"/>
        <v>0</v>
      </c>
      <c r="EW179" s="139">
        <f t="shared" si="179"/>
        <v>0</v>
      </c>
      <c r="EX179" s="139">
        <f t="shared" si="180"/>
        <v>0</v>
      </c>
      <c r="EY179" s="139">
        <f t="shared" si="181"/>
        <v>0</v>
      </c>
      <c r="EZ179" s="139">
        <f t="shared" si="182"/>
        <v>0</v>
      </c>
      <c r="FA179" s="139">
        <f t="shared" si="183"/>
        <v>0</v>
      </c>
      <c r="FB179" s="139">
        <f t="shared" si="184"/>
        <v>0</v>
      </c>
      <c r="FC179" s="139">
        <f t="shared" si="185"/>
        <v>0</v>
      </c>
      <c r="FD179" s="139">
        <f t="shared" si="186"/>
        <v>0</v>
      </c>
      <c r="FE179" s="139">
        <f t="shared" si="187"/>
        <v>0</v>
      </c>
      <c r="FF179" s="139">
        <f t="shared" si="188"/>
        <v>0</v>
      </c>
      <c r="FG179" s="139">
        <f t="shared" si="189"/>
        <v>0</v>
      </c>
      <c r="FH179" s="139">
        <f t="shared" si="190"/>
        <v>0</v>
      </c>
      <c r="FI179" s="139">
        <f t="shared" si="191"/>
        <v>0</v>
      </c>
      <c r="FJ179" s="139">
        <f t="shared" si="192"/>
        <v>0</v>
      </c>
      <c r="FK179" s="139">
        <f t="shared" si="193"/>
        <v>0</v>
      </c>
      <c r="FL179" s="139">
        <f t="shared" si="194"/>
        <v>0</v>
      </c>
      <c r="FM179" s="139">
        <f t="shared" si="195"/>
        <v>0</v>
      </c>
      <c r="FN179" s="139">
        <f t="shared" si="196"/>
        <v>0</v>
      </c>
      <c r="FO179" s="139">
        <f t="shared" si="197"/>
        <v>0</v>
      </c>
      <c r="FP179" s="139">
        <f t="shared" si="198"/>
        <v>0</v>
      </c>
      <c r="FQ179" s="139">
        <f t="shared" si="199"/>
        <v>0</v>
      </c>
      <c r="FR179" s="139">
        <f t="shared" si="200"/>
        <v>0</v>
      </c>
      <c r="FS179" s="139">
        <f t="shared" si="201"/>
        <v>0</v>
      </c>
      <c r="FT179" s="139">
        <f t="shared" si="202"/>
        <v>0</v>
      </c>
      <c r="FU179" s="148">
        <f t="shared" si="203"/>
        <v>0</v>
      </c>
      <c r="FV179" s="149"/>
      <c r="FY179" s="211">
        <v>174</v>
      </c>
      <c r="FZ179">
        <v>4.9068829999722814</v>
      </c>
      <c r="GA179">
        <v>45.902721804337865</v>
      </c>
      <c r="GB179">
        <v>98.285784311217711</v>
      </c>
      <c r="GC179">
        <v>55.276102845324928</v>
      </c>
      <c r="GD179">
        <v>20.703115604263076</v>
      </c>
      <c r="GE179">
        <v>52.78057733354018</v>
      </c>
      <c r="GF179">
        <v>70.421035406640357</v>
      </c>
      <c r="GG179">
        <v>40.30357910333209</v>
      </c>
      <c r="GH179">
        <v>29.944878385446977</v>
      </c>
      <c r="GI179">
        <v>57.10104562156625</v>
      </c>
      <c r="GJ179"/>
      <c r="GK179"/>
      <c r="GL179"/>
      <c r="GM179"/>
    </row>
    <row r="180" spans="1:195" s="7" customFormat="1">
      <c r="A180" s="1"/>
      <c r="B180" s="76">
        <f ca="1">IF(C180="", "", RAND())</f>
        <v>0.97597575077364729</v>
      </c>
      <c r="C180">
        <v>4</v>
      </c>
      <c r="D180">
        <v>39987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 s="2"/>
      <c r="AK180" s="80"/>
      <c r="AL180" s="74">
        <v>3.0028000000000028</v>
      </c>
      <c r="AM180" s="43">
        <v>164</v>
      </c>
      <c r="AN180">
        <v>232.47569266088567</v>
      </c>
      <c r="AO180">
        <v>81.838186580018856</v>
      </c>
      <c r="AP180">
        <v>656.06266176858162</v>
      </c>
      <c r="AQ180">
        <v>480.86045882809611</v>
      </c>
      <c r="AR180">
        <v>74.631427614990628</v>
      </c>
      <c r="AS180">
        <v>578.25251179660768</v>
      </c>
      <c r="AT180">
        <v>41.214734849866893</v>
      </c>
      <c r="AU180">
        <v>76.860092925204668</v>
      </c>
      <c r="AV180"/>
      <c r="AW180"/>
      <c r="AX180" s="146"/>
      <c r="AY180" s="76">
        <f t="shared" ca="1" si="169"/>
        <v>0.98422342317906786</v>
      </c>
      <c r="AZ180">
        <v>3</v>
      </c>
      <c r="BA180" s="129">
        <f t="shared" si="245"/>
        <v>39987</v>
      </c>
      <c r="BB180">
        <v>0</v>
      </c>
      <c r="BC180">
        <v>0</v>
      </c>
      <c r="BD180">
        <v>1</v>
      </c>
      <c r="BE180">
        <v>0</v>
      </c>
      <c r="BF180">
        <v>1</v>
      </c>
      <c r="BG180">
        <v>0</v>
      </c>
      <c r="BH180">
        <v>0</v>
      </c>
      <c r="BI180">
        <v>0</v>
      </c>
      <c r="BJ180">
        <v>0</v>
      </c>
      <c r="BK180">
        <v>0</v>
      </c>
      <c r="BL180">
        <v>0</v>
      </c>
      <c r="BM180">
        <v>0</v>
      </c>
      <c r="BN180">
        <v>0</v>
      </c>
      <c r="BO180">
        <v>0</v>
      </c>
      <c r="BP180">
        <v>0</v>
      </c>
      <c r="BQ180">
        <v>0</v>
      </c>
      <c r="BR180">
        <v>0</v>
      </c>
      <c r="BS180">
        <v>0</v>
      </c>
      <c r="BT180">
        <v>0</v>
      </c>
      <c r="BU180">
        <v>0</v>
      </c>
      <c r="BV180">
        <v>0</v>
      </c>
      <c r="BW180">
        <v>0</v>
      </c>
      <c r="BX180">
        <v>0</v>
      </c>
      <c r="BY180">
        <v>0</v>
      </c>
      <c r="BZ180">
        <v>0</v>
      </c>
      <c r="CA180">
        <v>0</v>
      </c>
      <c r="CB180">
        <v>0</v>
      </c>
      <c r="CC180">
        <v>0</v>
      </c>
      <c r="CD180">
        <v>0</v>
      </c>
      <c r="CE180">
        <v>0</v>
      </c>
      <c r="CF180">
        <v>0</v>
      </c>
      <c r="CG180" s="147"/>
      <c r="CH180" s="176"/>
      <c r="CJ180" s="146"/>
      <c r="CK180" s="76">
        <f t="shared" ca="1" si="204"/>
        <v>0.37525404118148886</v>
      </c>
      <c r="CL180" s="179">
        <f t="shared" si="205"/>
        <v>3</v>
      </c>
      <c r="CM180" s="180">
        <f t="shared" si="206"/>
        <v>39987</v>
      </c>
      <c r="CN180">
        <v>0</v>
      </c>
      <c r="CO180">
        <v>0</v>
      </c>
      <c r="CP180">
        <v>0</v>
      </c>
      <c r="CQ180">
        <v>0</v>
      </c>
      <c r="CR180">
        <v>0</v>
      </c>
      <c r="CS180">
        <v>0</v>
      </c>
      <c r="CT180">
        <v>0</v>
      </c>
      <c r="CU180">
        <v>0</v>
      </c>
      <c r="CV180" s="160"/>
      <c r="CW180">
        <v>1</v>
      </c>
      <c r="CX180">
        <f>350/54</f>
        <v>6.4814814814814818</v>
      </c>
      <c r="CY180" s="160"/>
      <c r="CZ180" s="177">
        <f t="shared" si="207"/>
        <v>9.6000000000000002E-2</v>
      </c>
      <c r="DB180" s="146"/>
      <c r="DC180" s="76">
        <f t="shared" ca="1" si="170"/>
        <v>0.39447812397370829</v>
      </c>
      <c r="DD180">
        <f t="shared" si="208"/>
        <v>3</v>
      </c>
      <c r="DE180" s="129">
        <f t="shared" si="244"/>
        <v>39987</v>
      </c>
      <c r="DF180" s="161">
        <f t="shared" si="209"/>
        <v>0</v>
      </c>
      <c r="DG180" s="161">
        <f t="shared" si="210"/>
        <v>0</v>
      </c>
      <c r="DH180" s="161">
        <f t="shared" si="211"/>
        <v>10.416666666666666</v>
      </c>
      <c r="DI180" s="161">
        <f t="shared" si="212"/>
        <v>0</v>
      </c>
      <c r="DJ180" s="161">
        <f t="shared" si="213"/>
        <v>10.416666666666666</v>
      </c>
      <c r="DK180" s="161">
        <f t="shared" si="214"/>
        <v>0</v>
      </c>
      <c r="DL180" s="161">
        <f t="shared" si="215"/>
        <v>0</v>
      </c>
      <c r="DM180" s="161">
        <f t="shared" si="216"/>
        <v>0</v>
      </c>
      <c r="DN180" s="161">
        <f t="shared" si="217"/>
        <v>0</v>
      </c>
      <c r="DO180" s="161">
        <f t="shared" si="218"/>
        <v>0</v>
      </c>
      <c r="DP180" s="161">
        <f t="shared" si="219"/>
        <v>0</v>
      </c>
      <c r="DQ180" s="161">
        <f t="shared" si="220"/>
        <v>0</v>
      </c>
      <c r="DR180" s="161">
        <f t="shared" si="221"/>
        <v>0</v>
      </c>
      <c r="DS180" s="161">
        <f t="shared" si="222"/>
        <v>0</v>
      </c>
      <c r="DT180" s="161">
        <f t="shared" si="223"/>
        <v>0</v>
      </c>
      <c r="DU180" s="161">
        <f t="shared" si="224"/>
        <v>0</v>
      </c>
      <c r="DV180" s="161">
        <f t="shared" si="225"/>
        <v>0</v>
      </c>
      <c r="DW180" s="161">
        <f t="shared" si="226"/>
        <v>0</v>
      </c>
      <c r="DX180" s="161">
        <f t="shared" si="227"/>
        <v>0</v>
      </c>
      <c r="DY180" s="161">
        <f t="shared" si="228"/>
        <v>0</v>
      </c>
      <c r="DZ180" s="161">
        <f t="shared" si="229"/>
        <v>0</v>
      </c>
      <c r="EA180" s="161">
        <f t="shared" si="230"/>
        <v>0</v>
      </c>
      <c r="EB180" s="161">
        <f t="shared" si="231"/>
        <v>0</v>
      </c>
      <c r="EC180" s="161">
        <f t="shared" si="232"/>
        <v>0</v>
      </c>
      <c r="ED180" s="161">
        <f t="shared" si="233"/>
        <v>0</v>
      </c>
      <c r="EE180" s="161">
        <f t="shared" si="234"/>
        <v>0</v>
      </c>
      <c r="EF180" s="161">
        <f t="shared" si="235"/>
        <v>0</v>
      </c>
      <c r="EG180" s="161">
        <f t="shared" si="236"/>
        <v>0</v>
      </c>
      <c r="EH180" s="161">
        <f t="shared" si="237"/>
        <v>0</v>
      </c>
      <c r="EI180" s="161">
        <f t="shared" si="238"/>
        <v>0</v>
      </c>
      <c r="EJ180" s="161">
        <f t="shared" si="239"/>
        <v>0</v>
      </c>
      <c r="EK180" s="147">
        <f t="shared" si="171"/>
        <v>20.833333333333332</v>
      </c>
      <c r="EL180" s="149"/>
      <c r="EN180" s="146"/>
      <c r="EO180" s="146"/>
      <c r="EP180" s="139">
        <f t="shared" si="172"/>
        <v>0</v>
      </c>
      <c r="EQ180" s="139">
        <f t="shared" si="173"/>
        <v>0</v>
      </c>
      <c r="ER180" s="139">
        <f t="shared" si="174"/>
        <v>0.76881452219105906</v>
      </c>
      <c r="ES180" s="139">
        <f t="shared" si="175"/>
        <v>0</v>
      </c>
      <c r="ET180" s="139">
        <f t="shared" si="176"/>
        <v>5.7505800793582091</v>
      </c>
      <c r="EU180" s="139">
        <f t="shared" si="177"/>
        <v>0</v>
      </c>
      <c r="EV180" s="139">
        <f t="shared" si="178"/>
        <v>0</v>
      </c>
      <c r="EW180" s="139">
        <f t="shared" si="179"/>
        <v>0</v>
      </c>
      <c r="EX180" s="139">
        <f t="shared" si="180"/>
        <v>0</v>
      </c>
      <c r="EY180" s="139">
        <f t="shared" si="181"/>
        <v>0</v>
      </c>
      <c r="EZ180" s="139">
        <f t="shared" si="182"/>
        <v>0</v>
      </c>
      <c r="FA180" s="139">
        <f t="shared" si="183"/>
        <v>0</v>
      </c>
      <c r="FB180" s="139">
        <f t="shared" si="184"/>
        <v>0</v>
      </c>
      <c r="FC180" s="139">
        <f t="shared" si="185"/>
        <v>0</v>
      </c>
      <c r="FD180" s="139">
        <f t="shared" si="186"/>
        <v>0</v>
      </c>
      <c r="FE180" s="139">
        <f t="shared" si="187"/>
        <v>0</v>
      </c>
      <c r="FF180" s="139">
        <f t="shared" si="188"/>
        <v>0</v>
      </c>
      <c r="FG180" s="139">
        <f t="shared" si="189"/>
        <v>0</v>
      </c>
      <c r="FH180" s="139">
        <f t="shared" si="190"/>
        <v>0</v>
      </c>
      <c r="FI180" s="139">
        <f t="shared" si="191"/>
        <v>0</v>
      </c>
      <c r="FJ180" s="139">
        <f t="shared" si="192"/>
        <v>0</v>
      </c>
      <c r="FK180" s="139">
        <f t="shared" si="193"/>
        <v>0</v>
      </c>
      <c r="FL180" s="139">
        <f t="shared" si="194"/>
        <v>0</v>
      </c>
      <c r="FM180" s="139">
        <f t="shared" si="195"/>
        <v>0</v>
      </c>
      <c r="FN180" s="139">
        <f t="shared" si="196"/>
        <v>0</v>
      </c>
      <c r="FO180" s="139">
        <f t="shared" si="197"/>
        <v>0</v>
      </c>
      <c r="FP180" s="139">
        <f t="shared" si="198"/>
        <v>0</v>
      </c>
      <c r="FQ180" s="139">
        <f t="shared" si="199"/>
        <v>0</v>
      </c>
      <c r="FR180" s="139">
        <f t="shared" si="200"/>
        <v>0</v>
      </c>
      <c r="FS180" s="139">
        <f t="shared" si="201"/>
        <v>0</v>
      </c>
      <c r="FT180" s="139">
        <f t="shared" si="202"/>
        <v>0</v>
      </c>
      <c r="FU180" s="148">
        <f t="shared" si="203"/>
        <v>6.5193946015492683</v>
      </c>
      <c r="FV180" s="149"/>
      <c r="FY180" s="211">
        <v>175</v>
      </c>
      <c r="FZ180">
        <v>6.6741147573256745</v>
      </c>
      <c r="GA180">
        <v>46.086278631131563</v>
      </c>
      <c r="GB180">
        <v>102.20495407650171</v>
      </c>
      <c r="GC180">
        <v>57.785772911988623</v>
      </c>
      <c r="GD180">
        <v>23.385104219850344</v>
      </c>
      <c r="GE180">
        <v>58.768809011086574</v>
      </c>
      <c r="GF180">
        <v>104.17418880978381</v>
      </c>
      <c r="GG180">
        <v>53.705299650387992</v>
      </c>
      <c r="GH180">
        <v>10.515716530357974</v>
      </c>
      <c r="GI180">
        <v>66.167968574829345</v>
      </c>
      <c r="GJ180"/>
      <c r="GK180"/>
      <c r="GL180"/>
      <c r="GM180"/>
    </row>
    <row r="181" spans="1:195" s="7" customFormat="1">
      <c r="A181" s="1"/>
      <c r="B181" s="76">
        <f ca="1">IF(C181="", "", RAND())</f>
        <v>0.6285479618309866</v>
      </c>
      <c r="C181">
        <v>10</v>
      </c>
      <c r="D181">
        <v>39987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 s="2"/>
      <c r="AK181" s="80"/>
      <c r="AL181" s="74">
        <v>3.0028000000000028</v>
      </c>
      <c r="AM181" s="43">
        <v>165</v>
      </c>
      <c r="AN181">
        <v>282.36613430773241</v>
      </c>
      <c r="AO181">
        <v>115.28312817781264</v>
      </c>
      <c r="AP181">
        <v>894.6523586971349</v>
      </c>
      <c r="AQ181">
        <v>613.23048588256847</v>
      </c>
      <c r="AR181">
        <v>104.02480905690051</v>
      </c>
      <c r="AS181">
        <v>812.00197199457853</v>
      </c>
      <c r="AT181">
        <v>57.592451110921594</v>
      </c>
      <c r="AU181">
        <v>142.56181130451509</v>
      </c>
      <c r="AV181"/>
      <c r="AW181"/>
      <c r="AX181" s="146"/>
      <c r="AY181" s="76">
        <f t="shared" ca="1" si="169"/>
        <v>0.57767461156737809</v>
      </c>
      <c r="AZ181">
        <v>4</v>
      </c>
      <c r="BA181" s="129">
        <f t="shared" si="245"/>
        <v>39987</v>
      </c>
      <c r="BB181">
        <v>0</v>
      </c>
      <c r="BC181">
        <v>0</v>
      </c>
      <c r="BD181">
        <v>0</v>
      </c>
      <c r="BE181">
        <v>0</v>
      </c>
      <c r="BF181">
        <v>0</v>
      </c>
      <c r="BG181">
        <v>0</v>
      </c>
      <c r="BH181">
        <v>0</v>
      </c>
      <c r="BI181">
        <v>0</v>
      </c>
      <c r="BJ181">
        <v>0</v>
      </c>
      <c r="BK181">
        <v>0</v>
      </c>
      <c r="BL181">
        <v>0</v>
      </c>
      <c r="BM181">
        <v>0</v>
      </c>
      <c r="BN181">
        <v>0</v>
      </c>
      <c r="BO181">
        <v>0</v>
      </c>
      <c r="BP181">
        <v>0</v>
      </c>
      <c r="BQ181">
        <v>0</v>
      </c>
      <c r="BR181">
        <v>0</v>
      </c>
      <c r="BS181">
        <v>0</v>
      </c>
      <c r="BT181">
        <v>0</v>
      </c>
      <c r="BU181">
        <v>0</v>
      </c>
      <c r="BV181">
        <v>0</v>
      </c>
      <c r="BW181">
        <v>0</v>
      </c>
      <c r="BX181">
        <v>0</v>
      </c>
      <c r="BY181">
        <v>0</v>
      </c>
      <c r="BZ181">
        <v>0</v>
      </c>
      <c r="CA181">
        <v>0</v>
      </c>
      <c r="CB181">
        <v>0</v>
      </c>
      <c r="CC181">
        <v>0</v>
      </c>
      <c r="CD181">
        <v>0</v>
      </c>
      <c r="CE181">
        <v>0</v>
      </c>
      <c r="CF181">
        <v>0</v>
      </c>
      <c r="CG181" s="147"/>
      <c r="CH181" s="176"/>
      <c r="CJ181" s="146"/>
      <c r="CK181" s="76">
        <f t="shared" ca="1" si="204"/>
        <v>0.81083475559982099</v>
      </c>
      <c r="CL181" s="179">
        <f t="shared" si="205"/>
        <v>4</v>
      </c>
      <c r="CM181" s="180">
        <f t="shared" si="206"/>
        <v>39987</v>
      </c>
      <c r="CN181">
        <v>0</v>
      </c>
      <c r="CO181">
        <v>0</v>
      </c>
      <c r="CP181">
        <v>0</v>
      </c>
      <c r="CQ181">
        <v>0</v>
      </c>
      <c r="CR181">
        <v>0</v>
      </c>
      <c r="CS181">
        <v>0</v>
      </c>
      <c r="CT181">
        <v>0</v>
      </c>
      <c r="CU181">
        <v>0</v>
      </c>
      <c r="CV181" s="160"/>
      <c r="CW181">
        <v>1</v>
      </c>
      <c r="CX181">
        <f>350/41</f>
        <v>8.536585365853659</v>
      </c>
      <c r="CY181" s="160"/>
      <c r="CZ181" s="177">
        <f t="shared" si="207"/>
        <v>9.6000000000000002E-2</v>
      </c>
      <c r="DB181" s="146"/>
      <c r="DC181" s="76">
        <f t="shared" ca="1" si="170"/>
        <v>3.2859919274087712E-2</v>
      </c>
      <c r="DD181">
        <f t="shared" si="208"/>
        <v>4</v>
      </c>
      <c r="DE181" s="129">
        <f t="shared" si="244"/>
        <v>39987</v>
      </c>
      <c r="DF181" s="161">
        <f t="shared" si="209"/>
        <v>0</v>
      </c>
      <c r="DG181" s="161">
        <f t="shared" si="210"/>
        <v>0</v>
      </c>
      <c r="DH181" s="161">
        <f t="shared" si="211"/>
        <v>0</v>
      </c>
      <c r="DI181" s="161">
        <f t="shared" si="212"/>
        <v>0</v>
      </c>
      <c r="DJ181" s="161">
        <f t="shared" si="213"/>
        <v>0</v>
      </c>
      <c r="DK181" s="161">
        <f t="shared" si="214"/>
        <v>0</v>
      </c>
      <c r="DL181" s="161">
        <f t="shared" si="215"/>
        <v>0</v>
      </c>
      <c r="DM181" s="161">
        <f t="shared" si="216"/>
        <v>0</v>
      </c>
      <c r="DN181" s="161">
        <f t="shared" si="217"/>
        <v>0</v>
      </c>
      <c r="DO181" s="161">
        <f t="shared" si="218"/>
        <v>0</v>
      </c>
      <c r="DP181" s="161">
        <f t="shared" si="219"/>
        <v>0</v>
      </c>
      <c r="DQ181" s="161">
        <f t="shared" si="220"/>
        <v>0</v>
      </c>
      <c r="DR181" s="161">
        <f t="shared" si="221"/>
        <v>0</v>
      </c>
      <c r="DS181" s="161">
        <f t="shared" si="222"/>
        <v>0</v>
      </c>
      <c r="DT181" s="161">
        <f t="shared" si="223"/>
        <v>0</v>
      </c>
      <c r="DU181" s="161">
        <f t="shared" si="224"/>
        <v>0</v>
      </c>
      <c r="DV181" s="161">
        <f t="shared" si="225"/>
        <v>0</v>
      </c>
      <c r="DW181" s="161">
        <f t="shared" si="226"/>
        <v>0</v>
      </c>
      <c r="DX181" s="161">
        <f t="shared" si="227"/>
        <v>0</v>
      </c>
      <c r="DY181" s="161">
        <f t="shared" si="228"/>
        <v>0</v>
      </c>
      <c r="DZ181" s="161">
        <f t="shared" si="229"/>
        <v>0</v>
      </c>
      <c r="EA181" s="161">
        <f t="shared" si="230"/>
        <v>0</v>
      </c>
      <c r="EB181" s="161">
        <f t="shared" si="231"/>
        <v>0</v>
      </c>
      <c r="EC181" s="161">
        <f t="shared" si="232"/>
        <v>0</v>
      </c>
      <c r="ED181" s="161">
        <f t="shared" si="233"/>
        <v>0</v>
      </c>
      <c r="EE181" s="161">
        <f t="shared" si="234"/>
        <v>0</v>
      </c>
      <c r="EF181" s="161">
        <f t="shared" si="235"/>
        <v>0</v>
      </c>
      <c r="EG181" s="161">
        <f t="shared" si="236"/>
        <v>0</v>
      </c>
      <c r="EH181" s="161">
        <f t="shared" si="237"/>
        <v>0</v>
      </c>
      <c r="EI181" s="161">
        <f t="shared" si="238"/>
        <v>0</v>
      </c>
      <c r="EJ181" s="161">
        <f t="shared" si="239"/>
        <v>0</v>
      </c>
      <c r="EK181" s="147">
        <f t="shared" si="171"/>
        <v>0</v>
      </c>
      <c r="EL181" s="149"/>
      <c r="EN181" s="146"/>
      <c r="EO181" s="146"/>
      <c r="EP181" s="139">
        <f t="shared" si="172"/>
        <v>0</v>
      </c>
      <c r="EQ181" s="139">
        <f t="shared" si="173"/>
        <v>0</v>
      </c>
      <c r="ER181" s="139">
        <f t="shared" si="174"/>
        <v>0</v>
      </c>
      <c r="ES181" s="139">
        <f t="shared" si="175"/>
        <v>0</v>
      </c>
      <c r="ET181" s="139">
        <f t="shared" si="176"/>
        <v>0</v>
      </c>
      <c r="EU181" s="139">
        <f t="shared" si="177"/>
        <v>0</v>
      </c>
      <c r="EV181" s="139">
        <f t="shared" si="178"/>
        <v>0</v>
      </c>
      <c r="EW181" s="139">
        <f t="shared" si="179"/>
        <v>0</v>
      </c>
      <c r="EX181" s="139">
        <f t="shared" si="180"/>
        <v>0</v>
      </c>
      <c r="EY181" s="139">
        <f t="shared" si="181"/>
        <v>0</v>
      </c>
      <c r="EZ181" s="139">
        <f t="shared" si="182"/>
        <v>0</v>
      </c>
      <c r="FA181" s="139">
        <f t="shared" si="183"/>
        <v>0</v>
      </c>
      <c r="FB181" s="139">
        <f t="shared" si="184"/>
        <v>0</v>
      </c>
      <c r="FC181" s="139">
        <f t="shared" si="185"/>
        <v>0</v>
      </c>
      <c r="FD181" s="139">
        <f t="shared" si="186"/>
        <v>0</v>
      </c>
      <c r="FE181" s="139">
        <f t="shared" si="187"/>
        <v>0</v>
      </c>
      <c r="FF181" s="139">
        <f t="shared" si="188"/>
        <v>0</v>
      </c>
      <c r="FG181" s="139">
        <f t="shared" si="189"/>
        <v>0</v>
      </c>
      <c r="FH181" s="139">
        <f t="shared" si="190"/>
        <v>0</v>
      </c>
      <c r="FI181" s="139">
        <f t="shared" si="191"/>
        <v>0</v>
      </c>
      <c r="FJ181" s="139">
        <f t="shared" si="192"/>
        <v>0</v>
      </c>
      <c r="FK181" s="139">
        <f t="shared" si="193"/>
        <v>0</v>
      </c>
      <c r="FL181" s="139">
        <f t="shared" si="194"/>
        <v>0</v>
      </c>
      <c r="FM181" s="139">
        <f t="shared" si="195"/>
        <v>0</v>
      </c>
      <c r="FN181" s="139">
        <f t="shared" si="196"/>
        <v>0</v>
      </c>
      <c r="FO181" s="139">
        <f t="shared" si="197"/>
        <v>0</v>
      </c>
      <c r="FP181" s="139">
        <f t="shared" si="198"/>
        <v>0</v>
      </c>
      <c r="FQ181" s="139">
        <f t="shared" si="199"/>
        <v>0</v>
      </c>
      <c r="FR181" s="139">
        <f t="shared" si="200"/>
        <v>0</v>
      </c>
      <c r="FS181" s="139">
        <f t="shared" si="201"/>
        <v>0</v>
      </c>
      <c r="FT181" s="139">
        <f t="shared" si="202"/>
        <v>0</v>
      </c>
      <c r="FU181" s="148">
        <f t="shared" si="203"/>
        <v>0</v>
      </c>
      <c r="FV181" s="149"/>
      <c r="FY181" s="211">
        <v>176</v>
      </c>
      <c r="FZ181">
        <v>24.694640932557284</v>
      </c>
      <c r="GA181">
        <v>64.611388242550731</v>
      </c>
      <c r="GB181">
        <v>91.308651947751244</v>
      </c>
      <c r="GC181">
        <v>53.086021350441889</v>
      </c>
      <c r="GD181">
        <v>22.980146997520006</v>
      </c>
      <c r="GE181">
        <v>59.183389517870651</v>
      </c>
      <c r="GF181">
        <v>96.235538849473528</v>
      </c>
      <c r="GG181">
        <v>68.149942243075827</v>
      </c>
      <c r="GH181">
        <v>43.660658318136853</v>
      </c>
      <c r="GI181">
        <v>66.921470449532606</v>
      </c>
      <c r="GJ181"/>
      <c r="GK181"/>
      <c r="GL181"/>
      <c r="GM181"/>
    </row>
    <row r="182" spans="1:195" s="7" customFormat="1">
      <c r="A182" s="1"/>
      <c r="B182" s="76">
        <f ca="1">IF(C182="", "", RAND())</f>
        <v>0.1471844254310759</v>
      </c>
      <c r="C182">
        <v>1</v>
      </c>
      <c r="D182">
        <v>39987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 s="2"/>
      <c r="AK182" s="80"/>
      <c r="AL182" s="74"/>
      <c r="AM182" s="43">
        <v>166</v>
      </c>
      <c r="AN182">
        <v>219.87996726336732</v>
      </c>
      <c r="AO182">
        <v>82.049083012326264</v>
      </c>
      <c r="AP182">
        <v>564.13611953040436</v>
      </c>
      <c r="AQ182">
        <v>439.0721232156493</v>
      </c>
      <c r="AR182">
        <v>75.943185194566482</v>
      </c>
      <c r="AS182">
        <v>647.57778398982452</v>
      </c>
      <c r="AT182">
        <v>43.61090413585265</v>
      </c>
      <c r="AU182">
        <v>70.871563219300569</v>
      </c>
      <c r="AV182"/>
      <c r="AW182"/>
      <c r="AX182" s="146"/>
      <c r="AY182" s="76">
        <f t="shared" ca="1" si="169"/>
        <v>0.957489464332407</v>
      </c>
      <c r="AZ182">
        <v>5</v>
      </c>
      <c r="BA182" s="129">
        <f t="shared" si="245"/>
        <v>39987</v>
      </c>
      <c r="BB182">
        <v>0</v>
      </c>
      <c r="BC182">
        <v>0</v>
      </c>
      <c r="BD182">
        <v>0</v>
      </c>
      <c r="BE182">
        <v>0</v>
      </c>
      <c r="BF182">
        <v>0</v>
      </c>
      <c r="BG182">
        <v>0</v>
      </c>
      <c r="BH182">
        <v>0</v>
      </c>
      <c r="BI182">
        <v>0</v>
      </c>
      <c r="BJ182">
        <v>0</v>
      </c>
      <c r="BK182">
        <v>0</v>
      </c>
      <c r="BL182">
        <v>0</v>
      </c>
      <c r="BM182">
        <v>0</v>
      </c>
      <c r="BN182">
        <v>0</v>
      </c>
      <c r="BO182">
        <v>0</v>
      </c>
      <c r="BP182">
        <v>0</v>
      </c>
      <c r="BQ182">
        <v>0</v>
      </c>
      <c r="BR182">
        <v>0</v>
      </c>
      <c r="BS182">
        <v>0</v>
      </c>
      <c r="BT182">
        <v>0</v>
      </c>
      <c r="BU182">
        <v>0</v>
      </c>
      <c r="BV182">
        <v>0</v>
      </c>
      <c r="BW182">
        <v>0</v>
      </c>
      <c r="BX182">
        <v>0</v>
      </c>
      <c r="BY182">
        <v>0</v>
      </c>
      <c r="BZ182">
        <v>0</v>
      </c>
      <c r="CA182">
        <v>0</v>
      </c>
      <c r="CB182">
        <v>0</v>
      </c>
      <c r="CC182">
        <v>0</v>
      </c>
      <c r="CD182">
        <v>0</v>
      </c>
      <c r="CE182">
        <v>0</v>
      </c>
      <c r="CF182">
        <v>0</v>
      </c>
      <c r="CG182" s="147"/>
      <c r="CH182" s="176"/>
      <c r="CJ182" s="146"/>
      <c r="CK182" s="76">
        <f t="shared" ca="1" si="204"/>
        <v>0.41701619582209304</v>
      </c>
      <c r="CL182" s="179">
        <f t="shared" si="205"/>
        <v>5</v>
      </c>
      <c r="CM182" s="180">
        <f t="shared" si="206"/>
        <v>39987</v>
      </c>
      <c r="CN182">
        <v>0</v>
      </c>
      <c r="CO182">
        <v>0</v>
      </c>
      <c r="CP182">
        <v>0</v>
      </c>
      <c r="CQ182">
        <v>0</v>
      </c>
      <c r="CR182">
        <v>0</v>
      </c>
      <c r="CS182">
        <v>0</v>
      </c>
      <c r="CT182">
        <v>0</v>
      </c>
      <c r="CU182">
        <v>0</v>
      </c>
      <c r="CV182" s="160"/>
      <c r="CW182">
        <v>1</v>
      </c>
      <c r="CX182">
        <f>350/60</f>
        <v>5.833333333333333</v>
      </c>
      <c r="CY182" s="160"/>
      <c r="CZ182" s="177">
        <f t="shared" si="207"/>
        <v>9.6000000000000002E-2</v>
      </c>
      <c r="DB182" s="146"/>
      <c r="DC182" s="76">
        <f t="shared" ca="1" si="170"/>
        <v>0.85239991816182714</v>
      </c>
      <c r="DD182">
        <f t="shared" si="208"/>
        <v>5</v>
      </c>
      <c r="DE182" s="129">
        <f t="shared" si="244"/>
        <v>39987</v>
      </c>
      <c r="DF182" s="161">
        <f t="shared" si="209"/>
        <v>0</v>
      </c>
      <c r="DG182" s="161">
        <f t="shared" si="210"/>
        <v>0</v>
      </c>
      <c r="DH182" s="161">
        <f t="shared" si="211"/>
        <v>0</v>
      </c>
      <c r="DI182" s="161">
        <f t="shared" si="212"/>
        <v>0</v>
      </c>
      <c r="DJ182" s="161">
        <f t="shared" si="213"/>
        <v>0</v>
      </c>
      <c r="DK182" s="161">
        <f t="shared" si="214"/>
        <v>0</v>
      </c>
      <c r="DL182" s="161">
        <f t="shared" si="215"/>
        <v>0</v>
      </c>
      <c r="DM182" s="161">
        <f t="shared" si="216"/>
        <v>0</v>
      </c>
      <c r="DN182" s="161">
        <f t="shared" si="217"/>
        <v>0</v>
      </c>
      <c r="DO182" s="161">
        <f t="shared" si="218"/>
        <v>0</v>
      </c>
      <c r="DP182" s="161">
        <f t="shared" si="219"/>
        <v>0</v>
      </c>
      <c r="DQ182" s="161">
        <f t="shared" si="220"/>
        <v>0</v>
      </c>
      <c r="DR182" s="161">
        <f t="shared" si="221"/>
        <v>0</v>
      </c>
      <c r="DS182" s="161">
        <f t="shared" si="222"/>
        <v>0</v>
      </c>
      <c r="DT182" s="161">
        <f t="shared" si="223"/>
        <v>0</v>
      </c>
      <c r="DU182" s="161">
        <f t="shared" si="224"/>
        <v>0</v>
      </c>
      <c r="DV182" s="161">
        <f t="shared" si="225"/>
        <v>0</v>
      </c>
      <c r="DW182" s="161">
        <f t="shared" si="226"/>
        <v>0</v>
      </c>
      <c r="DX182" s="161">
        <f t="shared" si="227"/>
        <v>0</v>
      </c>
      <c r="DY182" s="161">
        <f t="shared" si="228"/>
        <v>0</v>
      </c>
      <c r="DZ182" s="161">
        <f t="shared" si="229"/>
        <v>0</v>
      </c>
      <c r="EA182" s="161">
        <f t="shared" si="230"/>
        <v>0</v>
      </c>
      <c r="EB182" s="161">
        <f t="shared" si="231"/>
        <v>0</v>
      </c>
      <c r="EC182" s="161">
        <f t="shared" si="232"/>
        <v>0</v>
      </c>
      <c r="ED182" s="161">
        <f t="shared" si="233"/>
        <v>0</v>
      </c>
      <c r="EE182" s="161">
        <f t="shared" si="234"/>
        <v>0</v>
      </c>
      <c r="EF182" s="161">
        <f t="shared" si="235"/>
        <v>0</v>
      </c>
      <c r="EG182" s="161">
        <f t="shared" si="236"/>
        <v>0</v>
      </c>
      <c r="EH182" s="161">
        <f t="shared" si="237"/>
        <v>0</v>
      </c>
      <c r="EI182" s="161">
        <f t="shared" si="238"/>
        <v>0</v>
      </c>
      <c r="EJ182" s="161">
        <f t="shared" si="239"/>
        <v>0</v>
      </c>
      <c r="EK182" s="147">
        <f t="shared" si="171"/>
        <v>0</v>
      </c>
      <c r="EL182" s="149"/>
      <c r="EN182" s="146"/>
      <c r="EO182" s="146"/>
      <c r="EP182" s="139">
        <f t="shared" si="172"/>
        <v>0</v>
      </c>
      <c r="EQ182" s="139">
        <f t="shared" si="173"/>
        <v>0</v>
      </c>
      <c r="ER182" s="139">
        <f t="shared" si="174"/>
        <v>0</v>
      </c>
      <c r="ES182" s="139">
        <f t="shared" si="175"/>
        <v>0</v>
      </c>
      <c r="ET182" s="139">
        <f t="shared" si="176"/>
        <v>0</v>
      </c>
      <c r="EU182" s="139">
        <f t="shared" si="177"/>
        <v>0</v>
      </c>
      <c r="EV182" s="139">
        <f t="shared" si="178"/>
        <v>0</v>
      </c>
      <c r="EW182" s="139">
        <f t="shared" si="179"/>
        <v>0</v>
      </c>
      <c r="EX182" s="139">
        <f t="shared" si="180"/>
        <v>0</v>
      </c>
      <c r="EY182" s="139">
        <f t="shared" si="181"/>
        <v>0</v>
      </c>
      <c r="EZ182" s="139">
        <f t="shared" si="182"/>
        <v>0</v>
      </c>
      <c r="FA182" s="139">
        <f t="shared" si="183"/>
        <v>0</v>
      </c>
      <c r="FB182" s="139">
        <f t="shared" si="184"/>
        <v>0</v>
      </c>
      <c r="FC182" s="139">
        <f t="shared" si="185"/>
        <v>0</v>
      </c>
      <c r="FD182" s="139">
        <f t="shared" si="186"/>
        <v>0</v>
      </c>
      <c r="FE182" s="139">
        <f t="shared" si="187"/>
        <v>0</v>
      </c>
      <c r="FF182" s="139">
        <f t="shared" si="188"/>
        <v>0</v>
      </c>
      <c r="FG182" s="139">
        <f t="shared" si="189"/>
        <v>0</v>
      </c>
      <c r="FH182" s="139">
        <f t="shared" si="190"/>
        <v>0</v>
      </c>
      <c r="FI182" s="139">
        <f t="shared" si="191"/>
        <v>0</v>
      </c>
      <c r="FJ182" s="139">
        <f t="shared" si="192"/>
        <v>0</v>
      </c>
      <c r="FK182" s="139">
        <f t="shared" si="193"/>
        <v>0</v>
      </c>
      <c r="FL182" s="139">
        <f t="shared" si="194"/>
        <v>0</v>
      </c>
      <c r="FM182" s="139">
        <f t="shared" si="195"/>
        <v>0</v>
      </c>
      <c r="FN182" s="139">
        <f t="shared" si="196"/>
        <v>0</v>
      </c>
      <c r="FO182" s="139">
        <f t="shared" si="197"/>
        <v>0</v>
      </c>
      <c r="FP182" s="139">
        <f t="shared" si="198"/>
        <v>0</v>
      </c>
      <c r="FQ182" s="139">
        <f t="shared" si="199"/>
        <v>0</v>
      </c>
      <c r="FR182" s="139">
        <f t="shared" si="200"/>
        <v>0</v>
      </c>
      <c r="FS182" s="139">
        <f t="shared" si="201"/>
        <v>0</v>
      </c>
      <c r="FT182" s="139">
        <f t="shared" si="202"/>
        <v>0</v>
      </c>
      <c r="FU182" s="148">
        <f t="shared" si="203"/>
        <v>0</v>
      </c>
      <c r="FV182" s="149"/>
      <c r="FY182" s="211">
        <v>177</v>
      </c>
      <c r="FZ182">
        <v>23.022774254025379</v>
      </c>
      <c r="GA182">
        <v>72.522433124901298</v>
      </c>
      <c r="GB182">
        <v>105.07704795016899</v>
      </c>
      <c r="GC182">
        <v>53.820987301765363</v>
      </c>
      <c r="GD182">
        <v>27.676164304962679</v>
      </c>
      <c r="GE182">
        <v>69.538943678901632</v>
      </c>
      <c r="GF182">
        <v>103.92798557745533</v>
      </c>
      <c r="GG182">
        <v>73.137383038023316</v>
      </c>
      <c r="GH182">
        <v>30.189258533304606</v>
      </c>
      <c r="GI182">
        <v>74.937779987630236</v>
      </c>
      <c r="GJ182"/>
      <c r="GK182"/>
      <c r="GL182"/>
      <c r="GM182"/>
    </row>
    <row r="183" spans="1:195" s="7" customFormat="1">
      <c r="A183" s="1"/>
      <c r="B183" s="76">
        <f ca="1">IF(C183="", "", RAND())</f>
        <v>0.14528428698597384</v>
      </c>
      <c r="C183">
        <v>2</v>
      </c>
      <c r="D183">
        <v>39987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 s="2"/>
      <c r="AK183" s="80"/>
      <c r="AL183" s="74"/>
      <c r="AM183" s="43">
        <v>167</v>
      </c>
      <c r="AN183">
        <v>233.49671575885546</v>
      </c>
      <c r="AO183">
        <v>81.579035935498467</v>
      </c>
      <c r="AP183">
        <v>566.35767730758027</v>
      </c>
      <c r="AQ183">
        <v>424.55610796592606</v>
      </c>
      <c r="AR183">
        <v>72.754962577714053</v>
      </c>
      <c r="AS183">
        <v>591.14157480865799</v>
      </c>
      <c r="AT183">
        <v>39.735721112223281</v>
      </c>
      <c r="AU183">
        <v>60.622430582721272</v>
      </c>
      <c r="AV183"/>
      <c r="AW183"/>
      <c r="AX183" s="146"/>
      <c r="AY183" s="76">
        <f t="shared" ca="1" si="169"/>
        <v>0.22396437544341996</v>
      </c>
      <c r="AZ183">
        <v>6</v>
      </c>
      <c r="BA183" s="129">
        <f t="shared" si="245"/>
        <v>39987</v>
      </c>
      <c r="BB183">
        <v>0</v>
      </c>
      <c r="BC183">
        <v>0</v>
      </c>
      <c r="BD183">
        <v>0</v>
      </c>
      <c r="BE183">
        <v>0</v>
      </c>
      <c r="BF183">
        <v>0</v>
      </c>
      <c r="BG183">
        <v>0</v>
      </c>
      <c r="BH183">
        <v>0</v>
      </c>
      <c r="BI183">
        <v>0</v>
      </c>
      <c r="BJ183">
        <v>0</v>
      </c>
      <c r="BK183">
        <v>0</v>
      </c>
      <c r="BL183">
        <v>0</v>
      </c>
      <c r="BM183">
        <v>0</v>
      </c>
      <c r="BN183">
        <v>0</v>
      </c>
      <c r="BO183">
        <v>0</v>
      </c>
      <c r="BP183">
        <v>0</v>
      </c>
      <c r="BQ183">
        <v>0</v>
      </c>
      <c r="BR183">
        <v>0</v>
      </c>
      <c r="BS183">
        <v>0</v>
      </c>
      <c r="BT183">
        <v>0</v>
      </c>
      <c r="BU183">
        <v>0</v>
      </c>
      <c r="BV183">
        <v>0</v>
      </c>
      <c r="BW183">
        <v>0</v>
      </c>
      <c r="BX183">
        <v>0</v>
      </c>
      <c r="BY183">
        <v>0</v>
      </c>
      <c r="BZ183">
        <v>0</v>
      </c>
      <c r="CA183">
        <v>0</v>
      </c>
      <c r="CB183">
        <v>0</v>
      </c>
      <c r="CC183">
        <v>0</v>
      </c>
      <c r="CD183">
        <v>0</v>
      </c>
      <c r="CE183">
        <v>0</v>
      </c>
      <c r="CF183">
        <v>0</v>
      </c>
      <c r="CG183" s="147"/>
      <c r="CH183" s="176"/>
      <c r="CJ183" s="146"/>
      <c r="CK183" s="76">
        <f t="shared" ca="1" si="204"/>
        <v>2.1044853258427088E-2</v>
      </c>
      <c r="CL183" s="179">
        <f t="shared" si="205"/>
        <v>6</v>
      </c>
      <c r="CM183" s="180">
        <f t="shared" si="206"/>
        <v>39987</v>
      </c>
      <c r="CN183">
        <v>0</v>
      </c>
      <c r="CO183">
        <v>0</v>
      </c>
      <c r="CP183">
        <v>0</v>
      </c>
      <c r="CQ183">
        <v>0</v>
      </c>
      <c r="CR183">
        <v>0</v>
      </c>
      <c r="CS183">
        <v>0</v>
      </c>
      <c r="CT183">
        <v>0</v>
      </c>
      <c r="CU183">
        <v>0</v>
      </c>
      <c r="CV183" s="160"/>
      <c r="CW183">
        <v>1</v>
      </c>
      <c r="CX183">
        <f>350/50</f>
        <v>7</v>
      </c>
      <c r="CY183" s="160"/>
      <c r="CZ183" s="177">
        <f t="shared" si="207"/>
        <v>9.6000000000000002E-2</v>
      </c>
      <c r="DB183" s="146"/>
      <c r="DC183" s="76">
        <f t="shared" ca="1" si="170"/>
        <v>6.2057611650447431E-2</v>
      </c>
      <c r="DD183">
        <f t="shared" si="208"/>
        <v>6</v>
      </c>
      <c r="DE183" s="129">
        <f t="shared" si="244"/>
        <v>39987</v>
      </c>
      <c r="DF183" s="161">
        <f t="shared" si="209"/>
        <v>0</v>
      </c>
      <c r="DG183" s="161">
        <f t="shared" si="210"/>
        <v>0</v>
      </c>
      <c r="DH183" s="161">
        <f t="shared" si="211"/>
        <v>0</v>
      </c>
      <c r="DI183" s="161">
        <f t="shared" si="212"/>
        <v>0</v>
      </c>
      <c r="DJ183" s="161">
        <f t="shared" si="213"/>
        <v>0</v>
      </c>
      <c r="DK183" s="161">
        <f t="shared" si="214"/>
        <v>0</v>
      </c>
      <c r="DL183" s="161">
        <f t="shared" si="215"/>
        <v>0</v>
      </c>
      <c r="DM183" s="161">
        <f t="shared" si="216"/>
        <v>0</v>
      </c>
      <c r="DN183" s="161">
        <f t="shared" si="217"/>
        <v>0</v>
      </c>
      <c r="DO183" s="161">
        <f t="shared" si="218"/>
        <v>0</v>
      </c>
      <c r="DP183" s="161">
        <f t="shared" si="219"/>
        <v>0</v>
      </c>
      <c r="DQ183" s="161">
        <f t="shared" si="220"/>
        <v>0</v>
      </c>
      <c r="DR183" s="161">
        <f t="shared" si="221"/>
        <v>0</v>
      </c>
      <c r="DS183" s="161">
        <f t="shared" si="222"/>
        <v>0</v>
      </c>
      <c r="DT183" s="161">
        <f t="shared" si="223"/>
        <v>0</v>
      </c>
      <c r="DU183" s="161">
        <f t="shared" si="224"/>
        <v>0</v>
      </c>
      <c r="DV183" s="161">
        <f t="shared" si="225"/>
        <v>0</v>
      </c>
      <c r="DW183" s="161">
        <f t="shared" si="226"/>
        <v>0</v>
      </c>
      <c r="DX183" s="161">
        <f t="shared" si="227"/>
        <v>0</v>
      </c>
      <c r="DY183" s="161">
        <f t="shared" si="228"/>
        <v>0</v>
      </c>
      <c r="DZ183" s="161">
        <f t="shared" si="229"/>
        <v>0</v>
      </c>
      <c r="EA183" s="161">
        <f t="shared" si="230"/>
        <v>0</v>
      </c>
      <c r="EB183" s="161">
        <f t="shared" si="231"/>
        <v>0</v>
      </c>
      <c r="EC183" s="161">
        <f t="shared" si="232"/>
        <v>0</v>
      </c>
      <c r="ED183" s="161">
        <f t="shared" si="233"/>
        <v>0</v>
      </c>
      <c r="EE183" s="161">
        <f t="shared" si="234"/>
        <v>0</v>
      </c>
      <c r="EF183" s="161">
        <f t="shared" si="235"/>
        <v>0</v>
      </c>
      <c r="EG183" s="161">
        <f t="shared" si="236"/>
        <v>0</v>
      </c>
      <c r="EH183" s="161">
        <f t="shared" si="237"/>
        <v>0</v>
      </c>
      <c r="EI183" s="161">
        <f t="shared" si="238"/>
        <v>0</v>
      </c>
      <c r="EJ183" s="161">
        <f t="shared" si="239"/>
        <v>0</v>
      </c>
      <c r="EK183" s="147">
        <f t="shared" si="171"/>
        <v>0</v>
      </c>
      <c r="EL183" s="149"/>
      <c r="EN183" s="146"/>
      <c r="EO183" s="146"/>
      <c r="EP183" s="139">
        <f t="shared" si="172"/>
        <v>0</v>
      </c>
      <c r="EQ183" s="139">
        <f t="shared" si="173"/>
        <v>0</v>
      </c>
      <c r="ER183" s="139">
        <f t="shared" si="174"/>
        <v>0</v>
      </c>
      <c r="ES183" s="139">
        <f t="shared" si="175"/>
        <v>0</v>
      </c>
      <c r="ET183" s="139">
        <f t="shared" si="176"/>
        <v>0</v>
      </c>
      <c r="EU183" s="139">
        <f t="shared" si="177"/>
        <v>0</v>
      </c>
      <c r="EV183" s="139">
        <f t="shared" si="178"/>
        <v>0</v>
      </c>
      <c r="EW183" s="139">
        <f t="shared" si="179"/>
        <v>0</v>
      </c>
      <c r="EX183" s="139">
        <f t="shared" si="180"/>
        <v>0</v>
      </c>
      <c r="EY183" s="139">
        <f t="shared" si="181"/>
        <v>0</v>
      </c>
      <c r="EZ183" s="139">
        <f t="shared" si="182"/>
        <v>0</v>
      </c>
      <c r="FA183" s="139">
        <f t="shared" si="183"/>
        <v>0</v>
      </c>
      <c r="FB183" s="139">
        <f t="shared" si="184"/>
        <v>0</v>
      </c>
      <c r="FC183" s="139">
        <f t="shared" si="185"/>
        <v>0</v>
      </c>
      <c r="FD183" s="139">
        <f t="shared" si="186"/>
        <v>0</v>
      </c>
      <c r="FE183" s="139">
        <f t="shared" si="187"/>
        <v>0</v>
      </c>
      <c r="FF183" s="139">
        <f t="shared" si="188"/>
        <v>0</v>
      </c>
      <c r="FG183" s="139">
        <f t="shared" si="189"/>
        <v>0</v>
      </c>
      <c r="FH183" s="139">
        <f t="shared" si="190"/>
        <v>0</v>
      </c>
      <c r="FI183" s="139">
        <f t="shared" si="191"/>
        <v>0</v>
      </c>
      <c r="FJ183" s="139">
        <f t="shared" si="192"/>
        <v>0</v>
      </c>
      <c r="FK183" s="139">
        <f t="shared" si="193"/>
        <v>0</v>
      </c>
      <c r="FL183" s="139">
        <f t="shared" si="194"/>
        <v>0</v>
      </c>
      <c r="FM183" s="139">
        <f t="shared" si="195"/>
        <v>0</v>
      </c>
      <c r="FN183" s="139">
        <f t="shared" si="196"/>
        <v>0</v>
      </c>
      <c r="FO183" s="139">
        <f t="shared" si="197"/>
        <v>0</v>
      </c>
      <c r="FP183" s="139">
        <f t="shared" si="198"/>
        <v>0</v>
      </c>
      <c r="FQ183" s="139">
        <f t="shared" si="199"/>
        <v>0</v>
      </c>
      <c r="FR183" s="139">
        <f t="shared" si="200"/>
        <v>0</v>
      </c>
      <c r="FS183" s="139">
        <f t="shared" si="201"/>
        <v>0</v>
      </c>
      <c r="FT183" s="139">
        <f t="shared" si="202"/>
        <v>0</v>
      </c>
      <c r="FU183" s="148">
        <f t="shared" si="203"/>
        <v>0</v>
      </c>
      <c r="FV183" s="149"/>
      <c r="FY183" s="211">
        <v>178</v>
      </c>
      <c r="FZ183">
        <v>27.926305320390114</v>
      </c>
      <c r="GA183">
        <v>60.087383574774243</v>
      </c>
      <c r="GB183">
        <v>55.45538030696801</v>
      </c>
      <c r="GC183">
        <v>37.289498163962627</v>
      </c>
      <c r="GD183">
        <v>22.85969226448994</v>
      </c>
      <c r="GE183">
        <v>32.741472825611908</v>
      </c>
      <c r="GF183">
        <v>56.09629362124754</v>
      </c>
      <c r="GG183">
        <v>41.2924046868931</v>
      </c>
      <c r="GH183">
        <v>8.0600446336767533</v>
      </c>
      <c r="GI183">
        <v>44.828236752433497</v>
      </c>
      <c r="GJ183"/>
      <c r="GK183"/>
      <c r="GL183"/>
      <c r="GM183"/>
    </row>
    <row r="184" spans="1:195" s="7" customFormat="1">
      <c r="A184" s="1"/>
      <c r="B184" s="76">
        <f ca="1">IF(C184="", "", RAND())</f>
        <v>0.63987847315390844</v>
      </c>
      <c r="C184">
        <v>3</v>
      </c>
      <c r="D184">
        <v>39987</v>
      </c>
      <c r="E184">
        <v>0</v>
      </c>
      <c r="F184">
        <v>0</v>
      </c>
      <c r="G184">
        <v>10.416666666666666</v>
      </c>
      <c r="H184">
        <v>0</v>
      </c>
      <c r="I184">
        <v>10.416666666666666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0</v>
      </c>
      <c r="AD184">
        <v>0</v>
      </c>
      <c r="AE184">
        <v>0</v>
      </c>
      <c r="AF184">
        <v>0</v>
      </c>
      <c r="AG184">
        <v>0</v>
      </c>
      <c r="AH184">
        <v>0</v>
      </c>
      <c r="AI184">
        <v>0</v>
      </c>
      <c r="AJ184" s="2"/>
      <c r="AK184" s="80"/>
      <c r="AL184" s="74"/>
      <c r="AM184" s="43">
        <v>168</v>
      </c>
      <c r="AN184">
        <v>229.75472104774241</v>
      </c>
      <c r="AO184">
        <v>92.627170077108843</v>
      </c>
      <c r="AP184">
        <v>659.00081885827137</v>
      </c>
      <c r="AQ184">
        <v>493.82180538863884</v>
      </c>
      <c r="AR184">
        <v>83.183337827117825</v>
      </c>
      <c r="AS184">
        <v>649.60489796620209</v>
      </c>
      <c r="AT184">
        <v>47.587695869122349</v>
      </c>
      <c r="AU184">
        <v>91.04800876130642</v>
      </c>
      <c r="AV184"/>
      <c r="AW184"/>
      <c r="AX184" s="146"/>
      <c r="AY184" s="76">
        <f t="shared" ca="1" si="169"/>
        <v>0.37338608683481178</v>
      </c>
      <c r="AZ184">
        <v>7</v>
      </c>
      <c r="BA184" s="129">
        <f t="shared" si="245"/>
        <v>39987</v>
      </c>
      <c r="BB184">
        <v>0</v>
      </c>
      <c r="BC184">
        <v>0</v>
      </c>
      <c r="BD184">
        <v>0</v>
      </c>
      <c r="BE184">
        <v>0</v>
      </c>
      <c r="BF184">
        <v>0</v>
      </c>
      <c r="BG184">
        <v>0</v>
      </c>
      <c r="BH184">
        <v>0</v>
      </c>
      <c r="BI184">
        <v>0</v>
      </c>
      <c r="BJ184">
        <v>0</v>
      </c>
      <c r="BK184">
        <v>0</v>
      </c>
      <c r="BL184">
        <v>0</v>
      </c>
      <c r="BM184">
        <v>0</v>
      </c>
      <c r="BN184">
        <v>0</v>
      </c>
      <c r="BO184">
        <v>0</v>
      </c>
      <c r="BP184">
        <v>0</v>
      </c>
      <c r="BQ184">
        <v>0</v>
      </c>
      <c r="BR184">
        <v>0</v>
      </c>
      <c r="BS184">
        <v>0</v>
      </c>
      <c r="BT184">
        <v>0</v>
      </c>
      <c r="BU184">
        <v>0</v>
      </c>
      <c r="BV184">
        <v>0</v>
      </c>
      <c r="BW184">
        <v>0</v>
      </c>
      <c r="BX184">
        <v>0</v>
      </c>
      <c r="BY184">
        <v>0</v>
      </c>
      <c r="BZ184">
        <v>0</v>
      </c>
      <c r="CA184">
        <v>0</v>
      </c>
      <c r="CB184">
        <v>0</v>
      </c>
      <c r="CC184">
        <v>0</v>
      </c>
      <c r="CD184">
        <v>0</v>
      </c>
      <c r="CE184">
        <v>0</v>
      </c>
      <c r="CF184">
        <v>0</v>
      </c>
      <c r="CG184" s="147"/>
      <c r="CH184" s="176"/>
      <c r="CJ184" s="146"/>
      <c r="CK184" s="76">
        <f t="shared" ca="1" si="204"/>
        <v>0.14038379353904817</v>
      </c>
      <c r="CL184" s="179">
        <f t="shared" si="205"/>
        <v>7</v>
      </c>
      <c r="CM184" s="180">
        <f t="shared" si="206"/>
        <v>39987</v>
      </c>
      <c r="CN184">
        <v>0</v>
      </c>
      <c r="CO184">
        <v>0</v>
      </c>
      <c r="CP184">
        <v>0</v>
      </c>
      <c r="CQ184">
        <v>0</v>
      </c>
      <c r="CR184">
        <v>0</v>
      </c>
      <c r="CS184">
        <v>0</v>
      </c>
      <c r="CT184">
        <v>0</v>
      </c>
      <c r="CU184">
        <v>0</v>
      </c>
      <c r="CV184" s="160"/>
      <c r="CW184">
        <v>1</v>
      </c>
      <c r="CX184">
        <f>350/51</f>
        <v>6.8627450980392153</v>
      </c>
      <c r="CY184" s="165"/>
      <c r="CZ184" s="177">
        <f t="shared" si="207"/>
        <v>9.6000000000000002E-2</v>
      </c>
      <c r="DB184" s="146"/>
      <c r="DC184" s="76">
        <f t="shared" ca="1" si="170"/>
        <v>0.80780547092530908</v>
      </c>
      <c r="DD184">
        <f t="shared" si="208"/>
        <v>7</v>
      </c>
      <c r="DE184" s="129">
        <f t="shared" si="244"/>
        <v>39987</v>
      </c>
      <c r="DF184" s="161">
        <f t="shared" si="209"/>
        <v>0</v>
      </c>
      <c r="DG184" s="161">
        <f t="shared" si="210"/>
        <v>0</v>
      </c>
      <c r="DH184" s="161">
        <f t="shared" si="211"/>
        <v>0</v>
      </c>
      <c r="DI184" s="161">
        <f t="shared" si="212"/>
        <v>0</v>
      </c>
      <c r="DJ184" s="161">
        <f t="shared" si="213"/>
        <v>0</v>
      </c>
      <c r="DK184" s="161">
        <f t="shared" si="214"/>
        <v>0</v>
      </c>
      <c r="DL184" s="161">
        <f t="shared" si="215"/>
        <v>0</v>
      </c>
      <c r="DM184" s="161">
        <f t="shared" si="216"/>
        <v>0</v>
      </c>
      <c r="DN184" s="161">
        <f t="shared" si="217"/>
        <v>0</v>
      </c>
      <c r="DO184" s="161">
        <f t="shared" si="218"/>
        <v>0</v>
      </c>
      <c r="DP184" s="161">
        <f t="shared" si="219"/>
        <v>0</v>
      </c>
      <c r="DQ184" s="161">
        <f t="shared" si="220"/>
        <v>0</v>
      </c>
      <c r="DR184" s="161">
        <f t="shared" si="221"/>
        <v>0</v>
      </c>
      <c r="DS184" s="161">
        <f t="shared" si="222"/>
        <v>0</v>
      </c>
      <c r="DT184" s="161">
        <f t="shared" si="223"/>
        <v>0</v>
      </c>
      <c r="DU184" s="161">
        <f t="shared" si="224"/>
        <v>0</v>
      </c>
      <c r="DV184" s="161">
        <f t="shared" si="225"/>
        <v>0</v>
      </c>
      <c r="DW184" s="161">
        <f t="shared" si="226"/>
        <v>0</v>
      </c>
      <c r="DX184" s="161">
        <f t="shared" si="227"/>
        <v>0</v>
      </c>
      <c r="DY184" s="161">
        <f t="shared" si="228"/>
        <v>0</v>
      </c>
      <c r="DZ184" s="161">
        <f t="shared" si="229"/>
        <v>0</v>
      </c>
      <c r="EA184" s="161">
        <f t="shared" si="230"/>
        <v>0</v>
      </c>
      <c r="EB184" s="161">
        <f t="shared" si="231"/>
        <v>0</v>
      </c>
      <c r="EC184" s="161">
        <f t="shared" si="232"/>
        <v>0</v>
      </c>
      <c r="ED184" s="161">
        <f t="shared" si="233"/>
        <v>0</v>
      </c>
      <c r="EE184" s="161">
        <f t="shared" si="234"/>
        <v>0</v>
      </c>
      <c r="EF184" s="161">
        <f t="shared" si="235"/>
        <v>0</v>
      </c>
      <c r="EG184" s="161">
        <f t="shared" si="236"/>
        <v>0</v>
      </c>
      <c r="EH184" s="161">
        <f t="shared" si="237"/>
        <v>0</v>
      </c>
      <c r="EI184" s="161">
        <f t="shared" si="238"/>
        <v>0</v>
      </c>
      <c r="EJ184" s="161">
        <f t="shared" si="239"/>
        <v>0</v>
      </c>
      <c r="EK184" s="147">
        <f t="shared" ref="EK184:EK207" si="246">IF(DF184="", "", SUM(DF184:EJ184))</f>
        <v>0</v>
      </c>
      <c r="EL184" s="149"/>
      <c r="EN184" s="146"/>
      <c r="EO184" s="146"/>
      <c r="EP184" s="139">
        <f t="shared" ref="EP184:EP207" si="247">IF(DF184="", "", DF184*G$36)</f>
        <v>0</v>
      </c>
      <c r="EQ184" s="139">
        <f t="shared" ref="EQ184:EQ207" si="248">IF(DG184="", "", DG184*H$36)</f>
        <v>0</v>
      </c>
      <c r="ER184" s="139">
        <f t="shared" ref="ER184:ER207" si="249">IF(DH184="", "", DH184*I$36)</f>
        <v>0</v>
      </c>
      <c r="ES184" s="139">
        <f t="shared" ref="ES184:ES207" si="250">IF(DI184="", "", DI184*J$36)</f>
        <v>0</v>
      </c>
      <c r="ET184" s="139">
        <f t="shared" ref="ET184:ET207" si="251">IF(DJ184="", "", DJ184*K$36)</f>
        <v>0</v>
      </c>
      <c r="EU184" s="139">
        <f t="shared" ref="EU184:EU207" si="252">IF(DK184="", "", DK184*L$36)</f>
        <v>0</v>
      </c>
      <c r="EV184" s="139">
        <f t="shared" ref="EV184:EV207" si="253">IF(DL184="", "", DL184*M$36)</f>
        <v>0</v>
      </c>
      <c r="EW184" s="139">
        <f t="shared" ref="EW184:EW207" si="254">IF(DM184="", "", DM184*N$36)</f>
        <v>0</v>
      </c>
      <c r="EX184" s="139">
        <f t="shared" ref="EX184:EX207" si="255">IF(DN184="", "", DN184*O$36)</f>
        <v>0</v>
      </c>
      <c r="EY184" s="139">
        <f t="shared" ref="EY184:EY207" si="256">IF(DO184="", "", DO184*P$36)</f>
        <v>0</v>
      </c>
      <c r="EZ184" s="139">
        <f t="shared" ref="EZ184:EZ207" si="257">IF(DP184="", "", DP184*Q$36)</f>
        <v>0</v>
      </c>
      <c r="FA184" s="139">
        <f t="shared" ref="FA184:FA207" si="258">IF(DQ184="", "", DQ184*R$36)</f>
        <v>0</v>
      </c>
      <c r="FB184" s="139">
        <f t="shared" ref="FB184:FB207" si="259">IF(DR184="", "", DR184*S$36)</f>
        <v>0</v>
      </c>
      <c r="FC184" s="139">
        <f t="shared" ref="FC184:FC207" si="260">IF(DS184="", "", DS184*T$36)</f>
        <v>0</v>
      </c>
      <c r="FD184" s="139">
        <f t="shared" ref="FD184:FD207" si="261">IF(DT184="", "", DT184*U$36)</f>
        <v>0</v>
      </c>
      <c r="FE184" s="139">
        <f t="shared" ref="FE184:FE207" si="262">IF(DU184="", "", DU184*V$36)</f>
        <v>0</v>
      </c>
      <c r="FF184" s="139">
        <f t="shared" ref="FF184:FF207" si="263">IF(DV184="", "", DV184*W$36)</f>
        <v>0</v>
      </c>
      <c r="FG184" s="139">
        <f t="shared" ref="FG184:FG207" si="264">IF(DW184="", "", DW184*X$36)</f>
        <v>0</v>
      </c>
      <c r="FH184" s="139">
        <f t="shared" ref="FH184:FH207" si="265">IF(DX184="", "", DX184*Y$36)</f>
        <v>0</v>
      </c>
      <c r="FI184" s="139">
        <f t="shared" ref="FI184:FI207" si="266">IF(DY184="", "", DY184*Z$36)</f>
        <v>0</v>
      </c>
      <c r="FJ184" s="139">
        <f t="shared" ref="FJ184:FJ207" si="267">IF(DZ184="", "", DZ184*AA$36)</f>
        <v>0</v>
      </c>
      <c r="FK184" s="139">
        <f t="shared" ref="FK184:FK207" si="268">IF(EA184="", "", EA184*AB$36)</f>
        <v>0</v>
      </c>
      <c r="FL184" s="139">
        <f t="shared" ref="FL184:FL207" si="269">IF(EB184="", "", EB184*AC$36)</f>
        <v>0</v>
      </c>
      <c r="FM184" s="139">
        <f t="shared" ref="FM184:FM207" si="270">IF(EC184="", "", EC184*AD$36)</f>
        <v>0</v>
      </c>
      <c r="FN184" s="139">
        <f t="shared" ref="FN184:FN207" si="271">IF(ED184="", "", ED184*AE$36)</f>
        <v>0</v>
      </c>
      <c r="FO184" s="139">
        <f t="shared" ref="FO184:FO207" si="272">IF(EE184="", "", EE184*AF$36)</f>
        <v>0</v>
      </c>
      <c r="FP184" s="139">
        <f t="shared" ref="FP184:FP207" si="273">IF(EF184="", "", EF184*AG$36)</f>
        <v>0</v>
      </c>
      <c r="FQ184" s="139">
        <f t="shared" ref="FQ184:FQ207" si="274">IF(EG184="", "", EG184*AH$36)</f>
        <v>0</v>
      </c>
      <c r="FR184" s="139">
        <f t="shared" ref="FR184:FR207" si="275">IF(EH184="", "", EH184*AI$36)</f>
        <v>0</v>
      </c>
      <c r="FS184" s="139">
        <f t="shared" ref="FS184:FS207" si="276">IF(EI184="", "", EI184*AJ$36)</f>
        <v>0</v>
      </c>
      <c r="FT184" s="139">
        <f t="shared" ref="FT184:FT207" si="277">IF(EJ184="", "", EJ184*AK$36)</f>
        <v>0</v>
      </c>
      <c r="FU184" s="148">
        <f t="shared" ref="FU184:FU207" si="278">IF(EP184="","",SUM(EP184:FT184))</f>
        <v>0</v>
      </c>
      <c r="FV184" s="149"/>
      <c r="FY184" s="211">
        <v>179</v>
      </c>
      <c r="FZ184">
        <v>12.290276681637927</v>
      </c>
      <c r="GA184">
        <v>30.005952329339593</v>
      </c>
      <c r="GB184">
        <v>52.319881740063821</v>
      </c>
      <c r="GC184">
        <v>36.122750210508308</v>
      </c>
      <c r="GD184">
        <v>15.551531466176687</v>
      </c>
      <c r="GE184">
        <v>36.021504932825898</v>
      </c>
      <c r="GF184">
        <v>87.958120711620765</v>
      </c>
      <c r="GG184">
        <v>56.053225103469181</v>
      </c>
      <c r="GH184">
        <v>15.466264579215796</v>
      </c>
      <c r="GI184">
        <v>45.187195468597004</v>
      </c>
      <c r="GJ184"/>
      <c r="GK184"/>
      <c r="GL184"/>
      <c r="GM184"/>
    </row>
    <row r="185" spans="1:195" s="7" customFormat="1">
      <c r="A185" s="1"/>
      <c r="B185" s="76">
        <f ca="1">IF(C185="", "", RAND())</f>
        <v>3.3848295814925766E-2</v>
      </c>
      <c r="C185">
        <v>7</v>
      </c>
      <c r="D185">
        <v>39987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 s="2"/>
      <c r="AK185" s="80"/>
      <c r="AL185" s="74"/>
      <c r="AM185" s="43">
        <v>169</v>
      </c>
      <c r="AN185">
        <v>280.53509967682754</v>
      </c>
      <c r="AO185">
        <v>79.11444596909584</v>
      </c>
      <c r="AP185">
        <v>608.49246719764631</v>
      </c>
      <c r="AQ185">
        <v>463.95437388983055</v>
      </c>
      <c r="AR185">
        <v>71.152119175224783</v>
      </c>
      <c r="AS185">
        <v>612.83762662624065</v>
      </c>
      <c r="AT185">
        <v>39.003366265212627</v>
      </c>
      <c r="AU185">
        <v>75.869359014876494</v>
      </c>
      <c r="AV185"/>
      <c r="AW185"/>
      <c r="AX185" s="146"/>
      <c r="AY185" s="76">
        <f t="shared" ca="1" si="169"/>
        <v>0.22476899299240305</v>
      </c>
      <c r="AZ185">
        <v>8</v>
      </c>
      <c r="BA185" s="129">
        <f t="shared" si="245"/>
        <v>39987</v>
      </c>
      <c r="BB185">
        <v>0</v>
      </c>
      <c r="BC185">
        <v>0</v>
      </c>
      <c r="BD185">
        <v>0</v>
      </c>
      <c r="BE185">
        <v>0</v>
      </c>
      <c r="BF185">
        <v>0</v>
      </c>
      <c r="BG185">
        <v>0</v>
      </c>
      <c r="BH185">
        <v>0</v>
      </c>
      <c r="BI185">
        <v>0</v>
      </c>
      <c r="BJ185">
        <v>0</v>
      </c>
      <c r="BK185">
        <v>0</v>
      </c>
      <c r="BL185">
        <v>0</v>
      </c>
      <c r="BM185">
        <v>0</v>
      </c>
      <c r="BN185">
        <v>0</v>
      </c>
      <c r="BO185">
        <v>0</v>
      </c>
      <c r="BP185">
        <v>0</v>
      </c>
      <c r="BQ185">
        <v>0</v>
      </c>
      <c r="BR185">
        <v>0</v>
      </c>
      <c r="BS185">
        <v>0</v>
      </c>
      <c r="BT185">
        <v>0</v>
      </c>
      <c r="BU185">
        <v>0</v>
      </c>
      <c r="BV185">
        <v>0</v>
      </c>
      <c r="BW185">
        <v>0</v>
      </c>
      <c r="BX185">
        <v>0</v>
      </c>
      <c r="BY185">
        <v>0</v>
      </c>
      <c r="BZ185">
        <v>0</v>
      </c>
      <c r="CA185">
        <v>0</v>
      </c>
      <c r="CB185">
        <v>0</v>
      </c>
      <c r="CC185">
        <v>0</v>
      </c>
      <c r="CD185">
        <v>0</v>
      </c>
      <c r="CE185">
        <v>0</v>
      </c>
      <c r="CF185">
        <v>0</v>
      </c>
      <c r="CG185" s="147"/>
      <c r="CH185" s="176"/>
      <c r="CJ185" s="146"/>
      <c r="CK185" s="76">
        <f t="shared" ca="1" si="204"/>
        <v>0.15548152572823826</v>
      </c>
      <c r="CL185" s="179">
        <f t="shared" si="205"/>
        <v>8</v>
      </c>
      <c r="CM185" s="180">
        <f t="shared" si="206"/>
        <v>39987</v>
      </c>
      <c r="CN185">
        <v>0</v>
      </c>
      <c r="CO185">
        <v>0</v>
      </c>
      <c r="CP185">
        <v>1</v>
      </c>
      <c r="CQ185">
        <v>0</v>
      </c>
      <c r="CR185">
        <v>0</v>
      </c>
      <c r="CS185">
        <v>0</v>
      </c>
      <c r="CT185">
        <v>0</v>
      </c>
      <c r="CU185">
        <v>0</v>
      </c>
      <c r="CV185" s="160"/>
      <c r="CW185">
        <v>1</v>
      </c>
      <c r="CX185">
        <f>350/65</f>
        <v>5.384615384615385</v>
      </c>
      <c r="CY185" s="165"/>
      <c r="CZ185" s="177">
        <f t="shared" si="207"/>
        <v>9.6000000000000002E-2</v>
      </c>
      <c r="DB185" s="146"/>
      <c r="DC185" s="76">
        <f t="shared" ca="1" si="170"/>
        <v>0.53107782506873313</v>
      </c>
      <c r="DD185">
        <f t="shared" si="208"/>
        <v>8</v>
      </c>
      <c r="DE185" s="129">
        <f t="shared" si="244"/>
        <v>39987</v>
      </c>
      <c r="DF185" s="161">
        <f t="shared" si="209"/>
        <v>0</v>
      </c>
      <c r="DG185" s="161">
        <f t="shared" si="210"/>
        <v>0</v>
      </c>
      <c r="DH185" s="161">
        <f t="shared" si="211"/>
        <v>56.089743589743591</v>
      </c>
      <c r="DI185" s="161">
        <f t="shared" si="212"/>
        <v>0</v>
      </c>
      <c r="DJ185" s="161">
        <f t="shared" si="213"/>
        <v>0</v>
      </c>
      <c r="DK185" s="161">
        <f t="shared" si="214"/>
        <v>0</v>
      </c>
      <c r="DL185" s="161">
        <f t="shared" si="215"/>
        <v>0</v>
      </c>
      <c r="DM185" s="161">
        <f t="shared" si="216"/>
        <v>0</v>
      </c>
      <c r="DN185" s="161">
        <f t="shared" si="217"/>
        <v>0</v>
      </c>
      <c r="DO185" s="161">
        <f t="shared" si="218"/>
        <v>0</v>
      </c>
      <c r="DP185" s="161">
        <f t="shared" si="219"/>
        <v>0</v>
      </c>
      <c r="DQ185" s="161">
        <f t="shared" si="220"/>
        <v>0</v>
      </c>
      <c r="DR185" s="161">
        <f t="shared" si="221"/>
        <v>0</v>
      </c>
      <c r="DS185" s="161">
        <f t="shared" si="222"/>
        <v>0</v>
      </c>
      <c r="DT185" s="161">
        <f t="shared" si="223"/>
        <v>0</v>
      </c>
      <c r="DU185" s="161">
        <f t="shared" si="224"/>
        <v>0</v>
      </c>
      <c r="DV185" s="161">
        <f t="shared" si="225"/>
        <v>0</v>
      </c>
      <c r="DW185" s="161">
        <f t="shared" si="226"/>
        <v>0</v>
      </c>
      <c r="DX185" s="161">
        <f t="shared" si="227"/>
        <v>0</v>
      </c>
      <c r="DY185" s="161">
        <f t="shared" si="228"/>
        <v>0</v>
      </c>
      <c r="DZ185" s="161">
        <f t="shared" si="229"/>
        <v>0</v>
      </c>
      <c r="EA185" s="161">
        <f t="shared" si="230"/>
        <v>0</v>
      </c>
      <c r="EB185" s="161">
        <f t="shared" si="231"/>
        <v>0</v>
      </c>
      <c r="EC185" s="161">
        <f t="shared" si="232"/>
        <v>0</v>
      </c>
      <c r="ED185" s="161">
        <f t="shared" si="233"/>
        <v>0</v>
      </c>
      <c r="EE185" s="161">
        <f t="shared" si="234"/>
        <v>0</v>
      </c>
      <c r="EF185" s="161">
        <f t="shared" si="235"/>
        <v>0</v>
      </c>
      <c r="EG185" s="161">
        <f t="shared" si="236"/>
        <v>0</v>
      </c>
      <c r="EH185" s="161">
        <f t="shared" si="237"/>
        <v>0</v>
      </c>
      <c r="EI185" s="161">
        <f t="shared" si="238"/>
        <v>0</v>
      </c>
      <c r="EJ185" s="161">
        <f t="shared" si="239"/>
        <v>0</v>
      </c>
      <c r="EK185" s="147">
        <f t="shared" si="246"/>
        <v>56.089743589743591</v>
      </c>
      <c r="EL185" s="149"/>
      <c r="EN185" s="146"/>
      <c r="EO185" s="146"/>
      <c r="EP185" s="139">
        <f t="shared" si="247"/>
        <v>0</v>
      </c>
      <c r="EQ185" s="139">
        <f t="shared" si="248"/>
        <v>0</v>
      </c>
      <c r="ER185" s="139">
        <f t="shared" si="249"/>
        <v>4.1397705041057034</v>
      </c>
      <c r="ES185" s="139">
        <f t="shared" si="250"/>
        <v>0</v>
      </c>
      <c r="ET185" s="139">
        <f t="shared" si="251"/>
        <v>0</v>
      </c>
      <c r="EU185" s="139">
        <f t="shared" si="252"/>
        <v>0</v>
      </c>
      <c r="EV185" s="139">
        <f t="shared" si="253"/>
        <v>0</v>
      </c>
      <c r="EW185" s="139">
        <f t="shared" si="254"/>
        <v>0</v>
      </c>
      <c r="EX185" s="139">
        <f t="shared" si="255"/>
        <v>0</v>
      </c>
      <c r="EY185" s="139">
        <f t="shared" si="256"/>
        <v>0</v>
      </c>
      <c r="EZ185" s="139">
        <f t="shared" si="257"/>
        <v>0</v>
      </c>
      <c r="FA185" s="139">
        <f t="shared" si="258"/>
        <v>0</v>
      </c>
      <c r="FB185" s="139">
        <f t="shared" si="259"/>
        <v>0</v>
      </c>
      <c r="FC185" s="139">
        <f t="shared" si="260"/>
        <v>0</v>
      </c>
      <c r="FD185" s="139">
        <f t="shared" si="261"/>
        <v>0</v>
      </c>
      <c r="FE185" s="139">
        <f t="shared" si="262"/>
        <v>0</v>
      </c>
      <c r="FF185" s="139">
        <f t="shared" si="263"/>
        <v>0</v>
      </c>
      <c r="FG185" s="139">
        <f t="shared" si="264"/>
        <v>0</v>
      </c>
      <c r="FH185" s="139">
        <f t="shared" si="265"/>
        <v>0</v>
      </c>
      <c r="FI185" s="139">
        <f t="shared" si="266"/>
        <v>0</v>
      </c>
      <c r="FJ185" s="139">
        <f t="shared" si="267"/>
        <v>0</v>
      </c>
      <c r="FK185" s="139">
        <f t="shared" si="268"/>
        <v>0</v>
      </c>
      <c r="FL185" s="139">
        <f t="shared" si="269"/>
        <v>0</v>
      </c>
      <c r="FM185" s="139">
        <f t="shared" si="270"/>
        <v>0</v>
      </c>
      <c r="FN185" s="139">
        <f t="shared" si="271"/>
        <v>0</v>
      </c>
      <c r="FO185" s="139">
        <f t="shared" si="272"/>
        <v>0</v>
      </c>
      <c r="FP185" s="139">
        <f t="shared" si="273"/>
        <v>0</v>
      </c>
      <c r="FQ185" s="139">
        <f t="shared" si="274"/>
        <v>0</v>
      </c>
      <c r="FR185" s="139">
        <f t="shared" si="275"/>
        <v>0</v>
      </c>
      <c r="FS185" s="139">
        <f t="shared" si="276"/>
        <v>0</v>
      </c>
      <c r="FT185" s="139">
        <f t="shared" si="277"/>
        <v>0</v>
      </c>
      <c r="FU185" s="148">
        <f t="shared" si="278"/>
        <v>4.1397705041057034</v>
      </c>
      <c r="FV185" s="149"/>
      <c r="FY185" s="211">
        <v>180</v>
      </c>
      <c r="FZ185">
        <v>5.5362990041507265</v>
      </c>
      <c r="GA185">
        <v>40.60645157566556</v>
      </c>
      <c r="GB185">
        <v>81.897196397855382</v>
      </c>
      <c r="GC185">
        <v>50.014265110209337</v>
      </c>
      <c r="GD185">
        <v>17.853445232665386</v>
      </c>
      <c r="GE185">
        <v>30.268289365491292</v>
      </c>
      <c r="GF185">
        <v>66.489351847831372</v>
      </c>
      <c r="GG185">
        <v>50.033046724098682</v>
      </c>
      <c r="GH185">
        <v>20.874217642451896</v>
      </c>
      <c r="GI185">
        <v>49.064455137291944</v>
      </c>
      <c r="GJ185"/>
      <c r="GK185"/>
      <c r="GL185"/>
      <c r="GM185"/>
    </row>
    <row r="186" spans="1:195" s="7" customFormat="1">
      <c r="A186" s="1"/>
      <c r="B186" s="76">
        <f ca="1">IF(C186="", "", RAND())</f>
        <v>0.72250896021220212</v>
      </c>
      <c r="C186">
        <v>6</v>
      </c>
      <c r="D186">
        <v>39987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 s="2"/>
      <c r="AK186" s="80"/>
      <c r="AL186" s="74"/>
      <c r="AM186" s="43">
        <v>170</v>
      </c>
      <c r="AN186">
        <v>283.52353181160618</v>
      </c>
      <c r="AO186">
        <v>79.207214304753094</v>
      </c>
      <c r="AP186">
        <v>592.38063712456244</v>
      </c>
      <c r="AQ186">
        <v>451.36946470045206</v>
      </c>
      <c r="AR186">
        <v>71.761205957368915</v>
      </c>
      <c r="AS186">
        <v>615.13487109774928</v>
      </c>
      <c r="AT186">
        <v>36.336462287918728</v>
      </c>
      <c r="AU186">
        <v>52.69091043505955</v>
      </c>
      <c r="AV186"/>
      <c r="AW186"/>
      <c r="AX186" s="146"/>
      <c r="AY186" s="76">
        <f t="shared" ca="1" si="169"/>
        <v>0.95613087772689154</v>
      </c>
      <c r="AZ186">
        <v>9</v>
      </c>
      <c r="BA186" s="129">
        <f t="shared" si="245"/>
        <v>39987</v>
      </c>
      <c r="BB186">
        <v>0</v>
      </c>
      <c r="BC186">
        <v>0</v>
      </c>
      <c r="BD186">
        <v>0</v>
      </c>
      <c r="BE186">
        <v>0</v>
      </c>
      <c r="BF186">
        <v>0</v>
      </c>
      <c r="BG186">
        <v>0</v>
      </c>
      <c r="BH186">
        <v>0</v>
      </c>
      <c r="BI186">
        <v>0</v>
      </c>
      <c r="BJ186">
        <v>0</v>
      </c>
      <c r="BK186">
        <v>0</v>
      </c>
      <c r="BL186">
        <v>0</v>
      </c>
      <c r="BM186">
        <v>0</v>
      </c>
      <c r="BN186">
        <v>0</v>
      </c>
      <c r="BO186">
        <v>0</v>
      </c>
      <c r="BP186">
        <v>0</v>
      </c>
      <c r="BQ186">
        <v>0</v>
      </c>
      <c r="BR186">
        <v>0</v>
      </c>
      <c r="BS186">
        <v>0</v>
      </c>
      <c r="BT186">
        <v>0</v>
      </c>
      <c r="BU186">
        <v>0</v>
      </c>
      <c r="BV186">
        <v>0</v>
      </c>
      <c r="BW186">
        <v>0</v>
      </c>
      <c r="BX186">
        <v>0</v>
      </c>
      <c r="BY186">
        <v>0</v>
      </c>
      <c r="BZ186">
        <v>0</v>
      </c>
      <c r="CA186">
        <v>0</v>
      </c>
      <c r="CB186">
        <v>0</v>
      </c>
      <c r="CC186">
        <v>0</v>
      </c>
      <c r="CD186">
        <v>0</v>
      </c>
      <c r="CE186">
        <v>0</v>
      </c>
      <c r="CF186">
        <v>0</v>
      </c>
      <c r="CG186" s="147"/>
      <c r="CH186" s="176"/>
      <c r="CJ186" s="146"/>
      <c r="CK186" s="76">
        <f t="shared" ca="1" si="204"/>
        <v>0.7129392747941703</v>
      </c>
      <c r="CL186" s="179">
        <f t="shared" si="205"/>
        <v>9</v>
      </c>
      <c r="CM186" s="180">
        <f t="shared" si="206"/>
        <v>39987</v>
      </c>
      <c r="CN186">
        <v>0</v>
      </c>
      <c r="CO186">
        <v>0</v>
      </c>
      <c r="CP186">
        <v>0</v>
      </c>
      <c r="CQ186">
        <v>0</v>
      </c>
      <c r="CR186">
        <v>0</v>
      </c>
      <c r="CS186">
        <v>0</v>
      </c>
      <c r="CT186">
        <v>0</v>
      </c>
      <c r="CU186">
        <v>0</v>
      </c>
      <c r="CV186" s="160"/>
      <c r="CW186">
        <v>1</v>
      </c>
      <c r="CX186">
        <f>350/52</f>
        <v>6.7307692307692308</v>
      </c>
      <c r="CY186" s="165"/>
      <c r="CZ186" s="177">
        <f t="shared" si="207"/>
        <v>9.6000000000000002E-2</v>
      </c>
      <c r="DB186" s="146"/>
      <c r="DC186" s="76">
        <f t="shared" ca="1" si="170"/>
        <v>1.5732688548924401E-2</v>
      </c>
      <c r="DD186">
        <f t="shared" si="208"/>
        <v>9</v>
      </c>
      <c r="DE186" s="129">
        <f t="shared" si="244"/>
        <v>39987</v>
      </c>
      <c r="DF186" s="161">
        <f t="shared" si="209"/>
        <v>0</v>
      </c>
      <c r="DG186" s="161">
        <f t="shared" si="210"/>
        <v>0</v>
      </c>
      <c r="DH186" s="161">
        <f t="shared" si="211"/>
        <v>0</v>
      </c>
      <c r="DI186" s="161">
        <f t="shared" si="212"/>
        <v>0</v>
      </c>
      <c r="DJ186" s="161">
        <f t="shared" si="213"/>
        <v>0</v>
      </c>
      <c r="DK186" s="161">
        <f t="shared" si="214"/>
        <v>0</v>
      </c>
      <c r="DL186" s="161">
        <f t="shared" si="215"/>
        <v>0</v>
      </c>
      <c r="DM186" s="161">
        <f t="shared" si="216"/>
        <v>0</v>
      </c>
      <c r="DN186" s="161">
        <f t="shared" si="217"/>
        <v>0</v>
      </c>
      <c r="DO186" s="161">
        <f t="shared" si="218"/>
        <v>0</v>
      </c>
      <c r="DP186" s="161">
        <f t="shared" si="219"/>
        <v>0</v>
      </c>
      <c r="DQ186" s="161">
        <f t="shared" si="220"/>
        <v>0</v>
      </c>
      <c r="DR186" s="161">
        <f t="shared" si="221"/>
        <v>0</v>
      </c>
      <c r="DS186" s="161">
        <f t="shared" si="222"/>
        <v>0</v>
      </c>
      <c r="DT186" s="161">
        <f t="shared" si="223"/>
        <v>0</v>
      </c>
      <c r="DU186" s="161">
        <f t="shared" si="224"/>
        <v>0</v>
      </c>
      <c r="DV186" s="161">
        <f t="shared" si="225"/>
        <v>0</v>
      </c>
      <c r="DW186" s="161">
        <f t="shared" si="226"/>
        <v>0</v>
      </c>
      <c r="DX186" s="161">
        <f t="shared" si="227"/>
        <v>0</v>
      </c>
      <c r="DY186" s="161">
        <f t="shared" si="228"/>
        <v>0</v>
      </c>
      <c r="DZ186" s="161">
        <f t="shared" si="229"/>
        <v>0</v>
      </c>
      <c r="EA186" s="161">
        <f t="shared" si="230"/>
        <v>0</v>
      </c>
      <c r="EB186" s="161">
        <f t="shared" si="231"/>
        <v>0</v>
      </c>
      <c r="EC186" s="161">
        <f t="shared" si="232"/>
        <v>0</v>
      </c>
      <c r="ED186" s="161">
        <f t="shared" si="233"/>
        <v>0</v>
      </c>
      <c r="EE186" s="161">
        <f t="shared" si="234"/>
        <v>0</v>
      </c>
      <c r="EF186" s="161">
        <f t="shared" si="235"/>
        <v>0</v>
      </c>
      <c r="EG186" s="161">
        <f t="shared" si="236"/>
        <v>0</v>
      </c>
      <c r="EH186" s="161">
        <f t="shared" si="237"/>
        <v>0</v>
      </c>
      <c r="EI186" s="161">
        <f t="shared" si="238"/>
        <v>0</v>
      </c>
      <c r="EJ186" s="161">
        <f t="shared" si="239"/>
        <v>0</v>
      </c>
      <c r="EK186" s="147">
        <f t="shared" si="246"/>
        <v>0</v>
      </c>
      <c r="EL186" s="149"/>
      <c r="EN186" s="146"/>
      <c r="EO186" s="146"/>
      <c r="EP186" s="139">
        <f t="shared" si="247"/>
        <v>0</v>
      </c>
      <c r="EQ186" s="139">
        <f t="shared" si="248"/>
        <v>0</v>
      </c>
      <c r="ER186" s="139">
        <f t="shared" si="249"/>
        <v>0</v>
      </c>
      <c r="ES186" s="139">
        <f t="shared" si="250"/>
        <v>0</v>
      </c>
      <c r="ET186" s="139">
        <f t="shared" si="251"/>
        <v>0</v>
      </c>
      <c r="EU186" s="139">
        <f t="shared" si="252"/>
        <v>0</v>
      </c>
      <c r="EV186" s="139">
        <f t="shared" si="253"/>
        <v>0</v>
      </c>
      <c r="EW186" s="139">
        <f t="shared" si="254"/>
        <v>0</v>
      </c>
      <c r="EX186" s="139">
        <f t="shared" si="255"/>
        <v>0</v>
      </c>
      <c r="EY186" s="139">
        <f t="shared" si="256"/>
        <v>0</v>
      </c>
      <c r="EZ186" s="139">
        <f t="shared" si="257"/>
        <v>0</v>
      </c>
      <c r="FA186" s="139">
        <f t="shared" si="258"/>
        <v>0</v>
      </c>
      <c r="FB186" s="139">
        <f t="shared" si="259"/>
        <v>0</v>
      </c>
      <c r="FC186" s="139">
        <f t="shared" si="260"/>
        <v>0</v>
      </c>
      <c r="FD186" s="139">
        <f t="shared" si="261"/>
        <v>0</v>
      </c>
      <c r="FE186" s="139">
        <f t="shared" si="262"/>
        <v>0</v>
      </c>
      <c r="FF186" s="139">
        <f t="shared" si="263"/>
        <v>0</v>
      </c>
      <c r="FG186" s="139">
        <f t="shared" si="264"/>
        <v>0</v>
      </c>
      <c r="FH186" s="139">
        <f t="shared" si="265"/>
        <v>0</v>
      </c>
      <c r="FI186" s="139">
        <f t="shared" si="266"/>
        <v>0</v>
      </c>
      <c r="FJ186" s="139">
        <f t="shared" si="267"/>
        <v>0</v>
      </c>
      <c r="FK186" s="139">
        <f t="shared" si="268"/>
        <v>0</v>
      </c>
      <c r="FL186" s="139">
        <f t="shared" si="269"/>
        <v>0</v>
      </c>
      <c r="FM186" s="139">
        <f t="shared" si="270"/>
        <v>0</v>
      </c>
      <c r="FN186" s="139">
        <f t="shared" si="271"/>
        <v>0</v>
      </c>
      <c r="FO186" s="139">
        <f t="shared" si="272"/>
        <v>0</v>
      </c>
      <c r="FP186" s="139">
        <f t="shared" si="273"/>
        <v>0</v>
      </c>
      <c r="FQ186" s="139">
        <f t="shared" si="274"/>
        <v>0</v>
      </c>
      <c r="FR186" s="139">
        <f t="shared" si="275"/>
        <v>0</v>
      </c>
      <c r="FS186" s="139">
        <f t="shared" si="276"/>
        <v>0</v>
      </c>
      <c r="FT186" s="139">
        <f t="shared" si="277"/>
        <v>0</v>
      </c>
      <c r="FU186" s="148">
        <f t="shared" si="278"/>
        <v>0</v>
      </c>
      <c r="FV186" s="149"/>
      <c r="FY186" s="211">
        <v>181</v>
      </c>
      <c r="FZ186">
        <v>23.584394674746161</v>
      </c>
      <c r="GA186">
        <v>60.661203878216369</v>
      </c>
      <c r="GB186">
        <v>68.021016777606903</v>
      </c>
      <c r="GC186">
        <v>40.275103503172367</v>
      </c>
      <c r="GD186">
        <v>25.362407209397222</v>
      </c>
      <c r="GE186">
        <v>61.790512085737127</v>
      </c>
      <c r="GF186">
        <v>72.521261708355183</v>
      </c>
      <c r="GG186">
        <v>23.167729732850795</v>
      </c>
      <c r="GH186">
        <v>4.3165150614324332</v>
      </c>
      <c r="GI186">
        <v>52.581763091887147</v>
      </c>
      <c r="GJ186"/>
      <c r="GK186"/>
      <c r="GL186"/>
      <c r="GM186"/>
    </row>
    <row r="187" spans="1:195" s="7" customFormat="1">
      <c r="A187" s="1"/>
      <c r="B187" s="76">
        <f ca="1">IF(C187="", "", RAND())</f>
        <v>0.68853332482087781</v>
      </c>
      <c r="C187">
        <v>8</v>
      </c>
      <c r="D187">
        <v>39987</v>
      </c>
      <c r="E187">
        <v>0</v>
      </c>
      <c r="F187">
        <v>0</v>
      </c>
      <c r="G187">
        <v>56.089743589743591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 s="2"/>
      <c r="AK187" s="80"/>
      <c r="AL187" s="74"/>
      <c r="AM187" s="43">
        <v>171</v>
      </c>
      <c r="AN187">
        <v>250.77772166469248</v>
      </c>
      <c r="AO187">
        <v>82.278122653565362</v>
      </c>
      <c r="AP187">
        <v>588.22758248050764</v>
      </c>
      <c r="AQ187">
        <v>443.44894816999152</v>
      </c>
      <c r="AR187">
        <v>72.859618357444688</v>
      </c>
      <c r="AS187">
        <v>588.94882863848375</v>
      </c>
      <c r="AT187">
        <v>38.213854982376297</v>
      </c>
      <c r="AU187">
        <v>48.975404484498902</v>
      </c>
      <c r="AV187"/>
      <c r="AW187"/>
      <c r="AX187" s="146"/>
      <c r="AY187" s="76">
        <f t="shared" ca="1" si="169"/>
        <v>0.22972571468065883</v>
      </c>
      <c r="AZ187">
        <v>10</v>
      </c>
      <c r="BA187" s="129">
        <f t="shared" si="245"/>
        <v>39987</v>
      </c>
      <c r="BB187">
        <v>0</v>
      </c>
      <c r="BC187">
        <v>0</v>
      </c>
      <c r="BD187">
        <v>0</v>
      </c>
      <c r="BE187">
        <v>0</v>
      </c>
      <c r="BF187">
        <v>0</v>
      </c>
      <c r="BG187">
        <v>0</v>
      </c>
      <c r="BH187">
        <v>0</v>
      </c>
      <c r="BI187">
        <v>0</v>
      </c>
      <c r="BJ187">
        <v>0</v>
      </c>
      <c r="BK187">
        <v>0</v>
      </c>
      <c r="BL187">
        <v>0</v>
      </c>
      <c r="BM187">
        <v>0</v>
      </c>
      <c r="BN187">
        <v>0</v>
      </c>
      <c r="BO187">
        <v>0</v>
      </c>
      <c r="BP187">
        <v>0</v>
      </c>
      <c r="BQ187">
        <v>0</v>
      </c>
      <c r="BR187">
        <v>0</v>
      </c>
      <c r="BS187">
        <v>0</v>
      </c>
      <c r="BT187">
        <v>0</v>
      </c>
      <c r="BU187">
        <v>0</v>
      </c>
      <c r="BV187">
        <v>0</v>
      </c>
      <c r="BW187">
        <v>0</v>
      </c>
      <c r="BX187">
        <v>0</v>
      </c>
      <c r="BY187">
        <v>0</v>
      </c>
      <c r="BZ187">
        <v>0</v>
      </c>
      <c r="CA187">
        <v>0</v>
      </c>
      <c r="CB187">
        <v>0</v>
      </c>
      <c r="CC187">
        <v>0</v>
      </c>
      <c r="CD187">
        <v>0</v>
      </c>
      <c r="CE187">
        <v>0</v>
      </c>
      <c r="CF187">
        <v>0</v>
      </c>
      <c r="CG187" s="147"/>
      <c r="CH187" s="176"/>
      <c r="CJ187" s="146"/>
      <c r="CK187" s="76">
        <f t="shared" ca="1" si="204"/>
        <v>0.31362270205688914</v>
      </c>
      <c r="CL187" s="179">
        <f t="shared" si="205"/>
        <v>10</v>
      </c>
      <c r="CM187" s="180">
        <f t="shared" si="206"/>
        <v>39987</v>
      </c>
      <c r="CN187">
        <v>0</v>
      </c>
      <c r="CO187">
        <v>0</v>
      </c>
      <c r="CP187">
        <v>0</v>
      </c>
      <c r="CQ187">
        <v>0</v>
      </c>
      <c r="CR187">
        <v>0</v>
      </c>
      <c r="CS187">
        <v>0</v>
      </c>
      <c r="CT187">
        <v>0</v>
      </c>
      <c r="CU187">
        <v>0</v>
      </c>
      <c r="CV187" s="160"/>
      <c r="CW187">
        <v>1</v>
      </c>
      <c r="CX187">
        <f>350/73</f>
        <v>4.7945205479452051</v>
      </c>
      <c r="CY187" s="165"/>
      <c r="CZ187" s="177">
        <f t="shared" si="207"/>
        <v>9.6000000000000002E-2</v>
      </c>
      <c r="DB187" s="146"/>
      <c r="DC187" s="76">
        <f t="shared" ca="1" si="170"/>
        <v>1.5908793896147522E-2</v>
      </c>
      <c r="DD187">
        <f t="shared" si="208"/>
        <v>10</v>
      </c>
      <c r="DE187" s="129">
        <f t="shared" si="244"/>
        <v>39987</v>
      </c>
      <c r="DF187" s="161">
        <f t="shared" si="209"/>
        <v>0</v>
      </c>
      <c r="DG187" s="161">
        <f t="shared" si="210"/>
        <v>0</v>
      </c>
      <c r="DH187" s="161">
        <f t="shared" si="211"/>
        <v>0</v>
      </c>
      <c r="DI187" s="161">
        <f t="shared" si="212"/>
        <v>0</v>
      </c>
      <c r="DJ187" s="161">
        <f t="shared" si="213"/>
        <v>0</v>
      </c>
      <c r="DK187" s="161">
        <f t="shared" si="214"/>
        <v>0</v>
      </c>
      <c r="DL187" s="161">
        <f t="shared" si="215"/>
        <v>0</v>
      </c>
      <c r="DM187" s="161">
        <f t="shared" si="216"/>
        <v>0</v>
      </c>
      <c r="DN187" s="161">
        <f t="shared" si="217"/>
        <v>0</v>
      </c>
      <c r="DO187" s="161">
        <f t="shared" si="218"/>
        <v>0</v>
      </c>
      <c r="DP187" s="161">
        <f t="shared" si="219"/>
        <v>0</v>
      </c>
      <c r="DQ187" s="161">
        <f t="shared" si="220"/>
        <v>0</v>
      </c>
      <c r="DR187" s="161">
        <f t="shared" si="221"/>
        <v>0</v>
      </c>
      <c r="DS187" s="161">
        <f t="shared" si="222"/>
        <v>0</v>
      </c>
      <c r="DT187" s="161">
        <f t="shared" si="223"/>
        <v>0</v>
      </c>
      <c r="DU187" s="161">
        <f t="shared" si="224"/>
        <v>0</v>
      </c>
      <c r="DV187" s="161">
        <f t="shared" si="225"/>
        <v>0</v>
      </c>
      <c r="DW187" s="161">
        <f t="shared" si="226"/>
        <v>0</v>
      </c>
      <c r="DX187" s="161">
        <f t="shared" si="227"/>
        <v>0</v>
      </c>
      <c r="DY187" s="161">
        <f t="shared" si="228"/>
        <v>0</v>
      </c>
      <c r="DZ187" s="161">
        <f t="shared" si="229"/>
        <v>0</v>
      </c>
      <c r="EA187" s="161">
        <f t="shared" si="230"/>
        <v>0</v>
      </c>
      <c r="EB187" s="161">
        <f t="shared" si="231"/>
        <v>0</v>
      </c>
      <c r="EC187" s="161">
        <f t="shared" si="232"/>
        <v>0</v>
      </c>
      <c r="ED187" s="161">
        <f t="shared" si="233"/>
        <v>0</v>
      </c>
      <c r="EE187" s="161">
        <f t="shared" si="234"/>
        <v>0</v>
      </c>
      <c r="EF187" s="161">
        <f t="shared" si="235"/>
        <v>0</v>
      </c>
      <c r="EG187" s="161">
        <f t="shared" si="236"/>
        <v>0</v>
      </c>
      <c r="EH187" s="161">
        <f t="shared" si="237"/>
        <v>0</v>
      </c>
      <c r="EI187" s="161">
        <f t="shared" si="238"/>
        <v>0</v>
      </c>
      <c r="EJ187" s="161">
        <f t="shared" si="239"/>
        <v>0</v>
      </c>
      <c r="EK187" s="147">
        <f t="shared" si="246"/>
        <v>0</v>
      </c>
      <c r="EL187" s="149"/>
      <c r="EN187" s="146"/>
      <c r="EO187" s="146"/>
      <c r="EP187" s="139">
        <f t="shared" si="247"/>
        <v>0</v>
      </c>
      <c r="EQ187" s="139">
        <f t="shared" si="248"/>
        <v>0</v>
      </c>
      <c r="ER187" s="139">
        <f t="shared" si="249"/>
        <v>0</v>
      </c>
      <c r="ES187" s="139">
        <f t="shared" si="250"/>
        <v>0</v>
      </c>
      <c r="ET187" s="139">
        <f t="shared" si="251"/>
        <v>0</v>
      </c>
      <c r="EU187" s="139">
        <f t="shared" si="252"/>
        <v>0</v>
      </c>
      <c r="EV187" s="139">
        <f t="shared" si="253"/>
        <v>0</v>
      </c>
      <c r="EW187" s="139">
        <f t="shared" si="254"/>
        <v>0</v>
      </c>
      <c r="EX187" s="139">
        <f t="shared" si="255"/>
        <v>0</v>
      </c>
      <c r="EY187" s="139">
        <f t="shared" si="256"/>
        <v>0</v>
      </c>
      <c r="EZ187" s="139">
        <f t="shared" si="257"/>
        <v>0</v>
      </c>
      <c r="FA187" s="139">
        <f t="shared" si="258"/>
        <v>0</v>
      </c>
      <c r="FB187" s="139">
        <f t="shared" si="259"/>
        <v>0</v>
      </c>
      <c r="FC187" s="139">
        <f t="shared" si="260"/>
        <v>0</v>
      </c>
      <c r="FD187" s="139">
        <f t="shared" si="261"/>
        <v>0</v>
      </c>
      <c r="FE187" s="139">
        <f t="shared" si="262"/>
        <v>0</v>
      </c>
      <c r="FF187" s="139">
        <f t="shared" si="263"/>
        <v>0</v>
      </c>
      <c r="FG187" s="139">
        <f t="shared" si="264"/>
        <v>0</v>
      </c>
      <c r="FH187" s="139">
        <f t="shared" si="265"/>
        <v>0</v>
      </c>
      <c r="FI187" s="139">
        <f t="shared" si="266"/>
        <v>0</v>
      </c>
      <c r="FJ187" s="139">
        <f t="shared" si="267"/>
        <v>0</v>
      </c>
      <c r="FK187" s="139">
        <f t="shared" si="268"/>
        <v>0</v>
      </c>
      <c r="FL187" s="139">
        <f t="shared" si="269"/>
        <v>0</v>
      </c>
      <c r="FM187" s="139">
        <f t="shared" si="270"/>
        <v>0</v>
      </c>
      <c r="FN187" s="139">
        <f t="shared" si="271"/>
        <v>0</v>
      </c>
      <c r="FO187" s="139">
        <f t="shared" si="272"/>
        <v>0</v>
      </c>
      <c r="FP187" s="139">
        <f t="shared" si="273"/>
        <v>0</v>
      </c>
      <c r="FQ187" s="139">
        <f t="shared" si="274"/>
        <v>0</v>
      </c>
      <c r="FR187" s="139">
        <f t="shared" si="275"/>
        <v>0</v>
      </c>
      <c r="FS187" s="139">
        <f t="shared" si="276"/>
        <v>0</v>
      </c>
      <c r="FT187" s="139">
        <f t="shared" si="277"/>
        <v>0</v>
      </c>
      <c r="FU187" s="148">
        <f t="shared" si="278"/>
        <v>0</v>
      </c>
      <c r="FV187" s="149"/>
      <c r="FY187" s="211">
        <v>182</v>
      </c>
      <c r="FZ187">
        <v>27.474758311071156</v>
      </c>
      <c r="GA187">
        <v>53.409687819559736</v>
      </c>
      <c r="GB187">
        <v>77.654970405697881</v>
      </c>
      <c r="GC187">
        <v>50.487975998347913</v>
      </c>
      <c r="GD187">
        <v>15.331939875226228</v>
      </c>
      <c r="GE187">
        <v>28.842650870644842</v>
      </c>
      <c r="GF187">
        <v>88.549264448505525</v>
      </c>
      <c r="GG187">
        <v>60.19134157757253</v>
      </c>
      <c r="GH187">
        <v>13.464804812745914</v>
      </c>
      <c r="GI187">
        <v>53.610163825489344</v>
      </c>
      <c r="GJ187"/>
      <c r="GK187"/>
      <c r="GL187"/>
      <c r="GM187"/>
    </row>
    <row r="188" spans="1:195" s="7" customFormat="1">
      <c r="A188" s="128"/>
      <c r="B188" s="76" t="str">
        <f ca="1">IF(C188="", "", RAND())</f>
        <v/>
      </c>
      <c r="C188" t="s">
        <v>104</v>
      </c>
      <c r="D188" t="s">
        <v>104</v>
      </c>
      <c r="E188" t="s">
        <v>104</v>
      </c>
      <c r="F188" t="s">
        <v>104</v>
      </c>
      <c r="G188" t="s">
        <v>104</v>
      </c>
      <c r="H188" t="s">
        <v>104</v>
      </c>
      <c r="I188" t="s">
        <v>104</v>
      </c>
      <c r="J188" t="s">
        <v>104</v>
      </c>
      <c r="K188" t="s">
        <v>104</v>
      </c>
      <c r="L188" t="s">
        <v>104</v>
      </c>
      <c r="M188" t="s">
        <v>104</v>
      </c>
      <c r="N188" t="s">
        <v>104</v>
      </c>
      <c r="O188" t="s">
        <v>104</v>
      </c>
      <c r="P188" t="s">
        <v>104</v>
      </c>
      <c r="Q188" t="s">
        <v>104</v>
      </c>
      <c r="R188" t="s">
        <v>104</v>
      </c>
      <c r="S188" t="s">
        <v>104</v>
      </c>
      <c r="T188" t="s">
        <v>104</v>
      </c>
      <c r="U188" t="s">
        <v>104</v>
      </c>
      <c r="V188" t="s">
        <v>104</v>
      </c>
      <c r="W188" t="s">
        <v>104</v>
      </c>
      <c r="X188" t="s">
        <v>104</v>
      </c>
      <c r="Y188" t="s">
        <v>104</v>
      </c>
      <c r="Z188" t="s">
        <v>104</v>
      </c>
      <c r="AA188" t="s">
        <v>104</v>
      </c>
      <c r="AB188" t="s">
        <v>104</v>
      </c>
      <c r="AC188" t="s">
        <v>104</v>
      </c>
      <c r="AD188" t="s">
        <v>104</v>
      </c>
      <c r="AE188" t="s">
        <v>104</v>
      </c>
      <c r="AF188" t="s">
        <v>104</v>
      </c>
      <c r="AG188" t="s">
        <v>104</v>
      </c>
      <c r="AH188" t="s">
        <v>104</v>
      </c>
      <c r="AI188" t="s">
        <v>104</v>
      </c>
      <c r="AJ188" s="2"/>
      <c r="AK188" s="80"/>
      <c r="AL188" s="74">
        <v>3.0028000000000028</v>
      </c>
      <c r="AM188" s="43">
        <v>172</v>
      </c>
      <c r="AN188">
        <v>225.47999662187948</v>
      </c>
      <c r="AO188">
        <v>73.576832903695617</v>
      </c>
      <c r="AP188">
        <v>535.63398305123985</v>
      </c>
      <c r="AQ188">
        <v>410.2578045891288</v>
      </c>
      <c r="AR188">
        <v>66.185836822301397</v>
      </c>
      <c r="AS188">
        <v>562.6275827599452</v>
      </c>
      <c r="AT188">
        <v>36.342505073017549</v>
      </c>
      <c r="AU188">
        <v>74.344271809767065</v>
      </c>
      <c r="AV188"/>
      <c r="AW188"/>
      <c r="AX188" s="128"/>
      <c r="AY188" s="76" t="str">
        <f t="shared" ca="1" si="169"/>
        <v/>
      </c>
      <c r="AZ188"/>
      <c r="BA188" s="129" t="s">
        <v>104</v>
      </c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 s="147"/>
      <c r="CH188" s="176"/>
      <c r="CJ188" s="128"/>
      <c r="CK188" s="76" t="str">
        <f t="shared" ca="1" si="204"/>
        <v/>
      </c>
      <c r="CL188" s="179" t="str">
        <f t="shared" si="205"/>
        <v/>
      </c>
      <c r="CM188" s="180" t="str">
        <f t="shared" si="206"/>
        <v/>
      </c>
      <c r="CN188"/>
      <c r="CO188"/>
      <c r="CP188"/>
      <c r="CQ188"/>
      <c r="CR188"/>
      <c r="CS188"/>
      <c r="CT188"/>
      <c r="CU188"/>
      <c r="CV188" s="160"/>
      <c r="CW188"/>
      <c r="CX188"/>
      <c r="CY188" s="160"/>
      <c r="CZ188" s="177" t="str">
        <f t="shared" si="207"/>
        <v/>
      </c>
      <c r="DB188" s="128"/>
      <c r="DC188" s="76" t="str">
        <f t="shared" ca="1" si="170"/>
        <v/>
      </c>
      <c r="DD188" t="str">
        <f t="shared" si="208"/>
        <v/>
      </c>
      <c r="DE188" s="129" t="str">
        <f t="shared" ref="DE188:DE197" si="279">IF((DD188)="", "", $C$14)</f>
        <v/>
      </c>
      <c r="DF188" s="161" t="str">
        <f t="shared" ref="DF188:DF207" si="280">IF($AZ188="", "", ((BB188*$CW188)+(CN188*$CX188))/$CZ188)</f>
        <v/>
      </c>
      <c r="DG188" s="161" t="str">
        <f t="shared" ref="DG188:DG207" si="281">IF($AZ188="", "", ((BC188*$CW188)+(CO188*$CX188))/$CZ188)</f>
        <v/>
      </c>
      <c r="DH188" s="161" t="str">
        <f t="shared" ref="DH188:DH207" si="282">IF($AZ188="", "", ((BD188*$CW188)+(CP188*$CX188))/$CZ188)</f>
        <v/>
      </c>
      <c r="DI188" s="161" t="str">
        <f t="shared" ref="DI188:DI207" si="283">IF($AZ188="", "", ((BE188*$CW188)+(CQ188*$CX188))/$CZ188)</f>
        <v/>
      </c>
      <c r="DJ188" s="161" t="str">
        <f t="shared" ref="DJ188:DJ207" si="284">IF($AZ188="", "", ((BF188*$CW188)+(CR188*$CX188))/$CZ188)</f>
        <v/>
      </c>
      <c r="DK188" s="161" t="str">
        <f t="shared" ref="DK188:DK207" si="285">IF($AZ188="", "", ((BG188*$CW188)+(CS188*$CX188))/$CZ188)</f>
        <v/>
      </c>
      <c r="DL188" s="161" t="str">
        <f t="shared" ref="DL188:DL207" si="286">IF($AZ188="", "", ((BH188*$CW188)+(CT188*$CX188))/$CZ188)</f>
        <v/>
      </c>
      <c r="DM188" s="161" t="str">
        <f t="shared" ref="DM188:DM207" si="287">IF($AZ188="", "", ((BI188*$CW188)+(CU188*$CX188))/$CZ188)</f>
        <v/>
      </c>
      <c r="DN188" s="161" t="str">
        <f>IF($AZ188="", "", (BJ188*$CW188)/$CZ188)</f>
        <v/>
      </c>
      <c r="DO188" s="161" t="str">
        <f t="shared" ref="DO188:DO193" si="288">IF($AZ188="", "", (BK187*$CW188)/$CZ188)</f>
        <v/>
      </c>
      <c r="DP188" s="161" t="str">
        <f t="shared" ref="DP188:DP193" si="289">IF($AZ188="", "", (BL187*$CW188)/$CZ188)</f>
        <v/>
      </c>
      <c r="DQ188" s="161" t="str">
        <f t="shared" ref="DQ188:DQ193" si="290">IF($AZ188="", "", (BM187*$CW188)/$CZ188)</f>
        <v/>
      </c>
      <c r="DR188" s="161" t="str">
        <f t="shared" ref="DR188:DR193" si="291">IF($AZ188="", "", (BN187*$CW188)/$CZ188)</f>
        <v/>
      </c>
      <c r="DS188" s="161" t="str">
        <f t="shared" ref="DS188:DS193" si="292">IF($AZ188="", "", (BO187*$CW188)/$CZ188)</f>
        <v/>
      </c>
      <c r="DT188" s="161" t="str">
        <f t="shared" ref="DT188:DT193" si="293">IF($AZ188="", "", (BP187*$CW188)/$CZ188)</f>
        <v/>
      </c>
      <c r="DU188" s="161" t="str">
        <f t="shared" ref="DU188:DU193" si="294">IF($AZ188="", "", (BQ187*$CW188)/$CZ188)</f>
        <v/>
      </c>
      <c r="DV188" s="161" t="str">
        <f t="shared" ref="DV188:DV193" si="295">IF($AZ188="", "", (BR187*$CW188)/$CZ188)</f>
        <v/>
      </c>
      <c r="DW188" s="161" t="str">
        <f t="shared" ref="DW188:DW193" si="296">IF($AZ188="", "", (BS187*$CW188)/$CZ188)</f>
        <v/>
      </c>
      <c r="DX188" s="161" t="str">
        <f t="shared" ref="DX188:DX193" si="297">IF($AZ188="", "", (BT187*$CW188)/$CZ188)</f>
        <v/>
      </c>
      <c r="DY188" s="161" t="str">
        <f t="shared" ref="DY188:DY193" si="298">IF($AZ188="", "", (BU187*$CW188)/$CZ188)</f>
        <v/>
      </c>
      <c r="DZ188" s="161" t="str">
        <f t="shared" ref="DZ188:DZ193" si="299">IF($AZ188="", "", (BV187*$CW188)/$CZ188)</f>
        <v/>
      </c>
      <c r="EA188" s="161" t="str">
        <f t="shared" ref="EA188:EA193" si="300">IF($AZ188="", "", (BW187*$CW188)/$CZ188)</f>
        <v/>
      </c>
      <c r="EB188" s="161" t="str">
        <f t="shared" ref="EB188:EB193" si="301">IF($AZ188="", "", (BX187*$CW188)/$CZ188)</f>
        <v/>
      </c>
      <c r="EC188" s="161" t="str">
        <f t="shared" ref="EC188:EC193" si="302">IF($AZ188="", "", (BY187*$CW188)/$CZ188)</f>
        <v/>
      </c>
      <c r="ED188" s="161" t="str">
        <f t="shared" ref="ED188:ED193" si="303">IF($AZ188="", "", (BZ187*$CW188)/$CZ188)</f>
        <v/>
      </c>
      <c r="EE188" s="161" t="str">
        <f t="shared" ref="EE188:EE193" si="304">IF($AZ188="", "", (CA187*$CW188)/$CZ188)</f>
        <v/>
      </c>
      <c r="EF188" s="161" t="str">
        <f t="shared" ref="EF188:EF193" si="305">IF($AZ188="", "", (CB187*$CW188)/$CZ188)</f>
        <v/>
      </c>
      <c r="EG188" s="161" t="str">
        <f t="shared" ref="EG188:EG193" si="306">IF($AZ188="", "", (CC187*$CW188)/$CZ188)</f>
        <v/>
      </c>
      <c r="EH188" s="161" t="str">
        <f t="shared" ref="EH188:EH193" si="307">IF($AZ188="", "", (CD187*$CW188)/$CZ188)</f>
        <v/>
      </c>
      <c r="EI188" s="161" t="str">
        <f t="shared" ref="EI188:EI193" si="308">IF($AZ188="", "", (CE187*$CW188)/$CZ188)</f>
        <v/>
      </c>
      <c r="EJ188" s="161" t="str">
        <f t="shared" ref="EJ188:EJ193" si="309">IF($AZ188="", "", (CF187*$CW188)/$CZ188)</f>
        <v/>
      </c>
      <c r="EK188" s="147" t="str">
        <f t="shared" si="246"/>
        <v/>
      </c>
      <c r="EL188" s="149"/>
      <c r="EN188" s="146"/>
      <c r="EO188" s="146"/>
      <c r="EP188" s="139" t="str">
        <f t="shared" si="247"/>
        <v/>
      </c>
      <c r="EQ188" s="139" t="str">
        <f t="shared" si="248"/>
        <v/>
      </c>
      <c r="ER188" s="139" t="str">
        <f t="shared" si="249"/>
        <v/>
      </c>
      <c r="ES188" s="139" t="str">
        <f t="shared" si="250"/>
        <v/>
      </c>
      <c r="ET188" s="139" t="str">
        <f t="shared" si="251"/>
        <v/>
      </c>
      <c r="EU188" s="139" t="str">
        <f t="shared" si="252"/>
        <v/>
      </c>
      <c r="EV188" s="139" t="str">
        <f t="shared" si="253"/>
        <v/>
      </c>
      <c r="EW188" s="139" t="str">
        <f t="shared" si="254"/>
        <v/>
      </c>
      <c r="EX188" s="139" t="str">
        <f t="shared" si="255"/>
        <v/>
      </c>
      <c r="EY188" s="139" t="str">
        <f t="shared" si="256"/>
        <v/>
      </c>
      <c r="EZ188" s="139" t="str">
        <f t="shared" si="257"/>
        <v/>
      </c>
      <c r="FA188" s="139" t="str">
        <f t="shared" si="258"/>
        <v/>
      </c>
      <c r="FB188" s="139" t="str">
        <f t="shared" si="259"/>
        <v/>
      </c>
      <c r="FC188" s="139" t="str">
        <f t="shared" si="260"/>
        <v/>
      </c>
      <c r="FD188" s="139" t="str">
        <f t="shared" si="261"/>
        <v/>
      </c>
      <c r="FE188" s="139" t="str">
        <f t="shared" si="262"/>
        <v/>
      </c>
      <c r="FF188" s="139" t="str">
        <f t="shared" si="263"/>
        <v/>
      </c>
      <c r="FG188" s="139" t="str">
        <f t="shared" si="264"/>
        <v/>
      </c>
      <c r="FH188" s="139" t="str">
        <f t="shared" si="265"/>
        <v/>
      </c>
      <c r="FI188" s="139" t="str">
        <f t="shared" si="266"/>
        <v/>
      </c>
      <c r="FJ188" s="139" t="str">
        <f t="shared" si="267"/>
        <v/>
      </c>
      <c r="FK188" s="139" t="str">
        <f t="shared" si="268"/>
        <v/>
      </c>
      <c r="FL188" s="139" t="str">
        <f t="shared" si="269"/>
        <v/>
      </c>
      <c r="FM188" s="139" t="str">
        <f t="shared" si="270"/>
        <v/>
      </c>
      <c r="FN188" s="139" t="str">
        <f t="shared" si="271"/>
        <v/>
      </c>
      <c r="FO188" s="139" t="str">
        <f t="shared" si="272"/>
        <v/>
      </c>
      <c r="FP188" s="139" t="str">
        <f t="shared" si="273"/>
        <v/>
      </c>
      <c r="FQ188" s="139" t="str">
        <f t="shared" si="274"/>
        <v/>
      </c>
      <c r="FR188" s="139" t="str">
        <f t="shared" si="275"/>
        <v/>
      </c>
      <c r="FS188" s="139" t="str">
        <f t="shared" si="276"/>
        <v/>
      </c>
      <c r="FT188" s="139" t="str">
        <f t="shared" si="277"/>
        <v/>
      </c>
      <c r="FU188" s="148" t="str">
        <f t="shared" si="278"/>
        <v/>
      </c>
      <c r="FV188" s="149"/>
      <c r="FY188" s="211">
        <v>183</v>
      </c>
      <c r="FZ188">
        <v>15.351852539407361</v>
      </c>
      <c r="GA188">
        <v>48.271345508271821</v>
      </c>
      <c r="GB188">
        <v>80.057187398030123</v>
      </c>
      <c r="GC188">
        <v>47.374743876438288</v>
      </c>
      <c r="GD188">
        <v>15.554289618576998</v>
      </c>
      <c r="GE188">
        <v>31.791719551952546</v>
      </c>
      <c r="GF188">
        <v>78.041513651050565</v>
      </c>
      <c r="GG188">
        <v>67.452344614610055</v>
      </c>
      <c r="GH188">
        <v>35.021371652772928</v>
      </c>
      <c r="GI188">
        <v>54.366666715674064</v>
      </c>
      <c r="GJ188"/>
      <c r="GK188"/>
      <c r="GL188"/>
      <c r="GM188"/>
    </row>
    <row r="189" spans="1:195" s="7" customFormat="1">
      <c r="A189" s="1"/>
      <c r="B189" s="76" t="str">
        <f ca="1">IF(C189="", "", RAND())</f>
        <v/>
      </c>
      <c r="C189" t="s">
        <v>104</v>
      </c>
      <c r="D189" t="s">
        <v>104</v>
      </c>
      <c r="E189" t="s">
        <v>104</v>
      </c>
      <c r="F189" t="s">
        <v>104</v>
      </c>
      <c r="G189" t="s">
        <v>104</v>
      </c>
      <c r="H189" t="s">
        <v>104</v>
      </c>
      <c r="I189" t="s">
        <v>104</v>
      </c>
      <c r="J189" t="s">
        <v>104</v>
      </c>
      <c r="K189" t="s">
        <v>104</v>
      </c>
      <c r="L189" t="s">
        <v>104</v>
      </c>
      <c r="M189" t="s">
        <v>104</v>
      </c>
      <c r="N189" t="s">
        <v>104</v>
      </c>
      <c r="O189" t="s">
        <v>104</v>
      </c>
      <c r="P189" t="s">
        <v>104</v>
      </c>
      <c r="Q189" t="s">
        <v>104</v>
      </c>
      <c r="R189" t="s">
        <v>104</v>
      </c>
      <c r="S189" t="s">
        <v>104</v>
      </c>
      <c r="T189" t="s">
        <v>104</v>
      </c>
      <c r="U189" t="s">
        <v>104</v>
      </c>
      <c r="V189" t="s">
        <v>104</v>
      </c>
      <c r="W189" t="s">
        <v>104</v>
      </c>
      <c r="X189" t="s">
        <v>104</v>
      </c>
      <c r="Y189" t="s">
        <v>104</v>
      </c>
      <c r="Z189" t="s">
        <v>104</v>
      </c>
      <c r="AA189" t="s">
        <v>104</v>
      </c>
      <c r="AB189" t="s">
        <v>104</v>
      </c>
      <c r="AC189" t="s">
        <v>104</v>
      </c>
      <c r="AD189" t="s">
        <v>104</v>
      </c>
      <c r="AE189" t="s">
        <v>104</v>
      </c>
      <c r="AF189" t="s">
        <v>104</v>
      </c>
      <c r="AG189" t="s">
        <v>104</v>
      </c>
      <c r="AH189" t="s">
        <v>104</v>
      </c>
      <c r="AI189" t="s">
        <v>104</v>
      </c>
      <c r="AJ189" s="2"/>
      <c r="AK189" s="80"/>
      <c r="AL189" s="74">
        <v>3.0028000000000028</v>
      </c>
      <c r="AM189" s="43">
        <v>173</v>
      </c>
      <c r="AN189">
        <v>296.37068315417952</v>
      </c>
      <c r="AO189">
        <v>103.95000358251693</v>
      </c>
      <c r="AP189">
        <v>760.14692265902772</v>
      </c>
      <c r="AQ189">
        <v>553.03293889809049</v>
      </c>
      <c r="AR189">
        <v>93.726951970347031</v>
      </c>
      <c r="AS189">
        <v>744.57105202444404</v>
      </c>
      <c r="AT189">
        <v>49.031091016621389</v>
      </c>
      <c r="AU189">
        <v>79.600107169355951</v>
      </c>
      <c r="AV189"/>
      <c r="AW189"/>
      <c r="AX189" s="146"/>
      <c r="AY189" s="76" t="str">
        <f t="shared" ca="1" si="169"/>
        <v/>
      </c>
      <c r="AZ189"/>
      <c r="BA189" s="129" t="s">
        <v>104</v>
      </c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 s="147"/>
      <c r="CH189" s="176"/>
      <c r="CJ189" s="146"/>
      <c r="CK189" s="76" t="str">
        <f t="shared" ca="1" si="204"/>
        <v/>
      </c>
      <c r="CL189" s="179" t="str">
        <f t="shared" si="205"/>
        <v/>
      </c>
      <c r="CM189" s="180" t="str">
        <f t="shared" si="206"/>
        <v/>
      </c>
      <c r="CN189"/>
      <c r="CO189"/>
      <c r="CP189"/>
      <c r="CQ189"/>
      <c r="CR189"/>
      <c r="CS189"/>
      <c r="CT189"/>
      <c r="CU189"/>
      <c r="CV189" s="160"/>
      <c r="CW189"/>
      <c r="CX189"/>
      <c r="CY189" s="160"/>
      <c r="CZ189" s="177" t="str">
        <f t="shared" si="207"/>
        <v/>
      </c>
      <c r="DB189" s="146"/>
      <c r="DC189" s="76" t="str">
        <f t="shared" ca="1" si="170"/>
        <v/>
      </c>
      <c r="DD189" t="str">
        <f t="shared" si="208"/>
        <v/>
      </c>
      <c r="DE189" s="129" t="str">
        <f t="shared" si="279"/>
        <v/>
      </c>
      <c r="DF189" s="161" t="str">
        <f t="shared" si="280"/>
        <v/>
      </c>
      <c r="DG189" s="161" t="str">
        <f t="shared" si="281"/>
        <v/>
      </c>
      <c r="DH189" s="161" t="str">
        <f t="shared" si="282"/>
        <v/>
      </c>
      <c r="DI189" s="161" t="str">
        <f t="shared" si="283"/>
        <v/>
      </c>
      <c r="DJ189" s="161" t="str">
        <f t="shared" si="284"/>
        <v/>
      </c>
      <c r="DK189" s="161" t="str">
        <f t="shared" si="285"/>
        <v/>
      </c>
      <c r="DL189" s="161" t="str">
        <f t="shared" si="286"/>
        <v/>
      </c>
      <c r="DM189" s="161" t="str">
        <f t="shared" si="287"/>
        <v/>
      </c>
      <c r="DN189" s="161" t="str">
        <f>IF($AZ189="", "", (BJ189*$CW189)/$CZ189)</f>
        <v/>
      </c>
      <c r="DO189" s="161" t="str">
        <f t="shared" si="288"/>
        <v/>
      </c>
      <c r="DP189" s="161" t="str">
        <f t="shared" si="289"/>
        <v/>
      </c>
      <c r="DQ189" s="161" t="str">
        <f t="shared" si="290"/>
        <v/>
      </c>
      <c r="DR189" s="161" t="str">
        <f t="shared" si="291"/>
        <v/>
      </c>
      <c r="DS189" s="161" t="str">
        <f t="shared" si="292"/>
        <v/>
      </c>
      <c r="DT189" s="161" t="str">
        <f t="shared" si="293"/>
        <v/>
      </c>
      <c r="DU189" s="161" t="str">
        <f t="shared" si="294"/>
        <v/>
      </c>
      <c r="DV189" s="161" t="str">
        <f t="shared" si="295"/>
        <v/>
      </c>
      <c r="DW189" s="161" t="str">
        <f t="shared" si="296"/>
        <v/>
      </c>
      <c r="DX189" s="161" t="str">
        <f t="shared" si="297"/>
        <v/>
      </c>
      <c r="DY189" s="161" t="str">
        <f t="shared" si="298"/>
        <v/>
      </c>
      <c r="DZ189" s="161" t="str">
        <f t="shared" si="299"/>
        <v/>
      </c>
      <c r="EA189" s="161" t="str">
        <f t="shared" si="300"/>
        <v/>
      </c>
      <c r="EB189" s="161" t="str">
        <f t="shared" si="301"/>
        <v/>
      </c>
      <c r="EC189" s="161" t="str">
        <f t="shared" si="302"/>
        <v/>
      </c>
      <c r="ED189" s="161" t="str">
        <f t="shared" si="303"/>
        <v/>
      </c>
      <c r="EE189" s="161" t="str">
        <f t="shared" si="304"/>
        <v/>
      </c>
      <c r="EF189" s="161" t="str">
        <f t="shared" si="305"/>
        <v/>
      </c>
      <c r="EG189" s="161" t="str">
        <f t="shared" si="306"/>
        <v/>
      </c>
      <c r="EH189" s="161" t="str">
        <f t="shared" si="307"/>
        <v/>
      </c>
      <c r="EI189" s="161" t="str">
        <f t="shared" si="308"/>
        <v/>
      </c>
      <c r="EJ189" s="161" t="str">
        <f t="shared" si="309"/>
        <v/>
      </c>
      <c r="EK189" s="147" t="str">
        <f t="shared" si="246"/>
        <v/>
      </c>
      <c r="EL189" s="149"/>
      <c r="EN189" s="146"/>
      <c r="EO189" s="146"/>
      <c r="EP189" s="139" t="str">
        <f t="shared" si="247"/>
        <v/>
      </c>
      <c r="EQ189" s="139" t="str">
        <f t="shared" si="248"/>
        <v/>
      </c>
      <c r="ER189" s="139" t="str">
        <f t="shared" si="249"/>
        <v/>
      </c>
      <c r="ES189" s="139" t="str">
        <f t="shared" si="250"/>
        <v/>
      </c>
      <c r="ET189" s="139" t="str">
        <f t="shared" si="251"/>
        <v/>
      </c>
      <c r="EU189" s="139" t="str">
        <f t="shared" si="252"/>
        <v/>
      </c>
      <c r="EV189" s="139" t="str">
        <f t="shared" si="253"/>
        <v/>
      </c>
      <c r="EW189" s="139" t="str">
        <f t="shared" si="254"/>
        <v/>
      </c>
      <c r="EX189" s="139" t="str">
        <f t="shared" si="255"/>
        <v/>
      </c>
      <c r="EY189" s="139" t="str">
        <f t="shared" si="256"/>
        <v/>
      </c>
      <c r="EZ189" s="139" t="str">
        <f t="shared" si="257"/>
        <v/>
      </c>
      <c r="FA189" s="139" t="str">
        <f t="shared" si="258"/>
        <v/>
      </c>
      <c r="FB189" s="139" t="str">
        <f t="shared" si="259"/>
        <v/>
      </c>
      <c r="FC189" s="139" t="str">
        <f t="shared" si="260"/>
        <v/>
      </c>
      <c r="FD189" s="139" t="str">
        <f t="shared" si="261"/>
        <v/>
      </c>
      <c r="FE189" s="139" t="str">
        <f t="shared" si="262"/>
        <v/>
      </c>
      <c r="FF189" s="139" t="str">
        <f t="shared" si="263"/>
        <v/>
      </c>
      <c r="FG189" s="139" t="str">
        <f t="shared" si="264"/>
        <v/>
      </c>
      <c r="FH189" s="139" t="str">
        <f t="shared" si="265"/>
        <v/>
      </c>
      <c r="FI189" s="139" t="str">
        <f t="shared" si="266"/>
        <v/>
      </c>
      <c r="FJ189" s="139" t="str">
        <f t="shared" si="267"/>
        <v/>
      </c>
      <c r="FK189" s="139" t="str">
        <f t="shared" si="268"/>
        <v/>
      </c>
      <c r="FL189" s="139" t="str">
        <f t="shared" si="269"/>
        <v/>
      </c>
      <c r="FM189" s="139" t="str">
        <f t="shared" si="270"/>
        <v/>
      </c>
      <c r="FN189" s="139" t="str">
        <f t="shared" si="271"/>
        <v/>
      </c>
      <c r="FO189" s="139" t="str">
        <f t="shared" si="272"/>
        <v/>
      </c>
      <c r="FP189" s="139" t="str">
        <f t="shared" si="273"/>
        <v/>
      </c>
      <c r="FQ189" s="139" t="str">
        <f t="shared" si="274"/>
        <v/>
      </c>
      <c r="FR189" s="139" t="str">
        <f t="shared" si="275"/>
        <v/>
      </c>
      <c r="FS189" s="139" t="str">
        <f t="shared" si="276"/>
        <v/>
      </c>
      <c r="FT189" s="139" t="str">
        <f t="shared" si="277"/>
        <v/>
      </c>
      <c r="FU189" s="148" t="str">
        <f t="shared" si="278"/>
        <v/>
      </c>
      <c r="FV189" s="149"/>
      <c r="FY189" s="211">
        <v>184</v>
      </c>
      <c r="FZ189">
        <v>25.560966441641728</v>
      </c>
      <c r="GA189">
        <v>57.594555798556094</v>
      </c>
      <c r="GB189">
        <v>62.779305288519474</v>
      </c>
      <c r="GC189">
        <v>41.961311623526626</v>
      </c>
      <c r="GD189">
        <v>22.770194700318292</v>
      </c>
      <c r="GE189">
        <v>46.093024110357113</v>
      </c>
      <c r="GF189">
        <v>56.998587080851436</v>
      </c>
      <c r="GG189">
        <v>31.626584559248769</v>
      </c>
      <c r="GH189">
        <v>22.231243408316299</v>
      </c>
      <c r="GI189">
        <v>48.679391996814793</v>
      </c>
      <c r="GJ189"/>
      <c r="GK189"/>
      <c r="GL189"/>
      <c r="GM189"/>
    </row>
    <row r="190" spans="1:195" s="7" customFormat="1">
      <c r="A190" s="1"/>
      <c r="B190" s="76" t="str">
        <f ca="1">IF(C190="", "", RAND())</f>
        <v/>
      </c>
      <c r="C190" t="s">
        <v>104</v>
      </c>
      <c r="D190" t="s">
        <v>104</v>
      </c>
      <c r="E190" t="s">
        <v>104</v>
      </c>
      <c r="F190" t="s">
        <v>104</v>
      </c>
      <c r="G190" t="s">
        <v>104</v>
      </c>
      <c r="H190" t="s">
        <v>104</v>
      </c>
      <c r="I190" t="s">
        <v>104</v>
      </c>
      <c r="J190" t="s">
        <v>104</v>
      </c>
      <c r="K190" t="s">
        <v>104</v>
      </c>
      <c r="L190" t="s">
        <v>104</v>
      </c>
      <c r="M190" t="s">
        <v>104</v>
      </c>
      <c r="N190" t="s">
        <v>104</v>
      </c>
      <c r="O190" t="s">
        <v>104</v>
      </c>
      <c r="P190" t="s">
        <v>104</v>
      </c>
      <c r="Q190" t="s">
        <v>104</v>
      </c>
      <c r="R190" t="s">
        <v>104</v>
      </c>
      <c r="S190" t="s">
        <v>104</v>
      </c>
      <c r="T190" t="s">
        <v>104</v>
      </c>
      <c r="U190" t="s">
        <v>104</v>
      </c>
      <c r="V190" t="s">
        <v>104</v>
      </c>
      <c r="W190" t="s">
        <v>104</v>
      </c>
      <c r="X190" t="s">
        <v>104</v>
      </c>
      <c r="Y190" t="s">
        <v>104</v>
      </c>
      <c r="Z190" t="s">
        <v>104</v>
      </c>
      <c r="AA190" t="s">
        <v>104</v>
      </c>
      <c r="AB190" t="s">
        <v>104</v>
      </c>
      <c r="AC190" t="s">
        <v>104</v>
      </c>
      <c r="AD190" t="s">
        <v>104</v>
      </c>
      <c r="AE190" t="s">
        <v>104</v>
      </c>
      <c r="AF190" t="s">
        <v>104</v>
      </c>
      <c r="AG190" t="s">
        <v>104</v>
      </c>
      <c r="AH190" t="s">
        <v>104</v>
      </c>
      <c r="AI190" t="s">
        <v>104</v>
      </c>
      <c r="AJ190" s="2"/>
      <c r="AK190" s="80"/>
      <c r="AL190" s="74">
        <v>3.0028000000000028</v>
      </c>
      <c r="AM190" s="43">
        <v>174</v>
      </c>
      <c r="AN190">
        <v>290.07960823285521</v>
      </c>
      <c r="AO190">
        <v>88.674147394975947</v>
      </c>
      <c r="AP190">
        <v>614.94657581215915</v>
      </c>
      <c r="AQ190">
        <v>475.62572341564174</v>
      </c>
      <c r="AR190">
        <v>79.420708027914912</v>
      </c>
      <c r="AS190">
        <v>705.92980721491506</v>
      </c>
      <c r="AT190">
        <v>43.554882536292688</v>
      </c>
      <c r="AU190">
        <v>91.146201176287079</v>
      </c>
      <c r="AV190"/>
      <c r="AW190"/>
      <c r="AX190" s="146"/>
      <c r="AY190" s="76" t="str">
        <f t="shared" ca="1" si="169"/>
        <v/>
      </c>
      <c r="AZ190"/>
      <c r="BA190" s="129" t="s">
        <v>104</v>
      </c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 s="147"/>
      <c r="CH190" s="176"/>
      <c r="CJ190" s="146"/>
      <c r="CK190" s="76" t="str">
        <f t="shared" ca="1" si="204"/>
        <v/>
      </c>
      <c r="CL190" s="179" t="str">
        <f t="shared" si="205"/>
        <v/>
      </c>
      <c r="CM190" s="180" t="str">
        <f t="shared" si="206"/>
        <v/>
      </c>
      <c r="CN190"/>
      <c r="CO190"/>
      <c r="CP190"/>
      <c r="CQ190"/>
      <c r="CR190"/>
      <c r="CS190"/>
      <c r="CT190"/>
      <c r="CU190"/>
      <c r="CV190" s="160"/>
      <c r="CW190"/>
      <c r="CX190"/>
      <c r="CY190" s="160"/>
      <c r="CZ190" s="177" t="str">
        <f t="shared" si="207"/>
        <v/>
      </c>
      <c r="DB190" s="146"/>
      <c r="DC190" s="76" t="str">
        <f t="shared" ca="1" si="170"/>
        <v/>
      </c>
      <c r="DD190" t="str">
        <f t="shared" si="208"/>
        <v/>
      </c>
      <c r="DE190" s="129" t="str">
        <f t="shared" si="279"/>
        <v/>
      </c>
      <c r="DF190" s="161" t="str">
        <f t="shared" si="280"/>
        <v/>
      </c>
      <c r="DG190" s="161" t="str">
        <f t="shared" si="281"/>
        <v/>
      </c>
      <c r="DH190" s="161" t="str">
        <f t="shared" si="282"/>
        <v/>
      </c>
      <c r="DI190" s="161" t="str">
        <f t="shared" si="283"/>
        <v/>
      </c>
      <c r="DJ190" s="161" t="str">
        <f t="shared" si="284"/>
        <v/>
      </c>
      <c r="DK190" s="161" t="str">
        <f t="shared" si="285"/>
        <v/>
      </c>
      <c r="DL190" s="161" t="str">
        <f t="shared" si="286"/>
        <v/>
      </c>
      <c r="DM190" s="161" t="str">
        <f t="shared" si="287"/>
        <v/>
      </c>
      <c r="DN190" s="161" t="str">
        <f>IF($AZ190="", "", (BJ190*$CW190)/$CZ190)</f>
        <v/>
      </c>
      <c r="DO190" s="161" t="str">
        <f t="shared" si="288"/>
        <v/>
      </c>
      <c r="DP190" s="161" t="str">
        <f t="shared" si="289"/>
        <v/>
      </c>
      <c r="DQ190" s="161" t="str">
        <f t="shared" si="290"/>
        <v/>
      </c>
      <c r="DR190" s="161" t="str">
        <f t="shared" si="291"/>
        <v/>
      </c>
      <c r="DS190" s="161" t="str">
        <f t="shared" si="292"/>
        <v/>
      </c>
      <c r="DT190" s="161" t="str">
        <f t="shared" si="293"/>
        <v/>
      </c>
      <c r="DU190" s="161" t="str">
        <f t="shared" si="294"/>
        <v/>
      </c>
      <c r="DV190" s="161" t="str">
        <f t="shared" si="295"/>
        <v/>
      </c>
      <c r="DW190" s="161" t="str">
        <f t="shared" si="296"/>
        <v/>
      </c>
      <c r="DX190" s="161" t="str">
        <f t="shared" si="297"/>
        <v/>
      </c>
      <c r="DY190" s="161" t="str">
        <f t="shared" si="298"/>
        <v/>
      </c>
      <c r="DZ190" s="161" t="str">
        <f t="shared" si="299"/>
        <v/>
      </c>
      <c r="EA190" s="161" t="str">
        <f t="shared" si="300"/>
        <v/>
      </c>
      <c r="EB190" s="161" t="str">
        <f t="shared" si="301"/>
        <v/>
      </c>
      <c r="EC190" s="161" t="str">
        <f t="shared" si="302"/>
        <v/>
      </c>
      <c r="ED190" s="161" t="str">
        <f t="shared" si="303"/>
        <v/>
      </c>
      <c r="EE190" s="161" t="str">
        <f t="shared" si="304"/>
        <v/>
      </c>
      <c r="EF190" s="161" t="str">
        <f t="shared" si="305"/>
        <v/>
      </c>
      <c r="EG190" s="161" t="str">
        <f t="shared" si="306"/>
        <v/>
      </c>
      <c r="EH190" s="161" t="str">
        <f t="shared" si="307"/>
        <v/>
      </c>
      <c r="EI190" s="161" t="str">
        <f t="shared" si="308"/>
        <v/>
      </c>
      <c r="EJ190" s="161" t="str">
        <f t="shared" si="309"/>
        <v/>
      </c>
      <c r="EK190" s="147" t="str">
        <f t="shared" si="246"/>
        <v/>
      </c>
      <c r="EL190" s="149"/>
      <c r="EN190" s="146"/>
      <c r="EO190" s="146"/>
      <c r="EP190" s="139" t="str">
        <f t="shared" si="247"/>
        <v/>
      </c>
      <c r="EQ190" s="139" t="str">
        <f t="shared" si="248"/>
        <v/>
      </c>
      <c r="ER190" s="139" t="str">
        <f t="shared" si="249"/>
        <v/>
      </c>
      <c r="ES190" s="139" t="str">
        <f t="shared" si="250"/>
        <v/>
      </c>
      <c r="ET190" s="139" t="str">
        <f t="shared" si="251"/>
        <v/>
      </c>
      <c r="EU190" s="139" t="str">
        <f t="shared" si="252"/>
        <v/>
      </c>
      <c r="EV190" s="139" t="str">
        <f t="shared" si="253"/>
        <v/>
      </c>
      <c r="EW190" s="139" t="str">
        <f t="shared" si="254"/>
        <v/>
      </c>
      <c r="EX190" s="139" t="str">
        <f t="shared" si="255"/>
        <v/>
      </c>
      <c r="EY190" s="139" t="str">
        <f t="shared" si="256"/>
        <v/>
      </c>
      <c r="EZ190" s="139" t="str">
        <f t="shared" si="257"/>
        <v/>
      </c>
      <c r="FA190" s="139" t="str">
        <f t="shared" si="258"/>
        <v/>
      </c>
      <c r="FB190" s="139" t="str">
        <f t="shared" si="259"/>
        <v/>
      </c>
      <c r="FC190" s="139" t="str">
        <f t="shared" si="260"/>
        <v/>
      </c>
      <c r="FD190" s="139" t="str">
        <f t="shared" si="261"/>
        <v/>
      </c>
      <c r="FE190" s="139" t="str">
        <f t="shared" si="262"/>
        <v/>
      </c>
      <c r="FF190" s="139" t="str">
        <f t="shared" si="263"/>
        <v/>
      </c>
      <c r="FG190" s="139" t="str">
        <f t="shared" si="264"/>
        <v/>
      </c>
      <c r="FH190" s="139" t="str">
        <f t="shared" si="265"/>
        <v/>
      </c>
      <c r="FI190" s="139" t="str">
        <f t="shared" si="266"/>
        <v/>
      </c>
      <c r="FJ190" s="139" t="str">
        <f t="shared" si="267"/>
        <v/>
      </c>
      <c r="FK190" s="139" t="str">
        <f t="shared" si="268"/>
        <v/>
      </c>
      <c r="FL190" s="139" t="str">
        <f t="shared" si="269"/>
        <v/>
      </c>
      <c r="FM190" s="139" t="str">
        <f t="shared" si="270"/>
        <v/>
      </c>
      <c r="FN190" s="139" t="str">
        <f t="shared" si="271"/>
        <v/>
      </c>
      <c r="FO190" s="139" t="str">
        <f t="shared" si="272"/>
        <v/>
      </c>
      <c r="FP190" s="139" t="str">
        <f t="shared" si="273"/>
        <v/>
      </c>
      <c r="FQ190" s="139" t="str">
        <f t="shared" si="274"/>
        <v/>
      </c>
      <c r="FR190" s="139" t="str">
        <f t="shared" si="275"/>
        <v/>
      </c>
      <c r="FS190" s="139" t="str">
        <f t="shared" si="276"/>
        <v/>
      </c>
      <c r="FT190" s="139" t="str">
        <f t="shared" si="277"/>
        <v/>
      </c>
      <c r="FU190" s="148" t="str">
        <f t="shared" si="278"/>
        <v/>
      </c>
      <c r="FV190" s="149"/>
      <c r="FY190" s="211">
        <v>185</v>
      </c>
      <c r="FZ190">
        <v>22.687943723528942</v>
      </c>
      <c r="GA190">
        <v>65.479591327487711</v>
      </c>
      <c r="GB190">
        <v>65.935530834543826</v>
      </c>
      <c r="GC190">
        <v>34.947199250674593</v>
      </c>
      <c r="GD190">
        <v>18.584500650739681</v>
      </c>
      <c r="GE190">
        <v>51.770458730082936</v>
      </c>
      <c r="GF190">
        <v>68.385093231002315</v>
      </c>
      <c r="GG190">
        <v>43.647962636119466</v>
      </c>
      <c r="GH190">
        <v>34.314028916507432</v>
      </c>
      <c r="GI190">
        <v>50.526934123071868</v>
      </c>
      <c r="GJ190"/>
      <c r="GK190"/>
      <c r="GL190"/>
      <c r="GM190"/>
    </row>
    <row r="191" spans="1:195" s="7" customFormat="1">
      <c r="A191" s="1"/>
      <c r="B191" s="76" t="str">
        <f ca="1">IF(C191="", "", RAND())</f>
        <v/>
      </c>
      <c r="C191" t="s">
        <v>104</v>
      </c>
      <c r="D191" t="s">
        <v>104</v>
      </c>
      <c r="E191" t="s">
        <v>104</v>
      </c>
      <c r="F191" t="s">
        <v>104</v>
      </c>
      <c r="G191" t="s">
        <v>104</v>
      </c>
      <c r="H191" t="s">
        <v>104</v>
      </c>
      <c r="I191" t="s">
        <v>104</v>
      </c>
      <c r="J191" t="s">
        <v>104</v>
      </c>
      <c r="K191" t="s">
        <v>104</v>
      </c>
      <c r="L191" t="s">
        <v>104</v>
      </c>
      <c r="M191" t="s">
        <v>104</v>
      </c>
      <c r="N191" t="s">
        <v>104</v>
      </c>
      <c r="O191" t="s">
        <v>104</v>
      </c>
      <c r="P191" t="s">
        <v>104</v>
      </c>
      <c r="Q191" t="s">
        <v>104</v>
      </c>
      <c r="R191" t="s">
        <v>104</v>
      </c>
      <c r="S191" t="s">
        <v>104</v>
      </c>
      <c r="T191" t="s">
        <v>104</v>
      </c>
      <c r="U191" t="s">
        <v>104</v>
      </c>
      <c r="V191" t="s">
        <v>104</v>
      </c>
      <c r="W191" t="s">
        <v>104</v>
      </c>
      <c r="X191" t="s">
        <v>104</v>
      </c>
      <c r="Y191" t="s">
        <v>104</v>
      </c>
      <c r="Z191" t="s">
        <v>104</v>
      </c>
      <c r="AA191" t="s">
        <v>104</v>
      </c>
      <c r="AB191" t="s">
        <v>104</v>
      </c>
      <c r="AC191" t="s">
        <v>104</v>
      </c>
      <c r="AD191" t="s">
        <v>104</v>
      </c>
      <c r="AE191" t="s">
        <v>104</v>
      </c>
      <c r="AF191" t="s">
        <v>104</v>
      </c>
      <c r="AG191" t="s">
        <v>104</v>
      </c>
      <c r="AH191" t="s">
        <v>104</v>
      </c>
      <c r="AI191" t="s">
        <v>104</v>
      </c>
      <c r="AJ191" s="2"/>
      <c r="AK191" s="80"/>
      <c r="AL191" s="74">
        <v>3.0028000000000028</v>
      </c>
      <c r="AM191" s="43">
        <v>175</v>
      </c>
      <c r="AN191">
        <v>305.06835735040528</v>
      </c>
      <c r="AO191">
        <v>106.81698993799853</v>
      </c>
      <c r="AP191">
        <v>756.9929018221037</v>
      </c>
      <c r="AQ191">
        <v>529.46820717324363</v>
      </c>
      <c r="AR191">
        <v>95.191872027545742</v>
      </c>
      <c r="AS191">
        <v>781.02089900562976</v>
      </c>
      <c r="AT191">
        <v>52.064348567585249</v>
      </c>
      <c r="AU191">
        <v>105.42257323317999</v>
      </c>
      <c r="AV191"/>
      <c r="AW191"/>
      <c r="AX191" s="146"/>
      <c r="AY191" s="76" t="str">
        <f t="shared" ca="1" si="169"/>
        <v/>
      </c>
      <c r="AZ191"/>
      <c r="BA191" s="129" t="s">
        <v>104</v>
      </c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 s="147"/>
      <c r="CH191" s="176"/>
      <c r="CJ191" s="146"/>
      <c r="CK191" s="76" t="str">
        <f t="shared" ca="1" si="204"/>
        <v/>
      </c>
      <c r="CL191" s="179" t="str">
        <f t="shared" si="205"/>
        <v/>
      </c>
      <c r="CM191" s="180" t="str">
        <f t="shared" si="206"/>
        <v/>
      </c>
      <c r="CN191"/>
      <c r="CO191"/>
      <c r="CP191"/>
      <c r="CQ191"/>
      <c r="CR191"/>
      <c r="CS191"/>
      <c r="CT191"/>
      <c r="CU191"/>
      <c r="CV191" s="160"/>
      <c r="CW191"/>
      <c r="CX191"/>
      <c r="CY191" s="160"/>
      <c r="CZ191" s="177" t="str">
        <f t="shared" si="207"/>
        <v/>
      </c>
      <c r="DB191" s="146"/>
      <c r="DC191" s="76" t="str">
        <f t="shared" ca="1" si="170"/>
        <v/>
      </c>
      <c r="DD191" t="str">
        <f t="shared" si="208"/>
        <v/>
      </c>
      <c r="DE191" s="129" t="str">
        <f t="shared" si="279"/>
        <v/>
      </c>
      <c r="DF191" s="161" t="str">
        <f t="shared" si="280"/>
        <v/>
      </c>
      <c r="DG191" s="161" t="str">
        <f t="shared" si="281"/>
        <v/>
      </c>
      <c r="DH191" s="161" t="str">
        <f t="shared" si="282"/>
        <v/>
      </c>
      <c r="DI191" s="161" t="str">
        <f t="shared" si="283"/>
        <v/>
      </c>
      <c r="DJ191" s="161" t="str">
        <f t="shared" si="284"/>
        <v/>
      </c>
      <c r="DK191" s="161" t="str">
        <f t="shared" si="285"/>
        <v/>
      </c>
      <c r="DL191" s="161" t="str">
        <f t="shared" si="286"/>
        <v/>
      </c>
      <c r="DM191" s="161" t="str">
        <f t="shared" si="287"/>
        <v/>
      </c>
      <c r="DN191" s="161" t="str">
        <f>IF($AZ191="", "", (BJ191*$CW191)/$CZ191)</f>
        <v/>
      </c>
      <c r="DO191" s="161" t="str">
        <f t="shared" si="288"/>
        <v/>
      </c>
      <c r="DP191" s="161" t="str">
        <f t="shared" si="289"/>
        <v/>
      </c>
      <c r="DQ191" s="161" t="str">
        <f t="shared" si="290"/>
        <v/>
      </c>
      <c r="DR191" s="161" t="str">
        <f t="shared" si="291"/>
        <v/>
      </c>
      <c r="DS191" s="161" t="str">
        <f t="shared" si="292"/>
        <v/>
      </c>
      <c r="DT191" s="161" t="str">
        <f t="shared" si="293"/>
        <v/>
      </c>
      <c r="DU191" s="161" t="str">
        <f t="shared" si="294"/>
        <v/>
      </c>
      <c r="DV191" s="161" t="str">
        <f t="shared" si="295"/>
        <v/>
      </c>
      <c r="DW191" s="161" t="str">
        <f t="shared" si="296"/>
        <v/>
      </c>
      <c r="DX191" s="161" t="str">
        <f t="shared" si="297"/>
        <v/>
      </c>
      <c r="DY191" s="161" t="str">
        <f t="shared" si="298"/>
        <v/>
      </c>
      <c r="DZ191" s="161" t="str">
        <f t="shared" si="299"/>
        <v/>
      </c>
      <c r="EA191" s="161" t="str">
        <f t="shared" si="300"/>
        <v/>
      </c>
      <c r="EB191" s="161" t="str">
        <f t="shared" si="301"/>
        <v/>
      </c>
      <c r="EC191" s="161" t="str">
        <f t="shared" si="302"/>
        <v/>
      </c>
      <c r="ED191" s="161" t="str">
        <f t="shared" si="303"/>
        <v/>
      </c>
      <c r="EE191" s="161" t="str">
        <f t="shared" si="304"/>
        <v/>
      </c>
      <c r="EF191" s="161" t="str">
        <f t="shared" si="305"/>
        <v/>
      </c>
      <c r="EG191" s="161" t="str">
        <f t="shared" si="306"/>
        <v/>
      </c>
      <c r="EH191" s="161" t="str">
        <f t="shared" si="307"/>
        <v/>
      </c>
      <c r="EI191" s="161" t="str">
        <f t="shared" si="308"/>
        <v/>
      </c>
      <c r="EJ191" s="161" t="str">
        <f t="shared" si="309"/>
        <v/>
      </c>
      <c r="EK191" s="147" t="str">
        <f t="shared" si="246"/>
        <v/>
      </c>
      <c r="EL191" s="149"/>
      <c r="EN191" s="146"/>
      <c r="EO191" s="146"/>
      <c r="EP191" s="139" t="str">
        <f t="shared" si="247"/>
        <v/>
      </c>
      <c r="EQ191" s="139" t="str">
        <f t="shared" si="248"/>
        <v/>
      </c>
      <c r="ER191" s="139" t="str">
        <f t="shared" si="249"/>
        <v/>
      </c>
      <c r="ES191" s="139" t="str">
        <f t="shared" si="250"/>
        <v/>
      </c>
      <c r="ET191" s="139" t="str">
        <f t="shared" si="251"/>
        <v/>
      </c>
      <c r="EU191" s="139" t="str">
        <f t="shared" si="252"/>
        <v/>
      </c>
      <c r="EV191" s="139" t="str">
        <f t="shared" si="253"/>
        <v/>
      </c>
      <c r="EW191" s="139" t="str">
        <f t="shared" si="254"/>
        <v/>
      </c>
      <c r="EX191" s="139" t="str">
        <f t="shared" si="255"/>
        <v/>
      </c>
      <c r="EY191" s="139" t="str">
        <f t="shared" si="256"/>
        <v/>
      </c>
      <c r="EZ191" s="139" t="str">
        <f t="shared" si="257"/>
        <v/>
      </c>
      <c r="FA191" s="139" t="str">
        <f t="shared" si="258"/>
        <v/>
      </c>
      <c r="FB191" s="139" t="str">
        <f t="shared" si="259"/>
        <v/>
      </c>
      <c r="FC191" s="139" t="str">
        <f t="shared" si="260"/>
        <v/>
      </c>
      <c r="FD191" s="139" t="str">
        <f t="shared" si="261"/>
        <v/>
      </c>
      <c r="FE191" s="139" t="str">
        <f t="shared" si="262"/>
        <v/>
      </c>
      <c r="FF191" s="139" t="str">
        <f t="shared" si="263"/>
        <v/>
      </c>
      <c r="FG191" s="139" t="str">
        <f t="shared" si="264"/>
        <v/>
      </c>
      <c r="FH191" s="139" t="str">
        <f t="shared" si="265"/>
        <v/>
      </c>
      <c r="FI191" s="139" t="str">
        <f t="shared" si="266"/>
        <v/>
      </c>
      <c r="FJ191" s="139" t="str">
        <f t="shared" si="267"/>
        <v/>
      </c>
      <c r="FK191" s="139" t="str">
        <f t="shared" si="268"/>
        <v/>
      </c>
      <c r="FL191" s="139" t="str">
        <f t="shared" si="269"/>
        <v/>
      </c>
      <c r="FM191" s="139" t="str">
        <f t="shared" si="270"/>
        <v/>
      </c>
      <c r="FN191" s="139" t="str">
        <f t="shared" si="271"/>
        <v/>
      </c>
      <c r="FO191" s="139" t="str">
        <f t="shared" si="272"/>
        <v/>
      </c>
      <c r="FP191" s="139" t="str">
        <f t="shared" si="273"/>
        <v/>
      </c>
      <c r="FQ191" s="139" t="str">
        <f t="shared" si="274"/>
        <v/>
      </c>
      <c r="FR191" s="139" t="str">
        <f t="shared" si="275"/>
        <v/>
      </c>
      <c r="FS191" s="139" t="str">
        <f t="shared" si="276"/>
        <v/>
      </c>
      <c r="FT191" s="139" t="str">
        <f t="shared" si="277"/>
        <v/>
      </c>
      <c r="FU191" s="148" t="str">
        <f t="shared" si="278"/>
        <v/>
      </c>
      <c r="FV191" s="149"/>
      <c r="FY191" s="211">
        <v>186</v>
      </c>
      <c r="FZ191">
        <v>29.133507037912896</v>
      </c>
      <c r="GA191">
        <v>64.377339771816764</v>
      </c>
      <c r="GB191">
        <v>67.3246800076341</v>
      </c>
      <c r="GC191">
        <v>37.892771614235045</v>
      </c>
      <c r="GD191">
        <v>14.110765248044931</v>
      </c>
      <c r="GE191">
        <v>45.063457157762173</v>
      </c>
      <c r="GF191">
        <v>104.01707318657445</v>
      </c>
      <c r="GG191">
        <v>53.89047746664334</v>
      </c>
      <c r="GH191">
        <v>10.074784800260652</v>
      </c>
      <c r="GI191">
        <v>52.862896774326501</v>
      </c>
      <c r="GJ191"/>
      <c r="GK191"/>
      <c r="GL191"/>
      <c r="GM191"/>
    </row>
    <row r="192" spans="1:195" s="7" customFormat="1">
      <c r="A192" s="1"/>
      <c r="B192" s="76" t="str">
        <f ca="1">IF(C192="", "", RAND())</f>
        <v/>
      </c>
      <c r="C192" t="s">
        <v>104</v>
      </c>
      <c r="D192" t="s">
        <v>104</v>
      </c>
      <c r="E192" t="s">
        <v>104</v>
      </c>
      <c r="F192" t="s">
        <v>104</v>
      </c>
      <c r="G192" t="s">
        <v>104</v>
      </c>
      <c r="H192" t="s">
        <v>104</v>
      </c>
      <c r="I192" t="s">
        <v>104</v>
      </c>
      <c r="J192" t="s">
        <v>104</v>
      </c>
      <c r="K192" t="s">
        <v>104</v>
      </c>
      <c r="L192" t="s">
        <v>104</v>
      </c>
      <c r="M192" t="s">
        <v>104</v>
      </c>
      <c r="N192" t="s">
        <v>104</v>
      </c>
      <c r="O192" t="s">
        <v>104</v>
      </c>
      <c r="P192" t="s">
        <v>104</v>
      </c>
      <c r="Q192" t="s">
        <v>104</v>
      </c>
      <c r="R192" t="s">
        <v>104</v>
      </c>
      <c r="S192" t="s">
        <v>104</v>
      </c>
      <c r="T192" t="s">
        <v>104</v>
      </c>
      <c r="U192" t="s">
        <v>104</v>
      </c>
      <c r="V192" t="s">
        <v>104</v>
      </c>
      <c r="W192" t="s">
        <v>104</v>
      </c>
      <c r="X192" t="s">
        <v>104</v>
      </c>
      <c r="Y192" t="s">
        <v>104</v>
      </c>
      <c r="Z192" t="s">
        <v>104</v>
      </c>
      <c r="AA192" t="s">
        <v>104</v>
      </c>
      <c r="AB192" t="s">
        <v>104</v>
      </c>
      <c r="AC192" t="s">
        <v>104</v>
      </c>
      <c r="AD192" t="s">
        <v>104</v>
      </c>
      <c r="AE192" t="s">
        <v>104</v>
      </c>
      <c r="AF192" t="s">
        <v>104</v>
      </c>
      <c r="AG192" t="s">
        <v>104</v>
      </c>
      <c r="AH192" t="s">
        <v>104</v>
      </c>
      <c r="AI192" t="s">
        <v>104</v>
      </c>
      <c r="AJ192" s="2"/>
      <c r="AK192" s="80"/>
      <c r="AL192" s="74"/>
      <c r="AM192" s="43">
        <v>176</v>
      </c>
      <c r="AN192">
        <v>307.86885598473646</v>
      </c>
      <c r="AO192">
        <v>105.33259048505177</v>
      </c>
      <c r="AP192">
        <v>776.70045806822793</v>
      </c>
      <c r="AQ192">
        <v>590.83184884891068</v>
      </c>
      <c r="AR192">
        <v>94.605896894487245</v>
      </c>
      <c r="AS192">
        <v>770.8194679362266</v>
      </c>
      <c r="AT192">
        <v>52.338377779600599</v>
      </c>
      <c r="AU192">
        <v>122.84167274744935</v>
      </c>
      <c r="AV192"/>
      <c r="AW192"/>
      <c r="AX192" s="146"/>
      <c r="AY192" s="76" t="str">
        <f t="shared" ca="1" si="169"/>
        <v/>
      </c>
      <c r="AZ192"/>
      <c r="BA192" s="129" t="s">
        <v>104</v>
      </c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 s="147"/>
      <c r="CH192" s="176"/>
      <c r="CJ192" s="146"/>
      <c r="CK192" s="76" t="str">
        <f t="shared" ca="1" si="204"/>
        <v/>
      </c>
      <c r="CL192" s="179" t="str">
        <f t="shared" si="205"/>
        <v/>
      </c>
      <c r="CM192" s="180" t="str">
        <f t="shared" si="206"/>
        <v/>
      </c>
      <c r="CN192"/>
      <c r="CO192"/>
      <c r="CP192"/>
      <c r="CQ192"/>
      <c r="CR192"/>
      <c r="CS192"/>
      <c r="CT192"/>
      <c r="CU192"/>
      <c r="CV192" s="160"/>
      <c r="CW192"/>
      <c r="CX192"/>
      <c r="CY192" s="160"/>
      <c r="CZ192" s="177" t="str">
        <f t="shared" si="207"/>
        <v/>
      </c>
      <c r="DB192" s="146"/>
      <c r="DC192" s="76" t="str">
        <f t="shared" ca="1" si="170"/>
        <v/>
      </c>
      <c r="DD192" t="str">
        <f t="shared" si="208"/>
        <v/>
      </c>
      <c r="DE192" s="129" t="str">
        <f t="shared" si="279"/>
        <v/>
      </c>
      <c r="DF192" s="161" t="str">
        <f t="shared" si="280"/>
        <v/>
      </c>
      <c r="DG192" s="161" t="str">
        <f t="shared" si="281"/>
        <v/>
      </c>
      <c r="DH192" s="161" t="str">
        <f t="shared" si="282"/>
        <v/>
      </c>
      <c r="DI192" s="161" t="str">
        <f t="shared" si="283"/>
        <v/>
      </c>
      <c r="DJ192" s="161" t="str">
        <f t="shared" si="284"/>
        <v/>
      </c>
      <c r="DK192" s="161" t="str">
        <f t="shared" si="285"/>
        <v/>
      </c>
      <c r="DL192" s="161" t="str">
        <f t="shared" si="286"/>
        <v/>
      </c>
      <c r="DM192" s="161" t="str">
        <f t="shared" si="287"/>
        <v/>
      </c>
      <c r="DN192" s="161" t="str">
        <f>IF($AZ192="", "", (BJ192*$CW192)/$CZ192)</f>
        <v/>
      </c>
      <c r="DO192" s="161" t="str">
        <f t="shared" si="288"/>
        <v/>
      </c>
      <c r="DP192" s="161" t="str">
        <f t="shared" si="289"/>
        <v/>
      </c>
      <c r="DQ192" s="161" t="str">
        <f t="shared" si="290"/>
        <v/>
      </c>
      <c r="DR192" s="161" t="str">
        <f t="shared" si="291"/>
        <v/>
      </c>
      <c r="DS192" s="161" t="str">
        <f t="shared" si="292"/>
        <v/>
      </c>
      <c r="DT192" s="161" t="str">
        <f t="shared" si="293"/>
        <v/>
      </c>
      <c r="DU192" s="161" t="str">
        <f t="shared" si="294"/>
        <v/>
      </c>
      <c r="DV192" s="161" t="str">
        <f t="shared" si="295"/>
        <v/>
      </c>
      <c r="DW192" s="161" t="str">
        <f t="shared" si="296"/>
        <v/>
      </c>
      <c r="DX192" s="161" t="str">
        <f t="shared" si="297"/>
        <v/>
      </c>
      <c r="DY192" s="161" t="str">
        <f t="shared" si="298"/>
        <v/>
      </c>
      <c r="DZ192" s="161" t="str">
        <f t="shared" si="299"/>
        <v/>
      </c>
      <c r="EA192" s="161" t="str">
        <f t="shared" si="300"/>
        <v/>
      </c>
      <c r="EB192" s="161" t="str">
        <f t="shared" si="301"/>
        <v/>
      </c>
      <c r="EC192" s="161" t="str">
        <f t="shared" si="302"/>
        <v/>
      </c>
      <c r="ED192" s="161" t="str">
        <f t="shared" si="303"/>
        <v/>
      </c>
      <c r="EE192" s="161" t="str">
        <f t="shared" si="304"/>
        <v/>
      </c>
      <c r="EF192" s="161" t="str">
        <f t="shared" si="305"/>
        <v/>
      </c>
      <c r="EG192" s="161" t="str">
        <f t="shared" si="306"/>
        <v/>
      </c>
      <c r="EH192" s="161" t="str">
        <f t="shared" si="307"/>
        <v/>
      </c>
      <c r="EI192" s="161" t="str">
        <f t="shared" si="308"/>
        <v/>
      </c>
      <c r="EJ192" s="161" t="str">
        <f t="shared" si="309"/>
        <v/>
      </c>
      <c r="EK192" s="147" t="str">
        <f t="shared" si="246"/>
        <v/>
      </c>
      <c r="EL192" s="149"/>
      <c r="EN192" s="146"/>
      <c r="EO192" s="146"/>
      <c r="EP192" s="139" t="str">
        <f t="shared" si="247"/>
        <v/>
      </c>
      <c r="EQ192" s="139" t="str">
        <f t="shared" si="248"/>
        <v/>
      </c>
      <c r="ER192" s="139" t="str">
        <f t="shared" si="249"/>
        <v/>
      </c>
      <c r="ES192" s="139" t="str">
        <f t="shared" si="250"/>
        <v/>
      </c>
      <c r="ET192" s="139" t="str">
        <f t="shared" si="251"/>
        <v/>
      </c>
      <c r="EU192" s="139" t="str">
        <f t="shared" si="252"/>
        <v/>
      </c>
      <c r="EV192" s="139" t="str">
        <f t="shared" si="253"/>
        <v/>
      </c>
      <c r="EW192" s="139" t="str">
        <f t="shared" si="254"/>
        <v/>
      </c>
      <c r="EX192" s="139" t="str">
        <f t="shared" si="255"/>
        <v/>
      </c>
      <c r="EY192" s="139" t="str">
        <f t="shared" si="256"/>
        <v/>
      </c>
      <c r="EZ192" s="139" t="str">
        <f t="shared" si="257"/>
        <v/>
      </c>
      <c r="FA192" s="139" t="str">
        <f t="shared" si="258"/>
        <v/>
      </c>
      <c r="FB192" s="139" t="str">
        <f t="shared" si="259"/>
        <v/>
      </c>
      <c r="FC192" s="139" t="str">
        <f t="shared" si="260"/>
        <v/>
      </c>
      <c r="FD192" s="139" t="str">
        <f t="shared" si="261"/>
        <v/>
      </c>
      <c r="FE192" s="139" t="str">
        <f t="shared" si="262"/>
        <v/>
      </c>
      <c r="FF192" s="139" t="str">
        <f t="shared" si="263"/>
        <v/>
      </c>
      <c r="FG192" s="139" t="str">
        <f t="shared" si="264"/>
        <v/>
      </c>
      <c r="FH192" s="139" t="str">
        <f t="shared" si="265"/>
        <v/>
      </c>
      <c r="FI192" s="139" t="str">
        <f t="shared" si="266"/>
        <v/>
      </c>
      <c r="FJ192" s="139" t="str">
        <f t="shared" si="267"/>
        <v/>
      </c>
      <c r="FK192" s="139" t="str">
        <f t="shared" si="268"/>
        <v/>
      </c>
      <c r="FL192" s="139" t="str">
        <f t="shared" si="269"/>
        <v/>
      </c>
      <c r="FM192" s="139" t="str">
        <f t="shared" si="270"/>
        <v/>
      </c>
      <c r="FN192" s="139" t="str">
        <f t="shared" si="271"/>
        <v/>
      </c>
      <c r="FO192" s="139" t="str">
        <f t="shared" si="272"/>
        <v/>
      </c>
      <c r="FP192" s="139" t="str">
        <f t="shared" si="273"/>
        <v/>
      </c>
      <c r="FQ192" s="139" t="str">
        <f t="shared" si="274"/>
        <v/>
      </c>
      <c r="FR192" s="139" t="str">
        <f t="shared" si="275"/>
        <v/>
      </c>
      <c r="FS192" s="139" t="str">
        <f t="shared" si="276"/>
        <v/>
      </c>
      <c r="FT192" s="139" t="str">
        <f t="shared" si="277"/>
        <v/>
      </c>
      <c r="FU192" s="148" t="str">
        <f t="shared" si="278"/>
        <v/>
      </c>
      <c r="FV192" s="149"/>
      <c r="FY192" s="211">
        <v>187</v>
      </c>
      <c r="FZ192">
        <v>8.1738122988574968</v>
      </c>
      <c r="GA192">
        <v>42.3990614573082</v>
      </c>
      <c r="GB192">
        <v>92.794845922724861</v>
      </c>
      <c r="GC192">
        <v>52.005686301297736</v>
      </c>
      <c r="GD192">
        <v>12.794130672953143</v>
      </c>
      <c r="GE192">
        <v>44.00251548544199</v>
      </c>
      <c r="GF192">
        <v>135.89464745674437</v>
      </c>
      <c r="GG192">
        <v>82.93863650172797</v>
      </c>
      <c r="GH192">
        <v>15.011595943891095</v>
      </c>
      <c r="GI192">
        <v>63.173064923256121</v>
      </c>
      <c r="GJ192"/>
      <c r="GK192"/>
      <c r="GL192"/>
      <c r="GM192"/>
    </row>
    <row r="193" spans="1:195" s="7" customFormat="1">
      <c r="A193" s="1"/>
      <c r="B193" s="76" t="str">
        <f ca="1">IF(C193="", "", RAND())</f>
        <v/>
      </c>
      <c r="C193" t="s">
        <v>104</v>
      </c>
      <c r="D193" t="s">
        <v>104</v>
      </c>
      <c r="E193" t="s">
        <v>104</v>
      </c>
      <c r="F193" t="s">
        <v>104</v>
      </c>
      <c r="G193" t="s">
        <v>104</v>
      </c>
      <c r="H193" t="s">
        <v>104</v>
      </c>
      <c r="I193" t="s">
        <v>104</v>
      </c>
      <c r="J193" t="s">
        <v>104</v>
      </c>
      <c r="K193" t="s">
        <v>104</v>
      </c>
      <c r="L193" t="s">
        <v>104</v>
      </c>
      <c r="M193" t="s">
        <v>104</v>
      </c>
      <c r="N193" t="s">
        <v>104</v>
      </c>
      <c r="O193" t="s">
        <v>104</v>
      </c>
      <c r="P193" t="s">
        <v>104</v>
      </c>
      <c r="Q193" t="s">
        <v>104</v>
      </c>
      <c r="R193" t="s">
        <v>104</v>
      </c>
      <c r="S193" t="s">
        <v>104</v>
      </c>
      <c r="T193" t="s">
        <v>104</v>
      </c>
      <c r="U193" t="s">
        <v>104</v>
      </c>
      <c r="V193" t="s">
        <v>104</v>
      </c>
      <c r="W193" t="s">
        <v>104</v>
      </c>
      <c r="X193" t="s">
        <v>104</v>
      </c>
      <c r="Y193" t="s">
        <v>104</v>
      </c>
      <c r="Z193" t="s">
        <v>104</v>
      </c>
      <c r="AA193" t="s">
        <v>104</v>
      </c>
      <c r="AB193" t="s">
        <v>104</v>
      </c>
      <c r="AC193" t="s">
        <v>104</v>
      </c>
      <c r="AD193" t="s">
        <v>104</v>
      </c>
      <c r="AE193" t="s">
        <v>104</v>
      </c>
      <c r="AF193" t="s">
        <v>104</v>
      </c>
      <c r="AG193" t="s">
        <v>104</v>
      </c>
      <c r="AH193" t="s">
        <v>104</v>
      </c>
      <c r="AI193" t="s">
        <v>104</v>
      </c>
      <c r="AJ193" s="2"/>
      <c r="AK193" s="80"/>
      <c r="AL193" s="74"/>
      <c r="AM193" s="43">
        <v>177</v>
      </c>
      <c r="AN193">
        <v>310.7924006399204</v>
      </c>
      <c r="AO193">
        <v>120.67748740968538</v>
      </c>
      <c r="AP193">
        <v>877.57214780140214</v>
      </c>
      <c r="AQ193">
        <v>633.85075775113887</v>
      </c>
      <c r="AR193">
        <v>108.64767659422274</v>
      </c>
      <c r="AS193">
        <v>801.61358741847289</v>
      </c>
      <c r="AT193">
        <v>59.653448615971485</v>
      </c>
      <c r="AU193">
        <v>192.0932007116439</v>
      </c>
      <c r="AV193"/>
      <c r="AW193"/>
      <c r="AX193" s="146"/>
      <c r="AY193" s="76" t="str">
        <f t="shared" ca="1" si="169"/>
        <v/>
      </c>
      <c r="AZ193"/>
      <c r="BA193" s="129" t="s">
        <v>104</v>
      </c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 s="147"/>
      <c r="CH193" s="176"/>
      <c r="CJ193" s="146"/>
      <c r="CK193" s="76" t="str">
        <f t="shared" ca="1" si="204"/>
        <v/>
      </c>
      <c r="CL193" s="179" t="str">
        <f t="shared" si="205"/>
        <v/>
      </c>
      <c r="CM193" s="180" t="str">
        <f t="shared" si="206"/>
        <v/>
      </c>
      <c r="CN193"/>
      <c r="CO193"/>
      <c r="CP193"/>
      <c r="CQ193"/>
      <c r="CR193"/>
      <c r="CS193"/>
      <c r="CT193"/>
      <c r="CU193"/>
      <c r="CV193" s="160"/>
      <c r="CW193"/>
      <c r="CX193"/>
      <c r="CY193" s="160"/>
      <c r="CZ193" s="177" t="str">
        <f t="shared" si="207"/>
        <v/>
      </c>
      <c r="DB193" s="146"/>
      <c r="DC193" s="76" t="str">
        <f t="shared" ca="1" si="170"/>
        <v/>
      </c>
      <c r="DD193" t="str">
        <f t="shared" si="208"/>
        <v/>
      </c>
      <c r="DE193" s="129" t="str">
        <f t="shared" si="279"/>
        <v/>
      </c>
      <c r="DF193" s="161" t="str">
        <f t="shared" si="280"/>
        <v/>
      </c>
      <c r="DG193" s="161" t="str">
        <f t="shared" si="281"/>
        <v/>
      </c>
      <c r="DH193" s="161" t="str">
        <f t="shared" si="282"/>
        <v/>
      </c>
      <c r="DI193" s="161" t="str">
        <f t="shared" si="283"/>
        <v/>
      </c>
      <c r="DJ193" s="161" t="str">
        <f t="shared" si="284"/>
        <v/>
      </c>
      <c r="DK193" s="161" t="str">
        <f t="shared" si="285"/>
        <v/>
      </c>
      <c r="DL193" s="161" t="str">
        <f t="shared" si="286"/>
        <v/>
      </c>
      <c r="DM193" s="161" t="str">
        <f t="shared" si="287"/>
        <v/>
      </c>
      <c r="DN193" s="161" t="str">
        <f t="shared" ref="DN193:DN207" si="310">IF($AZ193="", "", (BJ193*$CW193)/$CZ193)</f>
        <v/>
      </c>
      <c r="DO193" s="161" t="str">
        <f t="shared" si="288"/>
        <v/>
      </c>
      <c r="DP193" s="161" t="str">
        <f t="shared" si="289"/>
        <v/>
      </c>
      <c r="DQ193" s="161" t="str">
        <f t="shared" si="290"/>
        <v/>
      </c>
      <c r="DR193" s="161" t="str">
        <f t="shared" si="291"/>
        <v/>
      </c>
      <c r="DS193" s="161" t="str">
        <f t="shared" si="292"/>
        <v/>
      </c>
      <c r="DT193" s="161" t="str">
        <f t="shared" si="293"/>
        <v/>
      </c>
      <c r="DU193" s="161" t="str">
        <f t="shared" si="294"/>
        <v/>
      </c>
      <c r="DV193" s="161" t="str">
        <f t="shared" si="295"/>
        <v/>
      </c>
      <c r="DW193" s="161" t="str">
        <f t="shared" si="296"/>
        <v/>
      </c>
      <c r="DX193" s="161" t="str">
        <f t="shared" si="297"/>
        <v/>
      </c>
      <c r="DY193" s="161" t="str">
        <f t="shared" si="298"/>
        <v/>
      </c>
      <c r="DZ193" s="161" t="str">
        <f t="shared" si="299"/>
        <v/>
      </c>
      <c r="EA193" s="161" t="str">
        <f t="shared" si="300"/>
        <v/>
      </c>
      <c r="EB193" s="161" t="str">
        <f t="shared" si="301"/>
        <v/>
      </c>
      <c r="EC193" s="161" t="str">
        <f t="shared" si="302"/>
        <v/>
      </c>
      <c r="ED193" s="161" t="str">
        <f t="shared" si="303"/>
        <v/>
      </c>
      <c r="EE193" s="161" t="str">
        <f t="shared" si="304"/>
        <v/>
      </c>
      <c r="EF193" s="161" t="str">
        <f t="shared" si="305"/>
        <v/>
      </c>
      <c r="EG193" s="161" t="str">
        <f t="shared" si="306"/>
        <v/>
      </c>
      <c r="EH193" s="161" t="str">
        <f t="shared" si="307"/>
        <v/>
      </c>
      <c r="EI193" s="161" t="str">
        <f t="shared" si="308"/>
        <v/>
      </c>
      <c r="EJ193" s="161" t="str">
        <f t="shared" si="309"/>
        <v/>
      </c>
      <c r="EK193" s="147" t="str">
        <f t="shared" si="246"/>
        <v/>
      </c>
      <c r="EL193" s="149"/>
      <c r="EN193" s="146"/>
      <c r="EO193" s="146"/>
      <c r="EP193" s="139" t="str">
        <f t="shared" si="247"/>
        <v/>
      </c>
      <c r="EQ193" s="139" t="str">
        <f t="shared" si="248"/>
        <v/>
      </c>
      <c r="ER193" s="139" t="str">
        <f t="shared" si="249"/>
        <v/>
      </c>
      <c r="ES193" s="139" t="str">
        <f t="shared" si="250"/>
        <v/>
      </c>
      <c r="ET193" s="139" t="str">
        <f t="shared" si="251"/>
        <v/>
      </c>
      <c r="EU193" s="139" t="str">
        <f t="shared" si="252"/>
        <v/>
      </c>
      <c r="EV193" s="139" t="str">
        <f t="shared" si="253"/>
        <v/>
      </c>
      <c r="EW193" s="139" t="str">
        <f t="shared" si="254"/>
        <v/>
      </c>
      <c r="EX193" s="139" t="str">
        <f t="shared" si="255"/>
        <v/>
      </c>
      <c r="EY193" s="139" t="str">
        <f t="shared" si="256"/>
        <v/>
      </c>
      <c r="EZ193" s="139" t="str">
        <f t="shared" si="257"/>
        <v/>
      </c>
      <c r="FA193" s="139" t="str">
        <f t="shared" si="258"/>
        <v/>
      </c>
      <c r="FB193" s="139" t="str">
        <f t="shared" si="259"/>
        <v/>
      </c>
      <c r="FC193" s="139" t="str">
        <f t="shared" si="260"/>
        <v/>
      </c>
      <c r="FD193" s="139" t="str">
        <f t="shared" si="261"/>
        <v/>
      </c>
      <c r="FE193" s="139" t="str">
        <f t="shared" si="262"/>
        <v/>
      </c>
      <c r="FF193" s="139" t="str">
        <f t="shared" si="263"/>
        <v/>
      </c>
      <c r="FG193" s="139" t="str">
        <f t="shared" si="264"/>
        <v/>
      </c>
      <c r="FH193" s="139" t="str">
        <f t="shared" si="265"/>
        <v/>
      </c>
      <c r="FI193" s="139" t="str">
        <f t="shared" si="266"/>
        <v/>
      </c>
      <c r="FJ193" s="139" t="str">
        <f t="shared" si="267"/>
        <v/>
      </c>
      <c r="FK193" s="139" t="str">
        <f t="shared" si="268"/>
        <v/>
      </c>
      <c r="FL193" s="139" t="str">
        <f t="shared" si="269"/>
        <v/>
      </c>
      <c r="FM193" s="139" t="str">
        <f t="shared" si="270"/>
        <v/>
      </c>
      <c r="FN193" s="139" t="str">
        <f t="shared" si="271"/>
        <v/>
      </c>
      <c r="FO193" s="139" t="str">
        <f t="shared" si="272"/>
        <v/>
      </c>
      <c r="FP193" s="139" t="str">
        <f t="shared" si="273"/>
        <v/>
      </c>
      <c r="FQ193" s="139" t="str">
        <f t="shared" si="274"/>
        <v/>
      </c>
      <c r="FR193" s="139" t="str">
        <f t="shared" si="275"/>
        <v/>
      </c>
      <c r="FS193" s="139" t="str">
        <f t="shared" si="276"/>
        <v/>
      </c>
      <c r="FT193" s="139" t="str">
        <f t="shared" si="277"/>
        <v/>
      </c>
      <c r="FU193" s="148" t="str">
        <f t="shared" si="278"/>
        <v/>
      </c>
      <c r="FV193" s="149"/>
      <c r="FY193" s="211">
        <v>188</v>
      </c>
      <c r="FZ193">
        <v>18.98893092415635</v>
      </c>
      <c r="GA193">
        <v>46.694974385376597</v>
      </c>
      <c r="GB193">
        <v>51.970832617242095</v>
      </c>
      <c r="GC193">
        <v>36.384721404627747</v>
      </c>
      <c r="GD193">
        <v>21.985459482180755</v>
      </c>
      <c r="GE193">
        <v>39.884870448935267</v>
      </c>
      <c r="GF193">
        <v>85.474886102679349</v>
      </c>
      <c r="GG193">
        <v>91.719567606385468</v>
      </c>
      <c r="GH193">
        <v>57.640929280438399</v>
      </c>
      <c r="GI193">
        <v>56.343388817794605</v>
      </c>
      <c r="GJ193"/>
      <c r="GK193"/>
      <c r="GL193"/>
      <c r="GM193"/>
    </row>
    <row r="194" spans="1:195" s="7" customFormat="1">
      <c r="A194" s="1"/>
      <c r="B194" s="76" t="str">
        <f ca="1">IF(C194="", "", RAND())</f>
        <v/>
      </c>
      <c r="C194" t="s">
        <v>104</v>
      </c>
      <c r="D194" t="s">
        <v>104</v>
      </c>
      <c r="E194" t="s">
        <v>104</v>
      </c>
      <c r="F194" t="s">
        <v>104</v>
      </c>
      <c r="G194" t="s">
        <v>104</v>
      </c>
      <c r="H194" t="s">
        <v>104</v>
      </c>
      <c r="I194" t="s">
        <v>104</v>
      </c>
      <c r="J194" t="s">
        <v>104</v>
      </c>
      <c r="K194" t="s">
        <v>104</v>
      </c>
      <c r="L194" t="s">
        <v>104</v>
      </c>
      <c r="M194" t="s">
        <v>104</v>
      </c>
      <c r="N194" t="s">
        <v>104</v>
      </c>
      <c r="O194" t="s">
        <v>104</v>
      </c>
      <c r="P194" t="s">
        <v>104</v>
      </c>
      <c r="Q194" t="s">
        <v>104</v>
      </c>
      <c r="R194" t="s">
        <v>104</v>
      </c>
      <c r="S194" t="s">
        <v>104</v>
      </c>
      <c r="T194" t="s">
        <v>104</v>
      </c>
      <c r="U194" t="s">
        <v>104</v>
      </c>
      <c r="V194" t="s">
        <v>104</v>
      </c>
      <c r="W194" t="s">
        <v>104</v>
      </c>
      <c r="X194" t="s">
        <v>104</v>
      </c>
      <c r="Y194" t="s">
        <v>104</v>
      </c>
      <c r="Z194" t="s">
        <v>104</v>
      </c>
      <c r="AA194" t="s">
        <v>104</v>
      </c>
      <c r="AB194" t="s">
        <v>104</v>
      </c>
      <c r="AC194" t="s">
        <v>104</v>
      </c>
      <c r="AD194" t="s">
        <v>104</v>
      </c>
      <c r="AE194" t="s">
        <v>104</v>
      </c>
      <c r="AF194" t="s">
        <v>104</v>
      </c>
      <c r="AG194" t="s">
        <v>104</v>
      </c>
      <c r="AH194" t="s">
        <v>104</v>
      </c>
      <c r="AI194" t="s">
        <v>104</v>
      </c>
      <c r="AJ194" s="2"/>
      <c r="AK194" s="80"/>
      <c r="AL194" s="74"/>
      <c r="AM194" s="43">
        <v>178</v>
      </c>
      <c r="AN194">
        <v>205.30327116731797</v>
      </c>
      <c r="AO194">
        <v>70.699179887561087</v>
      </c>
      <c r="AP194">
        <v>496.26457145352242</v>
      </c>
      <c r="AQ194">
        <v>386.63671215044775</v>
      </c>
      <c r="AR194">
        <v>64.844459422631701</v>
      </c>
      <c r="AS194">
        <v>545.5191435455713</v>
      </c>
      <c r="AT194">
        <v>35.03842321517218</v>
      </c>
      <c r="AU194">
        <v>48.73296209720494</v>
      </c>
      <c r="AV194"/>
      <c r="AW194"/>
      <c r="AX194" s="146"/>
      <c r="AY194" s="76" t="str">
        <f t="shared" ca="1" si="169"/>
        <v/>
      </c>
      <c r="AZ194"/>
      <c r="BA194" s="129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 s="147"/>
      <c r="CH194" s="176"/>
      <c r="CJ194" s="146"/>
      <c r="CK194" s="76" t="str">
        <f t="shared" ca="1" si="204"/>
        <v/>
      </c>
      <c r="CL194" s="179" t="str">
        <f t="shared" si="205"/>
        <v/>
      </c>
      <c r="CM194" s="180" t="str">
        <f t="shared" si="206"/>
        <v/>
      </c>
      <c r="CN194"/>
      <c r="CO194"/>
      <c r="CP194"/>
      <c r="CQ194"/>
      <c r="CR194"/>
      <c r="CS194"/>
      <c r="CT194"/>
      <c r="CU194"/>
      <c r="CV194" s="160"/>
      <c r="CW194"/>
      <c r="CX194"/>
      <c r="CY194" s="165"/>
      <c r="CZ194" s="177" t="str">
        <f t="shared" si="207"/>
        <v/>
      </c>
      <c r="DB194" s="146"/>
      <c r="DC194" s="76" t="str">
        <f t="shared" ca="1" si="170"/>
        <v/>
      </c>
      <c r="DD194" t="str">
        <f t="shared" si="208"/>
        <v/>
      </c>
      <c r="DE194" s="129" t="str">
        <f t="shared" si="279"/>
        <v/>
      </c>
      <c r="DF194" s="161" t="str">
        <f t="shared" si="280"/>
        <v/>
      </c>
      <c r="DG194" s="161" t="str">
        <f t="shared" si="281"/>
        <v/>
      </c>
      <c r="DH194" s="161" t="str">
        <f t="shared" si="282"/>
        <v/>
      </c>
      <c r="DI194" s="161" t="str">
        <f t="shared" si="283"/>
        <v/>
      </c>
      <c r="DJ194" s="161" t="str">
        <f t="shared" si="284"/>
        <v/>
      </c>
      <c r="DK194" s="161" t="str">
        <f t="shared" si="285"/>
        <v/>
      </c>
      <c r="DL194" s="161" t="str">
        <f t="shared" si="286"/>
        <v/>
      </c>
      <c r="DM194" s="161" t="str">
        <f t="shared" si="287"/>
        <v/>
      </c>
      <c r="DN194" s="161" t="str">
        <f t="shared" si="310"/>
        <v/>
      </c>
      <c r="DO194" s="161" t="str">
        <f t="shared" ref="DO194:DO206" si="311">IF($AZ194="", "", (BK193*$CW194)/$CZ194)</f>
        <v/>
      </c>
      <c r="DP194" s="161" t="str">
        <f t="shared" ref="DP194:DP206" si="312">IF($AZ194="", "", (BL193*$CW194)/$CZ194)</f>
        <v/>
      </c>
      <c r="DQ194" s="161" t="str">
        <f t="shared" ref="DQ194:DQ206" si="313">IF($AZ194="", "", (BM193*$CW194)/$CZ194)</f>
        <v/>
      </c>
      <c r="DR194" s="161" t="str">
        <f t="shared" ref="DR194:DR206" si="314">IF($AZ194="", "", (BN193*$CW194)/$CZ194)</f>
        <v/>
      </c>
      <c r="DS194" s="161" t="str">
        <f t="shared" ref="DS194:DS206" si="315">IF($AZ194="", "", (BO193*$CW194)/$CZ194)</f>
        <v/>
      </c>
      <c r="DT194" s="161" t="str">
        <f t="shared" ref="DT194:DT206" si="316">IF($AZ194="", "", (BP193*$CW194)/$CZ194)</f>
        <v/>
      </c>
      <c r="DU194" s="161" t="str">
        <f t="shared" ref="DU194:DU206" si="317">IF($AZ194="", "", (BQ193*$CW194)/$CZ194)</f>
        <v/>
      </c>
      <c r="DV194" s="161" t="str">
        <f t="shared" ref="DV194:DV206" si="318">IF($AZ194="", "", (BR193*$CW194)/$CZ194)</f>
        <v/>
      </c>
      <c r="DW194" s="161" t="str">
        <f t="shared" ref="DW194:DW206" si="319">IF($AZ194="", "", (BS193*$CW194)/$CZ194)</f>
        <v/>
      </c>
      <c r="DX194" s="161" t="str">
        <f t="shared" ref="DX194:DX206" si="320">IF($AZ194="", "", (BT193*$CW194)/$CZ194)</f>
        <v/>
      </c>
      <c r="DY194" s="161" t="str">
        <f t="shared" ref="DY194:DY206" si="321">IF($AZ194="", "", (BU193*$CW194)/$CZ194)</f>
        <v/>
      </c>
      <c r="DZ194" s="161" t="str">
        <f t="shared" ref="DZ194:DZ206" si="322">IF($AZ194="", "", (BV193*$CW194)/$CZ194)</f>
        <v/>
      </c>
      <c r="EA194" s="161" t="str">
        <f t="shared" ref="EA194:EA206" si="323">IF($AZ194="", "", (BW193*$CW194)/$CZ194)</f>
        <v/>
      </c>
      <c r="EB194" s="161" t="str">
        <f t="shared" ref="EB194:EB206" si="324">IF($AZ194="", "", (BX193*$CW194)/$CZ194)</f>
        <v/>
      </c>
      <c r="EC194" s="161" t="str">
        <f t="shared" ref="EC194:EC206" si="325">IF($AZ194="", "", (BY193*$CW194)/$CZ194)</f>
        <v/>
      </c>
      <c r="ED194" s="161" t="str">
        <f t="shared" ref="ED194:ED206" si="326">IF($AZ194="", "", (BZ193*$CW194)/$CZ194)</f>
        <v/>
      </c>
      <c r="EE194" s="161" t="str">
        <f t="shared" ref="EE194:EE206" si="327">IF($AZ194="", "", (CA193*$CW194)/$CZ194)</f>
        <v/>
      </c>
      <c r="EF194" s="161" t="str">
        <f t="shared" ref="EF194:EF206" si="328">IF($AZ194="", "", (CB193*$CW194)/$CZ194)</f>
        <v/>
      </c>
      <c r="EG194" s="161" t="str">
        <f t="shared" ref="EG194:EG206" si="329">IF($AZ194="", "", (CC193*$CW194)/$CZ194)</f>
        <v/>
      </c>
      <c r="EH194" s="161" t="str">
        <f t="shared" ref="EH194:EH206" si="330">IF($AZ194="", "", (CD193*$CW194)/$CZ194)</f>
        <v/>
      </c>
      <c r="EI194" s="161" t="str">
        <f t="shared" ref="EI194:EI206" si="331">IF($AZ194="", "", (CE193*$CW194)/$CZ194)</f>
        <v/>
      </c>
      <c r="EJ194" s="161" t="str">
        <f t="shared" ref="EJ194:EJ206" si="332">IF($AZ194="", "", (CF193*$CW194)/$CZ194)</f>
        <v/>
      </c>
      <c r="EK194" s="147" t="str">
        <f t="shared" si="246"/>
        <v/>
      </c>
      <c r="EL194" s="149"/>
      <c r="EN194" s="146"/>
      <c r="EO194" s="146"/>
      <c r="EP194" s="139" t="str">
        <f t="shared" si="247"/>
        <v/>
      </c>
      <c r="EQ194" s="139" t="str">
        <f t="shared" si="248"/>
        <v/>
      </c>
      <c r="ER194" s="139" t="str">
        <f t="shared" si="249"/>
        <v/>
      </c>
      <c r="ES194" s="139" t="str">
        <f t="shared" si="250"/>
        <v/>
      </c>
      <c r="ET194" s="139" t="str">
        <f t="shared" si="251"/>
        <v/>
      </c>
      <c r="EU194" s="139" t="str">
        <f t="shared" si="252"/>
        <v/>
      </c>
      <c r="EV194" s="139" t="str">
        <f t="shared" si="253"/>
        <v/>
      </c>
      <c r="EW194" s="139" t="str">
        <f t="shared" si="254"/>
        <v/>
      </c>
      <c r="EX194" s="139" t="str">
        <f t="shared" si="255"/>
        <v/>
      </c>
      <c r="EY194" s="139" t="str">
        <f t="shared" si="256"/>
        <v/>
      </c>
      <c r="EZ194" s="139" t="str">
        <f t="shared" si="257"/>
        <v/>
      </c>
      <c r="FA194" s="139" t="str">
        <f t="shared" si="258"/>
        <v/>
      </c>
      <c r="FB194" s="139" t="str">
        <f t="shared" si="259"/>
        <v/>
      </c>
      <c r="FC194" s="139" t="str">
        <f t="shared" si="260"/>
        <v/>
      </c>
      <c r="FD194" s="139" t="str">
        <f t="shared" si="261"/>
        <v/>
      </c>
      <c r="FE194" s="139" t="str">
        <f t="shared" si="262"/>
        <v/>
      </c>
      <c r="FF194" s="139" t="str">
        <f t="shared" si="263"/>
        <v/>
      </c>
      <c r="FG194" s="139" t="str">
        <f t="shared" si="264"/>
        <v/>
      </c>
      <c r="FH194" s="139" t="str">
        <f t="shared" si="265"/>
        <v/>
      </c>
      <c r="FI194" s="139" t="str">
        <f t="shared" si="266"/>
        <v/>
      </c>
      <c r="FJ194" s="139" t="str">
        <f t="shared" si="267"/>
        <v/>
      </c>
      <c r="FK194" s="139" t="str">
        <f t="shared" si="268"/>
        <v/>
      </c>
      <c r="FL194" s="139" t="str">
        <f t="shared" si="269"/>
        <v/>
      </c>
      <c r="FM194" s="139" t="str">
        <f t="shared" si="270"/>
        <v/>
      </c>
      <c r="FN194" s="139" t="str">
        <f t="shared" si="271"/>
        <v/>
      </c>
      <c r="FO194" s="139" t="str">
        <f t="shared" si="272"/>
        <v/>
      </c>
      <c r="FP194" s="139" t="str">
        <f t="shared" si="273"/>
        <v/>
      </c>
      <c r="FQ194" s="139" t="str">
        <f t="shared" si="274"/>
        <v/>
      </c>
      <c r="FR194" s="139" t="str">
        <f t="shared" si="275"/>
        <v/>
      </c>
      <c r="FS194" s="139" t="str">
        <f t="shared" si="276"/>
        <v/>
      </c>
      <c r="FT194" s="139" t="str">
        <f t="shared" si="277"/>
        <v/>
      </c>
      <c r="FU194" s="148" t="str">
        <f t="shared" si="278"/>
        <v/>
      </c>
      <c r="FV194" s="149"/>
      <c r="FY194" s="211">
        <v>189</v>
      </c>
      <c r="FZ194">
        <v>13.268149938100972</v>
      </c>
      <c r="GA194">
        <v>35.671554462257497</v>
      </c>
      <c r="GB194">
        <v>90.98181243295673</v>
      </c>
      <c r="GC194">
        <v>58.764077877795003</v>
      </c>
      <c r="GD194">
        <v>22.928040034851154</v>
      </c>
      <c r="GE194">
        <v>31.959399022132978</v>
      </c>
      <c r="GF194">
        <v>68.033019668158673</v>
      </c>
      <c r="GG194">
        <v>65.401699009013853</v>
      </c>
      <c r="GH194">
        <v>23.415950694667259</v>
      </c>
      <c r="GI194">
        <v>57.609549288670486</v>
      </c>
      <c r="GJ194"/>
      <c r="GK194"/>
      <c r="GL194"/>
      <c r="GM194"/>
    </row>
    <row r="195" spans="1:195" s="7" customFormat="1">
      <c r="A195" s="1"/>
      <c r="B195" s="76" t="str">
        <f ca="1">IF(C195="", "", RAND())</f>
        <v/>
      </c>
      <c r="C195" t="s">
        <v>104</v>
      </c>
      <c r="D195" t="s">
        <v>104</v>
      </c>
      <c r="E195" t="s">
        <v>104</v>
      </c>
      <c r="F195" t="s">
        <v>104</v>
      </c>
      <c r="G195" t="s">
        <v>104</v>
      </c>
      <c r="H195" t="s">
        <v>104</v>
      </c>
      <c r="I195" t="s">
        <v>104</v>
      </c>
      <c r="J195" t="s">
        <v>104</v>
      </c>
      <c r="K195" t="s">
        <v>104</v>
      </c>
      <c r="L195" t="s">
        <v>104</v>
      </c>
      <c r="M195" t="s">
        <v>104</v>
      </c>
      <c r="N195" t="s">
        <v>104</v>
      </c>
      <c r="O195" t="s">
        <v>104</v>
      </c>
      <c r="P195" t="s">
        <v>104</v>
      </c>
      <c r="Q195" t="s">
        <v>104</v>
      </c>
      <c r="R195" t="s">
        <v>104</v>
      </c>
      <c r="S195" t="s">
        <v>104</v>
      </c>
      <c r="T195" t="s">
        <v>104</v>
      </c>
      <c r="U195" t="s">
        <v>104</v>
      </c>
      <c r="V195" t="s">
        <v>104</v>
      </c>
      <c r="W195" t="s">
        <v>104</v>
      </c>
      <c r="X195" t="s">
        <v>104</v>
      </c>
      <c r="Y195" t="s">
        <v>104</v>
      </c>
      <c r="Z195" t="s">
        <v>104</v>
      </c>
      <c r="AA195" t="s">
        <v>104</v>
      </c>
      <c r="AB195" t="s">
        <v>104</v>
      </c>
      <c r="AC195" t="s">
        <v>104</v>
      </c>
      <c r="AD195" t="s">
        <v>104</v>
      </c>
      <c r="AE195" t="s">
        <v>104</v>
      </c>
      <c r="AF195" t="s">
        <v>104</v>
      </c>
      <c r="AG195" t="s">
        <v>104</v>
      </c>
      <c r="AH195" t="s">
        <v>104</v>
      </c>
      <c r="AI195" t="s">
        <v>104</v>
      </c>
      <c r="AJ195" s="2"/>
      <c r="AK195" s="80"/>
      <c r="AL195" s="74"/>
      <c r="AM195" s="43">
        <v>179</v>
      </c>
      <c r="AN195">
        <v>181.53243722658831</v>
      </c>
      <c r="AO195">
        <v>72.410064650248145</v>
      </c>
      <c r="AP195">
        <v>534.87196059644066</v>
      </c>
      <c r="AQ195">
        <v>386.97670322345499</v>
      </c>
      <c r="AR195">
        <v>65.058263642232902</v>
      </c>
      <c r="AS195">
        <v>499.72317880776501</v>
      </c>
      <c r="AT195">
        <v>35.913130395497177</v>
      </c>
      <c r="AU195">
        <v>98.530047519441041</v>
      </c>
      <c r="AV195"/>
      <c r="AW195"/>
      <c r="AX195" s="146"/>
      <c r="AY195" s="76" t="str">
        <f t="shared" ca="1" si="169"/>
        <v/>
      </c>
      <c r="AZ195"/>
      <c r="BA195" s="129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 s="147"/>
      <c r="CH195" s="176"/>
      <c r="CJ195" s="146"/>
      <c r="CK195" s="76" t="str">
        <f t="shared" ca="1" si="204"/>
        <v/>
      </c>
      <c r="CL195" s="179" t="str">
        <f t="shared" si="205"/>
        <v/>
      </c>
      <c r="CM195" s="180" t="str">
        <f t="shared" si="206"/>
        <v/>
      </c>
      <c r="CN195"/>
      <c r="CO195"/>
      <c r="CP195"/>
      <c r="CQ195"/>
      <c r="CR195"/>
      <c r="CS195"/>
      <c r="CT195"/>
      <c r="CU195"/>
      <c r="CV195" s="160"/>
      <c r="CW195"/>
      <c r="CX195"/>
      <c r="CY195" s="165"/>
      <c r="CZ195" s="177" t="str">
        <f t="shared" si="207"/>
        <v/>
      </c>
      <c r="DB195" s="146"/>
      <c r="DC195" s="76" t="str">
        <f t="shared" ca="1" si="170"/>
        <v/>
      </c>
      <c r="DD195" t="str">
        <f t="shared" si="208"/>
        <v/>
      </c>
      <c r="DE195" s="129" t="str">
        <f t="shared" si="279"/>
        <v/>
      </c>
      <c r="DF195" s="161" t="str">
        <f t="shared" si="280"/>
        <v/>
      </c>
      <c r="DG195" s="161" t="str">
        <f t="shared" si="281"/>
        <v/>
      </c>
      <c r="DH195" s="161" t="str">
        <f t="shared" si="282"/>
        <v/>
      </c>
      <c r="DI195" s="161" t="str">
        <f t="shared" si="283"/>
        <v/>
      </c>
      <c r="DJ195" s="161" t="str">
        <f t="shared" si="284"/>
        <v/>
      </c>
      <c r="DK195" s="161" t="str">
        <f t="shared" si="285"/>
        <v/>
      </c>
      <c r="DL195" s="161" t="str">
        <f t="shared" si="286"/>
        <v/>
      </c>
      <c r="DM195" s="161" t="str">
        <f t="shared" si="287"/>
        <v/>
      </c>
      <c r="DN195" s="161" t="str">
        <f t="shared" si="310"/>
        <v/>
      </c>
      <c r="DO195" s="161" t="str">
        <f t="shared" si="311"/>
        <v/>
      </c>
      <c r="DP195" s="161" t="str">
        <f t="shared" si="312"/>
        <v/>
      </c>
      <c r="DQ195" s="161" t="str">
        <f t="shared" si="313"/>
        <v/>
      </c>
      <c r="DR195" s="161" t="str">
        <f t="shared" si="314"/>
        <v/>
      </c>
      <c r="DS195" s="161" t="str">
        <f t="shared" si="315"/>
        <v/>
      </c>
      <c r="DT195" s="161" t="str">
        <f t="shared" si="316"/>
        <v/>
      </c>
      <c r="DU195" s="161" t="str">
        <f t="shared" si="317"/>
        <v/>
      </c>
      <c r="DV195" s="161" t="str">
        <f t="shared" si="318"/>
        <v/>
      </c>
      <c r="DW195" s="161" t="str">
        <f t="shared" si="319"/>
        <v/>
      </c>
      <c r="DX195" s="161" t="str">
        <f t="shared" si="320"/>
        <v/>
      </c>
      <c r="DY195" s="161" t="str">
        <f t="shared" si="321"/>
        <v/>
      </c>
      <c r="DZ195" s="161" t="str">
        <f t="shared" si="322"/>
        <v/>
      </c>
      <c r="EA195" s="161" t="str">
        <f t="shared" si="323"/>
        <v/>
      </c>
      <c r="EB195" s="161" t="str">
        <f t="shared" si="324"/>
        <v/>
      </c>
      <c r="EC195" s="161" t="str">
        <f t="shared" si="325"/>
        <v/>
      </c>
      <c r="ED195" s="161" t="str">
        <f t="shared" si="326"/>
        <v/>
      </c>
      <c r="EE195" s="161" t="str">
        <f t="shared" si="327"/>
        <v/>
      </c>
      <c r="EF195" s="161" t="str">
        <f t="shared" si="328"/>
        <v/>
      </c>
      <c r="EG195" s="161" t="str">
        <f t="shared" si="329"/>
        <v/>
      </c>
      <c r="EH195" s="161" t="str">
        <f t="shared" si="330"/>
        <v/>
      </c>
      <c r="EI195" s="161" t="str">
        <f t="shared" si="331"/>
        <v/>
      </c>
      <c r="EJ195" s="161" t="str">
        <f t="shared" si="332"/>
        <v/>
      </c>
      <c r="EK195" s="147" t="str">
        <f t="shared" si="246"/>
        <v/>
      </c>
      <c r="EL195" s="149"/>
      <c r="EN195" s="146"/>
      <c r="EO195" s="146"/>
      <c r="EP195" s="139" t="str">
        <f t="shared" si="247"/>
        <v/>
      </c>
      <c r="EQ195" s="139" t="str">
        <f t="shared" si="248"/>
        <v/>
      </c>
      <c r="ER195" s="139" t="str">
        <f t="shared" si="249"/>
        <v/>
      </c>
      <c r="ES195" s="139" t="str">
        <f t="shared" si="250"/>
        <v/>
      </c>
      <c r="ET195" s="139" t="str">
        <f t="shared" si="251"/>
        <v/>
      </c>
      <c r="EU195" s="139" t="str">
        <f t="shared" si="252"/>
        <v/>
      </c>
      <c r="EV195" s="139" t="str">
        <f t="shared" si="253"/>
        <v/>
      </c>
      <c r="EW195" s="139" t="str">
        <f t="shared" si="254"/>
        <v/>
      </c>
      <c r="EX195" s="139" t="str">
        <f t="shared" si="255"/>
        <v/>
      </c>
      <c r="EY195" s="139" t="str">
        <f t="shared" si="256"/>
        <v/>
      </c>
      <c r="EZ195" s="139" t="str">
        <f t="shared" si="257"/>
        <v/>
      </c>
      <c r="FA195" s="139" t="str">
        <f t="shared" si="258"/>
        <v/>
      </c>
      <c r="FB195" s="139" t="str">
        <f t="shared" si="259"/>
        <v/>
      </c>
      <c r="FC195" s="139" t="str">
        <f t="shared" si="260"/>
        <v/>
      </c>
      <c r="FD195" s="139" t="str">
        <f t="shared" si="261"/>
        <v/>
      </c>
      <c r="FE195" s="139" t="str">
        <f t="shared" si="262"/>
        <v/>
      </c>
      <c r="FF195" s="139" t="str">
        <f t="shared" si="263"/>
        <v/>
      </c>
      <c r="FG195" s="139" t="str">
        <f t="shared" si="264"/>
        <v/>
      </c>
      <c r="FH195" s="139" t="str">
        <f t="shared" si="265"/>
        <v/>
      </c>
      <c r="FI195" s="139" t="str">
        <f t="shared" si="266"/>
        <v/>
      </c>
      <c r="FJ195" s="139" t="str">
        <f t="shared" si="267"/>
        <v/>
      </c>
      <c r="FK195" s="139" t="str">
        <f t="shared" si="268"/>
        <v/>
      </c>
      <c r="FL195" s="139" t="str">
        <f t="shared" si="269"/>
        <v/>
      </c>
      <c r="FM195" s="139" t="str">
        <f t="shared" si="270"/>
        <v/>
      </c>
      <c r="FN195" s="139" t="str">
        <f t="shared" si="271"/>
        <v/>
      </c>
      <c r="FO195" s="139" t="str">
        <f t="shared" si="272"/>
        <v/>
      </c>
      <c r="FP195" s="139" t="str">
        <f t="shared" si="273"/>
        <v/>
      </c>
      <c r="FQ195" s="139" t="str">
        <f t="shared" si="274"/>
        <v/>
      </c>
      <c r="FR195" s="139" t="str">
        <f t="shared" si="275"/>
        <v/>
      </c>
      <c r="FS195" s="139" t="str">
        <f t="shared" si="276"/>
        <v/>
      </c>
      <c r="FT195" s="139" t="str">
        <f t="shared" si="277"/>
        <v/>
      </c>
      <c r="FU195" s="148" t="str">
        <f t="shared" si="278"/>
        <v/>
      </c>
      <c r="FV195" s="149"/>
      <c r="FY195" s="211">
        <v>190</v>
      </c>
      <c r="FZ195">
        <v>19.4342973955331</v>
      </c>
      <c r="GA195">
        <v>52.580358125658151</v>
      </c>
      <c r="GB195">
        <v>80.769538013190513</v>
      </c>
      <c r="GC195">
        <v>56.268540981470323</v>
      </c>
      <c r="GD195">
        <v>38.17319939407983</v>
      </c>
      <c r="GE195">
        <v>59.286046472080109</v>
      </c>
      <c r="GF195">
        <v>67.80767182454062</v>
      </c>
      <c r="GG195">
        <v>54.307796084951569</v>
      </c>
      <c r="GH195">
        <v>22.245046509415779</v>
      </c>
      <c r="GI195">
        <v>65.027717016539171</v>
      </c>
      <c r="GJ195"/>
      <c r="GK195"/>
      <c r="GL195"/>
      <c r="GM195"/>
    </row>
    <row r="196" spans="1:195" s="7" customFormat="1">
      <c r="A196" s="1"/>
      <c r="B196" s="76" t="str">
        <f ca="1">IF(C196="", "", RAND())</f>
        <v/>
      </c>
      <c r="C196" t="s">
        <v>104</v>
      </c>
      <c r="D196" t="s">
        <v>104</v>
      </c>
      <c r="E196" t="s">
        <v>104</v>
      </c>
      <c r="F196" t="s">
        <v>104</v>
      </c>
      <c r="G196" t="s">
        <v>104</v>
      </c>
      <c r="H196" t="s">
        <v>104</v>
      </c>
      <c r="I196" t="s">
        <v>104</v>
      </c>
      <c r="J196" t="s">
        <v>104</v>
      </c>
      <c r="K196" t="s">
        <v>104</v>
      </c>
      <c r="L196" t="s">
        <v>104</v>
      </c>
      <c r="M196" t="s">
        <v>104</v>
      </c>
      <c r="N196" t="s">
        <v>104</v>
      </c>
      <c r="O196" t="s">
        <v>104</v>
      </c>
      <c r="P196" t="s">
        <v>104</v>
      </c>
      <c r="Q196" t="s">
        <v>104</v>
      </c>
      <c r="R196" t="s">
        <v>104</v>
      </c>
      <c r="S196" t="s">
        <v>104</v>
      </c>
      <c r="T196" t="s">
        <v>104</v>
      </c>
      <c r="U196" t="s">
        <v>104</v>
      </c>
      <c r="V196" t="s">
        <v>104</v>
      </c>
      <c r="W196" t="s">
        <v>104</v>
      </c>
      <c r="X196" t="s">
        <v>104</v>
      </c>
      <c r="Y196" t="s">
        <v>104</v>
      </c>
      <c r="Z196" t="s">
        <v>104</v>
      </c>
      <c r="AA196" t="s">
        <v>104</v>
      </c>
      <c r="AB196" t="s">
        <v>104</v>
      </c>
      <c r="AC196" t="s">
        <v>104</v>
      </c>
      <c r="AD196" t="s">
        <v>104</v>
      </c>
      <c r="AE196" t="s">
        <v>104</v>
      </c>
      <c r="AF196" t="s">
        <v>104</v>
      </c>
      <c r="AG196" t="s">
        <v>104</v>
      </c>
      <c r="AH196" t="s">
        <v>104</v>
      </c>
      <c r="AI196" t="s">
        <v>104</v>
      </c>
      <c r="AJ196" s="2"/>
      <c r="AK196" s="80"/>
      <c r="AL196" s="74"/>
      <c r="AM196" s="43">
        <v>180</v>
      </c>
      <c r="AN196">
        <v>264.77814062697701</v>
      </c>
      <c r="AO196">
        <v>76.714598229754557</v>
      </c>
      <c r="AP196">
        <v>552.90632595619923</v>
      </c>
      <c r="AQ196">
        <v>412.63701803771153</v>
      </c>
      <c r="AR196">
        <v>69.592168336235702</v>
      </c>
      <c r="AS196">
        <v>625.26966768572947</v>
      </c>
      <c r="AT196" t="e">
        <v>#DIV/0!</v>
      </c>
      <c r="AU196" t="e">
        <v>#DIV/0!</v>
      </c>
      <c r="AV196"/>
      <c r="AW196"/>
      <c r="AX196" s="146"/>
      <c r="AY196" s="76" t="str">
        <f t="shared" ca="1" si="169"/>
        <v/>
      </c>
      <c r="AZ196"/>
      <c r="BA196" s="129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 s="147"/>
      <c r="CH196" s="176"/>
      <c r="CJ196" s="146"/>
      <c r="CK196" s="76" t="str">
        <f t="shared" ca="1" si="204"/>
        <v/>
      </c>
      <c r="CL196" s="179" t="str">
        <f t="shared" si="205"/>
        <v/>
      </c>
      <c r="CM196" s="180" t="str">
        <f t="shared" si="206"/>
        <v/>
      </c>
      <c r="CN196"/>
      <c r="CO196"/>
      <c r="CP196"/>
      <c r="CQ196"/>
      <c r="CR196"/>
      <c r="CS196"/>
      <c r="CT196"/>
      <c r="CU196"/>
      <c r="CV196" s="160"/>
      <c r="CW196"/>
      <c r="CX196"/>
      <c r="CY196" s="165"/>
      <c r="CZ196" s="177" t="str">
        <f t="shared" si="207"/>
        <v/>
      </c>
      <c r="DB196" s="146"/>
      <c r="DC196" s="76" t="str">
        <f t="shared" ca="1" si="170"/>
        <v/>
      </c>
      <c r="DD196" t="str">
        <f t="shared" si="208"/>
        <v/>
      </c>
      <c r="DE196" s="129" t="str">
        <f t="shared" si="279"/>
        <v/>
      </c>
      <c r="DF196" s="161" t="str">
        <f t="shared" si="280"/>
        <v/>
      </c>
      <c r="DG196" s="161" t="str">
        <f t="shared" si="281"/>
        <v/>
      </c>
      <c r="DH196" s="161" t="str">
        <f t="shared" si="282"/>
        <v/>
      </c>
      <c r="DI196" s="161" t="str">
        <f t="shared" si="283"/>
        <v/>
      </c>
      <c r="DJ196" s="161" t="str">
        <f t="shared" si="284"/>
        <v/>
      </c>
      <c r="DK196" s="161" t="str">
        <f t="shared" si="285"/>
        <v/>
      </c>
      <c r="DL196" s="161" t="str">
        <f t="shared" si="286"/>
        <v/>
      </c>
      <c r="DM196" s="161" t="str">
        <f t="shared" si="287"/>
        <v/>
      </c>
      <c r="DN196" s="161" t="str">
        <f t="shared" si="310"/>
        <v/>
      </c>
      <c r="DO196" s="161" t="str">
        <f t="shared" si="311"/>
        <v/>
      </c>
      <c r="DP196" s="161" t="str">
        <f t="shared" si="312"/>
        <v/>
      </c>
      <c r="DQ196" s="161" t="str">
        <f t="shared" si="313"/>
        <v/>
      </c>
      <c r="DR196" s="161" t="str">
        <f t="shared" si="314"/>
        <v/>
      </c>
      <c r="DS196" s="161" t="str">
        <f t="shared" si="315"/>
        <v/>
      </c>
      <c r="DT196" s="161" t="str">
        <f t="shared" si="316"/>
        <v/>
      </c>
      <c r="DU196" s="161" t="str">
        <f t="shared" si="317"/>
        <v/>
      </c>
      <c r="DV196" s="161" t="str">
        <f t="shared" si="318"/>
        <v/>
      </c>
      <c r="DW196" s="161" t="str">
        <f t="shared" si="319"/>
        <v/>
      </c>
      <c r="DX196" s="161" t="str">
        <f t="shared" si="320"/>
        <v/>
      </c>
      <c r="DY196" s="161" t="str">
        <f t="shared" si="321"/>
        <v/>
      </c>
      <c r="DZ196" s="161" t="str">
        <f t="shared" si="322"/>
        <v/>
      </c>
      <c r="EA196" s="161" t="str">
        <f t="shared" si="323"/>
        <v/>
      </c>
      <c r="EB196" s="161" t="str">
        <f t="shared" si="324"/>
        <v/>
      </c>
      <c r="EC196" s="161" t="str">
        <f t="shared" si="325"/>
        <v/>
      </c>
      <c r="ED196" s="161" t="str">
        <f t="shared" si="326"/>
        <v/>
      </c>
      <c r="EE196" s="161" t="str">
        <f t="shared" si="327"/>
        <v/>
      </c>
      <c r="EF196" s="161" t="str">
        <f t="shared" si="328"/>
        <v/>
      </c>
      <c r="EG196" s="161" t="str">
        <f t="shared" si="329"/>
        <v/>
      </c>
      <c r="EH196" s="161" t="str">
        <f t="shared" si="330"/>
        <v/>
      </c>
      <c r="EI196" s="161" t="str">
        <f t="shared" si="331"/>
        <v/>
      </c>
      <c r="EJ196" s="161" t="str">
        <f t="shared" si="332"/>
        <v/>
      </c>
      <c r="EK196" s="147" t="str">
        <f t="shared" si="246"/>
        <v/>
      </c>
      <c r="EL196" s="149"/>
      <c r="EN196" s="146"/>
      <c r="EO196" s="146"/>
      <c r="EP196" s="139" t="str">
        <f t="shared" si="247"/>
        <v/>
      </c>
      <c r="EQ196" s="139" t="str">
        <f t="shared" si="248"/>
        <v/>
      </c>
      <c r="ER196" s="139" t="str">
        <f t="shared" si="249"/>
        <v/>
      </c>
      <c r="ES196" s="139" t="str">
        <f t="shared" si="250"/>
        <v/>
      </c>
      <c r="ET196" s="139" t="str">
        <f t="shared" si="251"/>
        <v/>
      </c>
      <c r="EU196" s="139" t="str">
        <f t="shared" si="252"/>
        <v/>
      </c>
      <c r="EV196" s="139" t="str">
        <f t="shared" si="253"/>
        <v/>
      </c>
      <c r="EW196" s="139" t="str">
        <f t="shared" si="254"/>
        <v/>
      </c>
      <c r="EX196" s="139" t="str">
        <f t="shared" si="255"/>
        <v/>
      </c>
      <c r="EY196" s="139" t="str">
        <f t="shared" si="256"/>
        <v/>
      </c>
      <c r="EZ196" s="139" t="str">
        <f t="shared" si="257"/>
        <v/>
      </c>
      <c r="FA196" s="139" t="str">
        <f t="shared" si="258"/>
        <v/>
      </c>
      <c r="FB196" s="139" t="str">
        <f t="shared" si="259"/>
        <v/>
      </c>
      <c r="FC196" s="139" t="str">
        <f t="shared" si="260"/>
        <v/>
      </c>
      <c r="FD196" s="139" t="str">
        <f t="shared" si="261"/>
        <v/>
      </c>
      <c r="FE196" s="139" t="str">
        <f t="shared" si="262"/>
        <v/>
      </c>
      <c r="FF196" s="139" t="str">
        <f t="shared" si="263"/>
        <v/>
      </c>
      <c r="FG196" s="139" t="str">
        <f t="shared" si="264"/>
        <v/>
      </c>
      <c r="FH196" s="139" t="str">
        <f t="shared" si="265"/>
        <v/>
      </c>
      <c r="FI196" s="139" t="str">
        <f t="shared" si="266"/>
        <v/>
      </c>
      <c r="FJ196" s="139" t="str">
        <f t="shared" si="267"/>
        <v/>
      </c>
      <c r="FK196" s="139" t="str">
        <f t="shared" si="268"/>
        <v/>
      </c>
      <c r="FL196" s="139" t="str">
        <f t="shared" si="269"/>
        <v/>
      </c>
      <c r="FM196" s="139" t="str">
        <f t="shared" si="270"/>
        <v/>
      </c>
      <c r="FN196" s="139" t="str">
        <f t="shared" si="271"/>
        <v/>
      </c>
      <c r="FO196" s="139" t="str">
        <f t="shared" si="272"/>
        <v/>
      </c>
      <c r="FP196" s="139" t="str">
        <f t="shared" si="273"/>
        <v/>
      </c>
      <c r="FQ196" s="139" t="str">
        <f t="shared" si="274"/>
        <v/>
      </c>
      <c r="FR196" s="139" t="str">
        <f t="shared" si="275"/>
        <v/>
      </c>
      <c r="FS196" s="139" t="str">
        <f t="shared" si="276"/>
        <v/>
      </c>
      <c r="FT196" s="139" t="str">
        <f t="shared" si="277"/>
        <v/>
      </c>
      <c r="FU196" s="148" t="str">
        <f t="shared" si="278"/>
        <v/>
      </c>
      <c r="FV196" s="149"/>
      <c r="FY196" s="211">
        <v>191</v>
      </c>
      <c r="FZ196">
        <v>18.414303136539793</v>
      </c>
      <c r="GA196">
        <v>51.644022145359102</v>
      </c>
      <c r="GB196">
        <v>52.213409310782737</v>
      </c>
      <c r="GC196">
        <v>39.321872781306958</v>
      </c>
      <c r="GD196">
        <v>25.102313563104456</v>
      </c>
      <c r="GE196">
        <v>44.030923807057732</v>
      </c>
      <c r="GF196">
        <v>53.004891909426348</v>
      </c>
      <c r="GG196">
        <v>21.28883837541996</v>
      </c>
      <c r="GH196">
        <v>10.923258380676414</v>
      </c>
      <c r="GI196">
        <v>43.930623452010003</v>
      </c>
      <c r="GJ196"/>
      <c r="GK196"/>
      <c r="GL196"/>
      <c r="GM196"/>
    </row>
    <row r="197" spans="1:195" s="7" customFormat="1">
      <c r="A197" s="1"/>
      <c r="B197" s="76" t="str">
        <f ca="1">IF(C197="", "", RAND())</f>
        <v/>
      </c>
      <c r="C197" t="s">
        <v>104</v>
      </c>
      <c r="D197" t="s">
        <v>104</v>
      </c>
      <c r="E197" t="s">
        <v>104</v>
      </c>
      <c r="F197" t="s">
        <v>104</v>
      </c>
      <c r="G197" t="s">
        <v>104</v>
      </c>
      <c r="H197" t="s">
        <v>104</v>
      </c>
      <c r="I197" t="s">
        <v>104</v>
      </c>
      <c r="J197" t="s">
        <v>104</v>
      </c>
      <c r="K197" t="s">
        <v>104</v>
      </c>
      <c r="L197" t="s">
        <v>104</v>
      </c>
      <c r="M197" t="s">
        <v>104</v>
      </c>
      <c r="N197" t="s">
        <v>104</v>
      </c>
      <c r="O197" t="s">
        <v>104</v>
      </c>
      <c r="P197" t="s">
        <v>104</v>
      </c>
      <c r="Q197" t="s">
        <v>104</v>
      </c>
      <c r="R197" t="s">
        <v>104</v>
      </c>
      <c r="S197" t="s">
        <v>104</v>
      </c>
      <c r="T197" t="s">
        <v>104</v>
      </c>
      <c r="U197" t="s">
        <v>104</v>
      </c>
      <c r="V197" t="s">
        <v>104</v>
      </c>
      <c r="W197" t="s">
        <v>104</v>
      </c>
      <c r="X197" t="s">
        <v>104</v>
      </c>
      <c r="Y197" t="s">
        <v>104</v>
      </c>
      <c r="Z197" t="s">
        <v>104</v>
      </c>
      <c r="AA197" t="s">
        <v>104</v>
      </c>
      <c r="AB197" t="s">
        <v>104</v>
      </c>
      <c r="AC197" t="s">
        <v>104</v>
      </c>
      <c r="AD197" t="s">
        <v>104</v>
      </c>
      <c r="AE197" t="s">
        <v>104</v>
      </c>
      <c r="AF197" t="s">
        <v>104</v>
      </c>
      <c r="AG197" t="s">
        <v>104</v>
      </c>
      <c r="AH197" t="s">
        <v>104</v>
      </c>
      <c r="AI197" t="s">
        <v>104</v>
      </c>
      <c r="AJ197" s="2"/>
      <c r="AK197" s="80"/>
      <c r="AL197" s="74"/>
      <c r="AM197" s="43">
        <v>181</v>
      </c>
      <c r="AN197">
        <v>213.76853491920482</v>
      </c>
      <c r="AO197">
        <v>83.453427788534682</v>
      </c>
      <c r="AP197">
        <v>559.14836862767311</v>
      </c>
      <c r="AQ197">
        <v>432.28190772340162</v>
      </c>
      <c r="AR197">
        <v>74.285917382729338</v>
      </c>
      <c r="AS197">
        <v>593.15832863041521</v>
      </c>
      <c r="AT197">
        <v>40.987078491738693</v>
      </c>
      <c r="AU197">
        <v>52.758052721863962</v>
      </c>
      <c r="AV197"/>
      <c r="AW197"/>
      <c r="AX197" s="146"/>
      <c r="AY197" s="76" t="str">
        <f t="shared" ca="1" si="169"/>
        <v/>
      </c>
      <c r="AZ197"/>
      <c r="BA197" s="129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 s="147"/>
      <c r="CH197" s="176"/>
      <c r="CJ197" s="146"/>
      <c r="CK197" s="76" t="str">
        <f t="shared" ca="1" si="204"/>
        <v/>
      </c>
      <c r="CL197" s="179" t="str">
        <f t="shared" si="205"/>
        <v/>
      </c>
      <c r="CM197" s="180" t="str">
        <f t="shared" si="206"/>
        <v/>
      </c>
      <c r="CN197"/>
      <c r="CO197"/>
      <c r="CP197"/>
      <c r="CQ197"/>
      <c r="CR197"/>
      <c r="CS197"/>
      <c r="CT197"/>
      <c r="CU197"/>
      <c r="CV197" s="160"/>
      <c r="CW197"/>
      <c r="CX197"/>
      <c r="CY197" s="165"/>
      <c r="CZ197" s="177" t="str">
        <f t="shared" si="207"/>
        <v/>
      </c>
      <c r="DB197" s="146"/>
      <c r="DC197" s="76" t="str">
        <f t="shared" ca="1" si="170"/>
        <v/>
      </c>
      <c r="DD197" t="str">
        <f t="shared" si="208"/>
        <v/>
      </c>
      <c r="DE197" s="129" t="str">
        <f t="shared" si="279"/>
        <v/>
      </c>
      <c r="DF197" s="161" t="str">
        <f t="shared" si="280"/>
        <v/>
      </c>
      <c r="DG197" s="161" t="str">
        <f t="shared" si="281"/>
        <v/>
      </c>
      <c r="DH197" s="161" t="str">
        <f t="shared" si="282"/>
        <v/>
      </c>
      <c r="DI197" s="161" t="str">
        <f t="shared" si="283"/>
        <v/>
      </c>
      <c r="DJ197" s="161" t="str">
        <f t="shared" si="284"/>
        <v/>
      </c>
      <c r="DK197" s="161" t="str">
        <f t="shared" si="285"/>
        <v/>
      </c>
      <c r="DL197" s="161" t="str">
        <f t="shared" si="286"/>
        <v/>
      </c>
      <c r="DM197" s="161" t="str">
        <f t="shared" si="287"/>
        <v/>
      </c>
      <c r="DN197" s="161" t="str">
        <f t="shared" si="310"/>
        <v/>
      </c>
      <c r="DO197" s="161" t="str">
        <f t="shared" si="311"/>
        <v/>
      </c>
      <c r="DP197" s="161" t="str">
        <f t="shared" si="312"/>
        <v/>
      </c>
      <c r="DQ197" s="161" t="str">
        <f t="shared" si="313"/>
        <v/>
      </c>
      <c r="DR197" s="161" t="str">
        <f t="shared" si="314"/>
        <v/>
      </c>
      <c r="DS197" s="161" t="str">
        <f t="shared" si="315"/>
        <v/>
      </c>
      <c r="DT197" s="161" t="str">
        <f t="shared" si="316"/>
        <v/>
      </c>
      <c r="DU197" s="161" t="str">
        <f t="shared" si="317"/>
        <v/>
      </c>
      <c r="DV197" s="161" t="str">
        <f t="shared" si="318"/>
        <v/>
      </c>
      <c r="DW197" s="161" t="str">
        <f t="shared" si="319"/>
        <v/>
      </c>
      <c r="DX197" s="161" t="str">
        <f t="shared" si="320"/>
        <v/>
      </c>
      <c r="DY197" s="161" t="str">
        <f t="shared" si="321"/>
        <v/>
      </c>
      <c r="DZ197" s="161" t="str">
        <f t="shared" si="322"/>
        <v/>
      </c>
      <c r="EA197" s="161" t="str">
        <f t="shared" si="323"/>
        <v/>
      </c>
      <c r="EB197" s="161" t="str">
        <f t="shared" si="324"/>
        <v/>
      </c>
      <c r="EC197" s="161" t="str">
        <f t="shared" si="325"/>
        <v/>
      </c>
      <c r="ED197" s="161" t="str">
        <f t="shared" si="326"/>
        <v/>
      </c>
      <c r="EE197" s="161" t="str">
        <f t="shared" si="327"/>
        <v/>
      </c>
      <c r="EF197" s="161" t="str">
        <f t="shared" si="328"/>
        <v/>
      </c>
      <c r="EG197" s="161" t="str">
        <f t="shared" si="329"/>
        <v/>
      </c>
      <c r="EH197" s="161" t="str">
        <f t="shared" si="330"/>
        <v/>
      </c>
      <c r="EI197" s="161" t="str">
        <f t="shared" si="331"/>
        <v/>
      </c>
      <c r="EJ197" s="161" t="str">
        <f t="shared" si="332"/>
        <v/>
      </c>
      <c r="EK197" s="147" t="str">
        <f t="shared" si="246"/>
        <v/>
      </c>
      <c r="EL197" s="149"/>
      <c r="EN197" s="146"/>
      <c r="EO197" s="146"/>
      <c r="EP197" s="139" t="str">
        <f t="shared" si="247"/>
        <v/>
      </c>
      <c r="EQ197" s="139" t="str">
        <f t="shared" si="248"/>
        <v/>
      </c>
      <c r="ER197" s="139" t="str">
        <f t="shared" si="249"/>
        <v/>
      </c>
      <c r="ES197" s="139" t="str">
        <f t="shared" si="250"/>
        <v/>
      </c>
      <c r="ET197" s="139" t="str">
        <f t="shared" si="251"/>
        <v/>
      </c>
      <c r="EU197" s="139" t="str">
        <f t="shared" si="252"/>
        <v/>
      </c>
      <c r="EV197" s="139" t="str">
        <f t="shared" si="253"/>
        <v/>
      </c>
      <c r="EW197" s="139" t="str">
        <f t="shared" si="254"/>
        <v/>
      </c>
      <c r="EX197" s="139" t="str">
        <f t="shared" si="255"/>
        <v/>
      </c>
      <c r="EY197" s="139" t="str">
        <f t="shared" si="256"/>
        <v/>
      </c>
      <c r="EZ197" s="139" t="str">
        <f t="shared" si="257"/>
        <v/>
      </c>
      <c r="FA197" s="139" t="str">
        <f t="shared" si="258"/>
        <v/>
      </c>
      <c r="FB197" s="139" t="str">
        <f t="shared" si="259"/>
        <v/>
      </c>
      <c r="FC197" s="139" t="str">
        <f t="shared" si="260"/>
        <v/>
      </c>
      <c r="FD197" s="139" t="str">
        <f t="shared" si="261"/>
        <v/>
      </c>
      <c r="FE197" s="139" t="str">
        <f t="shared" si="262"/>
        <v/>
      </c>
      <c r="FF197" s="139" t="str">
        <f t="shared" si="263"/>
        <v/>
      </c>
      <c r="FG197" s="139" t="str">
        <f t="shared" si="264"/>
        <v/>
      </c>
      <c r="FH197" s="139" t="str">
        <f t="shared" si="265"/>
        <v/>
      </c>
      <c r="FI197" s="139" t="str">
        <f t="shared" si="266"/>
        <v/>
      </c>
      <c r="FJ197" s="139" t="str">
        <f t="shared" si="267"/>
        <v/>
      </c>
      <c r="FK197" s="139" t="str">
        <f t="shared" si="268"/>
        <v/>
      </c>
      <c r="FL197" s="139" t="str">
        <f t="shared" si="269"/>
        <v/>
      </c>
      <c r="FM197" s="139" t="str">
        <f t="shared" si="270"/>
        <v/>
      </c>
      <c r="FN197" s="139" t="str">
        <f t="shared" si="271"/>
        <v/>
      </c>
      <c r="FO197" s="139" t="str">
        <f t="shared" si="272"/>
        <v/>
      </c>
      <c r="FP197" s="139" t="str">
        <f t="shared" si="273"/>
        <v/>
      </c>
      <c r="FQ197" s="139" t="str">
        <f t="shared" si="274"/>
        <v/>
      </c>
      <c r="FR197" s="139" t="str">
        <f t="shared" si="275"/>
        <v/>
      </c>
      <c r="FS197" s="139" t="str">
        <f t="shared" si="276"/>
        <v/>
      </c>
      <c r="FT197" s="139" t="str">
        <f t="shared" si="277"/>
        <v/>
      </c>
      <c r="FU197" s="148" t="str">
        <f t="shared" si="278"/>
        <v/>
      </c>
      <c r="FV197" s="149"/>
      <c r="FY197" s="211">
        <v>192</v>
      </c>
      <c r="FZ197">
        <v>15.831188207901228</v>
      </c>
      <c r="GA197">
        <v>43.552034135582332</v>
      </c>
      <c r="GB197">
        <v>82.008533051101935</v>
      </c>
      <c r="GC197">
        <v>48.923429648919289</v>
      </c>
      <c r="GD197">
        <v>19.027987119901212</v>
      </c>
      <c r="GE197">
        <v>50.920136065433674</v>
      </c>
      <c r="GF197">
        <v>103.47654873675619</v>
      </c>
      <c r="GG197">
        <v>79.851635100515523</v>
      </c>
      <c r="GH197">
        <v>41.897111011191811</v>
      </c>
      <c r="GI197">
        <v>63.230402567581741</v>
      </c>
      <c r="GJ197"/>
      <c r="GK197"/>
      <c r="GL197"/>
      <c r="GM197"/>
    </row>
    <row r="198" spans="1:195" s="7" customFormat="1">
      <c r="A198" s="128"/>
      <c r="B198" s="76" t="str">
        <f ca="1">IF(C198="", "", RAND())</f>
        <v/>
      </c>
      <c r="C198" t="s">
        <v>104</v>
      </c>
      <c r="D198" t="s">
        <v>104</v>
      </c>
      <c r="E198" t="s">
        <v>104</v>
      </c>
      <c r="F198" t="s">
        <v>104</v>
      </c>
      <c r="G198" t="s">
        <v>104</v>
      </c>
      <c r="H198" t="s">
        <v>104</v>
      </c>
      <c r="I198" t="s">
        <v>104</v>
      </c>
      <c r="J198" t="s">
        <v>104</v>
      </c>
      <c r="K198" t="s">
        <v>104</v>
      </c>
      <c r="L198" t="s">
        <v>104</v>
      </c>
      <c r="M198" t="s">
        <v>104</v>
      </c>
      <c r="N198" t="s">
        <v>104</v>
      </c>
      <c r="O198" t="s">
        <v>104</v>
      </c>
      <c r="P198" t="s">
        <v>104</v>
      </c>
      <c r="Q198" t="s">
        <v>104</v>
      </c>
      <c r="R198" t="s">
        <v>104</v>
      </c>
      <c r="S198" t="s">
        <v>104</v>
      </c>
      <c r="T198" t="s">
        <v>104</v>
      </c>
      <c r="U198" t="s">
        <v>104</v>
      </c>
      <c r="V198" t="s">
        <v>104</v>
      </c>
      <c r="W198" t="s">
        <v>104</v>
      </c>
      <c r="X198" t="s">
        <v>104</v>
      </c>
      <c r="Y198" t="s">
        <v>104</v>
      </c>
      <c r="Z198" t="s">
        <v>104</v>
      </c>
      <c r="AA198" t="s">
        <v>104</v>
      </c>
      <c r="AB198" t="s">
        <v>104</v>
      </c>
      <c r="AC198" t="s">
        <v>104</v>
      </c>
      <c r="AD198" t="s">
        <v>104</v>
      </c>
      <c r="AE198" t="s">
        <v>104</v>
      </c>
      <c r="AF198" t="s">
        <v>104</v>
      </c>
      <c r="AG198" t="s">
        <v>104</v>
      </c>
      <c r="AH198" t="s">
        <v>104</v>
      </c>
      <c r="AI198" t="s">
        <v>104</v>
      </c>
      <c r="AJ198" s="2"/>
      <c r="AK198" s="80"/>
      <c r="AL198" s="74">
        <v>3.0028000000000028</v>
      </c>
      <c r="AM198" s="43">
        <v>182</v>
      </c>
      <c r="AN198">
        <v>275.37710663284571</v>
      </c>
      <c r="AO198">
        <v>85.83006771279841</v>
      </c>
      <c r="AP198">
        <v>656.42981235491311</v>
      </c>
      <c r="AQ198">
        <v>469.01755794486104</v>
      </c>
      <c r="AR198">
        <v>77.553341821428788</v>
      </c>
      <c r="AS198">
        <v>646.78735044942857</v>
      </c>
      <c r="AT198">
        <v>40.042673354014717</v>
      </c>
      <c r="AU198">
        <v>25.389880314664687</v>
      </c>
      <c r="AV198"/>
      <c r="AW198"/>
      <c r="AX198" s="128"/>
      <c r="AY198" s="76" t="str">
        <f t="shared" ca="1" si="169"/>
        <v/>
      </c>
      <c r="AZ198"/>
      <c r="BA198" s="129" t="s">
        <v>104</v>
      </c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 s="147"/>
      <c r="CH198" s="176"/>
      <c r="CJ198" s="128"/>
      <c r="CK198" s="76" t="str">
        <f t="shared" ca="1" si="204"/>
        <v/>
      </c>
      <c r="CL198" s="179" t="str">
        <f t="shared" si="205"/>
        <v/>
      </c>
      <c r="CM198" s="180" t="str">
        <f t="shared" si="206"/>
        <v/>
      </c>
      <c r="CN198"/>
      <c r="CO198"/>
      <c r="CP198"/>
      <c r="CQ198"/>
      <c r="CR198"/>
      <c r="CS198"/>
      <c r="CT198"/>
      <c r="CU198"/>
      <c r="CV198" s="160"/>
      <c r="CW198"/>
      <c r="CX198"/>
      <c r="CY198" s="160"/>
      <c r="CZ198" s="177" t="str">
        <f t="shared" si="207"/>
        <v/>
      </c>
      <c r="DB198" s="128"/>
      <c r="DC198" s="76" t="str">
        <f t="shared" ca="1" si="170"/>
        <v/>
      </c>
      <c r="DD198" t="str">
        <f t="shared" si="208"/>
        <v/>
      </c>
      <c r="DE198" s="129" t="str">
        <f t="shared" ref="DE198:DE207" si="333">IF((DD198)="", "", $C$15)</f>
        <v/>
      </c>
      <c r="DF198" s="161" t="str">
        <f t="shared" si="280"/>
        <v/>
      </c>
      <c r="DG198" s="161" t="str">
        <f t="shared" si="281"/>
        <v/>
      </c>
      <c r="DH198" s="161" t="str">
        <f t="shared" si="282"/>
        <v/>
      </c>
      <c r="DI198" s="161" t="str">
        <f t="shared" si="283"/>
        <v/>
      </c>
      <c r="DJ198" s="161" t="str">
        <f t="shared" si="284"/>
        <v/>
      </c>
      <c r="DK198" s="161" t="str">
        <f t="shared" si="285"/>
        <v/>
      </c>
      <c r="DL198" s="161" t="str">
        <f t="shared" si="286"/>
        <v/>
      </c>
      <c r="DM198" s="161" t="str">
        <f t="shared" si="287"/>
        <v/>
      </c>
      <c r="DN198" s="161" t="str">
        <f t="shared" si="310"/>
        <v/>
      </c>
      <c r="DO198" s="161" t="str">
        <f t="shared" si="311"/>
        <v/>
      </c>
      <c r="DP198" s="161" t="str">
        <f t="shared" si="312"/>
        <v/>
      </c>
      <c r="DQ198" s="161" t="str">
        <f t="shared" si="313"/>
        <v/>
      </c>
      <c r="DR198" s="161" t="str">
        <f t="shared" si="314"/>
        <v/>
      </c>
      <c r="DS198" s="161" t="str">
        <f t="shared" si="315"/>
        <v/>
      </c>
      <c r="DT198" s="161" t="str">
        <f t="shared" si="316"/>
        <v/>
      </c>
      <c r="DU198" s="161" t="str">
        <f t="shared" si="317"/>
        <v/>
      </c>
      <c r="DV198" s="161" t="str">
        <f t="shared" si="318"/>
        <v/>
      </c>
      <c r="DW198" s="161" t="str">
        <f t="shared" si="319"/>
        <v/>
      </c>
      <c r="DX198" s="161" t="str">
        <f t="shared" si="320"/>
        <v/>
      </c>
      <c r="DY198" s="161" t="str">
        <f t="shared" si="321"/>
        <v/>
      </c>
      <c r="DZ198" s="161" t="str">
        <f t="shared" si="322"/>
        <v/>
      </c>
      <c r="EA198" s="161" t="str">
        <f t="shared" si="323"/>
        <v/>
      </c>
      <c r="EB198" s="161" t="str">
        <f t="shared" si="324"/>
        <v/>
      </c>
      <c r="EC198" s="161" t="str">
        <f t="shared" si="325"/>
        <v/>
      </c>
      <c r="ED198" s="161" t="str">
        <f t="shared" si="326"/>
        <v/>
      </c>
      <c r="EE198" s="161" t="str">
        <f t="shared" si="327"/>
        <v/>
      </c>
      <c r="EF198" s="161" t="str">
        <f t="shared" si="328"/>
        <v/>
      </c>
      <c r="EG198" s="161" t="str">
        <f t="shared" si="329"/>
        <v/>
      </c>
      <c r="EH198" s="161" t="str">
        <f t="shared" si="330"/>
        <v/>
      </c>
      <c r="EI198" s="161" t="str">
        <f t="shared" si="331"/>
        <v/>
      </c>
      <c r="EJ198" s="161" t="str">
        <f t="shared" si="332"/>
        <v/>
      </c>
      <c r="EK198" s="147" t="str">
        <f t="shared" si="246"/>
        <v/>
      </c>
      <c r="EL198" s="149"/>
      <c r="EN198" s="146"/>
      <c r="EO198" s="146"/>
      <c r="EP198" s="139" t="str">
        <f t="shared" si="247"/>
        <v/>
      </c>
      <c r="EQ198" s="139" t="str">
        <f t="shared" si="248"/>
        <v/>
      </c>
      <c r="ER198" s="139" t="str">
        <f t="shared" si="249"/>
        <v/>
      </c>
      <c r="ES198" s="139" t="str">
        <f t="shared" si="250"/>
        <v/>
      </c>
      <c r="ET198" s="139" t="str">
        <f t="shared" si="251"/>
        <v/>
      </c>
      <c r="EU198" s="139" t="str">
        <f t="shared" si="252"/>
        <v/>
      </c>
      <c r="EV198" s="139" t="str">
        <f t="shared" si="253"/>
        <v/>
      </c>
      <c r="EW198" s="139" t="str">
        <f t="shared" si="254"/>
        <v/>
      </c>
      <c r="EX198" s="139" t="str">
        <f t="shared" si="255"/>
        <v/>
      </c>
      <c r="EY198" s="139" t="str">
        <f t="shared" si="256"/>
        <v/>
      </c>
      <c r="EZ198" s="139" t="str">
        <f t="shared" si="257"/>
        <v/>
      </c>
      <c r="FA198" s="139" t="str">
        <f t="shared" si="258"/>
        <v/>
      </c>
      <c r="FB198" s="139" t="str">
        <f t="shared" si="259"/>
        <v/>
      </c>
      <c r="FC198" s="139" t="str">
        <f t="shared" si="260"/>
        <v/>
      </c>
      <c r="FD198" s="139" t="str">
        <f t="shared" si="261"/>
        <v/>
      </c>
      <c r="FE198" s="139" t="str">
        <f t="shared" si="262"/>
        <v/>
      </c>
      <c r="FF198" s="139" t="str">
        <f t="shared" si="263"/>
        <v/>
      </c>
      <c r="FG198" s="139" t="str">
        <f t="shared" si="264"/>
        <v/>
      </c>
      <c r="FH198" s="139" t="str">
        <f t="shared" si="265"/>
        <v/>
      </c>
      <c r="FI198" s="139" t="str">
        <f t="shared" si="266"/>
        <v/>
      </c>
      <c r="FJ198" s="139" t="str">
        <f t="shared" si="267"/>
        <v/>
      </c>
      <c r="FK198" s="139" t="str">
        <f t="shared" si="268"/>
        <v/>
      </c>
      <c r="FL198" s="139" t="str">
        <f t="shared" si="269"/>
        <v/>
      </c>
      <c r="FM198" s="139" t="str">
        <f t="shared" si="270"/>
        <v/>
      </c>
      <c r="FN198" s="139" t="str">
        <f t="shared" si="271"/>
        <v/>
      </c>
      <c r="FO198" s="139" t="str">
        <f t="shared" si="272"/>
        <v/>
      </c>
      <c r="FP198" s="139" t="str">
        <f t="shared" si="273"/>
        <v/>
      </c>
      <c r="FQ198" s="139" t="str">
        <f t="shared" si="274"/>
        <v/>
      </c>
      <c r="FR198" s="139" t="str">
        <f t="shared" si="275"/>
        <v/>
      </c>
      <c r="FS198" s="139" t="str">
        <f t="shared" si="276"/>
        <v/>
      </c>
      <c r="FT198" s="139" t="str">
        <f t="shared" si="277"/>
        <v/>
      </c>
      <c r="FU198" s="148" t="str">
        <f t="shared" si="278"/>
        <v/>
      </c>
      <c r="FV198" s="149"/>
      <c r="FY198" s="211">
        <v>193</v>
      </c>
      <c r="FZ198">
        <v>14.618276750510333</v>
      </c>
      <c r="GA198">
        <v>58.215465551964485</v>
      </c>
      <c r="GB198">
        <v>68.592399878414483</v>
      </c>
      <c r="GC198">
        <v>36.456461968021905</v>
      </c>
      <c r="GD198">
        <v>15.67249460846751</v>
      </c>
      <c r="GE198">
        <v>28.018888464088885</v>
      </c>
      <c r="GF198">
        <v>38.679607869511116</v>
      </c>
      <c r="GG198">
        <v>25.221248190814968</v>
      </c>
      <c r="GH198">
        <v>14.137041401640829</v>
      </c>
      <c r="GI198">
        <v>38.862363804202637</v>
      </c>
      <c r="GJ198"/>
      <c r="GK198"/>
      <c r="GL198"/>
      <c r="GM198"/>
    </row>
    <row r="199" spans="1:195" s="7" customFormat="1">
      <c r="A199" s="1"/>
      <c r="B199" s="76" t="str">
        <f ca="1">IF(C199="", "", RAND())</f>
        <v/>
      </c>
      <c r="C199" t="s">
        <v>104</v>
      </c>
      <c r="D199" t="s">
        <v>104</v>
      </c>
      <c r="E199" t="s">
        <v>104</v>
      </c>
      <c r="F199" t="s">
        <v>104</v>
      </c>
      <c r="G199" t="s">
        <v>104</v>
      </c>
      <c r="H199" t="s">
        <v>104</v>
      </c>
      <c r="I199" t="s">
        <v>104</v>
      </c>
      <c r="J199" t="s">
        <v>104</v>
      </c>
      <c r="K199" t="s">
        <v>104</v>
      </c>
      <c r="L199" t="s">
        <v>104</v>
      </c>
      <c r="M199" t="s">
        <v>104</v>
      </c>
      <c r="N199" t="s">
        <v>104</v>
      </c>
      <c r="O199" t="s">
        <v>104</v>
      </c>
      <c r="P199" t="s">
        <v>104</v>
      </c>
      <c r="Q199" t="s">
        <v>104</v>
      </c>
      <c r="R199" t="s">
        <v>104</v>
      </c>
      <c r="S199" t="s">
        <v>104</v>
      </c>
      <c r="T199" t="s">
        <v>104</v>
      </c>
      <c r="U199" t="s">
        <v>104</v>
      </c>
      <c r="V199" t="s">
        <v>104</v>
      </c>
      <c r="W199" t="s">
        <v>104</v>
      </c>
      <c r="X199" t="s">
        <v>104</v>
      </c>
      <c r="Y199" t="s">
        <v>104</v>
      </c>
      <c r="Z199" t="s">
        <v>104</v>
      </c>
      <c r="AA199" t="s">
        <v>104</v>
      </c>
      <c r="AB199" t="s">
        <v>104</v>
      </c>
      <c r="AC199" t="s">
        <v>104</v>
      </c>
      <c r="AD199" t="s">
        <v>104</v>
      </c>
      <c r="AE199" t="s">
        <v>104</v>
      </c>
      <c r="AF199" t="s">
        <v>104</v>
      </c>
      <c r="AG199" t="s">
        <v>104</v>
      </c>
      <c r="AH199" t="s">
        <v>104</v>
      </c>
      <c r="AI199" t="s">
        <v>104</v>
      </c>
      <c r="AJ199" s="2"/>
      <c r="AK199" s="80"/>
      <c r="AL199" s="74">
        <v>3.0028000000000028</v>
      </c>
      <c r="AM199" s="43">
        <v>183</v>
      </c>
      <c r="AN199">
        <v>237.27025277391766</v>
      </c>
      <c r="AO199">
        <v>87.100145086247309</v>
      </c>
      <c r="AP199">
        <v>665.32749689262482</v>
      </c>
      <c r="AQ199">
        <v>473.2830351267848</v>
      </c>
      <c r="AR199">
        <v>78.527628735010509</v>
      </c>
      <c r="AS199">
        <v>640.69531625277125</v>
      </c>
      <c r="AT199">
        <v>43.396954469401358</v>
      </c>
      <c r="AU199">
        <v>64.602837427930282</v>
      </c>
      <c r="AV199"/>
      <c r="AW199"/>
      <c r="AX199" s="146"/>
      <c r="AY199" s="76" t="str">
        <f t="shared" ca="1" si="169"/>
        <v/>
      </c>
      <c r="AZ199"/>
      <c r="BA199" s="129" t="s">
        <v>104</v>
      </c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 s="147"/>
      <c r="CH199" s="176"/>
      <c r="CJ199" s="146"/>
      <c r="CK199" s="76" t="str">
        <f t="shared" ca="1" si="204"/>
        <v/>
      </c>
      <c r="CL199" s="179" t="str">
        <f t="shared" si="205"/>
        <v/>
      </c>
      <c r="CM199" s="180" t="str">
        <f t="shared" si="206"/>
        <v/>
      </c>
      <c r="CN199"/>
      <c r="CO199"/>
      <c r="CP199"/>
      <c r="CQ199"/>
      <c r="CR199"/>
      <c r="CS199"/>
      <c r="CT199"/>
      <c r="CU199"/>
      <c r="CV199" s="160"/>
      <c r="CW199"/>
      <c r="CX199"/>
      <c r="CY199" s="160"/>
      <c r="CZ199" s="177" t="str">
        <f t="shared" si="207"/>
        <v/>
      </c>
      <c r="DB199" s="146"/>
      <c r="DC199" s="76" t="str">
        <f t="shared" ca="1" si="170"/>
        <v/>
      </c>
      <c r="DD199" t="str">
        <f t="shared" si="208"/>
        <v/>
      </c>
      <c r="DE199" s="129" t="str">
        <f t="shared" si="333"/>
        <v/>
      </c>
      <c r="DF199" s="161" t="str">
        <f t="shared" si="280"/>
        <v/>
      </c>
      <c r="DG199" s="161" t="str">
        <f t="shared" si="281"/>
        <v/>
      </c>
      <c r="DH199" s="161" t="str">
        <f t="shared" si="282"/>
        <v/>
      </c>
      <c r="DI199" s="161" t="str">
        <f t="shared" si="283"/>
        <v/>
      </c>
      <c r="DJ199" s="161" t="str">
        <f t="shared" si="284"/>
        <v/>
      </c>
      <c r="DK199" s="161" t="str">
        <f t="shared" si="285"/>
        <v/>
      </c>
      <c r="DL199" s="161" t="str">
        <f t="shared" si="286"/>
        <v/>
      </c>
      <c r="DM199" s="161" t="str">
        <f t="shared" si="287"/>
        <v/>
      </c>
      <c r="DN199" s="161" t="str">
        <f t="shared" si="310"/>
        <v/>
      </c>
      <c r="DO199" s="161" t="str">
        <f t="shared" si="311"/>
        <v/>
      </c>
      <c r="DP199" s="161" t="str">
        <f t="shared" si="312"/>
        <v/>
      </c>
      <c r="DQ199" s="161" t="str">
        <f t="shared" si="313"/>
        <v/>
      </c>
      <c r="DR199" s="161" t="str">
        <f t="shared" si="314"/>
        <v/>
      </c>
      <c r="DS199" s="161" t="str">
        <f t="shared" si="315"/>
        <v/>
      </c>
      <c r="DT199" s="161" t="str">
        <f t="shared" si="316"/>
        <v/>
      </c>
      <c r="DU199" s="161" t="str">
        <f t="shared" si="317"/>
        <v/>
      </c>
      <c r="DV199" s="161" t="str">
        <f t="shared" si="318"/>
        <v/>
      </c>
      <c r="DW199" s="161" t="str">
        <f t="shared" si="319"/>
        <v/>
      </c>
      <c r="DX199" s="161" t="str">
        <f t="shared" si="320"/>
        <v/>
      </c>
      <c r="DY199" s="161" t="str">
        <f t="shared" si="321"/>
        <v/>
      </c>
      <c r="DZ199" s="161" t="str">
        <f t="shared" si="322"/>
        <v/>
      </c>
      <c r="EA199" s="161" t="str">
        <f t="shared" si="323"/>
        <v/>
      </c>
      <c r="EB199" s="161" t="str">
        <f t="shared" si="324"/>
        <v/>
      </c>
      <c r="EC199" s="161" t="str">
        <f t="shared" si="325"/>
        <v/>
      </c>
      <c r="ED199" s="161" t="str">
        <f t="shared" si="326"/>
        <v/>
      </c>
      <c r="EE199" s="161" t="str">
        <f t="shared" si="327"/>
        <v/>
      </c>
      <c r="EF199" s="161" t="str">
        <f t="shared" si="328"/>
        <v/>
      </c>
      <c r="EG199" s="161" t="str">
        <f t="shared" si="329"/>
        <v/>
      </c>
      <c r="EH199" s="161" t="str">
        <f t="shared" si="330"/>
        <v/>
      </c>
      <c r="EI199" s="161" t="str">
        <f t="shared" si="331"/>
        <v/>
      </c>
      <c r="EJ199" s="161" t="str">
        <f t="shared" si="332"/>
        <v/>
      </c>
      <c r="EK199" s="147" t="str">
        <f t="shared" si="246"/>
        <v/>
      </c>
      <c r="EL199" s="149"/>
      <c r="EN199" s="146"/>
      <c r="EO199" s="146"/>
      <c r="EP199" s="139" t="str">
        <f t="shared" si="247"/>
        <v/>
      </c>
      <c r="EQ199" s="139" t="str">
        <f t="shared" si="248"/>
        <v/>
      </c>
      <c r="ER199" s="139" t="str">
        <f t="shared" si="249"/>
        <v/>
      </c>
      <c r="ES199" s="139" t="str">
        <f t="shared" si="250"/>
        <v/>
      </c>
      <c r="ET199" s="139" t="str">
        <f t="shared" si="251"/>
        <v/>
      </c>
      <c r="EU199" s="139" t="str">
        <f t="shared" si="252"/>
        <v/>
      </c>
      <c r="EV199" s="139" t="str">
        <f t="shared" si="253"/>
        <v/>
      </c>
      <c r="EW199" s="139" t="str">
        <f t="shared" si="254"/>
        <v/>
      </c>
      <c r="EX199" s="139" t="str">
        <f t="shared" si="255"/>
        <v/>
      </c>
      <c r="EY199" s="139" t="str">
        <f t="shared" si="256"/>
        <v/>
      </c>
      <c r="EZ199" s="139" t="str">
        <f t="shared" si="257"/>
        <v/>
      </c>
      <c r="FA199" s="139" t="str">
        <f t="shared" si="258"/>
        <v/>
      </c>
      <c r="FB199" s="139" t="str">
        <f t="shared" si="259"/>
        <v/>
      </c>
      <c r="FC199" s="139" t="str">
        <f t="shared" si="260"/>
        <v/>
      </c>
      <c r="FD199" s="139" t="str">
        <f t="shared" si="261"/>
        <v/>
      </c>
      <c r="FE199" s="139" t="str">
        <f t="shared" si="262"/>
        <v/>
      </c>
      <c r="FF199" s="139" t="str">
        <f t="shared" si="263"/>
        <v/>
      </c>
      <c r="FG199" s="139" t="str">
        <f t="shared" si="264"/>
        <v/>
      </c>
      <c r="FH199" s="139" t="str">
        <f t="shared" si="265"/>
        <v/>
      </c>
      <c r="FI199" s="139" t="str">
        <f t="shared" si="266"/>
        <v/>
      </c>
      <c r="FJ199" s="139" t="str">
        <f t="shared" si="267"/>
        <v/>
      </c>
      <c r="FK199" s="139" t="str">
        <f t="shared" si="268"/>
        <v/>
      </c>
      <c r="FL199" s="139" t="str">
        <f t="shared" si="269"/>
        <v/>
      </c>
      <c r="FM199" s="139" t="str">
        <f t="shared" si="270"/>
        <v/>
      </c>
      <c r="FN199" s="139" t="str">
        <f t="shared" si="271"/>
        <v/>
      </c>
      <c r="FO199" s="139" t="str">
        <f t="shared" si="272"/>
        <v/>
      </c>
      <c r="FP199" s="139" t="str">
        <f t="shared" si="273"/>
        <v/>
      </c>
      <c r="FQ199" s="139" t="str">
        <f t="shared" si="274"/>
        <v/>
      </c>
      <c r="FR199" s="139" t="str">
        <f t="shared" si="275"/>
        <v/>
      </c>
      <c r="FS199" s="139" t="str">
        <f t="shared" si="276"/>
        <v/>
      </c>
      <c r="FT199" s="139" t="str">
        <f t="shared" si="277"/>
        <v/>
      </c>
      <c r="FU199" s="148" t="str">
        <f t="shared" si="278"/>
        <v/>
      </c>
      <c r="FV199" s="149"/>
      <c r="FY199" s="211">
        <v>194</v>
      </c>
      <c r="FZ199">
        <v>37.795573049847079</v>
      </c>
      <c r="GA199">
        <v>66.979426986290065</v>
      </c>
      <c r="GB199">
        <v>85.530996274904993</v>
      </c>
      <c r="GC199">
        <v>54.145823589979429</v>
      </c>
      <c r="GD199">
        <v>23.207724755634633</v>
      </c>
      <c r="GE199">
        <v>34.214014128369932</v>
      </c>
      <c r="GF199">
        <v>42.952637089254814</v>
      </c>
      <c r="GG199">
        <v>46.963829093628043</v>
      </c>
      <c r="GH199">
        <v>32.05106843130757</v>
      </c>
      <c r="GI199">
        <v>55.652356388639021</v>
      </c>
      <c r="GJ199"/>
      <c r="GK199"/>
      <c r="GL199"/>
      <c r="GM199"/>
    </row>
    <row r="200" spans="1:195" s="7" customFormat="1">
      <c r="A200" s="1"/>
      <c r="B200" s="76" t="str">
        <f ca="1">IF(C200="", "", RAND())</f>
        <v/>
      </c>
      <c r="C200" t="s">
        <v>104</v>
      </c>
      <c r="D200" t="s">
        <v>104</v>
      </c>
      <c r="E200" t="s">
        <v>104</v>
      </c>
      <c r="F200" t="s">
        <v>104</v>
      </c>
      <c r="G200" t="s">
        <v>104</v>
      </c>
      <c r="H200" t="s">
        <v>104</v>
      </c>
      <c r="I200" t="s">
        <v>104</v>
      </c>
      <c r="J200" t="s">
        <v>104</v>
      </c>
      <c r="K200" t="s">
        <v>104</v>
      </c>
      <c r="L200" t="s">
        <v>104</v>
      </c>
      <c r="M200" t="s">
        <v>104</v>
      </c>
      <c r="N200" t="s">
        <v>104</v>
      </c>
      <c r="O200" t="s">
        <v>104</v>
      </c>
      <c r="P200" t="s">
        <v>104</v>
      </c>
      <c r="Q200" t="s">
        <v>104</v>
      </c>
      <c r="R200" t="s">
        <v>104</v>
      </c>
      <c r="S200" t="s">
        <v>104</v>
      </c>
      <c r="T200" t="s">
        <v>104</v>
      </c>
      <c r="U200" t="s">
        <v>104</v>
      </c>
      <c r="V200" t="s">
        <v>104</v>
      </c>
      <c r="W200" t="s">
        <v>104</v>
      </c>
      <c r="X200" t="s">
        <v>104</v>
      </c>
      <c r="Y200" t="s">
        <v>104</v>
      </c>
      <c r="Z200" t="s">
        <v>104</v>
      </c>
      <c r="AA200" t="s">
        <v>104</v>
      </c>
      <c r="AB200" t="s">
        <v>104</v>
      </c>
      <c r="AC200" t="s">
        <v>104</v>
      </c>
      <c r="AD200" t="s">
        <v>104</v>
      </c>
      <c r="AE200" t="s">
        <v>104</v>
      </c>
      <c r="AF200" t="s">
        <v>104</v>
      </c>
      <c r="AG200" t="s">
        <v>104</v>
      </c>
      <c r="AH200" t="s">
        <v>104</v>
      </c>
      <c r="AI200" t="s">
        <v>104</v>
      </c>
      <c r="AJ200" s="2"/>
      <c r="AK200" s="80"/>
      <c r="AL200" s="74">
        <v>3.0028000000000028</v>
      </c>
      <c r="AM200" s="43">
        <v>184</v>
      </c>
      <c r="AN200">
        <v>239.85939403027766</v>
      </c>
      <c r="AO200">
        <v>76.599553025018878</v>
      </c>
      <c r="AP200">
        <v>527.88833490136017</v>
      </c>
      <c r="AQ200">
        <v>416.29516500815066</v>
      </c>
      <c r="AR200">
        <v>68.648880616289418</v>
      </c>
      <c r="AS200">
        <v>585.87300021882288</v>
      </c>
      <c r="AT200">
        <v>36.318143012729223</v>
      </c>
      <c r="AU200">
        <v>32.219116078568014</v>
      </c>
      <c r="AV200"/>
      <c r="AW200"/>
      <c r="AX200" s="146"/>
      <c r="AY200" s="76" t="str">
        <f t="shared" ca="1" si="169"/>
        <v/>
      </c>
      <c r="AZ200"/>
      <c r="BA200" s="129" t="s">
        <v>104</v>
      </c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 s="147"/>
      <c r="CH200" s="176"/>
      <c r="CJ200" s="146"/>
      <c r="CK200" s="76" t="str">
        <f t="shared" ca="1" si="204"/>
        <v/>
      </c>
      <c r="CL200" s="179" t="str">
        <f t="shared" si="205"/>
        <v/>
      </c>
      <c r="CM200" s="180" t="str">
        <f t="shared" si="206"/>
        <v/>
      </c>
      <c r="CN200"/>
      <c r="CO200"/>
      <c r="CP200"/>
      <c r="CQ200"/>
      <c r="CR200"/>
      <c r="CS200"/>
      <c r="CT200"/>
      <c r="CU200"/>
      <c r="CV200" s="160"/>
      <c r="CW200"/>
      <c r="CX200"/>
      <c r="CY200" s="160"/>
      <c r="CZ200" s="177" t="str">
        <f t="shared" si="207"/>
        <v/>
      </c>
      <c r="DB200" s="146"/>
      <c r="DC200" s="76" t="str">
        <f t="shared" ca="1" si="170"/>
        <v/>
      </c>
      <c r="DD200" t="str">
        <f t="shared" si="208"/>
        <v/>
      </c>
      <c r="DE200" s="129" t="str">
        <f t="shared" si="333"/>
        <v/>
      </c>
      <c r="DF200" s="161" t="str">
        <f t="shared" si="280"/>
        <v/>
      </c>
      <c r="DG200" s="161" t="str">
        <f t="shared" si="281"/>
        <v/>
      </c>
      <c r="DH200" s="161" t="str">
        <f t="shared" si="282"/>
        <v/>
      </c>
      <c r="DI200" s="161" t="str">
        <f t="shared" si="283"/>
        <v/>
      </c>
      <c r="DJ200" s="161" t="str">
        <f t="shared" si="284"/>
        <v/>
      </c>
      <c r="DK200" s="161" t="str">
        <f t="shared" si="285"/>
        <v/>
      </c>
      <c r="DL200" s="161" t="str">
        <f t="shared" si="286"/>
        <v/>
      </c>
      <c r="DM200" s="161" t="str">
        <f t="shared" si="287"/>
        <v/>
      </c>
      <c r="DN200" s="161" t="str">
        <f t="shared" si="310"/>
        <v/>
      </c>
      <c r="DO200" s="161" t="str">
        <f t="shared" si="311"/>
        <v/>
      </c>
      <c r="DP200" s="161" t="str">
        <f t="shared" si="312"/>
        <v/>
      </c>
      <c r="DQ200" s="161" t="str">
        <f t="shared" si="313"/>
        <v/>
      </c>
      <c r="DR200" s="161" t="str">
        <f t="shared" si="314"/>
        <v/>
      </c>
      <c r="DS200" s="161" t="str">
        <f t="shared" si="315"/>
        <v/>
      </c>
      <c r="DT200" s="161" t="str">
        <f t="shared" si="316"/>
        <v/>
      </c>
      <c r="DU200" s="161" t="str">
        <f t="shared" si="317"/>
        <v/>
      </c>
      <c r="DV200" s="161" t="str">
        <f t="shared" si="318"/>
        <v/>
      </c>
      <c r="DW200" s="161" t="str">
        <f t="shared" si="319"/>
        <v/>
      </c>
      <c r="DX200" s="161" t="str">
        <f t="shared" si="320"/>
        <v/>
      </c>
      <c r="DY200" s="161" t="str">
        <f t="shared" si="321"/>
        <v/>
      </c>
      <c r="DZ200" s="161" t="str">
        <f t="shared" si="322"/>
        <v/>
      </c>
      <c r="EA200" s="161" t="str">
        <f t="shared" si="323"/>
        <v/>
      </c>
      <c r="EB200" s="161" t="str">
        <f t="shared" si="324"/>
        <v/>
      </c>
      <c r="EC200" s="161" t="str">
        <f t="shared" si="325"/>
        <v/>
      </c>
      <c r="ED200" s="161" t="str">
        <f t="shared" si="326"/>
        <v/>
      </c>
      <c r="EE200" s="161" t="str">
        <f t="shared" si="327"/>
        <v/>
      </c>
      <c r="EF200" s="161" t="str">
        <f t="shared" si="328"/>
        <v/>
      </c>
      <c r="EG200" s="161" t="str">
        <f t="shared" si="329"/>
        <v/>
      </c>
      <c r="EH200" s="161" t="str">
        <f t="shared" si="330"/>
        <v/>
      </c>
      <c r="EI200" s="161" t="str">
        <f t="shared" si="331"/>
        <v/>
      </c>
      <c r="EJ200" s="161" t="str">
        <f t="shared" si="332"/>
        <v/>
      </c>
      <c r="EK200" s="147" t="str">
        <f t="shared" si="246"/>
        <v/>
      </c>
      <c r="EL200" s="149"/>
      <c r="EN200" s="146"/>
      <c r="EO200" s="146"/>
      <c r="EP200" s="139" t="str">
        <f t="shared" si="247"/>
        <v/>
      </c>
      <c r="EQ200" s="139" t="str">
        <f t="shared" si="248"/>
        <v/>
      </c>
      <c r="ER200" s="139" t="str">
        <f t="shared" si="249"/>
        <v/>
      </c>
      <c r="ES200" s="139" t="str">
        <f t="shared" si="250"/>
        <v/>
      </c>
      <c r="ET200" s="139" t="str">
        <f t="shared" si="251"/>
        <v/>
      </c>
      <c r="EU200" s="139" t="str">
        <f t="shared" si="252"/>
        <v/>
      </c>
      <c r="EV200" s="139" t="str">
        <f t="shared" si="253"/>
        <v/>
      </c>
      <c r="EW200" s="139" t="str">
        <f t="shared" si="254"/>
        <v/>
      </c>
      <c r="EX200" s="139" t="str">
        <f t="shared" si="255"/>
        <v/>
      </c>
      <c r="EY200" s="139" t="str">
        <f t="shared" si="256"/>
        <v/>
      </c>
      <c r="EZ200" s="139" t="str">
        <f t="shared" si="257"/>
        <v/>
      </c>
      <c r="FA200" s="139" t="str">
        <f t="shared" si="258"/>
        <v/>
      </c>
      <c r="FB200" s="139" t="str">
        <f t="shared" si="259"/>
        <v/>
      </c>
      <c r="FC200" s="139" t="str">
        <f t="shared" si="260"/>
        <v/>
      </c>
      <c r="FD200" s="139" t="str">
        <f t="shared" si="261"/>
        <v/>
      </c>
      <c r="FE200" s="139" t="str">
        <f t="shared" si="262"/>
        <v/>
      </c>
      <c r="FF200" s="139" t="str">
        <f t="shared" si="263"/>
        <v/>
      </c>
      <c r="FG200" s="139" t="str">
        <f t="shared" si="264"/>
        <v/>
      </c>
      <c r="FH200" s="139" t="str">
        <f t="shared" si="265"/>
        <v/>
      </c>
      <c r="FI200" s="139" t="str">
        <f t="shared" si="266"/>
        <v/>
      </c>
      <c r="FJ200" s="139" t="str">
        <f t="shared" si="267"/>
        <v/>
      </c>
      <c r="FK200" s="139" t="str">
        <f t="shared" si="268"/>
        <v/>
      </c>
      <c r="FL200" s="139" t="str">
        <f t="shared" si="269"/>
        <v/>
      </c>
      <c r="FM200" s="139" t="str">
        <f t="shared" si="270"/>
        <v/>
      </c>
      <c r="FN200" s="139" t="str">
        <f t="shared" si="271"/>
        <v/>
      </c>
      <c r="FO200" s="139" t="str">
        <f t="shared" si="272"/>
        <v/>
      </c>
      <c r="FP200" s="139" t="str">
        <f t="shared" si="273"/>
        <v/>
      </c>
      <c r="FQ200" s="139" t="str">
        <f t="shared" si="274"/>
        <v/>
      </c>
      <c r="FR200" s="139" t="str">
        <f t="shared" si="275"/>
        <v/>
      </c>
      <c r="FS200" s="139" t="str">
        <f t="shared" si="276"/>
        <v/>
      </c>
      <c r="FT200" s="139" t="str">
        <f t="shared" si="277"/>
        <v/>
      </c>
      <c r="FU200" s="148" t="str">
        <f t="shared" si="278"/>
        <v/>
      </c>
      <c r="FV200" s="149"/>
      <c r="FY200" s="211">
        <v>195</v>
      </c>
      <c r="FZ200">
        <v>13.001724464210916</v>
      </c>
      <c r="GA200">
        <v>33.632905369650452</v>
      </c>
      <c r="GB200">
        <v>59.341809227177343</v>
      </c>
      <c r="GC200">
        <v>42.445810042422117</v>
      </c>
      <c r="GD200">
        <v>18.676824090184471</v>
      </c>
      <c r="GE200">
        <v>38.399941290518854</v>
      </c>
      <c r="GF200">
        <v>120.94706120897469</v>
      </c>
      <c r="GG200">
        <v>81.749003513129395</v>
      </c>
      <c r="GH200">
        <v>10.662002937444749</v>
      </c>
      <c r="GI200">
        <v>55.614825576596388</v>
      </c>
      <c r="GJ200"/>
      <c r="GK200"/>
      <c r="GL200"/>
      <c r="GM200"/>
    </row>
    <row r="201" spans="1:195" s="7" customFormat="1">
      <c r="A201" s="1"/>
      <c r="B201" s="76" t="str">
        <f ca="1">IF(C201="", "", RAND())</f>
        <v/>
      </c>
      <c r="C201" t="s">
        <v>104</v>
      </c>
      <c r="D201" t="s">
        <v>104</v>
      </c>
      <c r="E201" t="s">
        <v>104</v>
      </c>
      <c r="F201" t="s">
        <v>104</v>
      </c>
      <c r="G201" t="s">
        <v>104</v>
      </c>
      <c r="H201" t="s">
        <v>104</v>
      </c>
      <c r="I201" t="s">
        <v>104</v>
      </c>
      <c r="J201" t="s">
        <v>104</v>
      </c>
      <c r="K201" t="s">
        <v>104</v>
      </c>
      <c r="L201" t="s">
        <v>104</v>
      </c>
      <c r="M201" t="s">
        <v>104</v>
      </c>
      <c r="N201" t="s">
        <v>104</v>
      </c>
      <c r="O201" t="s">
        <v>104</v>
      </c>
      <c r="P201" t="s">
        <v>104</v>
      </c>
      <c r="Q201" t="s">
        <v>104</v>
      </c>
      <c r="R201" t="s">
        <v>104</v>
      </c>
      <c r="S201" t="s">
        <v>104</v>
      </c>
      <c r="T201" t="s">
        <v>104</v>
      </c>
      <c r="U201" t="s">
        <v>104</v>
      </c>
      <c r="V201" t="s">
        <v>104</v>
      </c>
      <c r="W201" t="s">
        <v>104</v>
      </c>
      <c r="X201" t="s">
        <v>104</v>
      </c>
      <c r="Y201" t="s">
        <v>104</v>
      </c>
      <c r="Z201" t="s">
        <v>104</v>
      </c>
      <c r="AA201" t="s">
        <v>104</v>
      </c>
      <c r="AB201" t="s">
        <v>104</v>
      </c>
      <c r="AC201" t="s">
        <v>104</v>
      </c>
      <c r="AD201" t="s">
        <v>104</v>
      </c>
      <c r="AE201" t="s">
        <v>104</v>
      </c>
      <c r="AF201" t="s">
        <v>104</v>
      </c>
      <c r="AG201" t="s">
        <v>104</v>
      </c>
      <c r="AH201" t="s">
        <v>104</v>
      </c>
      <c r="AI201" t="s">
        <v>104</v>
      </c>
      <c r="AJ201" s="2"/>
      <c r="AK201" s="80"/>
      <c r="AL201" s="74">
        <v>3.0028000000000028</v>
      </c>
      <c r="AM201" s="43">
        <v>185</v>
      </c>
      <c r="AN201">
        <v>246.25113843212461</v>
      </c>
      <c r="AO201">
        <v>79.192252592510513</v>
      </c>
      <c r="AP201">
        <v>588.66987298366496</v>
      </c>
      <c r="AQ201">
        <v>456.27924342375877</v>
      </c>
      <c r="AR201">
        <v>70.839434446579801</v>
      </c>
      <c r="AS201">
        <v>599.15345330015032</v>
      </c>
      <c r="AT201">
        <v>38.206308060634775</v>
      </c>
      <c r="AU201">
        <v>41.214638200722582</v>
      </c>
      <c r="AV201"/>
      <c r="AW201"/>
      <c r="AX201" s="146"/>
      <c r="AY201" s="76" t="str">
        <f t="shared" ca="1" si="169"/>
        <v/>
      </c>
      <c r="AZ201"/>
      <c r="BA201" s="129" t="s">
        <v>104</v>
      </c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 s="147"/>
      <c r="CH201" s="176"/>
      <c r="CJ201" s="146"/>
      <c r="CK201" s="76" t="str">
        <f t="shared" ca="1" si="204"/>
        <v/>
      </c>
      <c r="CL201" s="179" t="str">
        <f t="shared" si="205"/>
        <v/>
      </c>
      <c r="CM201" s="180" t="str">
        <f t="shared" si="206"/>
        <v/>
      </c>
      <c r="CN201"/>
      <c r="CO201"/>
      <c r="CP201"/>
      <c r="CQ201"/>
      <c r="CR201"/>
      <c r="CS201"/>
      <c r="CT201"/>
      <c r="CU201"/>
      <c r="CV201" s="160"/>
      <c r="CW201"/>
      <c r="CX201"/>
      <c r="CY201" s="160"/>
      <c r="CZ201" s="177" t="str">
        <f t="shared" si="207"/>
        <v/>
      </c>
      <c r="DB201" s="146"/>
      <c r="DC201" s="76" t="str">
        <f t="shared" ca="1" si="170"/>
        <v/>
      </c>
      <c r="DD201" t="str">
        <f t="shared" si="208"/>
        <v/>
      </c>
      <c r="DE201" s="129" t="str">
        <f t="shared" si="333"/>
        <v/>
      </c>
      <c r="DF201" s="161" t="str">
        <f t="shared" si="280"/>
        <v/>
      </c>
      <c r="DG201" s="161" t="str">
        <f t="shared" si="281"/>
        <v/>
      </c>
      <c r="DH201" s="161" t="str">
        <f t="shared" si="282"/>
        <v/>
      </c>
      <c r="DI201" s="161" t="str">
        <f t="shared" si="283"/>
        <v/>
      </c>
      <c r="DJ201" s="161" t="str">
        <f t="shared" si="284"/>
        <v/>
      </c>
      <c r="DK201" s="161" t="str">
        <f t="shared" si="285"/>
        <v/>
      </c>
      <c r="DL201" s="161" t="str">
        <f t="shared" si="286"/>
        <v/>
      </c>
      <c r="DM201" s="161" t="str">
        <f t="shared" si="287"/>
        <v/>
      </c>
      <c r="DN201" s="161" t="str">
        <f t="shared" si="310"/>
        <v/>
      </c>
      <c r="DO201" s="161" t="str">
        <f t="shared" si="311"/>
        <v/>
      </c>
      <c r="DP201" s="161" t="str">
        <f t="shared" si="312"/>
        <v/>
      </c>
      <c r="DQ201" s="161" t="str">
        <f t="shared" si="313"/>
        <v/>
      </c>
      <c r="DR201" s="161" t="str">
        <f t="shared" si="314"/>
        <v/>
      </c>
      <c r="DS201" s="161" t="str">
        <f t="shared" si="315"/>
        <v/>
      </c>
      <c r="DT201" s="161" t="str">
        <f t="shared" si="316"/>
        <v/>
      </c>
      <c r="DU201" s="161" t="str">
        <f t="shared" si="317"/>
        <v/>
      </c>
      <c r="DV201" s="161" t="str">
        <f t="shared" si="318"/>
        <v/>
      </c>
      <c r="DW201" s="161" t="str">
        <f t="shared" si="319"/>
        <v/>
      </c>
      <c r="DX201" s="161" t="str">
        <f t="shared" si="320"/>
        <v/>
      </c>
      <c r="DY201" s="161" t="str">
        <f t="shared" si="321"/>
        <v/>
      </c>
      <c r="DZ201" s="161" t="str">
        <f t="shared" si="322"/>
        <v/>
      </c>
      <c r="EA201" s="161" t="str">
        <f t="shared" si="323"/>
        <v/>
      </c>
      <c r="EB201" s="161" t="str">
        <f t="shared" si="324"/>
        <v/>
      </c>
      <c r="EC201" s="161" t="str">
        <f t="shared" si="325"/>
        <v/>
      </c>
      <c r="ED201" s="161" t="str">
        <f t="shared" si="326"/>
        <v/>
      </c>
      <c r="EE201" s="161" t="str">
        <f t="shared" si="327"/>
        <v/>
      </c>
      <c r="EF201" s="161" t="str">
        <f t="shared" si="328"/>
        <v/>
      </c>
      <c r="EG201" s="161" t="str">
        <f t="shared" si="329"/>
        <v/>
      </c>
      <c r="EH201" s="161" t="str">
        <f t="shared" si="330"/>
        <v/>
      </c>
      <c r="EI201" s="161" t="str">
        <f t="shared" si="331"/>
        <v/>
      </c>
      <c r="EJ201" s="161" t="str">
        <f t="shared" si="332"/>
        <v/>
      </c>
      <c r="EK201" s="147" t="str">
        <f t="shared" si="246"/>
        <v/>
      </c>
      <c r="EL201" s="149"/>
      <c r="EN201" s="146"/>
      <c r="EO201" s="146"/>
      <c r="EP201" s="139" t="str">
        <f t="shared" si="247"/>
        <v/>
      </c>
      <c r="EQ201" s="139" t="str">
        <f t="shared" si="248"/>
        <v/>
      </c>
      <c r="ER201" s="139" t="str">
        <f t="shared" si="249"/>
        <v/>
      </c>
      <c r="ES201" s="139" t="str">
        <f t="shared" si="250"/>
        <v/>
      </c>
      <c r="ET201" s="139" t="str">
        <f t="shared" si="251"/>
        <v/>
      </c>
      <c r="EU201" s="139" t="str">
        <f t="shared" si="252"/>
        <v/>
      </c>
      <c r="EV201" s="139" t="str">
        <f t="shared" si="253"/>
        <v/>
      </c>
      <c r="EW201" s="139" t="str">
        <f t="shared" si="254"/>
        <v/>
      </c>
      <c r="EX201" s="139" t="str">
        <f t="shared" si="255"/>
        <v/>
      </c>
      <c r="EY201" s="139" t="str">
        <f t="shared" si="256"/>
        <v/>
      </c>
      <c r="EZ201" s="139" t="str">
        <f t="shared" si="257"/>
        <v/>
      </c>
      <c r="FA201" s="139" t="str">
        <f t="shared" si="258"/>
        <v/>
      </c>
      <c r="FB201" s="139" t="str">
        <f t="shared" si="259"/>
        <v/>
      </c>
      <c r="FC201" s="139" t="str">
        <f t="shared" si="260"/>
        <v/>
      </c>
      <c r="FD201" s="139" t="str">
        <f t="shared" si="261"/>
        <v/>
      </c>
      <c r="FE201" s="139" t="str">
        <f t="shared" si="262"/>
        <v/>
      </c>
      <c r="FF201" s="139" t="str">
        <f t="shared" si="263"/>
        <v/>
      </c>
      <c r="FG201" s="139" t="str">
        <f t="shared" si="264"/>
        <v/>
      </c>
      <c r="FH201" s="139" t="str">
        <f t="shared" si="265"/>
        <v/>
      </c>
      <c r="FI201" s="139" t="str">
        <f t="shared" si="266"/>
        <v/>
      </c>
      <c r="FJ201" s="139" t="str">
        <f t="shared" si="267"/>
        <v/>
      </c>
      <c r="FK201" s="139" t="str">
        <f t="shared" si="268"/>
        <v/>
      </c>
      <c r="FL201" s="139" t="str">
        <f t="shared" si="269"/>
        <v/>
      </c>
      <c r="FM201" s="139" t="str">
        <f t="shared" si="270"/>
        <v/>
      </c>
      <c r="FN201" s="139" t="str">
        <f t="shared" si="271"/>
        <v/>
      </c>
      <c r="FO201" s="139" t="str">
        <f t="shared" si="272"/>
        <v/>
      </c>
      <c r="FP201" s="139" t="str">
        <f t="shared" si="273"/>
        <v/>
      </c>
      <c r="FQ201" s="139" t="str">
        <f t="shared" si="274"/>
        <v/>
      </c>
      <c r="FR201" s="139" t="str">
        <f t="shared" si="275"/>
        <v/>
      </c>
      <c r="FS201" s="139" t="str">
        <f t="shared" si="276"/>
        <v/>
      </c>
      <c r="FT201" s="139" t="str">
        <f t="shared" si="277"/>
        <v/>
      </c>
      <c r="FU201" s="148" t="str">
        <f t="shared" si="278"/>
        <v/>
      </c>
      <c r="FV201" s="149"/>
      <c r="FY201" s="211">
        <v>196</v>
      </c>
      <c r="FZ201">
        <v>28.239718058418045</v>
      </c>
      <c r="GA201">
        <v>51.652758143408455</v>
      </c>
      <c r="GB201">
        <v>63.092172294345211</v>
      </c>
      <c r="GC201">
        <v>35.815886765089274</v>
      </c>
      <c r="GD201">
        <v>15.675641572351868</v>
      </c>
      <c r="GE201">
        <v>22.061268071810947</v>
      </c>
      <c r="GF201">
        <v>40.652228426732449</v>
      </c>
      <c r="GG201">
        <v>40.786555683467903</v>
      </c>
      <c r="GH201">
        <v>8.2844649802085826</v>
      </c>
      <c r="GI201">
        <v>39.341964220119017</v>
      </c>
      <c r="GJ201"/>
      <c r="GK201"/>
      <c r="GL201"/>
      <c r="GM201"/>
    </row>
    <row r="202" spans="1:195" s="7" customFormat="1">
      <c r="A202" s="1"/>
      <c r="B202" s="76" t="str">
        <f ca="1">IF(C202="", "", RAND())</f>
        <v/>
      </c>
      <c r="C202" t="s">
        <v>104</v>
      </c>
      <c r="D202" t="s">
        <v>104</v>
      </c>
      <c r="E202" t="s">
        <v>104</v>
      </c>
      <c r="F202" t="s">
        <v>104</v>
      </c>
      <c r="G202" t="s">
        <v>104</v>
      </c>
      <c r="H202" t="s">
        <v>104</v>
      </c>
      <c r="I202" t="s">
        <v>104</v>
      </c>
      <c r="J202" t="s">
        <v>104</v>
      </c>
      <c r="K202" t="s">
        <v>104</v>
      </c>
      <c r="L202" t="s">
        <v>104</v>
      </c>
      <c r="M202" t="s">
        <v>104</v>
      </c>
      <c r="N202" t="s">
        <v>104</v>
      </c>
      <c r="O202" t="s">
        <v>104</v>
      </c>
      <c r="P202" t="s">
        <v>104</v>
      </c>
      <c r="Q202" t="s">
        <v>104</v>
      </c>
      <c r="R202" t="s">
        <v>104</v>
      </c>
      <c r="S202" t="s">
        <v>104</v>
      </c>
      <c r="T202" t="s">
        <v>104</v>
      </c>
      <c r="U202" t="s">
        <v>104</v>
      </c>
      <c r="V202" t="s">
        <v>104</v>
      </c>
      <c r="W202" t="s">
        <v>104</v>
      </c>
      <c r="X202" t="s">
        <v>104</v>
      </c>
      <c r="Y202" t="s">
        <v>104</v>
      </c>
      <c r="Z202" t="s">
        <v>104</v>
      </c>
      <c r="AA202" t="s">
        <v>104</v>
      </c>
      <c r="AB202" t="s">
        <v>104</v>
      </c>
      <c r="AC202" t="s">
        <v>104</v>
      </c>
      <c r="AD202" t="s">
        <v>104</v>
      </c>
      <c r="AE202" t="s">
        <v>104</v>
      </c>
      <c r="AF202" t="s">
        <v>104</v>
      </c>
      <c r="AG202" t="s">
        <v>104</v>
      </c>
      <c r="AH202" t="s">
        <v>104</v>
      </c>
      <c r="AI202" t="s">
        <v>104</v>
      </c>
      <c r="AJ202" s="2"/>
      <c r="AK202" s="80"/>
      <c r="AL202" s="74"/>
      <c r="AM202" s="43">
        <v>186</v>
      </c>
      <c r="AN202">
        <v>250.48364708795711</v>
      </c>
      <c r="AO202">
        <v>84.867632731777107</v>
      </c>
      <c r="AP202">
        <v>664.92401280938509</v>
      </c>
      <c r="AQ202">
        <v>478.74775306521087</v>
      </c>
      <c r="AR202">
        <v>75.732124598011879</v>
      </c>
      <c r="AS202">
        <v>606.15959725002358</v>
      </c>
      <c r="AT202" t="e">
        <v>#DIV/0!</v>
      </c>
      <c r="AU202" t="e">
        <v>#DIV/0!</v>
      </c>
      <c r="AV202"/>
      <c r="AW202"/>
      <c r="AX202" s="146"/>
      <c r="AY202" s="76" t="str">
        <f t="shared" ca="1" si="169"/>
        <v/>
      </c>
      <c r="AZ202"/>
      <c r="BA202" s="129" t="s">
        <v>104</v>
      </c>
      <c r="BB202"/>
      <c r="BC202"/>
      <c r="BD202"/>
      <c r="BE202" s="188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 s="147"/>
      <c r="CH202" s="176"/>
      <c r="CJ202" s="146"/>
      <c r="CK202" s="76" t="str">
        <f t="shared" ca="1" si="204"/>
        <v/>
      </c>
      <c r="CL202" s="179" t="str">
        <f t="shared" si="205"/>
        <v/>
      </c>
      <c r="CM202" s="180" t="str">
        <f t="shared" si="206"/>
        <v/>
      </c>
      <c r="CN202"/>
      <c r="CO202"/>
      <c r="CP202"/>
      <c r="CQ202"/>
      <c r="CR202"/>
      <c r="CS202"/>
      <c r="CT202"/>
      <c r="CU202"/>
      <c r="CV202" s="160"/>
      <c r="CW202"/>
      <c r="CX202"/>
      <c r="CY202" s="160"/>
      <c r="CZ202" s="177" t="str">
        <f t="shared" si="207"/>
        <v/>
      </c>
      <c r="DB202" s="146"/>
      <c r="DC202" s="76" t="str">
        <f t="shared" ca="1" si="170"/>
        <v/>
      </c>
      <c r="DD202" t="str">
        <f t="shared" si="208"/>
        <v/>
      </c>
      <c r="DE202" s="129" t="str">
        <f t="shared" si="333"/>
        <v/>
      </c>
      <c r="DF202" s="161" t="str">
        <f t="shared" si="280"/>
        <v/>
      </c>
      <c r="DG202" s="161" t="str">
        <f t="shared" si="281"/>
        <v/>
      </c>
      <c r="DH202" s="161" t="str">
        <f t="shared" si="282"/>
        <v/>
      </c>
      <c r="DI202" s="161" t="str">
        <f t="shared" si="283"/>
        <v/>
      </c>
      <c r="DJ202" s="161" t="str">
        <f t="shared" si="284"/>
        <v/>
      </c>
      <c r="DK202" s="161" t="str">
        <f t="shared" si="285"/>
        <v/>
      </c>
      <c r="DL202" s="161" t="str">
        <f t="shared" si="286"/>
        <v/>
      </c>
      <c r="DM202" s="161" t="str">
        <f t="shared" si="287"/>
        <v/>
      </c>
      <c r="DN202" s="161" t="str">
        <f t="shared" si="310"/>
        <v/>
      </c>
      <c r="DO202" s="161" t="str">
        <f t="shared" si="311"/>
        <v/>
      </c>
      <c r="DP202" s="161" t="str">
        <f t="shared" si="312"/>
        <v/>
      </c>
      <c r="DQ202" s="161" t="str">
        <f t="shared" si="313"/>
        <v/>
      </c>
      <c r="DR202" s="161" t="str">
        <f t="shared" si="314"/>
        <v/>
      </c>
      <c r="DS202" s="161" t="str">
        <f t="shared" si="315"/>
        <v/>
      </c>
      <c r="DT202" s="161" t="str">
        <f t="shared" si="316"/>
        <v/>
      </c>
      <c r="DU202" s="161" t="str">
        <f t="shared" si="317"/>
        <v/>
      </c>
      <c r="DV202" s="161" t="str">
        <f t="shared" si="318"/>
        <v/>
      </c>
      <c r="DW202" s="161" t="str">
        <f t="shared" si="319"/>
        <v/>
      </c>
      <c r="DX202" s="161" t="str">
        <f t="shared" si="320"/>
        <v/>
      </c>
      <c r="DY202" s="161" t="str">
        <f t="shared" si="321"/>
        <v/>
      </c>
      <c r="DZ202" s="161" t="str">
        <f t="shared" si="322"/>
        <v/>
      </c>
      <c r="EA202" s="161" t="str">
        <f t="shared" si="323"/>
        <v/>
      </c>
      <c r="EB202" s="161" t="str">
        <f t="shared" si="324"/>
        <v/>
      </c>
      <c r="EC202" s="161" t="str">
        <f t="shared" si="325"/>
        <v/>
      </c>
      <c r="ED202" s="161" t="str">
        <f t="shared" si="326"/>
        <v/>
      </c>
      <c r="EE202" s="161" t="str">
        <f t="shared" si="327"/>
        <v/>
      </c>
      <c r="EF202" s="161" t="str">
        <f t="shared" si="328"/>
        <v/>
      </c>
      <c r="EG202" s="161" t="str">
        <f t="shared" si="329"/>
        <v/>
      </c>
      <c r="EH202" s="161" t="str">
        <f t="shared" si="330"/>
        <v/>
      </c>
      <c r="EI202" s="161" t="str">
        <f t="shared" si="331"/>
        <v/>
      </c>
      <c r="EJ202" s="161" t="str">
        <f t="shared" si="332"/>
        <v/>
      </c>
      <c r="EK202" s="147" t="str">
        <f t="shared" si="246"/>
        <v/>
      </c>
      <c r="EL202" s="149"/>
      <c r="EN202" s="146"/>
      <c r="EO202" s="146"/>
      <c r="EP202" s="139" t="str">
        <f t="shared" si="247"/>
        <v/>
      </c>
      <c r="EQ202" s="139" t="str">
        <f t="shared" si="248"/>
        <v/>
      </c>
      <c r="ER202" s="139" t="str">
        <f t="shared" si="249"/>
        <v/>
      </c>
      <c r="ES202" s="139" t="str">
        <f t="shared" si="250"/>
        <v/>
      </c>
      <c r="ET202" s="139" t="str">
        <f t="shared" si="251"/>
        <v/>
      </c>
      <c r="EU202" s="139" t="str">
        <f t="shared" si="252"/>
        <v/>
      </c>
      <c r="EV202" s="139" t="str">
        <f t="shared" si="253"/>
        <v/>
      </c>
      <c r="EW202" s="139" t="str">
        <f t="shared" si="254"/>
        <v/>
      </c>
      <c r="EX202" s="139" t="str">
        <f t="shared" si="255"/>
        <v/>
      </c>
      <c r="EY202" s="139" t="str">
        <f t="shared" si="256"/>
        <v/>
      </c>
      <c r="EZ202" s="139" t="str">
        <f t="shared" si="257"/>
        <v/>
      </c>
      <c r="FA202" s="139" t="str">
        <f t="shared" si="258"/>
        <v/>
      </c>
      <c r="FB202" s="139" t="str">
        <f t="shared" si="259"/>
        <v/>
      </c>
      <c r="FC202" s="139" t="str">
        <f t="shared" si="260"/>
        <v/>
      </c>
      <c r="FD202" s="139" t="str">
        <f t="shared" si="261"/>
        <v/>
      </c>
      <c r="FE202" s="139" t="str">
        <f t="shared" si="262"/>
        <v/>
      </c>
      <c r="FF202" s="139" t="str">
        <f t="shared" si="263"/>
        <v/>
      </c>
      <c r="FG202" s="139" t="str">
        <f t="shared" si="264"/>
        <v/>
      </c>
      <c r="FH202" s="139" t="str">
        <f t="shared" si="265"/>
        <v/>
      </c>
      <c r="FI202" s="139" t="str">
        <f t="shared" si="266"/>
        <v/>
      </c>
      <c r="FJ202" s="139" t="str">
        <f t="shared" si="267"/>
        <v/>
      </c>
      <c r="FK202" s="139" t="str">
        <f t="shared" si="268"/>
        <v/>
      </c>
      <c r="FL202" s="139" t="str">
        <f t="shared" si="269"/>
        <v/>
      </c>
      <c r="FM202" s="139" t="str">
        <f t="shared" si="270"/>
        <v/>
      </c>
      <c r="FN202" s="139" t="str">
        <f t="shared" si="271"/>
        <v/>
      </c>
      <c r="FO202" s="139" t="str">
        <f t="shared" si="272"/>
        <v/>
      </c>
      <c r="FP202" s="139" t="str">
        <f t="shared" si="273"/>
        <v/>
      </c>
      <c r="FQ202" s="139" t="str">
        <f t="shared" si="274"/>
        <v/>
      </c>
      <c r="FR202" s="139" t="str">
        <f t="shared" si="275"/>
        <v/>
      </c>
      <c r="FS202" s="139" t="str">
        <f t="shared" si="276"/>
        <v/>
      </c>
      <c r="FT202" s="139" t="str">
        <f t="shared" si="277"/>
        <v/>
      </c>
      <c r="FU202" s="148" t="str">
        <f t="shared" si="278"/>
        <v/>
      </c>
      <c r="FV202" s="149"/>
      <c r="FY202" s="211">
        <v>197</v>
      </c>
      <c r="FZ202">
        <v>14.973102299755654</v>
      </c>
      <c r="GA202">
        <v>40.373776925179754</v>
      </c>
      <c r="GB202">
        <v>90.027875359109174</v>
      </c>
      <c r="GC202">
        <v>56.05317363834174</v>
      </c>
      <c r="GD202">
        <v>22.147029483852947</v>
      </c>
      <c r="GE202">
        <v>49.89209195195928</v>
      </c>
      <c r="GF202">
        <v>66.992075495886837</v>
      </c>
      <c r="GG202">
        <v>54.950399553122118</v>
      </c>
      <c r="GH202">
        <v>45.984548689442448</v>
      </c>
      <c r="GI202">
        <v>60.158145388484279</v>
      </c>
      <c r="GJ202"/>
      <c r="GK202"/>
      <c r="GL202"/>
      <c r="GM202"/>
    </row>
    <row r="203" spans="1:195" s="7" customFormat="1">
      <c r="A203" s="1"/>
      <c r="B203" s="76" t="str">
        <f ca="1">IF(C203="", "", RAND())</f>
        <v/>
      </c>
      <c r="C203" t="s">
        <v>104</v>
      </c>
      <c r="D203" t="s">
        <v>104</v>
      </c>
      <c r="E203" t="s">
        <v>104</v>
      </c>
      <c r="F203" t="s">
        <v>104</v>
      </c>
      <c r="G203" t="s">
        <v>104</v>
      </c>
      <c r="H203" t="s">
        <v>104</v>
      </c>
      <c r="I203" t="s">
        <v>104</v>
      </c>
      <c r="J203" t="s">
        <v>104</v>
      </c>
      <c r="K203" t="s">
        <v>104</v>
      </c>
      <c r="L203" t="s">
        <v>104</v>
      </c>
      <c r="M203" t="s">
        <v>104</v>
      </c>
      <c r="N203" t="s">
        <v>104</v>
      </c>
      <c r="O203" t="s">
        <v>104</v>
      </c>
      <c r="P203" t="s">
        <v>104</v>
      </c>
      <c r="Q203" t="s">
        <v>104</v>
      </c>
      <c r="R203" t="s">
        <v>104</v>
      </c>
      <c r="S203" t="s">
        <v>104</v>
      </c>
      <c r="T203" t="s">
        <v>104</v>
      </c>
      <c r="U203" t="s">
        <v>104</v>
      </c>
      <c r="V203" t="s">
        <v>104</v>
      </c>
      <c r="W203" t="s">
        <v>104</v>
      </c>
      <c r="X203" t="s">
        <v>104</v>
      </c>
      <c r="Y203" t="s">
        <v>104</v>
      </c>
      <c r="Z203" t="s">
        <v>104</v>
      </c>
      <c r="AA203" t="s">
        <v>104</v>
      </c>
      <c r="AB203" t="s">
        <v>104</v>
      </c>
      <c r="AC203" t="s">
        <v>104</v>
      </c>
      <c r="AD203" t="s">
        <v>104</v>
      </c>
      <c r="AE203" t="s">
        <v>104</v>
      </c>
      <c r="AF203" t="s">
        <v>104</v>
      </c>
      <c r="AG203" t="s">
        <v>104</v>
      </c>
      <c r="AH203" t="s">
        <v>104</v>
      </c>
      <c r="AI203" t="s">
        <v>104</v>
      </c>
      <c r="AJ203" s="2"/>
      <c r="AK203" s="80"/>
      <c r="AL203" s="74"/>
      <c r="AM203" s="43">
        <v>187</v>
      </c>
      <c r="AN203">
        <v>278.64306522070768</v>
      </c>
      <c r="AO203">
        <v>101.28650070159654</v>
      </c>
      <c r="AP203">
        <v>794.99878155143847</v>
      </c>
      <c r="AQ203">
        <v>549.18799696420297</v>
      </c>
      <c r="AR203">
        <v>90.580954187190045</v>
      </c>
      <c r="AS203">
        <v>759.36694346484921</v>
      </c>
      <c r="AT203">
        <v>49.409717073476166</v>
      </c>
      <c r="AU203">
        <v>106.96052131730491</v>
      </c>
      <c r="AV203"/>
      <c r="AW203"/>
      <c r="AX203" s="146"/>
      <c r="AY203" s="76" t="str">
        <f t="shared" ca="1" si="169"/>
        <v/>
      </c>
      <c r="AZ203"/>
      <c r="BA203" s="129" t="s">
        <v>104</v>
      </c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 s="147"/>
      <c r="CH203" s="176"/>
      <c r="CJ203" s="146"/>
      <c r="CK203" s="76" t="str">
        <f t="shared" ca="1" si="204"/>
        <v/>
      </c>
      <c r="CL203" s="179" t="str">
        <f t="shared" si="205"/>
        <v/>
      </c>
      <c r="CM203" s="180" t="str">
        <f t="shared" si="206"/>
        <v/>
      </c>
      <c r="CN203"/>
      <c r="CO203"/>
      <c r="CP203"/>
      <c r="CQ203"/>
      <c r="CR203"/>
      <c r="CS203"/>
      <c r="CT203"/>
      <c r="CU203"/>
      <c r="CV203" s="160"/>
      <c r="CW203"/>
      <c r="CX203"/>
      <c r="CY203" s="160"/>
      <c r="CZ203" s="177" t="str">
        <f t="shared" si="207"/>
        <v/>
      </c>
      <c r="DB203" s="146"/>
      <c r="DC203" s="76" t="str">
        <f t="shared" ca="1" si="170"/>
        <v/>
      </c>
      <c r="DD203" t="str">
        <f t="shared" si="208"/>
        <v/>
      </c>
      <c r="DE203" s="129" t="str">
        <f t="shared" si="333"/>
        <v/>
      </c>
      <c r="DF203" s="161" t="str">
        <f t="shared" si="280"/>
        <v/>
      </c>
      <c r="DG203" s="161" t="str">
        <f t="shared" si="281"/>
        <v/>
      </c>
      <c r="DH203" s="161" t="str">
        <f t="shared" si="282"/>
        <v/>
      </c>
      <c r="DI203" s="161" t="str">
        <f t="shared" si="283"/>
        <v/>
      </c>
      <c r="DJ203" s="161" t="str">
        <f t="shared" si="284"/>
        <v/>
      </c>
      <c r="DK203" s="161" t="str">
        <f t="shared" si="285"/>
        <v/>
      </c>
      <c r="DL203" s="161" t="str">
        <f t="shared" si="286"/>
        <v/>
      </c>
      <c r="DM203" s="161" t="str">
        <f t="shared" si="287"/>
        <v/>
      </c>
      <c r="DN203" s="161" t="str">
        <f t="shared" si="310"/>
        <v/>
      </c>
      <c r="DO203" s="161" t="str">
        <f t="shared" si="311"/>
        <v/>
      </c>
      <c r="DP203" s="161" t="str">
        <f t="shared" si="312"/>
        <v/>
      </c>
      <c r="DQ203" s="161" t="str">
        <f t="shared" si="313"/>
        <v/>
      </c>
      <c r="DR203" s="161" t="str">
        <f t="shared" si="314"/>
        <v/>
      </c>
      <c r="DS203" s="161" t="str">
        <f t="shared" si="315"/>
        <v/>
      </c>
      <c r="DT203" s="161" t="str">
        <f t="shared" si="316"/>
        <v/>
      </c>
      <c r="DU203" s="161" t="str">
        <f t="shared" si="317"/>
        <v/>
      </c>
      <c r="DV203" s="161" t="str">
        <f t="shared" si="318"/>
        <v/>
      </c>
      <c r="DW203" s="161" t="str">
        <f t="shared" si="319"/>
        <v/>
      </c>
      <c r="DX203" s="161" t="str">
        <f t="shared" si="320"/>
        <v/>
      </c>
      <c r="DY203" s="161" t="str">
        <f t="shared" si="321"/>
        <v/>
      </c>
      <c r="DZ203" s="161" t="str">
        <f t="shared" si="322"/>
        <v/>
      </c>
      <c r="EA203" s="161" t="str">
        <f t="shared" si="323"/>
        <v/>
      </c>
      <c r="EB203" s="161" t="str">
        <f t="shared" si="324"/>
        <v/>
      </c>
      <c r="EC203" s="161" t="str">
        <f t="shared" si="325"/>
        <v/>
      </c>
      <c r="ED203" s="161" t="str">
        <f t="shared" si="326"/>
        <v/>
      </c>
      <c r="EE203" s="161" t="str">
        <f t="shared" si="327"/>
        <v/>
      </c>
      <c r="EF203" s="161" t="str">
        <f t="shared" si="328"/>
        <v/>
      </c>
      <c r="EG203" s="161" t="str">
        <f t="shared" si="329"/>
        <v/>
      </c>
      <c r="EH203" s="161" t="str">
        <f t="shared" si="330"/>
        <v/>
      </c>
      <c r="EI203" s="161" t="str">
        <f t="shared" si="331"/>
        <v/>
      </c>
      <c r="EJ203" s="161" t="str">
        <f t="shared" si="332"/>
        <v/>
      </c>
      <c r="EK203" s="147" t="str">
        <f t="shared" si="246"/>
        <v/>
      </c>
      <c r="EL203" s="149"/>
      <c r="EN203" s="146"/>
      <c r="EO203" s="146"/>
      <c r="EP203" s="139" t="str">
        <f t="shared" si="247"/>
        <v/>
      </c>
      <c r="EQ203" s="139" t="str">
        <f t="shared" si="248"/>
        <v/>
      </c>
      <c r="ER203" s="139" t="str">
        <f t="shared" si="249"/>
        <v/>
      </c>
      <c r="ES203" s="139" t="str">
        <f t="shared" si="250"/>
        <v/>
      </c>
      <c r="ET203" s="139" t="str">
        <f t="shared" si="251"/>
        <v/>
      </c>
      <c r="EU203" s="139" t="str">
        <f t="shared" si="252"/>
        <v/>
      </c>
      <c r="EV203" s="139" t="str">
        <f t="shared" si="253"/>
        <v/>
      </c>
      <c r="EW203" s="139" t="str">
        <f t="shared" si="254"/>
        <v/>
      </c>
      <c r="EX203" s="139" t="str">
        <f t="shared" si="255"/>
        <v/>
      </c>
      <c r="EY203" s="139" t="str">
        <f t="shared" si="256"/>
        <v/>
      </c>
      <c r="EZ203" s="139" t="str">
        <f t="shared" si="257"/>
        <v/>
      </c>
      <c r="FA203" s="139" t="str">
        <f t="shared" si="258"/>
        <v/>
      </c>
      <c r="FB203" s="139" t="str">
        <f t="shared" si="259"/>
        <v/>
      </c>
      <c r="FC203" s="139" t="str">
        <f t="shared" si="260"/>
        <v/>
      </c>
      <c r="FD203" s="139" t="str">
        <f t="shared" si="261"/>
        <v/>
      </c>
      <c r="FE203" s="139" t="str">
        <f t="shared" si="262"/>
        <v/>
      </c>
      <c r="FF203" s="139" t="str">
        <f t="shared" si="263"/>
        <v/>
      </c>
      <c r="FG203" s="139" t="str">
        <f t="shared" si="264"/>
        <v/>
      </c>
      <c r="FH203" s="139" t="str">
        <f t="shared" si="265"/>
        <v/>
      </c>
      <c r="FI203" s="139" t="str">
        <f t="shared" si="266"/>
        <v/>
      </c>
      <c r="FJ203" s="139" t="str">
        <f t="shared" si="267"/>
        <v/>
      </c>
      <c r="FK203" s="139" t="str">
        <f t="shared" si="268"/>
        <v/>
      </c>
      <c r="FL203" s="139" t="str">
        <f t="shared" si="269"/>
        <v/>
      </c>
      <c r="FM203" s="139" t="str">
        <f t="shared" si="270"/>
        <v/>
      </c>
      <c r="FN203" s="139" t="str">
        <f t="shared" si="271"/>
        <v/>
      </c>
      <c r="FO203" s="139" t="str">
        <f t="shared" si="272"/>
        <v/>
      </c>
      <c r="FP203" s="139" t="str">
        <f t="shared" si="273"/>
        <v/>
      </c>
      <c r="FQ203" s="139" t="str">
        <f t="shared" si="274"/>
        <v/>
      </c>
      <c r="FR203" s="139" t="str">
        <f t="shared" si="275"/>
        <v/>
      </c>
      <c r="FS203" s="139" t="str">
        <f t="shared" si="276"/>
        <v/>
      </c>
      <c r="FT203" s="139" t="str">
        <f t="shared" si="277"/>
        <v/>
      </c>
      <c r="FU203" s="148" t="str">
        <f t="shared" si="278"/>
        <v/>
      </c>
      <c r="FV203" s="149"/>
      <c r="FY203" s="211">
        <v>198</v>
      </c>
      <c r="FZ203">
        <v>17.131363317687391</v>
      </c>
      <c r="GA203">
        <v>57.340264135707656</v>
      </c>
      <c r="GB203">
        <v>67.991293015930793</v>
      </c>
      <c r="GC203">
        <v>39.105419471197997</v>
      </c>
      <c r="GD203">
        <v>20.050063665554926</v>
      </c>
      <c r="GE203">
        <v>37.703375377195677</v>
      </c>
      <c r="GF203">
        <v>58.949189605544262</v>
      </c>
      <c r="GG203">
        <v>46.45661842000947</v>
      </c>
      <c r="GH203">
        <v>24.870870497876066</v>
      </c>
      <c r="GI203">
        <v>48.377557143784735</v>
      </c>
      <c r="GJ203"/>
      <c r="GK203"/>
      <c r="GL203"/>
      <c r="GM203"/>
    </row>
    <row r="204" spans="1:195" s="7" customFormat="1">
      <c r="A204" s="1"/>
      <c r="B204" s="76" t="str">
        <f ca="1">IF(C204="", "", RAND())</f>
        <v/>
      </c>
      <c r="C204" t="s">
        <v>104</v>
      </c>
      <c r="D204" t="s">
        <v>104</v>
      </c>
      <c r="E204" t="s">
        <v>104</v>
      </c>
      <c r="F204" t="s">
        <v>104</v>
      </c>
      <c r="G204" t="s">
        <v>104</v>
      </c>
      <c r="H204" t="s">
        <v>104</v>
      </c>
      <c r="I204" t="s">
        <v>104</v>
      </c>
      <c r="J204" t="s">
        <v>104</v>
      </c>
      <c r="K204" t="s">
        <v>104</v>
      </c>
      <c r="L204" t="s">
        <v>104</v>
      </c>
      <c r="M204" t="s">
        <v>104</v>
      </c>
      <c r="N204" t="s">
        <v>104</v>
      </c>
      <c r="O204" t="s">
        <v>104</v>
      </c>
      <c r="P204" t="s">
        <v>104</v>
      </c>
      <c r="Q204" t="s">
        <v>104</v>
      </c>
      <c r="R204" t="s">
        <v>104</v>
      </c>
      <c r="S204" t="s">
        <v>104</v>
      </c>
      <c r="T204" t="s">
        <v>104</v>
      </c>
      <c r="U204" t="s">
        <v>104</v>
      </c>
      <c r="V204" t="s">
        <v>104</v>
      </c>
      <c r="W204" t="s">
        <v>104</v>
      </c>
      <c r="X204" t="s">
        <v>104</v>
      </c>
      <c r="Y204" t="s">
        <v>104</v>
      </c>
      <c r="Z204" t="s">
        <v>104</v>
      </c>
      <c r="AA204" t="s">
        <v>104</v>
      </c>
      <c r="AB204" t="s">
        <v>104</v>
      </c>
      <c r="AC204" t="s">
        <v>104</v>
      </c>
      <c r="AD204" t="s">
        <v>104</v>
      </c>
      <c r="AE204" t="s">
        <v>104</v>
      </c>
      <c r="AF204" t="s">
        <v>104</v>
      </c>
      <c r="AG204" t="s">
        <v>104</v>
      </c>
      <c r="AH204" t="s">
        <v>104</v>
      </c>
      <c r="AI204" t="s">
        <v>104</v>
      </c>
      <c r="AJ204" s="2"/>
      <c r="AK204" s="80"/>
      <c r="AL204" s="74"/>
      <c r="AM204" s="43">
        <v>188</v>
      </c>
      <c r="AN204">
        <v>225.26312808282282</v>
      </c>
      <c r="AO204">
        <v>89.467864024553478</v>
      </c>
      <c r="AP204">
        <v>673.65914842933864</v>
      </c>
      <c r="AQ204">
        <v>507.08856106981659</v>
      </c>
      <c r="AR204">
        <v>81.388269003153709</v>
      </c>
      <c r="AS204">
        <v>649.71370050234509</v>
      </c>
      <c r="AT204">
        <v>43.925729562329423</v>
      </c>
      <c r="AU204">
        <v>100.16687309552947</v>
      </c>
      <c r="AV204"/>
      <c r="AW204"/>
      <c r="AX204" s="146"/>
      <c r="AY204" s="76" t="str">
        <f t="shared" ca="1" si="169"/>
        <v/>
      </c>
      <c r="AZ204"/>
      <c r="BA204" s="129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 s="147"/>
      <c r="CH204" s="176"/>
      <c r="CJ204" s="146"/>
      <c r="CK204" s="76" t="str">
        <f t="shared" ca="1" si="204"/>
        <v/>
      </c>
      <c r="CL204" s="179" t="str">
        <f t="shared" si="205"/>
        <v/>
      </c>
      <c r="CM204" s="180" t="str">
        <f t="shared" si="206"/>
        <v/>
      </c>
      <c r="CN204"/>
      <c r="CO204"/>
      <c r="CP204"/>
      <c r="CQ204"/>
      <c r="CR204"/>
      <c r="CS204"/>
      <c r="CT204"/>
      <c r="CU204"/>
      <c r="CV204" s="160"/>
      <c r="CW204"/>
      <c r="CX204"/>
      <c r="CY204" s="166"/>
      <c r="CZ204" s="177" t="str">
        <f t="shared" si="207"/>
        <v/>
      </c>
      <c r="DB204" s="146"/>
      <c r="DC204" s="76" t="str">
        <f t="shared" ca="1" si="170"/>
        <v/>
      </c>
      <c r="DD204" t="str">
        <f t="shared" si="208"/>
        <v/>
      </c>
      <c r="DE204" s="129" t="str">
        <f t="shared" si="333"/>
        <v/>
      </c>
      <c r="DF204" s="161" t="str">
        <f t="shared" si="280"/>
        <v/>
      </c>
      <c r="DG204" s="161" t="str">
        <f t="shared" si="281"/>
        <v/>
      </c>
      <c r="DH204" s="161" t="str">
        <f t="shared" si="282"/>
        <v/>
      </c>
      <c r="DI204" s="161" t="str">
        <f t="shared" si="283"/>
        <v/>
      </c>
      <c r="DJ204" s="161" t="str">
        <f t="shared" si="284"/>
        <v/>
      </c>
      <c r="DK204" s="161" t="str">
        <f t="shared" si="285"/>
        <v/>
      </c>
      <c r="DL204" s="161" t="str">
        <f t="shared" si="286"/>
        <v/>
      </c>
      <c r="DM204" s="161" t="str">
        <f t="shared" si="287"/>
        <v/>
      </c>
      <c r="DN204" s="161" t="str">
        <f t="shared" si="310"/>
        <v/>
      </c>
      <c r="DO204" s="161" t="str">
        <f t="shared" si="311"/>
        <v/>
      </c>
      <c r="DP204" s="161" t="str">
        <f t="shared" si="312"/>
        <v/>
      </c>
      <c r="DQ204" s="161" t="str">
        <f t="shared" si="313"/>
        <v/>
      </c>
      <c r="DR204" s="161" t="str">
        <f t="shared" si="314"/>
        <v/>
      </c>
      <c r="DS204" s="161" t="str">
        <f t="shared" si="315"/>
        <v/>
      </c>
      <c r="DT204" s="161" t="str">
        <f t="shared" si="316"/>
        <v/>
      </c>
      <c r="DU204" s="161" t="str">
        <f t="shared" si="317"/>
        <v/>
      </c>
      <c r="DV204" s="161" t="str">
        <f t="shared" si="318"/>
        <v/>
      </c>
      <c r="DW204" s="161" t="str">
        <f t="shared" si="319"/>
        <v/>
      </c>
      <c r="DX204" s="161" t="str">
        <f t="shared" si="320"/>
        <v/>
      </c>
      <c r="DY204" s="161" t="str">
        <f t="shared" si="321"/>
        <v/>
      </c>
      <c r="DZ204" s="161" t="str">
        <f t="shared" si="322"/>
        <v/>
      </c>
      <c r="EA204" s="161" t="str">
        <f t="shared" si="323"/>
        <v/>
      </c>
      <c r="EB204" s="161" t="str">
        <f t="shared" si="324"/>
        <v/>
      </c>
      <c r="EC204" s="161" t="str">
        <f t="shared" si="325"/>
        <v/>
      </c>
      <c r="ED204" s="161" t="str">
        <f t="shared" si="326"/>
        <v/>
      </c>
      <c r="EE204" s="161" t="str">
        <f t="shared" si="327"/>
        <v/>
      </c>
      <c r="EF204" s="161" t="str">
        <f t="shared" si="328"/>
        <v/>
      </c>
      <c r="EG204" s="161" t="str">
        <f t="shared" si="329"/>
        <v/>
      </c>
      <c r="EH204" s="161" t="str">
        <f t="shared" si="330"/>
        <v/>
      </c>
      <c r="EI204" s="161" t="str">
        <f t="shared" si="331"/>
        <v/>
      </c>
      <c r="EJ204" s="161" t="str">
        <f t="shared" si="332"/>
        <v/>
      </c>
      <c r="EK204" s="147" t="str">
        <f t="shared" si="246"/>
        <v/>
      </c>
      <c r="EL204" s="149"/>
      <c r="EN204" s="146"/>
      <c r="EO204" s="146"/>
      <c r="EP204" s="139" t="str">
        <f t="shared" si="247"/>
        <v/>
      </c>
      <c r="EQ204" s="139" t="str">
        <f t="shared" si="248"/>
        <v/>
      </c>
      <c r="ER204" s="139" t="str">
        <f t="shared" si="249"/>
        <v/>
      </c>
      <c r="ES204" s="139" t="str">
        <f t="shared" si="250"/>
        <v/>
      </c>
      <c r="ET204" s="139" t="str">
        <f t="shared" si="251"/>
        <v/>
      </c>
      <c r="EU204" s="139" t="str">
        <f t="shared" si="252"/>
        <v/>
      </c>
      <c r="EV204" s="139" t="str">
        <f t="shared" si="253"/>
        <v/>
      </c>
      <c r="EW204" s="139" t="str">
        <f t="shared" si="254"/>
        <v/>
      </c>
      <c r="EX204" s="139" t="str">
        <f t="shared" si="255"/>
        <v/>
      </c>
      <c r="EY204" s="139" t="str">
        <f t="shared" si="256"/>
        <v/>
      </c>
      <c r="EZ204" s="139" t="str">
        <f t="shared" si="257"/>
        <v/>
      </c>
      <c r="FA204" s="139" t="str">
        <f t="shared" si="258"/>
        <v/>
      </c>
      <c r="FB204" s="139" t="str">
        <f t="shared" si="259"/>
        <v/>
      </c>
      <c r="FC204" s="139" t="str">
        <f t="shared" si="260"/>
        <v/>
      </c>
      <c r="FD204" s="139" t="str">
        <f t="shared" si="261"/>
        <v/>
      </c>
      <c r="FE204" s="139" t="str">
        <f t="shared" si="262"/>
        <v/>
      </c>
      <c r="FF204" s="139" t="str">
        <f t="shared" si="263"/>
        <v/>
      </c>
      <c r="FG204" s="139" t="str">
        <f t="shared" si="264"/>
        <v/>
      </c>
      <c r="FH204" s="139" t="str">
        <f t="shared" si="265"/>
        <v/>
      </c>
      <c r="FI204" s="139" t="str">
        <f t="shared" si="266"/>
        <v/>
      </c>
      <c r="FJ204" s="139" t="str">
        <f t="shared" si="267"/>
        <v/>
      </c>
      <c r="FK204" s="139" t="str">
        <f t="shared" si="268"/>
        <v/>
      </c>
      <c r="FL204" s="139" t="str">
        <f t="shared" si="269"/>
        <v/>
      </c>
      <c r="FM204" s="139" t="str">
        <f t="shared" si="270"/>
        <v/>
      </c>
      <c r="FN204" s="139" t="str">
        <f t="shared" si="271"/>
        <v/>
      </c>
      <c r="FO204" s="139" t="str">
        <f t="shared" si="272"/>
        <v/>
      </c>
      <c r="FP204" s="139" t="str">
        <f t="shared" si="273"/>
        <v/>
      </c>
      <c r="FQ204" s="139" t="str">
        <f t="shared" si="274"/>
        <v/>
      </c>
      <c r="FR204" s="139" t="str">
        <f t="shared" si="275"/>
        <v/>
      </c>
      <c r="FS204" s="139" t="str">
        <f t="shared" si="276"/>
        <v/>
      </c>
      <c r="FT204" s="139" t="str">
        <f t="shared" si="277"/>
        <v/>
      </c>
      <c r="FU204" s="148" t="str">
        <f t="shared" si="278"/>
        <v/>
      </c>
      <c r="FV204" s="149"/>
      <c r="FY204" s="211">
        <v>199</v>
      </c>
      <c r="FZ204">
        <v>22.369959325981597</v>
      </c>
      <c r="GA204">
        <v>60.244437746936683</v>
      </c>
      <c r="GB204">
        <v>107.12665846194838</v>
      </c>
      <c r="GC204">
        <v>57.050108009917736</v>
      </c>
      <c r="GD204">
        <v>23.987000704263796</v>
      </c>
      <c r="GE204">
        <v>55.657142367971204</v>
      </c>
      <c r="GF204">
        <v>50.813443251008515</v>
      </c>
      <c r="GG204">
        <v>29.553903130242183</v>
      </c>
      <c r="GH204">
        <v>20.570642781618599</v>
      </c>
      <c r="GI204">
        <v>58.942340274410881</v>
      </c>
      <c r="GJ204"/>
      <c r="GK204"/>
      <c r="GL204"/>
      <c r="GM204"/>
    </row>
    <row r="205" spans="1:195" s="7" customFormat="1">
      <c r="A205" s="1"/>
      <c r="B205" s="76" t="str">
        <f ca="1">IF(C205="", "", RAND())</f>
        <v/>
      </c>
      <c r="C205" t="s">
        <v>104</v>
      </c>
      <c r="D205" t="s">
        <v>104</v>
      </c>
      <c r="E205" t="s">
        <v>104</v>
      </c>
      <c r="F205" t="s">
        <v>104</v>
      </c>
      <c r="G205" t="s">
        <v>104</v>
      </c>
      <c r="H205" t="s">
        <v>104</v>
      </c>
      <c r="I205" t="s">
        <v>104</v>
      </c>
      <c r="J205" t="s">
        <v>104</v>
      </c>
      <c r="K205" t="s">
        <v>104</v>
      </c>
      <c r="L205" t="s">
        <v>104</v>
      </c>
      <c r="M205" t="s">
        <v>104</v>
      </c>
      <c r="N205" t="s">
        <v>104</v>
      </c>
      <c r="O205" t="s">
        <v>104</v>
      </c>
      <c r="P205" t="s">
        <v>104</v>
      </c>
      <c r="Q205" t="s">
        <v>104</v>
      </c>
      <c r="R205" t="s">
        <v>104</v>
      </c>
      <c r="S205" t="s">
        <v>104</v>
      </c>
      <c r="T205" t="s">
        <v>104</v>
      </c>
      <c r="U205" t="s">
        <v>104</v>
      </c>
      <c r="V205" t="s">
        <v>104</v>
      </c>
      <c r="W205" t="s">
        <v>104</v>
      </c>
      <c r="X205" t="s">
        <v>104</v>
      </c>
      <c r="Y205" t="s">
        <v>104</v>
      </c>
      <c r="Z205" t="s">
        <v>104</v>
      </c>
      <c r="AA205" t="s">
        <v>104</v>
      </c>
      <c r="AB205" t="s">
        <v>104</v>
      </c>
      <c r="AC205" t="s">
        <v>104</v>
      </c>
      <c r="AD205" t="s">
        <v>104</v>
      </c>
      <c r="AE205" t="s">
        <v>104</v>
      </c>
      <c r="AF205" t="s">
        <v>104</v>
      </c>
      <c r="AG205" t="s">
        <v>104</v>
      </c>
      <c r="AH205" t="s">
        <v>104</v>
      </c>
      <c r="AI205" t="s">
        <v>104</v>
      </c>
      <c r="AJ205" s="2"/>
      <c r="AK205" s="80"/>
      <c r="AL205" s="74"/>
      <c r="AM205" s="43">
        <v>189</v>
      </c>
      <c r="AN205">
        <v>238.71330482937356</v>
      </c>
      <c r="AO205">
        <v>92.04729016356012</v>
      </c>
      <c r="AP205">
        <v>647.59900180116279</v>
      </c>
      <c r="AQ205">
        <v>468.03325242860461</v>
      </c>
      <c r="AR205">
        <v>84.422701710458725</v>
      </c>
      <c r="AS205">
        <v>656.49210497859781</v>
      </c>
      <c r="AT205">
        <v>45.521730393638329</v>
      </c>
      <c r="AU205">
        <v>8.6927075492672277</v>
      </c>
      <c r="AV205"/>
      <c r="AW205"/>
      <c r="AX205" s="146"/>
      <c r="AY205" s="76" t="str">
        <f t="shared" ca="1" si="169"/>
        <v/>
      </c>
      <c r="AZ205"/>
      <c r="BA205" s="129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 s="147"/>
      <c r="CH205" s="176"/>
      <c r="CJ205" s="146"/>
      <c r="CK205" s="76" t="str">
        <f t="shared" ca="1" si="204"/>
        <v/>
      </c>
      <c r="CL205" s="179" t="str">
        <f t="shared" si="205"/>
        <v/>
      </c>
      <c r="CM205" s="180" t="str">
        <f t="shared" si="206"/>
        <v/>
      </c>
      <c r="CN205"/>
      <c r="CO205"/>
      <c r="CP205"/>
      <c r="CQ205"/>
      <c r="CR205"/>
      <c r="CS205"/>
      <c r="CT205"/>
      <c r="CU205"/>
      <c r="CV205" s="160"/>
      <c r="CW205"/>
      <c r="CX205"/>
      <c r="CY205" s="166"/>
      <c r="CZ205" s="177" t="str">
        <f t="shared" si="207"/>
        <v/>
      </c>
      <c r="DB205" s="146"/>
      <c r="DC205" s="76" t="str">
        <f t="shared" ca="1" si="170"/>
        <v/>
      </c>
      <c r="DD205" t="str">
        <f t="shared" si="208"/>
        <v/>
      </c>
      <c r="DE205" s="129" t="str">
        <f t="shared" si="333"/>
        <v/>
      </c>
      <c r="DF205" s="161" t="str">
        <f t="shared" si="280"/>
        <v/>
      </c>
      <c r="DG205" s="161" t="str">
        <f t="shared" si="281"/>
        <v/>
      </c>
      <c r="DH205" s="161" t="str">
        <f t="shared" si="282"/>
        <v/>
      </c>
      <c r="DI205" s="161" t="str">
        <f t="shared" si="283"/>
        <v/>
      </c>
      <c r="DJ205" s="161" t="str">
        <f t="shared" si="284"/>
        <v/>
      </c>
      <c r="DK205" s="161" t="str">
        <f t="shared" si="285"/>
        <v/>
      </c>
      <c r="DL205" s="161" t="str">
        <f t="shared" si="286"/>
        <v/>
      </c>
      <c r="DM205" s="161" t="str">
        <f t="shared" si="287"/>
        <v/>
      </c>
      <c r="DN205" s="161" t="str">
        <f t="shared" si="310"/>
        <v/>
      </c>
      <c r="DO205" s="161" t="str">
        <f t="shared" si="311"/>
        <v/>
      </c>
      <c r="DP205" s="161" t="str">
        <f t="shared" si="312"/>
        <v/>
      </c>
      <c r="DQ205" s="161" t="str">
        <f t="shared" si="313"/>
        <v/>
      </c>
      <c r="DR205" s="161" t="str">
        <f t="shared" si="314"/>
        <v/>
      </c>
      <c r="DS205" s="161" t="str">
        <f t="shared" si="315"/>
        <v/>
      </c>
      <c r="DT205" s="161" t="str">
        <f t="shared" si="316"/>
        <v/>
      </c>
      <c r="DU205" s="161" t="str">
        <f t="shared" si="317"/>
        <v/>
      </c>
      <c r="DV205" s="161" t="str">
        <f t="shared" si="318"/>
        <v/>
      </c>
      <c r="DW205" s="161" t="str">
        <f t="shared" si="319"/>
        <v/>
      </c>
      <c r="DX205" s="161" t="str">
        <f t="shared" si="320"/>
        <v/>
      </c>
      <c r="DY205" s="161" t="str">
        <f t="shared" si="321"/>
        <v/>
      </c>
      <c r="DZ205" s="161" t="str">
        <f t="shared" si="322"/>
        <v/>
      </c>
      <c r="EA205" s="161" t="str">
        <f t="shared" si="323"/>
        <v/>
      </c>
      <c r="EB205" s="161" t="str">
        <f t="shared" si="324"/>
        <v/>
      </c>
      <c r="EC205" s="161" t="str">
        <f t="shared" si="325"/>
        <v/>
      </c>
      <c r="ED205" s="161" t="str">
        <f t="shared" si="326"/>
        <v/>
      </c>
      <c r="EE205" s="161" t="str">
        <f t="shared" si="327"/>
        <v/>
      </c>
      <c r="EF205" s="161" t="str">
        <f t="shared" si="328"/>
        <v/>
      </c>
      <c r="EG205" s="161" t="str">
        <f t="shared" si="329"/>
        <v/>
      </c>
      <c r="EH205" s="161" t="str">
        <f t="shared" si="330"/>
        <v/>
      </c>
      <c r="EI205" s="161" t="str">
        <f t="shared" si="331"/>
        <v/>
      </c>
      <c r="EJ205" s="161" t="str">
        <f t="shared" si="332"/>
        <v/>
      </c>
      <c r="EK205" s="147" t="str">
        <f t="shared" si="246"/>
        <v/>
      </c>
      <c r="EL205" s="149"/>
      <c r="EN205" s="146"/>
      <c r="EO205" s="146"/>
      <c r="EP205" s="139" t="str">
        <f t="shared" si="247"/>
        <v/>
      </c>
      <c r="EQ205" s="139" t="str">
        <f t="shared" si="248"/>
        <v/>
      </c>
      <c r="ER205" s="139" t="str">
        <f t="shared" si="249"/>
        <v/>
      </c>
      <c r="ES205" s="139" t="str">
        <f t="shared" si="250"/>
        <v/>
      </c>
      <c r="ET205" s="139" t="str">
        <f t="shared" si="251"/>
        <v/>
      </c>
      <c r="EU205" s="139" t="str">
        <f t="shared" si="252"/>
        <v/>
      </c>
      <c r="EV205" s="139" t="str">
        <f t="shared" si="253"/>
        <v/>
      </c>
      <c r="EW205" s="139" t="str">
        <f t="shared" si="254"/>
        <v/>
      </c>
      <c r="EX205" s="139" t="str">
        <f t="shared" si="255"/>
        <v/>
      </c>
      <c r="EY205" s="139" t="str">
        <f t="shared" si="256"/>
        <v/>
      </c>
      <c r="EZ205" s="139" t="str">
        <f t="shared" si="257"/>
        <v/>
      </c>
      <c r="FA205" s="139" t="str">
        <f t="shared" si="258"/>
        <v/>
      </c>
      <c r="FB205" s="139" t="str">
        <f t="shared" si="259"/>
        <v/>
      </c>
      <c r="FC205" s="139" t="str">
        <f t="shared" si="260"/>
        <v/>
      </c>
      <c r="FD205" s="139" t="str">
        <f t="shared" si="261"/>
        <v/>
      </c>
      <c r="FE205" s="139" t="str">
        <f t="shared" si="262"/>
        <v/>
      </c>
      <c r="FF205" s="139" t="str">
        <f t="shared" si="263"/>
        <v/>
      </c>
      <c r="FG205" s="139" t="str">
        <f t="shared" si="264"/>
        <v/>
      </c>
      <c r="FH205" s="139" t="str">
        <f t="shared" si="265"/>
        <v/>
      </c>
      <c r="FI205" s="139" t="str">
        <f t="shared" si="266"/>
        <v/>
      </c>
      <c r="FJ205" s="139" t="str">
        <f t="shared" si="267"/>
        <v/>
      </c>
      <c r="FK205" s="139" t="str">
        <f t="shared" si="268"/>
        <v/>
      </c>
      <c r="FL205" s="139" t="str">
        <f t="shared" si="269"/>
        <v/>
      </c>
      <c r="FM205" s="139" t="str">
        <f t="shared" si="270"/>
        <v/>
      </c>
      <c r="FN205" s="139" t="str">
        <f t="shared" si="271"/>
        <v/>
      </c>
      <c r="FO205" s="139" t="str">
        <f t="shared" si="272"/>
        <v/>
      </c>
      <c r="FP205" s="139" t="str">
        <f t="shared" si="273"/>
        <v/>
      </c>
      <c r="FQ205" s="139" t="str">
        <f t="shared" si="274"/>
        <v/>
      </c>
      <c r="FR205" s="139" t="str">
        <f t="shared" si="275"/>
        <v/>
      </c>
      <c r="FS205" s="139" t="str">
        <f t="shared" si="276"/>
        <v/>
      </c>
      <c r="FT205" s="139" t="str">
        <f t="shared" si="277"/>
        <v/>
      </c>
      <c r="FU205" s="148" t="str">
        <f t="shared" si="278"/>
        <v/>
      </c>
      <c r="FV205" s="149"/>
      <c r="FY205" s="211">
        <v>200</v>
      </c>
      <c r="FZ205">
        <v>10.154793181578242</v>
      </c>
      <c r="GA205">
        <v>41.275184281811924</v>
      </c>
      <c r="GB205">
        <v>71.492518661702405</v>
      </c>
      <c r="GC205">
        <v>46.738198012350288</v>
      </c>
      <c r="GD205">
        <v>20.045311242646747</v>
      </c>
      <c r="GE205">
        <v>56.843634971164903</v>
      </c>
      <c r="GF205">
        <v>142.44906639169307</v>
      </c>
      <c r="GG205">
        <v>95.630028096853366</v>
      </c>
      <c r="GH205">
        <v>36.096431967454897</v>
      </c>
      <c r="GI205">
        <v>67.275469645453128</v>
      </c>
      <c r="GJ205"/>
      <c r="GK205"/>
      <c r="GL205"/>
      <c r="GM205"/>
    </row>
    <row r="206" spans="1:195" s="7" customFormat="1">
      <c r="A206" s="1"/>
      <c r="B206" s="76" t="str">
        <f ca="1">IF(C206="", "", RAND())</f>
        <v/>
      </c>
      <c r="C206" t="s">
        <v>104</v>
      </c>
      <c r="D206" t="s">
        <v>104</v>
      </c>
      <c r="E206" t="s">
        <v>104</v>
      </c>
      <c r="F206" t="s">
        <v>104</v>
      </c>
      <c r="G206" t="s">
        <v>104</v>
      </c>
      <c r="H206" t="s">
        <v>104</v>
      </c>
      <c r="I206" t="s">
        <v>104</v>
      </c>
      <c r="J206" t="s">
        <v>104</v>
      </c>
      <c r="K206" t="s">
        <v>104</v>
      </c>
      <c r="L206" t="s">
        <v>104</v>
      </c>
      <c r="M206" t="s">
        <v>104</v>
      </c>
      <c r="N206" t="s">
        <v>104</v>
      </c>
      <c r="O206" t="s">
        <v>104</v>
      </c>
      <c r="P206" t="s">
        <v>104</v>
      </c>
      <c r="Q206" t="s">
        <v>104</v>
      </c>
      <c r="R206" t="s">
        <v>104</v>
      </c>
      <c r="S206" t="s">
        <v>104</v>
      </c>
      <c r="T206" t="s">
        <v>104</v>
      </c>
      <c r="U206" t="s">
        <v>104</v>
      </c>
      <c r="V206" t="s">
        <v>104</v>
      </c>
      <c r="W206" t="s">
        <v>104</v>
      </c>
      <c r="X206" t="s">
        <v>104</v>
      </c>
      <c r="Y206" t="s">
        <v>104</v>
      </c>
      <c r="Z206" t="s">
        <v>104</v>
      </c>
      <c r="AA206" t="s">
        <v>104</v>
      </c>
      <c r="AB206" t="s">
        <v>104</v>
      </c>
      <c r="AC206" t="s">
        <v>104</v>
      </c>
      <c r="AD206" t="s">
        <v>104</v>
      </c>
      <c r="AE206" t="s">
        <v>104</v>
      </c>
      <c r="AF206" t="s">
        <v>104</v>
      </c>
      <c r="AG206" t="s">
        <v>104</v>
      </c>
      <c r="AH206" t="s">
        <v>104</v>
      </c>
      <c r="AI206" t="s">
        <v>104</v>
      </c>
      <c r="AJ206" s="2"/>
      <c r="AK206" s="80"/>
      <c r="AL206" s="74"/>
      <c r="AM206" s="43">
        <v>190</v>
      </c>
      <c r="AN206">
        <v>267.40070234504822</v>
      </c>
      <c r="AO206">
        <v>102.92502627168832</v>
      </c>
      <c r="AP206">
        <v>654.3646924833497</v>
      </c>
      <c r="AQ206">
        <v>515.90021181745919</v>
      </c>
      <c r="AR206">
        <v>94.061631919010011</v>
      </c>
      <c r="AS206">
        <v>737.28569874093421</v>
      </c>
      <c r="AT206">
        <v>52.0913286643638</v>
      </c>
      <c r="AU206">
        <v>136.7579743710474</v>
      </c>
      <c r="AV206"/>
      <c r="AW206"/>
      <c r="AX206" s="146"/>
      <c r="AY206" s="76" t="str">
        <f t="shared" ca="1" si="169"/>
        <v/>
      </c>
      <c r="AZ206"/>
      <c r="BA206" s="129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 s="147"/>
      <c r="CH206" s="176"/>
      <c r="CJ206" s="146"/>
      <c r="CK206" s="76" t="str">
        <f t="shared" ca="1" si="204"/>
        <v/>
      </c>
      <c r="CL206" s="179" t="str">
        <f t="shared" si="205"/>
        <v/>
      </c>
      <c r="CM206" s="180" t="str">
        <f t="shared" si="206"/>
        <v/>
      </c>
      <c r="CN206"/>
      <c r="CO206"/>
      <c r="CP206"/>
      <c r="CQ206"/>
      <c r="CR206"/>
      <c r="CS206"/>
      <c r="CT206"/>
      <c r="CU206"/>
      <c r="CV206" s="160"/>
      <c r="CW206"/>
      <c r="CX206"/>
      <c r="CY206" s="166"/>
      <c r="CZ206" s="177" t="str">
        <f t="shared" si="207"/>
        <v/>
      </c>
      <c r="DB206" s="146"/>
      <c r="DC206" s="76" t="str">
        <f t="shared" ca="1" si="170"/>
        <v/>
      </c>
      <c r="DD206" t="str">
        <f t="shared" si="208"/>
        <v/>
      </c>
      <c r="DE206" s="129" t="str">
        <f t="shared" si="333"/>
        <v/>
      </c>
      <c r="DF206" s="161" t="str">
        <f t="shared" si="280"/>
        <v/>
      </c>
      <c r="DG206" s="161" t="str">
        <f t="shared" si="281"/>
        <v/>
      </c>
      <c r="DH206" s="161" t="str">
        <f t="shared" si="282"/>
        <v/>
      </c>
      <c r="DI206" s="161" t="str">
        <f t="shared" si="283"/>
        <v/>
      </c>
      <c r="DJ206" s="161" t="str">
        <f t="shared" si="284"/>
        <v/>
      </c>
      <c r="DK206" s="161" t="str">
        <f t="shared" si="285"/>
        <v/>
      </c>
      <c r="DL206" s="161" t="str">
        <f t="shared" si="286"/>
        <v/>
      </c>
      <c r="DM206" s="161" t="str">
        <f t="shared" si="287"/>
        <v/>
      </c>
      <c r="DN206" s="161" t="str">
        <f t="shared" si="310"/>
        <v/>
      </c>
      <c r="DO206" s="161" t="str">
        <f t="shared" si="311"/>
        <v/>
      </c>
      <c r="DP206" s="161" t="str">
        <f t="shared" si="312"/>
        <v/>
      </c>
      <c r="DQ206" s="161" t="str">
        <f t="shared" si="313"/>
        <v/>
      </c>
      <c r="DR206" s="161" t="str">
        <f t="shared" si="314"/>
        <v/>
      </c>
      <c r="DS206" s="161" t="str">
        <f t="shared" si="315"/>
        <v/>
      </c>
      <c r="DT206" s="161" t="str">
        <f t="shared" si="316"/>
        <v/>
      </c>
      <c r="DU206" s="161" t="str">
        <f t="shared" si="317"/>
        <v/>
      </c>
      <c r="DV206" s="161" t="str">
        <f t="shared" si="318"/>
        <v/>
      </c>
      <c r="DW206" s="161" t="str">
        <f t="shared" si="319"/>
        <v/>
      </c>
      <c r="DX206" s="161" t="str">
        <f t="shared" si="320"/>
        <v/>
      </c>
      <c r="DY206" s="161" t="str">
        <f t="shared" si="321"/>
        <v/>
      </c>
      <c r="DZ206" s="161" t="str">
        <f t="shared" si="322"/>
        <v/>
      </c>
      <c r="EA206" s="161" t="str">
        <f t="shared" si="323"/>
        <v/>
      </c>
      <c r="EB206" s="161" t="str">
        <f t="shared" si="324"/>
        <v/>
      </c>
      <c r="EC206" s="161" t="str">
        <f t="shared" si="325"/>
        <v/>
      </c>
      <c r="ED206" s="161" t="str">
        <f t="shared" si="326"/>
        <v/>
      </c>
      <c r="EE206" s="161" t="str">
        <f t="shared" si="327"/>
        <v/>
      </c>
      <c r="EF206" s="161" t="str">
        <f t="shared" si="328"/>
        <v/>
      </c>
      <c r="EG206" s="161" t="str">
        <f t="shared" si="329"/>
        <v/>
      </c>
      <c r="EH206" s="161" t="str">
        <f t="shared" si="330"/>
        <v/>
      </c>
      <c r="EI206" s="161" t="str">
        <f t="shared" si="331"/>
        <v/>
      </c>
      <c r="EJ206" s="161" t="str">
        <f t="shared" si="332"/>
        <v/>
      </c>
      <c r="EK206" s="147" t="str">
        <f t="shared" si="246"/>
        <v/>
      </c>
      <c r="EL206" s="149"/>
      <c r="EN206" s="146"/>
      <c r="EO206" s="146"/>
      <c r="EP206" s="139" t="str">
        <f t="shared" si="247"/>
        <v/>
      </c>
      <c r="EQ206" s="139" t="str">
        <f t="shared" si="248"/>
        <v/>
      </c>
      <c r="ER206" s="139" t="str">
        <f t="shared" si="249"/>
        <v/>
      </c>
      <c r="ES206" s="139" t="str">
        <f t="shared" si="250"/>
        <v/>
      </c>
      <c r="ET206" s="139" t="str">
        <f t="shared" si="251"/>
        <v/>
      </c>
      <c r="EU206" s="139" t="str">
        <f t="shared" si="252"/>
        <v/>
      </c>
      <c r="EV206" s="139" t="str">
        <f t="shared" si="253"/>
        <v/>
      </c>
      <c r="EW206" s="139" t="str">
        <f t="shared" si="254"/>
        <v/>
      </c>
      <c r="EX206" s="139" t="str">
        <f t="shared" si="255"/>
        <v/>
      </c>
      <c r="EY206" s="139" t="str">
        <f t="shared" si="256"/>
        <v/>
      </c>
      <c r="EZ206" s="139" t="str">
        <f t="shared" si="257"/>
        <v/>
      </c>
      <c r="FA206" s="139" t="str">
        <f t="shared" si="258"/>
        <v/>
      </c>
      <c r="FB206" s="139" t="str">
        <f t="shared" si="259"/>
        <v/>
      </c>
      <c r="FC206" s="139" t="str">
        <f t="shared" si="260"/>
        <v/>
      </c>
      <c r="FD206" s="139" t="str">
        <f t="shared" si="261"/>
        <v/>
      </c>
      <c r="FE206" s="139" t="str">
        <f t="shared" si="262"/>
        <v/>
      </c>
      <c r="FF206" s="139" t="str">
        <f t="shared" si="263"/>
        <v/>
      </c>
      <c r="FG206" s="139" t="str">
        <f t="shared" si="264"/>
        <v/>
      </c>
      <c r="FH206" s="139" t="str">
        <f t="shared" si="265"/>
        <v/>
      </c>
      <c r="FI206" s="139" t="str">
        <f t="shared" si="266"/>
        <v/>
      </c>
      <c r="FJ206" s="139" t="str">
        <f t="shared" si="267"/>
        <v/>
      </c>
      <c r="FK206" s="139" t="str">
        <f t="shared" si="268"/>
        <v/>
      </c>
      <c r="FL206" s="139" t="str">
        <f t="shared" si="269"/>
        <v/>
      </c>
      <c r="FM206" s="139" t="str">
        <f t="shared" si="270"/>
        <v/>
      </c>
      <c r="FN206" s="139" t="str">
        <f t="shared" si="271"/>
        <v/>
      </c>
      <c r="FO206" s="139" t="str">
        <f t="shared" si="272"/>
        <v/>
      </c>
      <c r="FP206" s="139" t="str">
        <f t="shared" si="273"/>
        <v/>
      </c>
      <c r="FQ206" s="139" t="str">
        <f t="shared" si="274"/>
        <v/>
      </c>
      <c r="FR206" s="139" t="str">
        <f t="shared" si="275"/>
        <v/>
      </c>
      <c r="FS206" s="139" t="str">
        <f t="shared" si="276"/>
        <v/>
      </c>
      <c r="FT206" s="139" t="str">
        <f t="shared" si="277"/>
        <v/>
      </c>
      <c r="FU206" s="148" t="str">
        <f t="shared" si="278"/>
        <v/>
      </c>
      <c r="FV206" s="149"/>
      <c r="FY206" s="211">
        <v>201</v>
      </c>
      <c r="FZ206">
        <v>17.521950615238534</v>
      </c>
      <c r="GA206">
        <v>54.130715316788397</v>
      </c>
      <c r="GB206">
        <v>86.679206948958026</v>
      </c>
      <c r="GC206">
        <v>50.843061235325244</v>
      </c>
      <c r="GD206">
        <v>26.217910523935966</v>
      </c>
      <c r="GE206">
        <v>50.641655195131897</v>
      </c>
      <c r="GF206">
        <v>118.33709813218998</v>
      </c>
      <c r="GG206">
        <v>89.934738543618565</v>
      </c>
      <c r="GH206">
        <v>11.02210232807224</v>
      </c>
      <c r="GI206">
        <v>67.34248670188073</v>
      </c>
      <c r="GJ206"/>
      <c r="GK206"/>
      <c r="GL206"/>
      <c r="GM206"/>
    </row>
    <row r="207" spans="1:195" s="7" customFormat="1">
      <c r="A207" s="1"/>
      <c r="B207" s="76" t="str">
        <f ca="1">IF(C207="", "", RAND())</f>
        <v/>
      </c>
      <c r="C207" t="s">
        <v>104</v>
      </c>
      <c r="D207" t="s">
        <v>104</v>
      </c>
      <c r="E207" t="s">
        <v>104</v>
      </c>
      <c r="F207" t="s">
        <v>104</v>
      </c>
      <c r="G207" t="s">
        <v>104</v>
      </c>
      <c r="H207" t="s">
        <v>104</v>
      </c>
      <c r="I207" t="s">
        <v>104</v>
      </c>
      <c r="J207" t="s">
        <v>104</v>
      </c>
      <c r="K207" t="s">
        <v>104</v>
      </c>
      <c r="L207" t="s">
        <v>104</v>
      </c>
      <c r="M207" t="s">
        <v>104</v>
      </c>
      <c r="N207" t="s">
        <v>104</v>
      </c>
      <c r="O207" t="s">
        <v>104</v>
      </c>
      <c r="P207" t="s">
        <v>104</v>
      </c>
      <c r="Q207" t="s">
        <v>104</v>
      </c>
      <c r="R207" t="s">
        <v>104</v>
      </c>
      <c r="S207" t="s">
        <v>104</v>
      </c>
      <c r="T207" t="s">
        <v>104</v>
      </c>
      <c r="U207" t="s">
        <v>104</v>
      </c>
      <c r="V207" t="s">
        <v>104</v>
      </c>
      <c r="W207" t="s">
        <v>104</v>
      </c>
      <c r="X207" t="s">
        <v>104</v>
      </c>
      <c r="Y207" t="s">
        <v>104</v>
      </c>
      <c r="Z207" t="s">
        <v>104</v>
      </c>
      <c r="AA207" t="s">
        <v>104</v>
      </c>
      <c r="AB207" t="s">
        <v>104</v>
      </c>
      <c r="AC207" t="s">
        <v>104</v>
      </c>
      <c r="AD207" t="s">
        <v>104</v>
      </c>
      <c r="AE207" t="s">
        <v>104</v>
      </c>
      <c r="AF207" t="s">
        <v>104</v>
      </c>
      <c r="AG207" t="s">
        <v>104</v>
      </c>
      <c r="AH207" t="s">
        <v>104</v>
      </c>
      <c r="AI207" t="s">
        <v>104</v>
      </c>
      <c r="AJ207" s="2"/>
      <c r="AK207" s="80"/>
      <c r="AL207" s="74"/>
      <c r="AM207" s="43">
        <v>191</v>
      </c>
      <c r="AN207">
        <v>226.60715121948542</v>
      </c>
      <c r="AO207">
        <v>68.867225423175313</v>
      </c>
      <c r="AP207">
        <v>443.99413010297752</v>
      </c>
      <c r="AQ207">
        <v>359.87445686168354</v>
      </c>
      <c r="AR207">
        <v>61.573613892484396</v>
      </c>
      <c r="AS207">
        <v>533.13733996577503</v>
      </c>
      <c r="AT207">
        <v>33.597107006115941</v>
      </c>
      <c r="AU207">
        <v>63.27852869430302</v>
      </c>
      <c r="AV207"/>
      <c r="AW207"/>
      <c r="AX207" s="146"/>
      <c r="AY207" s="76" t="str">
        <f t="shared" ca="1" si="169"/>
        <v/>
      </c>
      <c r="AZ207"/>
      <c r="BA207" s="129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 s="147"/>
      <c r="CH207" s="176"/>
      <c r="CJ207" s="146"/>
      <c r="CK207" s="76" t="str">
        <f t="shared" ca="1" si="204"/>
        <v/>
      </c>
      <c r="CL207" s="179" t="str">
        <f t="shared" si="205"/>
        <v/>
      </c>
      <c r="CM207" s="180" t="str">
        <f t="shared" si="206"/>
        <v/>
      </c>
      <c r="CN207"/>
      <c r="CO207"/>
      <c r="CP207"/>
      <c r="CQ207"/>
      <c r="CR207"/>
      <c r="CS207"/>
      <c r="CT207"/>
      <c r="CU207"/>
      <c r="CV207" s="160"/>
      <c r="CW207"/>
      <c r="CX207"/>
      <c r="CY207" s="167"/>
      <c r="CZ207" s="177" t="str">
        <f t="shared" si="207"/>
        <v/>
      </c>
      <c r="DB207" s="146"/>
      <c r="DC207" s="76" t="str">
        <f t="shared" ca="1" si="170"/>
        <v/>
      </c>
      <c r="DD207" t="str">
        <f t="shared" si="208"/>
        <v/>
      </c>
      <c r="DE207" s="129" t="str">
        <f t="shared" si="333"/>
        <v/>
      </c>
      <c r="DF207" s="161" t="str">
        <f t="shared" si="280"/>
        <v/>
      </c>
      <c r="DG207" s="161" t="str">
        <f t="shared" si="281"/>
        <v/>
      </c>
      <c r="DH207" s="161" t="str">
        <f t="shared" si="282"/>
        <v/>
      </c>
      <c r="DI207" s="161" t="str">
        <f t="shared" si="283"/>
        <v/>
      </c>
      <c r="DJ207" s="161" t="str">
        <f t="shared" si="284"/>
        <v/>
      </c>
      <c r="DK207" s="161" t="str">
        <f t="shared" si="285"/>
        <v/>
      </c>
      <c r="DL207" s="161" t="str">
        <f t="shared" si="286"/>
        <v/>
      </c>
      <c r="DM207" s="161" t="str">
        <f t="shared" si="287"/>
        <v/>
      </c>
      <c r="DN207" s="161" t="str">
        <f t="shared" si="310"/>
        <v/>
      </c>
      <c r="DO207" s="161" t="str">
        <f t="shared" ref="DO207:EJ207" si="334">IF($AZ207="", "", (BK207*$CW207)/$CZ207)</f>
        <v/>
      </c>
      <c r="DP207" s="161" t="str">
        <f t="shared" si="334"/>
        <v/>
      </c>
      <c r="DQ207" s="161" t="str">
        <f t="shared" si="334"/>
        <v/>
      </c>
      <c r="DR207" s="161" t="str">
        <f t="shared" si="334"/>
        <v/>
      </c>
      <c r="DS207" s="161" t="str">
        <f t="shared" si="334"/>
        <v/>
      </c>
      <c r="DT207" s="161" t="str">
        <f t="shared" si="334"/>
        <v/>
      </c>
      <c r="DU207" s="161" t="str">
        <f t="shared" si="334"/>
        <v/>
      </c>
      <c r="DV207" s="161" t="str">
        <f t="shared" si="334"/>
        <v/>
      </c>
      <c r="DW207" s="161" t="str">
        <f t="shared" si="334"/>
        <v/>
      </c>
      <c r="DX207" s="161" t="str">
        <f t="shared" si="334"/>
        <v/>
      </c>
      <c r="DY207" s="161" t="str">
        <f t="shared" si="334"/>
        <v/>
      </c>
      <c r="DZ207" s="161" t="str">
        <f t="shared" si="334"/>
        <v/>
      </c>
      <c r="EA207" s="161" t="str">
        <f t="shared" si="334"/>
        <v/>
      </c>
      <c r="EB207" s="161" t="str">
        <f t="shared" si="334"/>
        <v/>
      </c>
      <c r="EC207" s="161" t="str">
        <f t="shared" si="334"/>
        <v/>
      </c>
      <c r="ED207" s="161" t="str">
        <f t="shared" si="334"/>
        <v/>
      </c>
      <c r="EE207" s="161" t="str">
        <f t="shared" si="334"/>
        <v/>
      </c>
      <c r="EF207" s="161" t="str">
        <f t="shared" si="334"/>
        <v/>
      </c>
      <c r="EG207" s="161" t="str">
        <f t="shared" si="334"/>
        <v/>
      </c>
      <c r="EH207" s="161" t="str">
        <f t="shared" si="334"/>
        <v/>
      </c>
      <c r="EI207" s="161" t="str">
        <f t="shared" si="334"/>
        <v/>
      </c>
      <c r="EJ207" s="161" t="str">
        <f t="shared" si="334"/>
        <v/>
      </c>
      <c r="EK207" s="147" t="str">
        <f t="shared" si="246"/>
        <v/>
      </c>
      <c r="EL207" s="149"/>
      <c r="EN207" s="146"/>
      <c r="EO207" s="146"/>
      <c r="EP207" s="139" t="str">
        <f t="shared" si="247"/>
        <v/>
      </c>
      <c r="EQ207" s="139" t="str">
        <f t="shared" si="248"/>
        <v/>
      </c>
      <c r="ER207" s="139" t="str">
        <f t="shared" si="249"/>
        <v/>
      </c>
      <c r="ES207" s="139" t="str">
        <f t="shared" si="250"/>
        <v/>
      </c>
      <c r="ET207" s="139" t="str">
        <f t="shared" si="251"/>
        <v/>
      </c>
      <c r="EU207" s="139" t="str">
        <f t="shared" si="252"/>
        <v/>
      </c>
      <c r="EV207" s="139" t="str">
        <f t="shared" si="253"/>
        <v/>
      </c>
      <c r="EW207" s="139" t="str">
        <f t="shared" si="254"/>
        <v/>
      </c>
      <c r="EX207" s="139" t="str">
        <f t="shared" si="255"/>
        <v/>
      </c>
      <c r="EY207" s="139" t="str">
        <f t="shared" si="256"/>
        <v/>
      </c>
      <c r="EZ207" s="139" t="str">
        <f t="shared" si="257"/>
        <v/>
      </c>
      <c r="FA207" s="139" t="str">
        <f t="shared" si="258"/>
        <v/>
      </c>
      <c r="FB207" s="139" t="str">
        <f t="shared" si="259"/>
        <v/>
      </c>
      <c r="FC207" s="139" t="str">
        <f t="shared" si="260"/>
        <v/>
      </c>
      <c r="FD207" s="139" t="str">
        <f t="shared" si="261"/>
        <v/>
      </c>
      <c r="FE207" s="139" t="str">
        <f t="shared" si="262"/>
        <v/>
      </c>
      <c r="FF207" s="139" t="str">
        <f t="shared" si="263"/>
        <v/>
      </c>
      <c r="FG207" s="139" t="str">
        <f t="shared" si="264"/>
        <v/>
      </c>
      <c r="FH207" s="139" t="str">
        <f t="shared" si="265"/>
        <v/>
      </c>
      <c r="FI207" s="139" t="str">
        <f t="shared" si="266"/>
        <v/>
      </c>
      <c r="FJ207" s="139" t="str">
        <f t="shared" si="267"/>
        <v/>
      </c>
      <c r="FK207" s="139" t="str">
        <f t="shared" si="268"/>
        <v/>
      </c>
      <c r="FL207" s="139" t="str">
        <f t="shared" si="269"/>
        <v/>
      </c>
      <c r="FM207" s="139" t="str">
        <f t="shared" si="270"/>
        <v/>
      </c>
      <c r="FN207" s="139" t="str">
        <f t="shared" si="271"/>
        <v/>
      </c>
      <c r="FO207" s="139" t="str">
        <f t="shared" si="272"/>
        <v/>
      </c>
      <c r="FP207" s="139" t="str">
        <f t="shared" si="273"/>
        <v/>
      </c>
      <c r="FQ207" s="139" t="str">
        <f t="shared" si="274"/>
        <v/>
      </c>
      <c r="FR207" s="139" t="str">
        <f t="shared" si="275"/>
        <v/>
      </c>
      <c r="FS207" s="139" t="str">
        <f t="shared" si="276"/>
        <v/>
      </c>
      <c r="FT207" s="139" t="str">
        <f t="shared" si="277"/>
        <v/>
      </c>
      <c r="FU207" s="148" t="str">
        <f t="shared" si="278"/>
        <v/>
      </c>
      <c r="FV207" s="149"/>
      <c r="FY207" s="211">
        <v>202</v>
      </c>
      <c r="FZ207">
        <v>19.851157228919121</v>
      </c>
      <c r="GA207">
        <v>50.702558425384268</v>
      </c>
      <c r="GB207">
        <v>79.708087654207574</v>
      </c>
      <c r="GC207">
        <v>49.870029583735864</v>
      </c>
      <c r="GD207">
        <v>27.338698477642495</v>
      </c>
      <c r="GE207">
        <v>81.638367681591149</v>
      </c>
      <c r="GF207">
        <v>94.172408272265116</v>
      </c>
      <c r="GG207">
        <v>39.330056952499177</v>
      </c>
      <c r="GH207">
        <v>36.621125875831865</v>
      </c>
      <c r="GI207">
        <v>65.552093260111405</v>
      </c>
      <c r="GJ207"/>
      <c r="GK207"/>
      <c r="GL207"/>
      <c r="GM207"/>
    </row>
    <row r="208" spans="1:195" s="7" customFormat="1">
      <c r="A208" s="1"/>
      <c r="B208" s="1"/>
      <c r="C208" s="78"/>
      <c r="D208" s="79"/>
      <c r="E208" s="1"/>
      <c r="F208" s="2"/>
      <c r="G208" s="2"/>
      <c r="H208" s="3"/>
      <c r="I208" s="1"/>
      <c r="J208" s="1"/>
      <c r="K208" s="1"/>
      <c r="L208" s="1"/>
      <c r="M208" s="1"/>
      <c r="N208" s="1"/>
      <c r="O208" s="80"/>
      <c r="P208" s="80"/>
      <c r="Q208" s="80"/>
      <c r="R208" s="80"/>
      <c r="S208" s="80"/>
      <c r="T208" s="80"/>
      <c r="U208" s="80"/>
      <c r="V208" s="80"/>
      <c r="W208" s="80"/>
      <c r="X208" s="80"/>
      <c r="Y208" s="80"/>
      <c r="Z208" s="80"/>
      <c r="AA208" s="80"/>
      <c r="AB208" s="80"/>
      <c r="AC208" s="80"/>
      <c r="AD208" s="80"/>
      <c r="AE208" s="80"/>
      <c r="AF208" s="80"/>
      <c r="AG208" s="80"/>
      <c r="AH208" s="80"/>
      <c r="AI208" s="80"/>
      <c r="AJ208" s="80"/>
      <c r="AK208" s="80"/>
      <c r="AL208" s="74">
        <v>3.0028000000000028</v>
      </c>
      <c r="AM208" s="43">
        <v>192</v>
      </c>
      <c r="AN208">
        <v>251.67937217114627</v>
      </c>
      <c r="AO208">
        <v>101.12467431381005</v>
      </c>
      <c r="AP208">
        <v>758.50003033099813</v>
      </c>
      <c r="AQ208">
        <v>548.71900564488499</v>
      </c>
      <c r="AR208">
        <v>90.878106408328918</v>
      </c>
      <c r="AS208">
        <v>724.23601913023299</v>
      </c>
      <c r="AT208">
        <v>49.350608548461707</v>
      </c>
      <c r="AU208">
        <v>82.958092653523849</v>
      </c>
      <c r="AV208"/>
      <c r="AW208"/>
      <c r="AX208" s="146"/>
      <c r="AY208" s="146"/>
      <c r="AZ208" s="152"/>
      <c r="BA208" s="153"/>
      <c r="BB208" s="146"/>
      <c r="BC208" s="147"/>
      <c r="BD208" s="147"/>
      <c r="BE208" s="148"/>
      <c r="BF208" s="146"/>
      <c r="BG208" s="146"/>
      <c r="BH208" s="146"/>
      <c r="BI208" s="146"/>
      <c r="BJ208" s="146"/>
      <c r="BK208" s="146"/>
      <c r="BL208" s="149"/>
      <c r="BM208" s="149"/>
      <c r="BN208" s="149"/>
      <c r="BO208" s="149"/>
      <c r="BP208" s="149"/>
      <c r="BQ208" s="149"/>
      <c r="BR208" s="149"/>
      <c r="BS208" s="149"/>
      <c r="BT208" s="149"/>
      <c r="BU208" s="149"/>
      <c r="BV208" s="149"/>
      <c r="BW208" s="149"/>
      <c r="BX208" s="149"/>
      <c r="BY208" s="149"/>
      <c r="BZ208" s="149"/>
      <c r="CA208" s="149"/>
      <c r="CB208" s="149"/>
      <c r="CC208" s="149"/>
      <c r="CD208" s="149"/>
      <c r="CE208" s="149"/>
      <c r="CF208" s="149"/>
      <c r="CG208" s="149"/>
      <c r="CH208" s="149"/>
      <c r="CJ208" s="146"/>
      <c r="CK208" s="146"/>
      <c r="CL208" s="152"/>
      <c r="CM208" s="153"/>
      <c r="CN208" s="146"/>
      <c r="CO208" s="147"/>
      <c r="CP208" s="147"/>
      <c r="CQ208" s="148"/>
      <c r="CR208" s="146"/>
      <c r="CS208" s="146"/>
      <c r="CT208" s="146"/>
      <c r="CU208" s="146"/>
      <c r="CW208" s="150"/>
      <c r="CX208" s="150"/>
      <c r="CZ208" s="150"/>
      <c r="DB208" s="146"/>
      <c r="DC208" s="146"/>
      <c r="DD208" s="152"/>
      <c r="DE208" s="153"/>
      <c r="DF208" s="146"/>
      <c r="DG208" s="147"/>
      <c r="DH208" s="147"/>
      <c r="DI208" s="148"/>
      <c r="DJ208" s="146"/>
      <c r="DK208" s="146"/>
      <c r="DL208" s="146"/>
      <c r="DM208" s="146"/>
      <c r="DN208" s="146"/>
      <c r="DO208" s="146"/>
      <c r="DP208" s="149"/>
      <c r="DQ208" s="149"/>
      <c r="DR208" s="149"/>
      <c r="DS208" s="149"/>
      <c r="DT208" s="149"/>
      <c r="DU208" s="149"/>
      <c r="DV208" s="149"/>
      <c r="DW208" s="149"/>
      <c r="DX208" s="149"/>
      <c r="DY208" s="149"/>
      <c r="DZ208" s="149"/>
      <c r="EA208" s="149"/>
      <c r="EB208" s="149"/>
      <c r="EC208" s="149"/>
      <c r="ED208" s="149"/>
      <c r="EE208" s="149"/>
      <c r="EF208" s="149"/>
      <c r="EG208" s="149"/>
      <c r="EH208" s="149"/>
      <c r="EI208" s="149"/>
      <c r="EJ208" s="149"/>
      <c r="EK208" s="149"/>
      <c r="EL208" s="149"/>
      <c r="EN208" s="146"/>
      <c r="EO208" s="146"/>
      <c r="EP208" s="146"/>
      <c r="EQ208" s="147"/>
      <c r="ER208" s="147"/>
      <c r="ES208" s="148"/>
      <c r="ET208" s="146"/>
      <c r="EU208" s="146"/>
      <c r="EV208" s="146"/>
      <c r="EW208" s="146"/>
      <c r="EX208" s="146"/>
      <c r="EY208" s="146"/>
      <c r="EZ208" s="149"/>
      <c r="FA208" s="149"/>
      <c r="FB208" s="149"/>
      <c r="FC208" s="149"/>
      <c r="FD208" s="149"/>
      <c r="FE208" s="149"/>
      <c r="FF208" s="149"/>
      <c r="FG208" s="149"/>
      <c r="FH208" s="149"/>
      <c r="FI208" s="149"/>
      <c r="FJ208" s="149"/>
      <c r="FK208" s="149"/>
      <c r="FL208" s="149"/>
      <c r="FM208" s="149"/>
      <c r="FN208" s="149"/>
      <c r="FO208" s="149"/>
      <c r="FP208" s="149"/>
      <c r="FQ208" s="149"/>
      <c r="FR208" s="149"/>
      <c r="FS208" s="149"/>
      <c r="FT208" s="149"/>
      <c r="FU208" s="149"/>
      <c r="FV208" s="149"/>
      <c r="FY208" s="211">
        <v>203</v>
      </c>
      <c r="FZ208">
        <v>7.773699140963517</v>
      </c>
      <c r="GA208">
        <v>36.846375847615406</v>
      </c>
      <c r="GB208">
        <v>53.425398062336512</v>
      </c>
      <c r="GC208">
        <v>29.481478473322738</v>
      </c>
      <c r="GD208">
        <v>14.144996891722592</v>
      </c>
      <c r="GE208">
        <v>55.623893656994412</v>
      </c>
      <c r="GF208">
        <v>108.75423996164221</v>
      </c>
      <c r="GG208">
        <v>41.220438856105183</v>
      </c>
      <c r="GH208">
        <v>1.6495341024277281</v>
      </c>
      <c r="GI208">
        <v>46.717022733762192</v>
      </c>
      <c r="GJ208"/>
      <c r="GK208"/>
      <c r="GL208"/>
      <c r="GM208"/>
    </row>
    <row r="209" spans="1:195" s="7" customFormat="1">
      <c r="A209" s="4"/>
      <c r="B209" s="4"/>
      <c r="C209" s="81"/>
      <c r="D209" s="82"/>
      <c r="E209" s="81"/>
      <c r="F209" s="81"/>
      <c r="G209" s="81"/>
      <c r="H209" s="81"/>
      <c r="I209" s="81"/>
      <c r="J209" s="81"/>
      <c r="K209" s="81"/>
      <c r="L209" s="81"/>
      <c r="M209" s="81"/>
      <c r="N209" s="74"/>
      <c r="O209" s="74"/>
      <c r="P209" s="74"/>
      <c r="Q209" s="74"/>
      <c r="R209" s="74"/>
      <c r="S209" s="74"/>
      <c r="T209" s="74"/>
      <c r="U209" s="74"/>
      <c r="V209" s="74"/>
      <c r="W209" s="74"/>
      <c r="X209" s="74"/>
      <c r="Y209" s="74"/>
      <c r="Z209" s="74"/>
      <c r="AA209" s="74"/>
      <c r="AB209" s="74"/>
      <c r="AC209" s="74"/>
      <c r="AD209" s="74"/>
      <c r="AE209" s="74"/>
      <c r="AF209" s="74"/>
      <c r="AG209" s="74"/>
      <c r="AH209" s="74"/>
      <c r="AI209" s="74"/>
      <c r="AJ209" s="74"/>
      <c r="AK209" s="74"/>
      <c r="AL209" s="74">
        <v>3.0028000000000028</v>
      </c>
      <c r="AM209" s="43">
        <v>193</v>
      </c>
      <c r="AN209">
        <v>206.74947062224655</v>
      </c>
      <c r="AO209">
        <v>60.132273549257945</v>
      </c>
      <c r="AP209">
        <v>435.49677696919207</v>
      </c>
      <c r="AQ209">
        <v>338.47424848763711</v>
      </c>
      <c r="AR209">
        <v>54.650140842781006</v>
      </c>
      <c r="AS209">
        <v>490.1737000905008</v>
      </c>
      <c r="AT209">
        <v>31.69610924650415</v>
      </c>
      <c r="AU209">
        <v>68.172826869789247</v>
      </c>
      <c r="AV209"/>
      <c r="AW209"/>
      <c r="FY209" s="211">
        <v>204</v>
      </c>
      <c r="FZ209">
        <v>15.578015545436612</v>
      </c>
      <c r="GA209">
        <v>45.474748067802011</v>
      </c>
      <c r="GB209">
        <v>78.354476747228617</v>
      </c>
      <c r="GC209">
        <v>52.185441556673773</v>
      </c>
      <c r="GD209">
        <v>24.150531118035097</v>
      </c>
      <c r="GE209">
        <v>54.696522381046222</v>
      </c>
      <c r="GF209">
        <v>86.930403944157277</v>
      </c>
      <c r="GG209">
        <v>52.743978145383117</v>
      </c>
      <c r="GH209">
        <v>30.825363524373241</v>
      </c>
      <c r="GI209">
        <v>60.479770878301871</v>
      </c>
      <c r="GJ209"/>
      <c r="GK209"/>
      <c r="GL209"/>
      <c r="GM209"/>
    </row>
    <row r="210" spans="1:195" s="7" customFormat="1">
      <c r="A210" s="4"/>
      <c r="B210" s="4"/>
      <c r="C210" s="81"/>
      <c r="D210" s="82"/>
      <c r="E210" s="81"/>
      <c r="F210" s="81"/>
      <c r="G210" s="81"/>
      <c r="H210" s="81"/>
      <c r="I210" s="81"/>
      <c r="J210" s="81"/>
      <c r="K210" s="81"/>
      <c r="L210" s="81"/>
      <c r="M210" s="81"/>
      <c r="N210" s="74"/>
      <c r="O210" s="74"/>
      <c r="P210" s="74"/>
      <c r="Q210" s="74"/>
      <c r="R210" s="74"/>
      <c r="S210" s="74"/>
      <c r="T210" s="74"/>
      <c r="U210" s="74"/>
      <c r="V210" s="74"/>
      <c r="W210" s="74"/>
      <c r="X210" s="74"/>
      <c r="Y210" s="74"/>
      <c r="Z210" s="74"/>
      <c r="AA210" s="74"/>
      <c r="AB210" s="74"/>
      <c r="AC210" s="74"/>
      <c r="AD210" s="74"/>
      <c r="AE210" s="74"/>
      <c r="AF210" s="74"/>
      <c r="AG210" s="74"/>
      <c r="AH210" s="74"/>
      <c r="AI210" s="74"/>
      <c r="AJ210" s="74"/>
      <c r="AK210" s="74"/>
      <c r="AL210" s="74">
        <v>3.0028000000000028</v>
      </c>
      <c r="AM210" s="43">
        <v>194</v>
      </c>
      <c r="AN210">
        <v>241.93940666678691</v>
      </c>
      <c r="AO210">
        <v>88.156464817858335</v>
      </c>
      <c r="AP210">
        <v>628.69452369945077</v>
      </c>
      <c r="AQ210">
        <v>479.49344978785552</v>
      </c>
      <c r="AR210">
        <v>80.716266080446744</v>
      </c>
      <c r="AS210">
        <v>677.00608308804203</v>
      </c>
      <c r="AT210">
        <v>42.750602746243025</v>
      </c>
      <c r="AU210">
        <v>130.44224230439588</v>
      </c>
      <c r="AV210"/>
      <c r="AW210"/>
      <c r="FY210" s="211">
        <v>205</v>
      </c>
      <c r="FZ210">
        <v>7.7208882530681482</v>
      </c>
      <c r="GA210">
        <v>35.084306762530552</v>
      </c>
      <c r="GB210">
        <v>60.00142695091769</v>
      </c>
      <c r="GC210">
        <v>36.834668355503545</v>
      </c>
      <c r="GD210">
        <v>16.140715521809412</v>
      </c>
      <c r="GE210">
        <v>26.648719389650086</v>
      </c>
      <c r="GF210">
        <v>64.78277542275552</v>
      </c>
      <c r="GG210">
        <v>41.617264405415689</v>
      </c>
      <c r="GH210">
        <v>1.3462118399670653</v>
      </c>
      <c r="GI210">
        <v>39.78626253677173</v>
      </c>
      <c r="GJ210"/>
      <c r="GK210"/>
      <c r="GL210"/>
      <c r="GM210"/>
    </row>
    <row r="211" spans="1:195" s="7" customFormat="1">
      <c r="A211" s="4"/>
      <c r="B211" s="4"/>
      <c r="C211" s="81"/>
      <c r="D211" s="82"/>
      <c r="E211" s="81"/>
      <c r="F211" s="81"/>
      <c r="G211" s="81"/>
      <c r="H211" s="81"/>
      <c r="I211" s="81"/>
      <c r="J211" s="81"/>
      <c r="K211" s="81"/>
      <c r="L211" s="81"/>
      <c r="M211" s="81"/>
      <c r="N211" s="74"/>
      <c r="O211" s="74"/>
      <c r="P211" s="74"/>
      <c r="Q211" s="74"/>
      <c r="R211" s="74"/>
      <c r="S211" s="74"/>
      <c r="T211" s="74"/>
      <c r="U211" s="74"/>
      <c r="V211" s="74"/>
      <c r="W211" s="74"/>
      <c r="X211" s="74"/>
      <c r="Y211" s="74"/>
      <c r="Z211" s="74"/>
      <c r="AA211" s="74"/>
      <c r="AB211" s="74"/>
      <c r="AC211" s="74"/>
      <c r="AD211" s="74"/>
      <c r="AE211" s="74"/>
      <c r="AF211" s="74"/>
      <c r="AG211" s="74"/>
      <c r="AH211" s="74"/>
      <c r="AI211" s="74"/>
      <c r="AJ211" s="74"/>
      <c r="AK211" s="74"/>
      <c r="AL211" s="74">
        <v>3.0028000000000028</v>
      </c>
      <c r="AM211" s="43">
        <v>195</v>
      </c>
      <c r="AN211">
        <v>265.1319541059201</v>
      </c>
      <c r="AO211">
        <v>90.057712549728336</v>
      </c>
      <c r="AP211">
        <v>683.29651149022561</v>
      </c>
      <c r="AQ211">
        <v>474.47190772030939</v>
      </c>
      <c r="AR211">
        <v>81.22904614316019</v>
      </c>
      <c r="AS211">
        <v>682.41353386071091</v>
      </c>
      <c r="AT211">
        <v>43.447642126023432</v>
      </c>
      <c r="AU211">
        <v>14.117395290063886</v>
      </c>
      <c r="AV211"/>
      <c r="AW211"/>
      <c r="BA211" s="192"/>
      <c r="BB211" s="192"/>
      <c r="BC211" s="193"/>
      <c r="BD211" s="193"/>
      <c r="BE211" s="193"/>
      <c r="BF211" s="193"/>
      <c r="BG211" s="193"/>
      <c r="BH211" s="193"/>
      <c r="BI211" s="193"/>
      <c r="BJ211" s="193"/>
      <c r="BK211" s="193"/>
      <c r="BL211" s="193"/>
      <c r="BM211" s="193"/>
      <c r="BN211" s="193"/>
      <c r="BO211" s="193"/>
      <c r="BP211" s="193"/>
      <c r="BQ211" s="193"/>
      <c r="BR211" s="193"/>
      <c r="BS211" s="193"/>
      <c r="BT211" s="193"/>
      <c r="BU211" s="193"/>
      <c r="BV211" s="193"/>
      <c r="BW211" s="193"/>
      <c r="BX211" s="193"/>
      <c r="BY211" s="193"/>
      <c r="BZ211" s="193"/>
      <c r="CA211" s="193"/>
      <c r="CB211" s="193"/>
      <c r="CC211" s="193"/>
      <c r="CD211" s="193"/>
      <c r="CE211" s="193"/>
      <c r="CF211" s="193"/>
      <c r="CG211" s="194"/>
      <c r="CH211" s="194"/>
      <c r="CI211" s="194"/>
      <c r="CJ211" s="194"/>
      <c r="CK211" s="194"/>
      <c r="CL211" s="194"/>
      <c r="CM211" s="194"/>
      <c r="CN211" s="194"/>
      <c r="CO211" s="194"/>
      <c r="CP211" s="194"/>
      <c r="CQ211" s="194"/>
      <c r="CR211" s="194"/>
      <c r="CS211" s="194"/>
      <c r="CT211" s="194"/>
      <c r="CU211" s="194"/>
      <c r="DE211" s="184" t="s">
        <v>139</v>
      </c>
      <c r="DF211" s="183" t="s">
        <v>83</v>
      </c>
      <c r="DG211" s="182">
        <v>1</v>
      </c>
      <c r="DH211" s="182">
        <v>2</v>
      </c>
      <c r="DI211" s="182">
        <v>3</v>
      </c>
      <c r="DJ211" s="182">
        <v>4</v>
      </c>
      <c r="DK211" s="182">
        <v>5</v>
      </c>
      <c r="DL211" s="182">
        <v>6</v>
      </c>
      <c r="DM211" s="182">
        <v>7</v>
      </c>
      <c r="DN211" s="182">
        <v>8</v>
      </c>
      <c r="DO211" s="182">
        <v>9</v>
      </c>
      <c r="DP211" s="182">
        <v>10</v>
      </c>
      <c r="DQ211" s="182">
        <v>11</v>
      </c>
      <c r="DR211" s="182">
        <v>12</v>
      </c>
      <c r="DS211" s="182">
        <v>13</v>
      </c>
      <c r="DT211" s="182">
        <v>14</v>
      </c>
      <c r="DU211" s="182">
        <v>15</v>
      </c>
      <c r="DV211" s="182">
        <v>16</v>
      </c>
      <c r="DW211" s="182">
        <v>17</v>
      </c>
      <c r="DX211" s="182">
        <v>18</v>
      </c>
      <c r="DY211" s="182">
        <v>19</v>
      </c>
      <c r="DZ211" s="182">
        <v>20</v>
      </c>
      <c r="EA211" s="182">
        <v>21</v>
      </c>
      <c r="EB211" s="182">
        <v>22</v>
      </c>
      <c r="EC211" s="182">
        <v>23</v>
      </c>
      <c r="ED211" s="182">
        <v>24</v>
      </c>
      <c r="EE211" s="182">
        <v>25</v>
      </c>
      <c r="EF211" s="182">
        <v>26</v>
      </c>
      <c r="EG211" s="182">
        <v>27</v>
      </c>
      <c r="EH211" s="182">
        <v>28</v>
      </c>
      <c r="EI211" s="182">
        <v>29</v>
      </c>
      <c r="EJ211" s="182">
        <v>30</v>
      </c>
      <c r="FY211" s="211">
        <v>206</v>
      </c>
      <c r="FZ211">
        <v>8.6189819190300945</v>
      </c>
      <c r="GA211">
        <v>31.788931504436889</v>
      </c>
      <c r="GB211">
        <v>83.860520292502912</v>
      </c>
      <c r="GC211">
        <v>59.016149700546592</v>
      </c>
      <c r="GD211">
        <v>22.008327447844053</v>
      </c>
      <c r="GE211">
        <v>52.759150666255735</v>
      </c>
      <c r="GF211">
        <v>68.613592117051141</v>
      </c>
      <c r="GG211">
        <v>9.2698136731596552</v>
      </c>
      <c r="GH211">
        <v>5.9968051212244919</v>
      </c>
      <c r="GI211">
        <v>50.359434077585597</v>
      </c>
      <c r="GJ211"/>
      <c r="GK211"/>
      <c r="GL211"/>
      <c r="GM211"/>
    </row>
    <row r="212" spans="1:195" s="7" customFormat="1">
      <c r="A212" s="4"/>
      <c r="B212" s="4"/>
      <c r="C212" s="4"/>
      <c r="D212" s="4"/>
      <c r="E212" s="4"/>
      <c r="F212" s="28"/>
      <c r="G212" s="28"/>
      <c r="H212" s="83"/>
      <c r="I212" s="4"/>
      <c r="J212" s="4"/>
      <c r="K212" s="4"/>
      <c r="L212" s="4"/>
      <c r="M212" s="4"/>
      <c r="N212" s="74"/>
      <c r="O212" s="74"/>
      <c r="P212" s="74"/>
      <c r="Q212" s="74"/>
      <c r="R212" s="74"/>
      <c r="S212" s="74"/>
      <c r="T212" s="74"/>
      <c r="U212" s="74"/>
      <c r="V212" s="74"/>
      <c r="W212" s="74"/>
      <c r="X212" s="74"/>
      <c r="Y212" s="74"/>
      <c r="Z212" s="74"/>
      <c r="AA212" s="74"/>
      <c r="AB212" s="74"/>
      <c r="AC212" s="74"/>
      <c r="AD212" s="74"/>
      <c r="AE212" s="74"/>
      <c r="AF212" s="74"/>
      <c r="AG212" s="74"/>
      <c r="AH212" s="74"/>
      <c r="AI212" s="74"/>
      <c r="AJ212" s="74"/>
      <c r="AK212" s="74"/>
      <c r="AL212" s="74">
        <v>3.0028000000000028</v>
      </c>
      <c r="AM212" s="43">
        <v>196</v>
      </c>
      <c r="AN212">
        <v>190.66105886435554</v>
      </c>
      <c r="AO212">
        <v>62.073260365200056</v>
      </c>
      <c r="AP212">
        <v>455.05145114858163</v>
      </c>
      <c r="AQ212">
        <v>345.60265821595175</v>
      </c>
      <c r="AR212">
        <v>57.452119755299584</v>
      </c>
      <c r="AS212">
        <v>480.22717900499049</v>
      </c>
      <c r="AT212" t="e">
        <v>#DIV/0!</v>
      </c>
      <c r="AU212" t="e">
        <v>#DIV/0!</v>
      </c>
      <c r="AV212"/>
      <c r="AW212"/>
      <c r="BA212" s="195"/>
      <c r="BB212" s="193"/>
      <c r="BC212" s="193"/>
      <c r="BD212" s="193"/>
      <c r="BE212" s="193"/>
      <c r="BF212" s="193"/>
      <c r="BG212" s="193"/>
      <c r="BH212" s="193"/>
      <c r="BI212" s="193"/>
      <c r="BJ212" s="193"/>
      <c r="BK212" s="193"/>
      <c r="BL212" s="193"/>
      <c r="BM212" s="193"/>
      <c r="BN212" s="193"/>
      <c r="BO212" s="193"/>
      <c r="BP212" s="193"/>
      <c r="BQ212" s="193"/>
      <c r="BR212" s="193"/>
      <c r="BS212" s="193"/>
      <c r="BT212" s="193"/>
      <c r="BU212" s="193"/>
      <c r="BV212" s="193"/>
      <c r="BW212" s="193"/>
      <c r="BX212" s="193"/>
      <c r="BY212" s="193"/>
      <c r="BZ212" s="193"/>
      <c r="CA212" s="193"/>
      <c r="CB212" s="193"/>
      <c r="CC212" s="193"/>
      <c r="CD212" s="193"/>
      <c r="CE212" s="193"/>
      <c r="CF212" s="193"/>
      <c r="CG212" s="194"/>
      <c r="CH212" s="194"/>
      <c r="CI212" s="194"/>
      <c r="CJ212" s="194"/>
      <c r="CK212" s="194"/>
      <c r="CL212" s="194"/>
      <c r="CM212" s="192"/>
      <c r="CN212" s="192"/>
      <c r="CO212" s="193"/>
      <c r="CP212" s="193"/>
      <c r="CQ212" s="193"/>
      <c r="CR212" s="193"/>
      <c r="CS212" s="193"/>
      <c r="CT212" s="193"/>
      <c r="CU212" s="193"/>
      <c r="DE212" s="187">
        <f>DE88</f>
        <v>39646</v>
      </c>
      <c r="DF212" s="182">
        <f t="shared" ref="DF212:EJ212" si="335">AVERAGE(DF88:DF97)</f>
        <v>0</v>
      </c>
      <c r="DG212" s="182">
        <f t="shared" si="335"/>
        <v>5.208333333333333</v>
      </c>
      <c r="DH212" s="182">
        <f t="shared" si="335"/>
        <v>12.5</v>
      </c>
      <c r="DI212" s="182">
        <f t="shared" si="335"/>
        <v>6.25</v>
      </c>
      <c r="DJ212" s="182">
        <f t="shared" si="335"/>
        <v>0</v>
      </c>
      <c r="DK212" s="182">
        <f t="shared" ref="DK212:DQ212" si="336">AVERAGE(DK88:DK97)</f>
        <v>0</v>
      </c>
      <c r="DL212" s="182">
        <f t="shared" si="336"/>
        <v>0</v>
      </c>
      <c r="DM212" s="182">
        <f t="shared" si="336"/>
        <v>0</v>
      </c>
      <c r="DN212" s="182">
        <f t="shared" si="336"/>
        <v>0</v>
      </c>
      <c r="DO212" s="182">
        <f t="shared" si="336"/>
        <v>0</v>
      </c>
      <c r="DP212" s="182">
        <f t="shared" si="336"/>
        <v>0</v>
      </c>
      <c r="DQ212" s="182">
        <f t="shared" si="336"/>
        <v>0</v>
      </c>
      <c r="DR212" s="182">
        <f t="shared" si="335"/>
        <v>0</v>
      </c>
      <c r="DS212" s="182">
        <f t="shared" si="335"/>
        <v>0</v>
      </c>
      <c r="DT212" s="182">
        <f t="shared" si="335"/>
        <v>0</v>
      </c>
      <c r="DU212" s="182">
        <f t="shared" si="335"/>
        <v>0</v>
      </c>
      <c r="DV212" s="182">
        <f t="shared" si="335"/>
        <v>0</v>
      </c>
      <c r="DW212" s="182">
        <f t="shared" si="335"/>
        <v>0</v>
      </c>
      <c r="DX212" s="182">
        <f t="shared" si="335"/>
        <v>0</v>
      </c>
      <c r="DY212" s="182">
        <f t="shared" si="335"/>
        <v>0</v>
      </c>
      <c r="DZ212" s="182">
        <f t="shared" si="335"/>
        <v>0</v>
      </c>
      <c r="EA212" s="182">
        <f t="shared" si="335"/>
        <v>0</v>
      </c>
      <c r="EB212" s="182">
        <f t="shared" si="335"/>
        <v>0</v>
      </c>
      <c r="EC212" s="182">
        <f t="shared" si="335"/>
        <v>0</v>
      </c>
      <c r="ED212" s="182">
        <f t="shared" si="335"/>
        <v>0</v>
      </c>
      <c r="EE212" s="182">
        <f t="shared" si="335"/>
        <v>0</v>
      </c>
      <c r="EF212" s="182">
        <f t="shared" si="335"/>
        <v>0</v>
      </c>
      <c r="EG212" s="182">
        <f t="shared" si="335"/>
        <v>0</v>
      </c>
      <c r="EH212" s="182">
        <f t="shared" si="335"/>
        <v>0</v>
      </c>
      <c r="EI212" s="182">
        <f t="shared" si="335"/>
        <v>0</v>
      </c>
      <c r="EJ212" s="182">
        <f t="shared" si="335"/>
        <v>0</v>
      </c>
      <c r="FY212" s="211">
        <v>207</v>
      </c>
      <c r="FZ212">
        <v>13.830067441888666</v>
      </c>
      <c r="GA212">
        <v>53.910116114327678</v>
      </c>
      <c r="GB212">
        <v>61.494705344140094</v>
      </c>
      <c r="GC212">
        <v>36.891672099264639</v>
      </c>
      <c r="GD212">
        <v>17.014827303488119</v>
      </c>
      <c r="GE212">
        <v>30.987900313034132</v>
      </c>
      <c r="GF212">
        <v>83.651329315804361</v>
      </c>
      <c r="GG212">
        <v>64.612207532524906</v>
      </c>
      <c r="GH212">
        <v>22.129964106252825</v>
      </c>
      <c r="GI212">
        <v>49.482787025534613</v>
      </c>
      <c r="GJ212"/>
      <c r="GK212"/>
      <c r="GL212"/>
      <c r="GM212"/>
    </row>
    <row r="213" spans="1:195" s="7" customFormat="1">
      <c r="A213" s="4"/>
      <c r="B213" s="4"/>
      <c r="C213" s="4"/>
      <c r="D213" s="4"/>
      <c r="E213" s="4"/>
      <c r="F213" s="28"/>
      <c r="G213" s="28"/>
      <c r="H213" s="83"/>
      <c r="I213" s="4"/>
      <c r="J213" s="4"/>
      <c r="K213" s="4"/>
      <c r="L213" s="4"/>
      <c r="M213" s="4"/>
      <c r="N213" s="74"/>
      <c r="O213" s="74"/>
      <c r="P213" s="74"/>
      <c r="Q213" s="74"/>
      <c r="R213" s="74"/>
      <c r="S213" s="74"/>
      <c r="T213" s="74"/>
      <c r="U213" s="74"/>
      <c r="V213" s="74"/>
      <c r="W213" s="74"/>
      <c r="X213" s="74"/>
      <c r="Y213" s="74"/>
      <c r="Z213" s="74"/>
      <c r="AA213" s="74"/>
      <c r="AB213" s="74"/>
      <c r="AC213" s="74"/>
      <c r="AD213" s="74"/>
      <c r="AE213" s="74"/>
      <c r="AF213" s="74"/>
      <c r="AG213" s="74"/>
      <c r="AH213" s="74"/>
      <c r="AI213" s="74"/>
      <c r="AJ213" s="74"/>
      <c r="AK213" s="74"/>
      <c r="AL213" s="74">
        <v>3.0028000000000028</v>
      </c>
      <c r="AM213" s="43">
        <v>197</v>
      </c>
      <c r="AN213">
        <v>239.20066289537175</v>
      </c>
      <c r="AO213">
        <v>95.528719191474877</v>
      </c>
      <c r="AP213">
        <v>672.25965171431142</v>
      </c>
      <c r="AQ213">
        <v>501.5522187851343</v>
      </c>
      <c r="AR213">
        <v>85.981182611490084</v>
      </c>
      <c r="AS213">
        <v>683.47532696580811</v>
      </c>
      <c r="AT213">
        <v>49.509644235977042</v>
      </c>
      <c r="AU213">
        <v>74.421575078479961</v>
      </c>
      <c r="AV213"/>
      <c r="AW213"/>
      <c r="BA213" s="195"/>
      <c r="BB213" s="196"/>
      <c r="BC213" s="196"/>
      <c r="BD213" s="196"/>
      <c r="BE213" s="196"/>
      <c r="BF213" s="196"/>
      <c r="BG213" s="196"/>
      <c r="BH213" s="196"/>
      <c r="BI213" s="196"/>
      <c r="BJ213" s="196"/>
      <c r="BK213" s="196"/>
      <c r="BL213" s="196"/>
      <c r="BM213" s="196"/>
      <c r="BN213" s="196"/>
      <c r="BO213" s="196"/>
      <c r="BP213" s="196"/>
      <c r="BQ213" s="196"/>
      <c r="BR213" s="196"/>
      <c r="BS213" s="196"/>
      <c r="BT213" s="196"/>
      <c r="BU213" s="196"/>
      <c r="BV213" s="196"/>
      <c r="BW213" s="196"/>
      <c r="BX213" s="196"/>
      <c r="BY213" s="196"/>
      <c r="BZ213" s="196"/>
      <c r="CA213" s="196"/>
      <c r="CB213" s="196"/>
      <c r="CC213" s="196"/>
      <c r="CD213" s="196"/>
      <c r="CE213" s="196"/>
      <c r="CF213" s="196"/>
      <c r="CG213" s="194"/>
      <c r="CH213" s="194"/>
      <c r="CI213" s="194"/>
      <c r="CJ213" s="194"/>
      <c r="CK213" s="194"/>
      <c r="CL213" s="194"/>
      <c r="CM213" s="197"/>
      <c r="CN213" s="193"/>
      <c r="CO213" s="193"/>
      <c r="CP213" s="193"/>
      <c r="CQ213" s="193"/>
      <c r="CR213" s="193"/>
      <c r="CS213" s="193"/>
      <c r="CT213" s="193"/>
      <c r="CU213" s="193"/>
      <c r="DE213" s="187">
        <f>DE98</f>
        <v>39673</v>
      </c>
      <c r="DF213" s="185">
        <f t="shared" ref="DF213:EJ213" si="337">AVERAGE(DF98:DF107)</f>
        <v>0</v>
      </c>
      <c r="DG213" s="185">
        <f t="shared" si="337"/>
        <v>19.791666666666664</v>
      </c>
      <c r="DH213" s="185">
        <f t="shared" si="337"/>
        <v>69.059290382819796</v>
      </c>
      <c r="DI213" s="185">
        <f t="shared" si="337"/>
        <v>14.440359477124181</v>
      </c>
      <c r="DJ213" s="185">
        <f t="shared" si="337"/>
        <v>0</v>
      </c>
      <c r="DK213" s="185">
        <f t="shared" ref="DK213:DQ213" si="338">AVERAGE(DK98:DK107)</f>
        <v>1.0416666666666665</v>
      </c>
      <c r="DL213" s="185">
        <f t="shared" si="338"/>
        <v>0</v>
      </c>
      <c r="DM213" s="185">
        <f t="shared" si="338"/>
        <v>9.375</v>
      </c>
      <c r="DN213" s="185">
        <f t="shared" si="338"/>
        <v>0</v>
      </c>
      <c r="DO213" s="185">
        <f t="shared" si="338"/>
        <v>0</v>
      </c>
      <c r="DP213" s="185">
        <f t="shared" si="338"/>
        <v>0</v>
      </c>
      <c r="DQ213" s="185">
        <f t="shared" si="338"/>
        <v>0</v>
      </c>
      <c r="DR213" s="185">
        <f t="shared" si="337"/>
        <v>0</v>
      </c>
      <c r="DS213" s="185">
        <f t="shared" si="337"/>
        <v>0</v>
      </c>
      <c r="DT213" s="185">
        <f t="shared" si="337"/>
        <v>0</v>
      </c>
      <c r="DU213" s="185">
        <f t="shared" si="337"/>
        <v>0</v>
      </c>
      <c r="DV213" s="185">
        <f t="shared" si="337"/>
        <v>0</v>
      </c>
      <c r="DW213" s="185">
        <f t="shared" si="337"/>
        <v>0</v>
      </c>
      <c r="DX213" s="185">
        <f t="shared" si="337"/>
        <v>0</v>
      </c>
      <c r="DY213" s="185">
        <f t="shared" si="337"/>
        <v>0</v>
      </c>
      <c r="DZ213" s="185">
        <f t="shared" si="337"/>
        <v>0</v>
      </c>
      <c r="EA213" s="185">
        <f t="shared" si="337"/>
        <v>0</v>
      </c>
      <c r="EB213" s="185">
        <f t="shared" si="337"/>
        <v>0</v>
      </c>
      <c r="EC213" s="185">
        <f t="shared" si="337"/>
        <v>0</v>
      </c>
      <c r="ED213" s="185">
        <f t="shared" si="337"/>
        <v>0</v>
      </c>
      <c r="EE213" s="185">
        <f t="shared" si="337"/>
        <v>0</v>
      </c>
      <c r="EF213" s="185">
        <f t="shared" si="337"/>
        <v>0</v>
      </c>
      <c r="EG213" s="185">
        <f t="shared" si="337"/>
        <v>0</v>
      </c>
      <c r="EH213" s="185">
        <f t="shared" si="337"/>
        <v>0</v>
      </c>
      <c r="EI213" s="185">
        <f t="shared" si="337"/>
        <v>0</v>
      </c>
      <c r="EJ213" s="185">
        <f t="shared" si="337"/>
        <v>0</v>
      </c>
      <c r="FY213" s="211">
        <v>208</v>
      </c>
      <c r="FZ213">
        <v>24.286168829716051</v>
      </c>
      <c r="GA213">
        <v>69.949182878233671</v>
      </c>
      <c r="GB213">
        <v>78.571199436145733</v>
      </c>
      <c r="GC213">
        <v>41.054858026052898</v>
      </c>
      <c r="GD213">
        <v>28.43105602589846</v>
      </c>
      <c r="GE213">
        <v>83.274787559960288</v>
      </c>
      <c r="GF213">
        <v>106.91520996606909</v>
      </c>
      <c r="GG213">
        <v>58.700699217390607</v>
      </c>
      <c r="GH213">
        <v>31.273969191147142</v>
      </c>
      <c r="GI213">
        <v>69.214116743380274</v>
      </c>
      <c r="GJ213"/>
      <c r="GK213"/>
      <c r="GL213"/>
      <c r="GM213"/>
    </row>
    <row r="214" spans="1:195" s="7" customFormat="1">
      <c r="A214" s="4"/>
      <c r="B214" s="4"/>
      <c r="C214" s="4"/>
      <c r="D214" s="4"/>
      <c r="E214" s="4"/>
      <c r="F214" s="28"/>
      <c r="G214" s="28"/>
      <c r="H214" s="83"/>
      <c r="I214" s="4"/>
      <c r="J214" s="4"/>
      <c r="K214" s="4"/>
      <c r="L214" s="4"/>
      <c r="M214" s="4"/>
      <c r="N214" s="74"/>
      <c r="O214" s="74"/>
      <c r="P214" s="74"/>
      <c r="Q214" s="74"/>
      <c r="R214" s="74"/>
      <c r="S214" s="74"/>
      <c r="T214" s="74"/>
      <c r="U214" s="74"/>
      <c r="V214" s="74"/>
      <c r="W214" s="74"/>
      <c r="X214" s="74"/>
      <c r="Y214" s="74"/>
      <c r="Z214" s="74"/>
      <c r="AA214" s="74"/>
      <c r="AB214" s="74"/>
      <c r="AC214" s="74"/>
      <c r="AD214" s="74"/>
      <c r="AE214" s="74"/>
      <c r="AF214" s="74"/>
      <c r="AG214" s="74"/>
      <c r="AH214" s="74"/>
      <c r="AI214" s="74"/>
      <c r="AJ214" s="74"/>
      <c r="AK214" s="74"/>
      <c r="AL214" s="74">
        <v>3.0028000000000028</v>
      </c>
      <c r="AM214" s="43">
        <v>198</v>
      </c>
      <c r="AN214">
        <v>256.5173806949968</v>
      </c>
      <c r="AO214">
        <v>76.504770814054055</v>
      </c>
      <c r="AP214">
        <v>555.09543906033332</v>
      </c>
      <c r="AQ214">
        <v>417.97601465048893</v>
      </c>
      <c r="AR214">
        <v>69.364022118960207</v>
      </c>
      <c r="AS214">
        <v>599.28358700595595</v>
      </c>
      <c r="AT214">
        <v>36.615322265558781</v>
      </c>
      <c r="AU214">
        <v>61.404182943884251</v>
      </c>
      <c r="AV214"/>
      <c r="AW214"/>
      <c r="BA214" s="195"/>
      <c r="BB214" s="193"/>
      <c r="BC214" s="193"/>
      <c r="BD214" s="193"/>
      <c r="BE214" s="193"/>
      <c r="BF214" s="193"/>
      <c r="BG214" s="193"/>
      <c r="BH214" s="193"/>
      <c r="BI214" s="193"/>
      <c r="BJ214" s="193"/>
      <c r="BK214" s="193"/>
      <c r="BL214" s="193"/>
      <c r="BM214" s="193"/>
      <c r="BN214" s="193"/>
      <c r="BO214" s="193"/>
      <c r="BP214" s="193"/>
      <c r="BQ214" s="193"/>
      <c r="BR214" s="193"/>
      <c r="BS214" s="193"/>
      <c r="BT214" s="193"/>
      <c r="BU214" s="193"/>
      <c r="BV214" s="193"/>
      <c r="BW214" s="193"/>
      <c r="BX214" s="193"/>
      <c r="BY214" s="193"/>
      <c r="BZ214" s="193"/>
      <c r="CA214" s="193"/>
      <c r="CB214" s="193"/>
      <c r="CC214" s="193"/>
      <c r="CD214" s="193"/>
      <c r="CE214" s="193"/>
      <c r="CF214" s="193"/>
      <c r="CG214" s="194"/>
      <c r="CH214" s="194"/>
      <c r="CI214" s="194"/>
      <c r="CJ214" s="194"/>
      <c r="CK214" s="194"/>
      <c r="CL214" s="194"/>
      <c r="CM214" s="197"/>
      <c r="CN214" s="193"/>
      <c r="CO214" s="193"/>
      <c r="CP214" s="193"/>
      <c r="CQ214" s="193"/>
      <c r="CR214" s="193"/>
      <c r="CS214" s="193"/>
      <c r="CT214" s="193"/>
      <c r="CU214" s="193"/>
      <c r="DE214" s="187">
        <f>DE108</f>
        <v>39714</v>
      </c>
      <c r="DF214" s="182">
        <f t="shared" ref="DF214:EJ214" si="339">AVERAGE(DF108:DF117)</f>
        <v>0</v>
      </c>
      <c r="DG214" s="182">
        <f t="shared" si="339"/>
        <v>8.928571428571427</v>
      </c>
      <c r="DH214" s="182">
        <f t="shared" si="339"/>
        <v>149.32315668202764</v>
      </c>
      <c r="DI214" s="182">
        <f t="shared" si="339"/>
        <v>138.91129032258067</v>
      </c>
      <c r="DJ214" s="182">
        <f t="shared" si="339"/>
        <v>21.875000000000004</v>
      </c>
      <c r="DK214" s="182">
        <f t="shared" si="339"/>
        <v>0</v>
      </c>
      <c r="DL214" s="182">
        <f t="shared" si="339"/>
        <v>1.0416666666666665</v>
      </c>
      <c r="DM214" s="182">
        <f t="shared" si="339"/>
        <v>0</v>
      </c>
      <c r="DN214" s="182">
        <f t="shared" si="339"/>
        <v>0</v>
      </c>
      <c r="DO214" s="182">
        <f t="shared" si="339"/>
        <v>0</v>
      </c>
      <c r="DP214" s="182">
        <f t="shared" si="339"/>
        <v>0</v>
      </c>
      <c r="DQ214" s="182">
        <f t="shared" si="339"/>
        <v>0</v>
      </c>
      <c r="DR214" s="182">
        <f t="shared" si="339"/>
        <v>0</v>
      </c>
      <c r="DS214" s="182">
        <f t="shared" si="339"/>
        <v>0</v>
      </c>
      <c r="DT214" s="182">
        <f t="shared" si="339"/>
        <v>0</v>
      </c>
      <c r="DU214" s="182">
        <f t="shared" si="339"/>
        <v>0</v>
      </c>
      <c r="DV214" s="182">
        <f t="shared" si="339"/>
        <v>0</v>
      </c>
      <c r="DW214" s="182">
        <f t="shared" si="339"/>
        <v>0</v>
      </c>
      <c r="DX214" s="182">
        <f t="shared" si="339"/>
        <v>0</v>
      </c>
      <c r="DY214" s="182">
        <f t="shared" si="339"/>
        <v>0</v>
      </c>
      <c r="DZ214" s="182">
        <f t="shared" si="339"/>
        <v>0</v>
      </c>
      <c r="EA214" s="182">
        <f t="shared" si="339"/>
        <v>0</v>
      </c>
      <c r="EB214" s="182">
        <f t="shared" si="339"/>
        <v>0</v>
      </c>
      <c r="EC214" s="182">
        <f t="shared" si="339"/>
        <v>0</v>
      </c>
      <c r="ED214" s="182">
        <f t="shared" si="339"/>
        <v>0</v>
      </c>
      <c r="EE214" s="182">
        <f t="shared" si="339"/>
        <v>0</v>
      </c>
      <c r="EF214" s="182">
        <f t="shared" si="339"/>
        <v>0</v>
      </c>
      <c r="EG214" s="182">
        <f t="shared" si="339"/>
        <v>0</v>
      </c>
      <c r="EH214" s="182">
        <f t="shared" si="339"/>
        <v>0</v>
      </c>
      <c r="EI214" s="182">
        <f t="shared" si="339"/>
        <v>0</v>
      </c>
      <c r="EJ214" s="182">
        <f t="shared" si="339"/>
        <v>0</v>
      </c>
      <c r="FY214" s="211">
        <v>209</v>
      </c>
      <c r="FZ214">
        <v>10.604882332453649</v>
      </c>
      <c r="GA214">
        <v>31.331791901555469</v>
      </c>
      <c r="GB214">
        <v>63.075454876374444</v>
      </c>
      <c r="GC214">
        <v>39.540534436005174</v>
      </c>
      <c r="GD214">
        <v>23.175932892775467</v>
      </c>
      <c r="GE214">
        <v>70.566031638230811</v>
      </c>
      <c r="GF214">
        <v>103.21942711332754</v>
      </c>
      <c r="GG214">
        <v>35.696163961968814</v>
      </c>
      <c r="GH214">
        <v>2.2800815194667647</v>
      </c>
      <c r="GI214">
        <v>53.670790883457833</v>
      </c>
      <c r="GJ214"/>
      <c r="GK214"/>
      <c r="GL214"/>
      <c r="GM214"/>
    </row>
    <row r="215" spans="1:195" s="7" customFormat="1">
      <c r="A215" s="4"/>
      <c r="B215" s="4"/>
      <c r="C215" s="4"/>
      <c r="D215" s="4"/>
      <c r="E215" s="4"/>
      <c r="F215" s="28"/>
      <c r="G215" s="28"/>
      <c r="H215" s="83"/>
      <c r="I215" s="4"/>
      <c r="J215" s="4"/>
      <c r="K215" s="4"/>
      <c r="L215" s="4"/>
      <c r="M215" s="4"/>
      <c r="N215" s="74"/>
      <c r="O215" s="74"/>
      <c r="P215" s="74"/>
      <c r="Q215" s="74"/>
      <c r="R215" s="74"/>
      <c r="S215" s="74"/>
      <c r="T215" s="74"/>
      <c r="U215" s="74"/>
      <c r="V215" s="74"/>
      <c r="W215" s="74"/>
      <c r="X215" s="74"/>
      <c r="Y215" s="74"/>
      <c r="Z215" s="74"/>
      <c r="AA215" s="74"/>
      <c r="AB215" s="74"/>
      <c r="AC215" s="74"/>
      <c r="AD215" s="74"/>
      <c r="AE215" s="74"/>
      <c r="AF215" s="74"/>
      <c r="AG215" s="74"/>
      <c r="AH215" s="74"/>
      <c r="AI215" s="74"/>
      <c r="AJ215" s="74"/>
      <c r="AK215" s="74"/>
      <c r="AL215" s="74">
        <v>3.0028000000000028</v>
      </c>
      <c r="AM215" s="43">
        <v>199</v>
      </c>
      <c r="AN215">
        <v>265.16983200902939</v>
      </c>
      <c r="AO215">
        <v>92.483132326246988</v>
      </c>
      <c r="AP215">
        <v>628.94110953231007</v>
      </c>
      <c r="AQ215">
        <v>486.31563605429949</v>
      </c>
      <c r="AR215">
        <v>83.714088460143145</v>
      </c>
      <c r="AS215">
        <v>684.79280338128308</v>
      </c>
      <c r="AT215">
        <v>43.95667110254373</v>
      </c>
      <c r="AU215">
        <v>55.865304224101919</v>
      </c>
      <c r="AV215"/>
      <c r="AW215"/>
      <c r="BA215" s="195"/>
      <c r="BB215" s="193"/>
      <c r="BC215" s="193"/>
      <c r="BD215" s="193"/>
      <c r="BE215" s="193"/>
      <c r="BF215" s="193"/>
      <c r="BG215" s="193"/>
      <c r="BH215" s="193"/>
      <c r="BI215" s="193"/>
      <c r="BJ215" s="193"/>
      <c r="BK215" s="193"/>
      <c r="BL215" s="193"/>
      <c r="BM215" s="193"/>
      <c r="BN215" s="193"/>
      <c r="BO215" s="193"/>
      <c r="BP215" s="193"/>
      <c r="BQ215" s="193"/>
      <c r="BR215" s="193"/>
      <c r="BS215" s="193"/>
      <c r="BT215" s="193"/>
      <c r="BU215" s="193"/>
      <c r="BV215" s="193"/>
      <c r="BW215" s="193"/>
      <c r="BX215" s="193"/>
      <c r="BY215" s="193"/>
      <c r="BZ215" s="193"/>
      <c r="CA215" s="193"/>
      <c r="CB215" s="193"/>
      <c r="CC215" s="193"/>
      <c r="CD215" s="193"/>
      <c r="CE215" s="193"/>
      <c r="CF215" s="193"/>
      <c r="CG215" s="194"/>
      <c r="CH215" s="194"/>
      <c r="CI215" s="194"/>
      <c r="CJ215" s="194"/>
      <c r="CK215" s="194"/>
      <c r="CL215" s="194"/>
      <c r="CM215" s="197"/>
      <c r="CN215" s="193"/>
      <c r="CO215" s="193"/>
      <c r="CP215" s="193"/>
      <c r="CQ215" s="193"/>
      <c r="CR215" s="193"/>
      <c r="CS215" s="193"/>
      <c r="CT215" s="193"/>
      <c r="CU215" s="193"/>
      <c r="DE215" s="187">
        <f>DE118</f>
        <v>39747</v>
      </c>
      <c r="DF215" s="182">
        <f t="shared" ref="DF215:EJ215" si="340">AVERAGE(DF118:DF127)</f>
        <v>7.0112179487179489</v>
      </c>
      <c r="DG215" s="182">
        <f t="shared" ref="DG215:DH215" si="341">AVERAGE(DG118:DG127)</f>
        <v>112.76992284535388</v>
      </c>
      <c r="DH215" s="182">
        <f t="shared" si="341"/>
        <v>287.97588307286577</v>
      </c>
      <c r="DI215" s="182">
        <f t="shared" si="340"/>
        <v>107.45197055712723</v>
      </c>
      <c r="DJ215" s="182">
        <f t="shared" si="340"/>
        <v>162.6788078960335</v>
      </c>
      <c r="DK215" s="182">
        <f t="shared" si="340"/>
        <v>44.744318181818187</v>
      </c>
      <c r="DL215" s="182">
        <f t="shared" si="340"/>
        <v>3.125</v>
      </c>
      <c r="DM215" s="182">
        <f t="shared" si="340"/>
        <v>3.8825757575757569</v>
      </c>
      <c r="DN215" s="182">
        <f t="shared" si="340"/>
        <v>0</v>
      </c>
      <c r="DO215" s="182">
        <f t="shared" si="340"/>
        <v>0</v>
      </c>
      <c r="DP215" s="182">
        <f t="shared" si="340"/>
        <v>0</v>
      </c>
      <c r="DQ215" s="182">
        <f t="shared" si="340"/>
        <v>0</v>
      </c>
      <c r="DR215" s="182">
        <f t="shared" si="340"/>
        <v>0</v>
      </c>
      <c r="DS215" s="182">
        <f t="shared" si="340"/>
        <v>0</v>
      </c>
      <c r="DT215" s="182">
        <f t="shared" si="340"/>
        <v>0</v>
      </c>
      <c r="DU215" s="182">
        <f t="shared" si="340"/>
        <v>0</v>
      </c>
      <c r="DV215" s="182">
        <f t="shared" si="340"/>
        <v>0</v>
      </c>
      <c r="DW215" s="182">
        <f t="shared" si="340"/>
        <v>0</v>
      </c>
      <c r="DX215" s="182">
        <f t="shared" si="340"/>
        <v>0</v>
      </c>
      <c r="DY215" s="182">
        <f t="shared" si="340"/>
        <v>0</v>
      </c>
      <c r="DZ215" s="182">
        <f t="shared" si="340"/>
        <v>0</v>
      </c>
      <c r="EA215" s="182">
        <f t="shared" si="340"/>
        <v>0</v>
      </c>
      <c r="EB215" s="182">
        <f t="shared" si="340"/>
        <v>0</v>
      </c>
      <c r="EC215" s="182">
        <f t="shared" si="340"/>
        <v>0</v>
      </c>
      <c r="ED215" s="182">
        <f t="shared" si="340"/>
        <v>0</v>
      </c>
      <c r="EE215" s="182">
        <f t="shared" si="340"/>
        <v>0</v>
      </c>
      <c r="EF215" s="182">
        <f t="shared" si="340"/>
        <v>0</v>
      </c>
      <c r="EG215" s="182">
        <f t="shared" si="340"/>
        <v>0</v>
      </c>
      <c r="EH215" s="182">
        <f t="shared" si="340"/>
        <v>0</v>
      </c>
      <c r="EI215" s="182">
        <f t="shared" si="340"/>
        <v>0</v>
      </c>
      <c r="EJ215" s="182">
        <f t="shared" si="340"/>
        <v>0</v>
      </c>
      <c r="FY215" s="211">
        <v>210</v>
      </c>
      <c r="FZ215">
        <v>21.387178109314647</v>
      </c>
      <c r="GA215">
        <v>46.142968692512298</v>
      </c>
      <c r="GB215">
        <v>49.325910116560649</v>
      </c>
      <c r="GC215">
        <v>30.26361283147066</v>
      </c>
      <c r="GD215">
        <v>18.259252962859474</v>
      </c>
      <c r="GE215">
        <v>49.450558646174301</v>
      </c>
      <c r="GF215">
        <v>103.64242125051396</v>
      </c>
      <c r="GG215">
        <v>77.031318007918586</v>
      </c>
      <c r="GH215">
        <v>31.390718972493961</v>
      </c>
      <c r="GI215">
        <v>53.988760120434108</v>
      </c>
      <c r="GJ215"/>
      <c r="GK215"/>
      <c r="GL215"/>
      <c r="GM215"/>
    </row>
    <row r="216" spans="1:195" s="7" customFormat="1">
      <c r="A216" s="4"/>
      <c r="B216" s="4"/>
      <c r="C216" s="4"/>
      <c r="D216" s="4"/>
      <c r="E216" s="4"/>
      <c r="F216" s="28"/>
      <c r="G216" s="28"/>
      <c r="H216" s="83"/>
      <c r="I216" s="4"/>
      <c r="J216" s="4"/>
      <c r="K216" s="4"/>
      <c r="L216" s="4"/>
      <c r="M216" s="4"/>
      <c r="N216" s="74"/>
      <c r="O216" s="74"/>
      <c r="P216" s="74"/>
      <c r="Q216" s="74"/>
      <c r="R216" s="74"/>
      <c r="S216" s="74"/>
      <c r="T216" s="74"/>
      <c r="U216" s="74"/>
      <c r="V216" s="74"/>
      <c r="W216" s="74"/>
      <c r="X216" s="74"/>
      <c r="Y216" s="74"/>
      <c r="Z216" s="74"/>
      <c r="AA216" s="74"/>
      <c r="AB216" s="74"/>
      <c r="AC216" s="74"/>
      <c r="AD216" s="74"/>
      <c r="AE216" s="74"/>
      <c r="AF216" s="74"/>
      <c r="AG216" s="74"/>
      <c r="AH216" s="74"/>
      <c r="AI216" s="74"/>
      <c r="AJ216" s="74"/>
      <c r="AK216" s="74"/>
      <c r="AL216" s="74">
        <v>3.0028000000000028</v>
      </c>
      <c r="AM216" s="43">
        <v>200</v>
      </c>
      <c r="AN216">
        <v>348.75846990106214</v>
      </c>
      <c r="AO216">
        <v>107.86697419826869</v>
      </c>
      <c r="AP216">
        <v>824.11658124111398</v>
      </c>
      <c r="AQ216">
        <v>588.00063645270893</v>
      </c>
      <c r="AR216">
        <v>96.068909133345159</v>
      </c>
      <c r="AS216">
        <v>820.07423973686684</v>
      </c>
      <c r="AT216">
        <v>50.633788957394536</v>
      </c>
      <c r="AU216">
        <v>126.66271429951347</v>
      </c>
      <c r="AV216"/>
      <c r="AW216"/>
      <c r="BA216" s="195"/>
      <c r="BB216" s="193"/>
      <c r="BC216" s="193"/>
      <c r="BD216" s="193"/>
      <c r="BE216" s="193"/>
      <c r="BF216" s="193"/>
      <c r="BG216" s="193"/>
      <c r="BH216" s="193"/>
      <c r="BI216" s="193"/>
      <c r="BJ216" s="193"/>
      <c r="BK216" s="193"/>
      <c r="BL216" s="193"/>
      <c r="BM216" s="193"/>
      <c r="BN216" s="193"/>
      <c r="BO216" s="193"/>
      <c r="BP216" s="193"/>
      <c r="BQ216" s="193"/>
      <c r="BR216" s="193"/>
      <c r="BS216" s="193"/>
      <c r="BT216" s="193"/>
      <c r="BU216" s="193"/>
      <c r="BV216" s="193"/>
      <c r="BW216" s="193"/>
      <c r="BX216" s="193"/>
      <c r="BY216" s="193"/>
      <c r="BZ216" s="193"/>
      <c r="CA216" s="193"/>
      <c r="CB216" s="193"/>
      <c r="CC216" s="193"/>
      <c r="CD216" s="193"/>
      <c r="CE216" s="193"/>
      <c r="CF216" s="193"/>
      <c r="CG216" s="194"/>
      <c r="CH216" s="194"/>
      <c r="CI216" s="194"/>
      <c r="CJ216" s="194"/>
      <c r="CK216" s="194"/>
      <c r="CL216" s="194"/>
      <c r="CM216" s="197"/>
      <c r="CN216" s="193"/>
      <c r="CO216" s="193"/>
      <c r="CP216" s="193"/>
      <c r="CQ216" s="193"/>
      <c r="CR216" s="193"/>
      <c r="CS216" s="193"/>
      <c r="CT216" s="193"/>
      <c r="CU216" s="193"/>
      <c r="DE216" s="187">
        <f>DE128</f>
        <v>39775</v>
      </c>
      <c r="DF216" s="182">
        <f t="shared" ref="DF216:EJ216" si="342">AVERAGE(DF128:DF137)</f>
        <v>0</v>
      </c>
      <c r="DG216" s="182">
        <f t="shared" ref="DG216:DH216" si="343">AVERAGE(DG128:DG137)</f>
        <v>33.333333333333329</v>
      </c>
      <c r="DH216" s="182">
        <f t="shared" si="343"/>
        <v>175.0608766233766</v>
      </c>
      <c r="DI216" s="182">
        <f t="shared" si="342"/>
        <v>25.378787878787879</v>
      </c>
      <c r="DJ216" s="182">
        <f t="shared" si="342"/>
        <v>80.133061383061388</v>
      </c>
      <c r="DK216" s="182">
        <f t="shared" si="342"/>
        <v>18.939393939393938</v>
      </c>
      <c r="DL216" s="182">
        <f t="shared" si="342"/>
        <v>0</v>
      </c>
      <c r="DM216" s="182">
        <f t="shared" si="342"/>
        <v>0</v>
      </c>
      <c r="DN216" s="182">
        <f t="shared" si="342"/>
        <v>0</v>
      </c>
      <c r="DO216" s="182">
        <f t="shared" si="342"/>
        <v>0</v>
      </c>
      <c r="DP216" s="182">
        <f t="shared" si="342"/>
        <v>0</v>
      </c>
      <c r="DQ216" s="182">
        <f t="shared" si="342"/>
        <v>0</v>
      </c>
      <c r="DR216" s="182">
        <f t="shared" si="342"/>
        <v>0</v>
      </c>
      <c r="DS216" s="182">
        <f t="shared" si="342"/>
        <v>0</v>
      </c>
      <c r="DT216" s="182">
        <f t="shared" si="342"/>
        <v>0</v>
      </c>
      <c r="DU216" s="182">
        <f t="shared" si="342"/>
        <v>0</v>
      </c>
      <c r="DV216" s="182">
        <f t="shared" si="342"/>
        <v>0</v>
      </c>
      <c r="DW216" s="182">
        <f t="shared" si="342"/>
        <v>0</v>
      </c>
      <c r="DX216" s="182">
        <f t="shared" si="342"/>
        <v>0</v>
      </c>
      <c r="DY216" s="182">
        <f t="shared" si="342"/>
        <v>0</v>
      </c>
      <c r="DZ216" s="182">
        <f t="shared" si="342"/>
        <v>0</v>
      </c>
      <c r="EA216" s="182">
        <f t="shared" si="342"/>
        <v>0</v>
      </c>
      <c r="EB216" s="182">
        <f t="shared" si="342"/>
        <v>0</v>
      </c>
      <c r="EC216" s="182">
        <f t="shared" si="342"/>
        <v>0</v>
      </c>
      <c r="ED216" s="182">
        <f t="shared" si="342"/>
        <v>0</v>
      </c>
      <c r="EE216" s="182">
        <f t="shared" si="342"/>
        <v>0</v>
      </c>
      <c r="EF216" s="182">
        <f t="shared" si="342"/>
        <v>0</v>
      </c>
      <c r="EG216" s="182">
        <f t="shared" si="342"/>
        <v>0</v>
      </c>
      <c r="EH216" s="182">
        <f t="shared" si="342"/>
        <v>0</v>
      </c>
      <c r="EI216" s="182">
        <f t="shared" si="342"/>
        <v>0</v>
      </c>
      <c r="EJ216" s="182">
        <f t="shared" si="342"/>
        <v>0</v>
      </c>
      <c r="FY216" s="211">
        <v>211</v>
      </c>
      <c r="FZ216">
        <v>9.1662601201256226</v>
      </c>
      <c r="GA216">
        <v>33.26332698725269</v>
      </c>
      <c r="GB216">
        <v>61.465862802857814</v>
      </c>
      <c r="GC216">
        <v>33.860907906697719</v>
      </c>
      <c r="GD216">
        <v>18.167292632746101</v>
      </c>
      <c r="GE216">
        <v>42.573389666040363</v>
      </c>
      <c r="GF216">
        <v>79.038669924595339</v>
      </c>
      <c r="GG216">
        <v>64.529585068045137</v>
      </c>
      <c r="GH216">
        <v>23.928276855002139</v>
      </c>
      <c r="GI216">
        <v>48.82364870065409</v>
      </c>
      <c r="GJ216"/>
      <c r="GK216"/>
      <c r="GL216"/>
      <c r="GM216"/>
    </row>
    <row r="217" spans="1:195" s="7" customFormat="1">
      <c r="A217" s="4"/>
      <c r="B217" s="4"/>
      <c r="C217" s="84"/>
      <c r="D217" s="85"/>
      <c r="E217" s="85"/>
      <c r="F217" s="74"/>
      <c r="G217" s="74"/>
      <c r="H217" s="74"/>
      <c r="I217" s="74"/>
      <c r="J217" s="74"/>
      <c r="K217" s="74"/>
      <c r="L217" s="74"/>
      <c r="M217" s="74"/>
      <c r="N217" s="74"/>
      <c r="O217" s="74"/>
      <c r="P217" s="74"/>
      <c r="Q217" s="74"/>
      <c r="R217" s="74"/>
      <c r="S217" s="74"/>
      <c r="T217" s="74"/>
      <c r="U217" s="74"/>
      <c r="V217" s="74"/>
      <c r="W217" s="74"/>
      <c r="X217" s="74"/>
      <c r="Y217" s="74"/>
      <c r="Z217" s="74"/>
      <c r="AA217" s="74"/>
      <c r="AB217" s="74"/>
      <c r="AC217" s="74"/>
      <c r="AD217" s="74"/>
      <c r="AE217" s="74"/>
      <c r="AF217" s="74"/>
      <c r="AG217" s="74"/>
      <c r="AH217" s="74"/>
      <c r="AI217" s="74"/>
      <c r="AJ217" s="74"/>
      <c r="AK217" s="74"/>
      <c r="AL217" s="74">
        <v>3.0028000000000028</v>
      </c>
      <c r="AM217" s="43">
        <v>201</v>
      </c>
      <c r="AN217">
        <v>287.65363183854572</v>
      </c>
      <c r="AO217">
        <v>108.35022101156628</v>
      </c>
      <c r="AP217">
        <v>799.70156592953163</v>
      </c>
      <c r="AQ217">
        <v>572.67092554113958</v>
      </c>
      <c r="AR217">
        <v>98.984106612550036</v>
      </c>
      <c r="AS217">
        <v>769.15424337311663</v>
      </c>
      <c r="AT217">
        <v>51.642449890510363</v>
      </c>
      <c r="AU217">
        <v>44.321156648350183</v>
      </c>
      <c r="AV217"/>
      <c r="AW217"/>
      <c r="BA217" s="195"/>
      <c r="BB217" s="193"/>
      <c r="BC217" s="193"/>
      <c r="BD217" s="193"/>
      <c r="BE217" s="193"/>
      <c r="BF217" s="193"/>
      <c r="BG217" s="193"/>
      <c r="BH217" s="193"/>
      <c r="BI217" s="193"/>
      <c r="BJ217" s="193"/>
      <c r="BK217" s="193"/>
      <c r="BL217" s="193"/>
      <c r="BM217" s="193"/>
      <c r="BN217" s="193"/>
      <c r="BO217" s="193"/>
      <c r="BP217" s="193"/>
      <c r="BQ217" s="193"/>
      <c r="BR217" s="193"/>
      <c r="BS217" s="193"/>
      <c r="BT217" s="193"/>
      <c r="BU217" s="193"/>
      <c r="BV217" s="193"/>
      <c r="BW217" s="193"/>
      <c r="BX217" s="193"/>
      <c r="BY217" s="193"/>
      <c r="BZ217" s="193"/>
      <c r="CA217" s="193"/>
      <c r="CB217" s="193"/>
      <c r="CC217" s="193"/>
      <c r="CD217" s="193"/>
      <c r="CE217" s="193"/>
      <c r="CF217" s="193"/>
      <c r="CG217" s="194"/>
      <c r="CH217" s="194"/>
      <c r="CI217" s="194"/>
      <c r="CJ217" s="194"/>
      <c r="CK217" s="194"/>
      <c r="CL217" s="194"/>
      <c r="CM217" s="197"/>
      <c r="CN217" s="193"/>
      <c r="CO217" s="193"/>
      <c r="CP217" s="193"/>
      <c r="CQ217" s="193"/>
      <c r="CR217" s="193"/>
      <c r="CS217" s="193"/>
      <c r="CT217" s="193"/>
      <c r="CU217" s="193"/>
      <c r="DE217" s="187">
        <f>DE138</f>
        <v>39799</v>
      </c>
      <c r="DF217" s="182">
        <f t="shared" ref="DF217:EJ217" si="344">AVERAGE(DF138:DF147)</f>
        <v>0</v>
      </c>
      <c r="DG217" s="182">
        <f t="shared" ref="DG217:DH217" si="345">AVERAGE(DG138:DG147)</f>
        <v>16.535027472527474</v>
      </c>
      <c r="DH217" s="182">
        <f t="shared" si="345"/>
        <v>152.24931318681317</v>
      </c>
      <c r="DI217" s="182">
        <f t="shared" si="344"/>
        <v>10.563568376068377</v>
      </c>
      <c r="DJ217" s="182">
        <f t="shared" si="344"/>
        <v>58.17694830818975</v>
      </c>
      <c r="DK217" s="182">
        <f t="shared" si="344"/>
        <v>28.030303030303031</v>
      </c>
      <c r="DL217" s="182">
        <f t="shared" si="344"/>
        <v>11.363636363636363</v>
      </c>
      <c r="DM217" s="182">
        <f t="shared" si="344"/>
        <v>0</v>
      </c>
      <c r="DN217" s="182">
        <f t="shared" si="344"/>
        <v>0</v>
      </c>
      <c r="DO217" s="182">
        <f t="shared" si="344"/>
        <v>0</v>
      </c>
      <c r="DP217" s="182">
        <f t="shared" si="344"/>
        <v>0</v>
      </c>
      <c r="DQ217" s="182">
        <f t="shared" si="344"/>
        <v>0</v>
      </c>
      <c r="DR217" s="182">
        <f t="shared" si="344"/>
        <v>0</v>
      </c>
      <c r="DS217" s="182">
        <f t="shared" si="344"/>
        <v>0</v>
      </c>
      <c r="DT217" s="182">
        <f t="shared" si="344"/>
        <v>0</v>
      </c>
      <c r="DU217" s="182">
        <f t="shared" si="344"/>
        <v>0</v>
      </c>
      <c r="DV217" s="182">
        <f t="shared" si="344"/>
        <v>0</v>
      </c>
      <c r="DW217" s="182">
        <f t="shared" si="344"/>
        <v>0</v>
      </c>
      <c r="DX217" s="182">
        <f t="shared" si="344"/>
        <v>0</v>
      </c>
      <c r="DY217" s="182">
        <f t="shared" si="344"/>
        <v>0</v>
      </c>
      <c r="DZ217" s="182">
        <f t="shared" si="344"/>
        <v>0</v>
      </c>
      <c r="EA217" s="182">
        <f t="shared" si="344"/>
        <v>0</v>
      </c>
      <c r="EB217" s="182">
        <f t="shared" si="344"/>
        <v>0</v>
      </c>
      <c r="EC217" s="182">
        <f t="shared" si="344"/>
        <v>0</v>
      </c>
      <c r="ED217" s="182">
        <f t="shared" si="344"/>
        <v>0</v>
      </c>
      <c r="EE217" s="182">
        <f t="shared" si="344"/>
        <v>0</v>
      </c>
      <c r="EF217" s="182">
        <f t="shared" si="344"/>
        <v>0</v>
      </c>
      <c r="EG217" s="182">
        <f t="shared" si="344"/>
        <v>0</v>
      </c>
      <c r="EH217" s="182">
        <f t="shared" si="344"/>
        <v>0</v>
      </c>
      <c r="EI217" s="182">
        <f t="shared" si="344"/>
        <v>0</v>
      </c>
      <c r="EJ217" s="182">
        <f t="shared" si="344"/>
        <v>0</v>
      </c>
      <c r="FY217" s="211">
        <v>212</v>
      </c>
      <c r="FZ217">
        <v>9.0976610996150651</v>
      </c>
      <c r="GA217">
        <v>35.064011707115647</v>
      </c>
      <c r="GB217">
        <v>69.905997165479192</v>
      </c>
      <c r="GC217">
        <v>44.299701768458547</v>
      </c>
      <c r="GD217">
        <v>21.191259388360915</v>
      </c>
      <c r="GE217">
        <v>33.616988888054074</v>
      </c>
      <c r="GF217">
        <v>33.385003405511995</v>
      </c>
      <c r="GG217">
        <v>16.547930921454039</v>
      </c>
      <c r="GH217">
        <v>5.0663806586457483</v>
      </c>
      <c r="GI217">
        <v>39.658254784507911</v>
      </c>
      <c r="GJ217"/>
      <c r="GK217"/>
      <c r="GL217"/>
      <c r="GM217"/>
    </row>
    <row r="218" spans="1:195" s="7" customFormat="1">
      <c r="A218" s="4"/>
      <c r="B218" s="4"/>
      <c r="C218" s="84"/>
      <c r="D218" s="85"/>
      <c r="E218" s="85"/>
      <c r="F218" s="74"/>
      <c r="G218" s="74"/>
      <c r="H218" s="74"/>
      <c r="I218" s="74"/>
      <c r="J218" s="74"/>
      <c r="K218" s="74"/>
      <c r="L218" s="74"/>
      <c r="M218" s="74"/>
      <c r="N218" s="74"/>
      <c r="O218" s="74"/>
      <c r="P218" s="74"/>
      <c r="Q218" s="74"/>
      <c r="R218" s="74"/>
      <c r="S218" s="74"/>
      <c r="T218" s="74"/>
      <c r="U218" s="74"/>
      <c r="V218" s="74"/>
      <c r="W218" s="74"/>
      <c r="X218" s="74"/>
      <c r="Y218" s="74"/>
      <c r="Z218" s="74"/>
      <c r="AA218" s="74"/>
      <c r="AB218" s="74"/>
      <c r="AC218" s="74"/>
      <c r="AD218" s="74"/>
      <c r="AE218" s="74"/>
      <c r="AF218" s="74"/>
      <c r="AG218" s="74"/>
      <c r="AH218" s="74"/>
      <c r="AI218" s="74"/>
      <c r="AJ218" s="74"/>
      <c r="AK218" s="74"/>
      <c r="AL218" s="74">
        <v>3.0028000000000028</v>
      </c>
      <c r="AM218" s="43">
        <v>202</v>
      </c>
      <c r="AN218">
        <v>292.79667011793748</v>
      </c>
      <c r="AO218">
        <v>103.82095143775746</v>
      </c>
      <c r="AP218">
        <v>702.45123824675738</v>
      </c>
      <c r="AQ218">
        <v>544.78458341218811</v>
      </c>
      <c r="AR218">
        <v>91.390196298398109</v>
      </c>
      <c r="AS218">
        <v>741.47274473003051</v>
      </c>
      <c r="AT218">
        <v>48.361100994201315</v>
      </c>
      <c r="AU218">
        <v>114.4397270832755</v>
      </c>
      <c r="AV218"/>
      <c r="AW218"/>
      <c r="BA218" s="195"/>
      <c r="BB218" s="193"/>
      <c r="BC218" s="193"/>
      <c r="BD218" s="193"/>
      <c r="BE218" s="193"/>
      <c r="BF218" s="193"/>
      <c r="BG218" s="193"/>
      <c r="BH218" s="193"/>
      <c r="BI218" s="193"/>
      <c r="BJ218" s="193"/>
      <c r="BK218" s="193"/>
      <c r="BL218" s="193"/>
      <c r="BM218" s="193"/>
      <c r="BN218" s="193"/>
      <c r="BO218" s="193"/>
      <c r="BP218" s="193"/>
      <c r="BQ218" s="193"/>
      <c r="BR218" s="193"/>
      <c r="BS218" s="193"/>
      <c r="BT218" s="193"/>
      <c r="BU218" s="193"/>
      <c r="BV218" s="193"/>
      <c r="BW218" s="193"/>
      <c r="BX218" s="193"/>
      <c r="BY218" s="193"/>
      <c r="BZ218" s="193"/>
      <c r="CA218" s="193"/>
      <c r="CB218" s="193"/>
      <c r="CC218" s="193"/>
      <c r="CD218" s="193"/>
      <c r="CE218" s="193"/>
      <c r="CF218" s="193"/>
      <c r="CG218" s="194"/>
      <c r="CH218" s="194"/>
      <c r="CI218" s="194"/>
      <c r="CJ218" s="194"/>
      <c r="CK218" s="194"/>
      <c r="CL218" s="194"/>
      <c r="CM218" s="197"/>
      <c r="CN218" s="193"/>
      <c r="CO218" s="193"/>
      <c r="CP218" s="193"/>
      <c r="CQ218" s="193"/>
      <c r="CR218" s="193"/>
      <c r="CS218" s="193"/>
      <c r="CT218" s="193"/>
      <c r="CU218" s="193"/>
      <c r="DE218" s="187">
        <f>DE149</f>
        <v>39847</v>
      </c>
      <c r="DF218" s="182">
        <f t="shared" ref="DF218:EJ218" si="346">AVERAGE(DF148:DF157)</f>
        <v>0</v>
      </c>
      <c r="DG218" s="182">
        <f t="shared" ref="DG218:DH218" si="347">AVERAGE(DG148:DG157)</f>
        <v>0</v>
      </c>
      <c r="DH218" s="182">
        <f t="shared" si="347"/>
        <v>115.31575520833333</v>
      </c>
      <c r="DI218" s="182">
        <f t="shared" si="346"/>
        <v>22.922092013888889</v>
      </c>
      <c r="DJ218" s="182">
        <f t="shared" si="346"/>
        <v>29.947916666666668</v>
      </c>
      <c r="DK218" s="182">
        <f t="shared" si="346"/>
        <v>45.138888888888893</v>
      </c>
      <c r="DL218" s="182">
        <f t="shared" si="346"/>
        <v>16.493055555555557</v>
      </c>
      <c r="DM218" s="182">
        <f t="shared" si="346"/>
        <v>0</v>
      </c>
      <c r="DN218" s="182">
        <f t="shared" si="346"/>
        <v>0</v>
      </c>
      <c r="DO218" s="182">
        <f t="shared" si="346"/>
        <v>0</v>
      </c>
      <c r="DP218" s="182">
        <f t="shared" si="346"/>
        <v>1.3020833333333333</v>
      </c>
      <c r="DQ218" s="182">
        <f t="shared" si="346"/>
        <v>0</v>
      </c>
      <c r="DR218" s="182">
        <f t="shared" si="346"/>
        <v>0</v>
      </c>
      <c r="DS218" s="182">
        <f t="shared" si="346"/>
        <v>0</v>
      </c>
      <c r="DT218" s="182">
        <f t="shared" si="346"/>
        <v>0</v>
      </c>
      <c r="DU218" s="182">
        <f t="shared" si="346"/>
        <v>0</v>
      </c>
      <c r="DV218" s="182">
        <f t="shared" si="346"/>
        <v>0</v>
      </c>
      <c r="DW218" s="182">
        <f t="shared" si="346"/>
        <v>0</v>
      </c>
      <c r="DX218" s="182">
        <f t="shared" si="346"/>
        <v>0</v>
      </c>
      <c r="DY218" s="182">
        <f t="shared" si="346"/>
        <v>0</v>
      </c>
      <c r="DZ218" s="182">
        <f t="shared" si="346"/>
        <v>0</v>
      </c>
      <c r="EA218" s="182">
        <f t="shared" si="346"/>
        <v>0</v>
      </c>
      <c r="EB218" s="182">
        <f t="shared" si="346"/>
        <v>0</v>
      </c>
      <c r="EC218" s="182">
        <f t="shared" si="346"/>
        <v>0</v>
      </c>
      <c r="ED218" s="182">
        <f t="shared" si="346"/>
        <v>0</v>
      </c>
      <c r="EE218" s="182">
        <f t="shared" si="346"/>
        <v>0</v>
      </c>
      <c r="EF218" s="182">
        <f t="shared" si="346"/>
        <v>0</v>
      </c>
      <c r="EG218" s="182">
        <f t="shared" si="346"/>
        <v>0</v>
      </c>
      <c r="EH218" s="182">
        <f t="shared" si="346"/>
        <v>0</v>
      </c>
      <c r="EI218" s="182">
        <f t="shared" si="346"/>
        <v>0</v>
      </c>
      <c r="EJ218" s="182">
        <f t="shared" si="346"/>
        <v>0</v>
      </c>
      <c r="FY218" s="211">
        <v>213</v>
      </c>
      <c r="FZ218">
        <v>22.62702520432169</v>
      </c>
      <c r="GA218">
        <v>43.216524052211966</v>
      </c>
      <c r="GB218">
        <v>82.723754303246352</v>
      </c>
      <c r="GC218">
        <v>49.500475790722057</v>
      </c>
      <c r="GD218">
        <v>18.786057714897449</v>
      </c>
      <c r="GE218">
        <v>59.268285471551756</v>
      </c>
      <c r="GF218">
        <v>101.64515779385523</v>
      </c>
      <c r="GG218">
        <v>43.930343603312807</v>
      </c>
      <c r="GH218">
        <v>7.6842117184087879</v>
      </c>
      <c r="GI218">
        <v>57.384098834128231</v>
      </c>
      <c r="GJ218"/>
      <c r="GK218"/>
      <c r="GL218"/>
      <c r="GM218"/>
    </row>
    <row r="219" spans="1:195" s="7" customFormat="1">
      <c r="A219" s="4"/>
      <c r="B219" s="4"/>
      <c r="C219" s="84"/>
      <c r="D219" s="85"/>
      <c r="E219" s="85"/>
      <c r="F219" s="74"/>
      <c r="G219" s="74"/>
      <c r="H219" s="74"/>
      <c r="I219" s="74"/>
      <c r="J219" s="74"/>
      <c r="K219" s="74"/>
      <c r="L219" s="74"/>
      <c r="M219" s="74"/>
      <c r="N219" s="74"/>
      <c r="O219" s="74"/>
      <c r="P219" s="74"/>
      <c r="Q219" s="74"/>
      <c r="R219" s="74"/>
      <c r="S219" s="74"/>
      <c r="T219" s="74"/>
      <c r="U219" s="74"/>
      <c r="V219" s="74"/>
      <c r="W219" s="74"/>
      <c r="X219" s="74"/>
      <c r="Y219" s="74"/>
      <c r="Z219" s="74"/>
      <c r="AA219" s="74"/>
      <c r="AB219" s="74"/>
      <c r="AC219" s="74"/>
      <c r="AD219" s="74"/>
      <c r="AE219" s="74"/>
      <c r="AF219" s="74"/>
      <c r="AG219" s="74"/>
      <c r="AH219" s="74"/>
      <c r="AI219" s="74"/>
      <c r="AJ219" s="74"/>
      <c r="AK219" s="74"/>
      <c r="AL219" s="74">
        <v>3.0028000000000028</v>
      </c>
      <c r="AM219" s="43">
        <v>203</v>
      </c>
      <c r="AN219">
        <v>239.9034035823513</v>
      </c>
      <c r="AO219">
        <v>75.18771834759977</v>
      </c>
      <c r="AP219">
        <v>556.55702138522452</v>
      </c>
      <c r="AQ219">
        <v>395.63707772689247</v>
      </c>
      <c r="AR219">
        <v>65.336124185855738</v>
      </c>
      <c r="AS219">
        <v>540.81252023111165</v>
      </c>
      <c r="AT219" t="e">
        <v>#DIV/0!</v>
      </c>
      <c r="AU219" t="e">
        <v>#DIV/0!</v>
      </c>
      <c r="AV219"/>
      <c r="AW219"/>
      <c r="BA219" s="195"/>
      <c r="BB219" s="193"/>
      <c r="BC219" s="193"/>
      <c r="BD219" s="193"/>
      <c r="BE219" s="193"/>
      <c r="BF219" s="193"/>
      <c r="BG219" s="193"/>
      <c r="BH219" s="193"/>
      <c r="BI219" s="193"/>
      <c r="BJ219" s="193"/>
      <c r="BK219" s="193"/>
      <c r="BL219" s="193"/>
      <c r="BM219" s="193"/>
      <c r="BN219" s="193"/>
      <c r="BO219" s="193"/>
      <c r="BP219" s="193"/>
      <c r="BQ219" s="193"/>
      <c r="BR219" s="193"/>
      <c r="BS219" s="193"/>
      <c r="BT219" s="193"/>
      <c r="BU219" s="193"/>
      <c r="BV219" s="193"/>
      <c r="BW219" s="193"/>
      <c r="BX219" s="193"/>
      <c r="BY219" s="193"/>
      <c r="BZ219" s="193"/>
      <c r="CA219" s="193"/>
      <c r="CB219" s="193"/>
      <c r="CC219" s="193"/>
      <c r="CD219" s="193"/>
      <c r="CE219" s="193"/>
      <c r="CF219" s="193"/>
      <c r="CG219" s="194"/>
      <c r="CH219" s="194"/>
      <c r="CI219" s="194"/>
      <c r="CJ219" s="194"/>
      <c r="CK219" s="194"/>
      <c r="CL219" s="194"/>
      <c r="CM219" s="197"/>
      <c r="CN219" s="193"/>
      <c r="CO219" s="193"/>
      <c r="CP219" s="193"/>
      <c r="CQ219" s="193"/>
      <c r="CR219" s="193"/>
      <c r="CS219" s="193"/>
      <c r="CT219" s="193"/>
      <c r="CU219" s="193"/>
      <c r="DE219" s="187">
        <f>DE158</f>
        <v>39910</v>
      </c>
      <c r="DF219" s="182">
        <f t="shared" ref="DF219:EJ219" si="348">AVERAGE(DF158:DF167)</f>
        <v>0</v>
      </c>
      <c r="DG219" s="182">
        <f t="shared" si="348"/>
        <v>11.594202898550723</v>
      </c>
      <c r="DH219" s="182">
        <f t="shared" si="348"/>
        <v>42.418981481481481</v>
      </c>
      <c r="DI219" s="182">
        <f t="shared" ref="DI219" si="349">AVERAGE(DI158:DI167)</f>
        <v>43.807870370370367</v>
      </c>
      <c r="DJ219" s="182">
        <f t="shared" si="348"/>
        <v>42.013888888888893</v>
      </c>
      <c r="DK219" s="182">
        <f t="shared" si="348"/>
        <v>29.924242424242426</v>
      </c>
      <c r="DL219" s="182">
        <f t="shared" si="348"/>
        <v>20.729166666666664</v>
      </c>
      <c r="DM219" s="182">
        <f t="shared" si="348"/>
        <v>0</v>
      </c>
      <c r="DN219" s="182">
        <f t="shared" si="348"/>
        <v>2.083333333333333</v>
      </c>
      <c r="DO219" s="182">
        <f t="shared" si="348"/>
        <v>0</v>
      </c>
      <c r="DP219" s="182">
        <f t="shared" si="348"/>
        <v>0</v>
      </c>
      <c r="DQ219" s="182">
        <f t="shared" si="348"/>
        <v>1.0416666666666665</v>
      </c>
      <c r="DR219" s="182">
        <f t="shared" si="348"/>
        <v>0</v>
      </c>
      <c r="DS219" s="182">
        <f t="shared" si="348"/>
        <v>0</v>
      </c>
      <c r="DT219" s="182">
        <f t="shared" si="348"/>
        <v>0</v>
      </c>
      <c r="DU219" s="182">
        <f t="shared" si="348"/>
        <v>0</v>
      </c>
      <c r="DV219" s="182">
        <f t="shared" si="348"/>
        <v>0</v>
      </c>
      <c r="DW219" s="182">
        <f t="shared" si="348"/>
        <v>0</v>
      </c>
      <c r="DX219" s="182">
        <f t="shared" si="348"/>
        <v>0</v>
      </c>
      <c r="DY219" s="182">
        <f t="shared" si="348"/>
        <v>0</v>
      </c>
      <c r="DZ219" s="182">
        <f t="shared" si="348"/>
        <v>0</v>
      </c>
      <c r="EA219" s="182">
        <f t="shared" si="348"/>
        <v>0</v>
      </c>
      <c r="EB219" s="182">
        <f t="shared" si="348"/>
        <v>0</v>
      </c>
      <c r="EC219" s="182">
        <f t="shared" si="348"/>
        <v>0</v>
      </c>
      <c r="ED219" s="182">
        <f t="shared" si="348"/>
        <v>0</v>
      </c>
      <c r="EE219" s="182">
        <f t="shared" si="348"/>
        <v>0</v>
      </c>
      <c r="EF219" s="182">
        <f t="shared" si="348"/>
        <v>0</v>
      </c>
      <c r="EG219" s="182">
        <f t="shared" si="348"/>
        <v>0</v>
      </c>
      <c r="EH219" s="182">
        <f t="shared" si="348"/>
        <v>0</v>
      </c>
      <c r="EI219" s="182">
        <f t="shared" si="348"/>
        <v>0</v>
      </c>
      <c r="EJ219" s="182">
        <f t="shared" si="348"/>
        <v>0</v>
      </c>
      <c r="FY219" s="211">
        <v>214</v>
      </c>
      <c r="FZ219">
        <v>14.518209968036068</v>
      </c>
      <c r="GA219">
        <v>64.892081691277042</v>
      </c>
      <c r="GB219">
        <v>65.473493747878848</v>
      </c>
      <c r="GC219">
        <v>34.26102562968201</v>
      </c>
      <c r="GD219">
        <v>20.734648077027607</v>
      </c>
      <c r="GE219">
        <v>37.831834734065282</v>
      </c>
      <c r="GF219">
        <v>42.21146923505335</v>
      </c>
      <c r="GG219">
        <v>21.232119548494474</v>
      </c>
      <c r="GH219">
        <v>6.048605766081022</v>
      </c>
      <c r="GI219">
        <v>40.576988488296429</v>
      </c>
      <c r="GJ219"/>
      <c r="GK219"/>
      <c r="GL219"/>
      <c r="GM219"/>
    </row>
    <row r="220" spans="1:195" s="7" customFormat="1">
      <c r="A220" s="4"/>
      <c r="B220" s="4"/>
      <c r="C220" s="84"/>
      <c r="D220" s="85"/>
      <c r="E220" s="85"/>
      <c r="F220" s="74"/>
      <c r="G220" s="74"/>
      <c r="H220" s="74"/>
      <c r="I220" s="74"/>
      <c r="J220" s="74"/>
      <c r="K220" s="74"/>
      <c r="L220" s="74"/>
      <c r="M220" s="86"/>
      <c r="N220" s="74"/>
      <c r="O220" s="74"/>
      <c r="P220" s="74"/>
      <c r="Q220" s="74"/>
      <c r="R220" s="87"/>
      <c r="S220" s="87"/>
      <c r="T220" s="87"/>
      <c r="U220" s="87"/>
      <c r="V220" s="87"/>
      <c r="W220" s="87"/>
      <c r="X220" s="87"/>
      <c r="Y220" s="87"/>
      <c r="Z220" s="87"/>
      <c r="AA220" s="87"/>
      <c r="AB220" s="87"/>
      <c r="AC220" s="87"/>
      <c r="AD220" s="87"/>
      <c r="AE220" s="87"/>
      <c r="AF220" s="87"/>
      <c r="AG220" s="87"/>
      <c r="AH220" s="87"/>
      <c r="AI220" s="87"/>
      <c r="AJ220" s="87"/>
      <c r="AK220" s="87"/>
      <c r="AL220" s="87">
        <v>3.0028000000000028</v>
      </c>
      <c r="AM220" s="43">
        <v>204</v>
      </c>
      <c r="AN220">
        <v>284.03222462291899</v>
      </c>
      <c r="AO220">
        <v>96.361978137879234</v>
      </c>
      <c r="AP220">
        <v>673.72198271237187</v>
      </c>
      <c r="AQ220">
        <v>501.41925190843779</v>
      </c>
      <c r="AR220">
        <v>85.934187375944035</v>
      </c>
      <c r="AS220">
        <v>728.66672238719764</v>
      </c>
      <c r="AT220">
        <v>46.038901081040414</v>
      </c>
      <c r="AU220">
        <v>122.01084765269307</v>
      </c>
      <c r="AV220"/>
      <c r="AW220"/>
      <c r="BA220" s="195"/>
      <c r="BB220" s="193"/>
      <c r="BC220" s="193"/>
      <c r="BD220" s="193"/>
      <c r="BE220" s="193"/>
      <c r="BF220" s="193"/>
      <c r="BG220" s="193"/>
      <c r="BH220" s="193"/>
      <c r="BI220" s="193"/>
      <c r="BJ220" s="193"/>
      <c r="BK220" s="193"/>
      <c r="BL220" s="193"/>
      <c r="BM220" s="193"/>
      <c r="BN220" s="193"/>
      <c r="BO220" s="193"/>
      <c r="BP220" s="193"/>
      <c r="BQ220" s="193"/>
      <c r="BR220" s="193"/>
      <c r="BS220" s="193"/>
      <c r="BT220" s="193"/>
      <c r="BU220" s="193"/>
      <c r="BV220" s="193"/>
      <c r="BW220" s="193"/>
      <c r="BX220" s="193"/>
      <c r="BY220" s="193"/>
      <c r="BZ220" s="193"/>
      <c r="CA220" s="193"/>
      <c r="CB220" s="193"/>
      <c r="CC220" s="193"/>
      <c r="CD220" s="193"/>
      <c r="CE220" s="193"/>
      <c r="CF220" s="193"/>
      <c r="CG220" s="194"/>
      <c r="CH220" s="194"/>
      <c r="CI220" s="194"/>
      <c r="CJ220" s="194"/>
      <c r="CK220" s="194"/>
      <c r="CL220" s="194"/>
      <c r="CM220" s="197"/>
      <c r="CN220" s="193"/>
      <c r="CO220" s="193"/>
      <c r="CP220" s="193"/>
      <c r="CQ220" s="193"/>
      <c r="CR220" s="193"/>
      <c r="CS220" s="193"/>
      <c r="CT220" s="193"/>
      <c r="CU220" s="193"/>
      <c r="DE220" s="187">
        <f>DE168</f>
        <v>39949</v>
      </c>
      <c r="DF220" s="182">
        <f t="shared" ref="DF220:EJ220" si="350">AVERAGE(DF168:DF177)</f>
        <v>0</v>
      </c>
      <c r="DG220" s="182">
        <f t="shared" si="350"/>
        <v>5.9865900383141755</v>
      </c>
      <c r="DH220" s="182">
        <f t="shared" si="350"/>
        <v>11.458333333333332</v>
      </c>
      <c r="DI220" s="182">
        <f t="shared" ref="DI220" si="351">AVERAGE(DI168:DI177)</f>
        <v>18.518518518518515</v>
      </c>
      <c r="DJ220" s="182">
        <f t="shared" si="350"/>
        <v>5.208333333333333</v>
      </c>
      <c r="DK220" s="182">
        <f t="shared" si="350"/>
        <v>16.666666666666668</v>
      </c>
      <c r="DL220" s="182">
        <f t="shared" si="350"/>
        <v>14.583333333333332</v>
      </c>
      <c r="DM220" s="182">
        <f t="shared" si="350"/>
        <v>0</v>
      </c>
      <c r="DN220" s="182">
        <f t="shared" si="350"/>
        <v>0</v>
      </c>
      <c r="DO220" s="182">
        <v>8</v>
      </c>
      <c r="DP220" s="182">
        <f t="shared" si="350"/>
        <v>0</v>
      </c>
      <c r="DQ220" s="182">
        <f t="shared" si="350"/>
        <v>0</v>
      </c>
      <c r="DR220" s="182">
        <f t="shared" si="350"/>
        <v>0</v>
      </c>
      <c r="DS220" s="182">
        <f t="shared" si="350"/>
        <v>0</v>
      </c>
      <c r="DT220" s="182">
        <f t="shared" si="350"/>
        <v>0</v>
      </c>
      <c r="DU220" s="182">
        <f t="shared" si="350"/>
        <v>0</v>
      </c>
      <c r="DV220" s="182">
        <f t="shared" si="350"/>
        <v>0</v>
      </c>
      <c r="DW220" s="182">
        <f t="shared" si="350"/>
        <v>0</v>
      </c>
      <c r="DX220" s="182">
        <f t="shared" si="350"/>
        <v>0</v>
      </c>
      <c r="DY220" s="182">
        <f t="shared" si="350"/>
        <v>0</v>
      </c>
      <c r="DZ220" s="182">
        <f t="shared" si="350"/>
        <v>0</v>
      </c>
      <c r="EA220" s="182">
        <f t="shared" si="350"/>
        <v>0</v>
      </c>
      <c r="EB220" s="182">
        <f t="shared" si="350"/>
        <v>0</v>
      </c>
      <c r="EC220" s="182">
        <f t="shared" si="350"/>
        <v>0</v>
      </c>
      <c r="ED220" s="182">
        <f t="shared" si="350"/>
        <v>0</v>
      </c>
      <c r="EE220" s="182">
        <f t="shared" si="350"/>
        <v>0</v>
      </c>
      <c r="EF220" s="182">
        <f t="shared" si="350"/>
        <v>0</v>
      </c>
      <c r="EG220" s="182">
        <f t="shared" si="350"/>
        <v>0</v>
      </c>
      <c r="EH220" s="182">
        <f t="shared" si="350"/>
        <v>0</v>
      </c>
      <c r="EI220" s="182">
        <f t="shared" si="350"/>
        <v>0</v>
      </c>
      <c r="EJ220" s="182">
        <f t="shared" si="350"/>
        <v>0</v>
      </c>
      <c r="FY220" s="211">
        <v>215</v>
      </c>
      <c r="FZ220">
        <v>17.030805900037052</v>
      </c>
      <c r="GA220">
        <v>40.487445444492202</v>
      </c>
      <c r="GB220">
        <v>51.463916213885469</v>
      </c>
      <c r="GC220">
        <v>33.962182130127815</v>
      </c>
      <c r="GD220">
        <v>15.834386049631235</v>
      </c>
      <c r="GE220">
        <v>22.048137106944594</v>
      </c>
      <c r="GF220">
        <v>84.829400157636798</v>
      </c>
      <c r="GG220">
        <v>81.279148669900948</v>
      </c>
      <c r="GH220">
        <v>23.677787494236846</v>
      </c>
      <c r="GI220">
        <v>46.937195805624896</v>
      </c>
      <c r="GJ220"/>
      <c r="GK220"/>
      <c r="GL220"/>
      <c r="GM220"/>
    </row>
    <row r="221" spans="1:195" s="7" customFormat="1">
      <c r="A221" s="4"/>
      <c r="B221" s="87"/>
      <c r="C221" s="87"/>
      <c r="D221" s="87"/>
      <c r="E221" s="88"/>
      <c r="F221" s="88"/>
      <c r="G221" s="87"/>
      <c r="H221" s="87"/>
      <c r="I221" s="87"/>
      <c r="J221" s="87"/>
      <c r="K221" s="87"/>
      <c r="L221" s="87"/>
      <c r="M221" s="87"/>
      <c r="N221" s="87"/>
      <c r="O221" s="87"/>
      <c r="P221" s="87"/>
      <c r="Q221" s="87"/>
      <c r="R221" s="87"/>
      <c r="S221" s="87"/>
      <c r="T221" s="87"/>
      <c r="U221" s="87"/>
      <c r="V221" s="87"/>
      <c r="W221" s="87"/>
      <c r="X221" s="87"/>
      <c r="Y221" s="87"/>
      <c r="Z221" s="87"/>
      <c r="AA221" s="87"/>
      <c r="AB221" s="87"/>
      <c r="AC221" s="87"/>
      <c r="AD221" s="87"/>
      <c r="AE221" s="87"/>
      <c r="AF221" s="87"/>
      <c r="AG221" s="87"/>
      <c r="AH221" s="87"/>
      <c r="AI221" s="87"/>
      <c r="AJ221" s="87"/>
      <c r="AK221" s="87"/>
      <c r="AL221" s="87">
        <v>3.0028000000000028</v>
      </c>
      <c r="AM221" s="43">
        <v>205</v>
      </c>
      <c r="AN221">
        <v>234.64401919046881</v>
      </c>
      <c r="AO221">
        <v>62.64169680180121</v>
      </c>
      <c r="AP221">
        <v>448.88908012715012</v>
      </c>
      <c r="AQ221">
        <v>329.96323943838945</v>
      </c>
      <c r="AR221">
        <v>56.958178069886962</v>
      </c>
      <c r="AS221">
        <v>505.8772780710969</v>
      </c>
      <c r="AT221">
        <v>31.407240611223241</v>
      </c>
      <c r="AU221">
        <v>26.611003744943375</v>
      </c>
      <c r="AV221"/>
      <c r="AW221"/>
      <c r="BA221" s="195"/>
      <c r="BB221" s="193"/>
      <c r="BC221" s="193"/>
      <c r="BD221" s="193"/>
      <c r="BE221" s="193"/>
      <c r="BF221" s="193"/>
      <c r="BG221" s="193"/>
      <c r="BH221" s="193"/>
      <c r="BI221" s="193"/>
      <c r="BJ221" s="193"/>
      <c r="BK221" s="193"/>
      <c r="BL221" s="193"/>
      <c r="BM221" s="193"/>
      <c r="BN221" s="193"/>
      <c r="BO221" s="193"/>
      <c r="BP221" s="193"/>
      <c r="BQ221" s="193"/>
      <c r="BR221" s="193"/>
      <c r="BS221" s="193"/>
      <c r="BT221" s="193"/>
      <c r="BU221" s="193"/>
      <c r="BV221" s="193"/>
      <c r="BW221" s="193"/>
      <c r="BX221" s="193"/>
      <c r="BY221" s="193"/>
      <c r="BZ221" s="193"/>
      <c r="CA221" s="193"/>
      <c r="CB221" s="193"/>
      <c r="CC221" s="193"/>
      <c r="CD221" s="193"/>
      <c r="CE221" s="193"/>
      <c r="CF221" s="193"/>
      <c r="CG221" s="194"/>
      <c r="CH221" s="194"/>
      <c r="CI221" s="194"/>
      <c r="CJ221" s="194"/>
      <c r="CK221" s="194"/>
      <c r="CL221" s="194"/>
      <c r="CM221" s="197"/>
      <c r="CN221" s="193"/>
      <c r="CO221" s="193"/>
      <c r="CP221" s="193"/>
      <c r="CQ221" s="193"/>
      <c r="CR221" s="193"/>
      <c r="CS221" s="193"/>
      <c r="CT221" s="193"/>
      <c r="CU221" s="193"/>
      <c r="DE221" s="187">
        <f>DE178</f>
        <v>39987</v>
      </c>
      <c r="DF221" s="182">
        <f t="shared" ref="DF221:EJ221" si="352">AVERAGE(DF178:DF187)</f>
        <v>0</v>
      </c>
      <c r="DG221" s="182">
        <f t="shared" si="352"/>
        <v>0</v>
      </c>
      <c r="DH221" s="182">
        <f t="shared" si="352"/>
        <v>6.6506410256410264</v>
      </c>
      <c r="DI221" s="182">
        <f t="shared" si="352"/>
        <v>0</v>
      </c>
      <c r="DJ221" s="182">
        <f t="shared" si="352"/>
        <v>1.0416666666666665</v>
      </c>
      <c r="DK221" s="182">
        <f t="shared" si="352"/>
        <v>0</v>
      </c>
      <c r="DL221" s="182">
        <f t="shared" si="352"/>
        <v>0</v>
      </c>
      <c r="DM221" s="182">
        <f t="shared" si="352"/>
        <v>0</v>
      </c>
      <c r="DN221" s="182">
        <f t="shared" si="352"/>
        <v>0</v>
      </c>
      <c r="DO221" s="182">
        <f t="shared" si="352"/>
        <v>0</v>
      </c>
      <c r="DP221" s="182">
        <f t="shared" si="352"/>
        <v>0</v>
      </c>
      <c r="DQ221" s="182">
        <f t="shared" si="352"/>
        <v>0</v>
      </c>
      <c r="DR221" s="182">
        <f t="shared" si="352"/>
        <v>0</v>
      </c>
      <c r="DS221" s="182">
        <f t="shared" si="352"/>
        <v>0</v>
      </c>
      <c r="DT221" s="182">
        <f t="shared" si="352"/>
        <v>0</v>
      </c>
      <c r="DU221" s="182">
        <f t="shared" si="352"/>
        <v>0</v>
      </c>
      <c r="DV221" s="182">
        <f t="shared" si="352"/>
        <v>0</v>
      </c>
      <c r="DW221" s="182">
        <f t="shared" si="352"/>
        <v>0</v>
      </c>
      <c r="DX221" s="182">
        <f t="shared" si="352"/>
        <v>0</v>
      </c>
      <c r="DY221" s="182">
        <f t="shared" si="352"/>
        <v>0</v>
      </c>
      <c r="DZ221" s="182">
        <f t="shared" si="352"/>
        <v>0</v>
      </c>
      <c r="EA221" s="182">
        <f t="shared" si="352"/>
        <v>0</v>
      </c>
      <c r="EB221" s="182">
        <f t="shared" si="352"/>
        <v>0</v>
      </c>
      <c r="EC221" s="182">
        <f t="shared" si="352"/>
        <v>0</v>
      </c>
      <c r="ED221" s="182">
        <f t="shared" si="352"/>
        <v>0</v>
      </c>
      <c r="EE221" s="182">
        <f t="shared" si="352"/>
        <v>0</v>
      </c>
      <c r="EF221" s="182">
        <f t="shared" si="352"/>
        <v>0</v>
      </c>
      <c r="EG221" s="182">
        <f t="shared" si="352"/>
        <v>0</v>
      </c>
      <c r="EH221" s="182">
        <f t="shared" si="352"/>
        <v>0</v>
      </c>
      <c r="EI221" s="182">
        <f t="shared" si="352"/>
        <v>0</v>
      </c>
      <c r="EJ221" s="182">
        <f t="shared" si="352"/>
        <v>0</v>
      </c>
      <c r="FY221" s="211">
        <v>216</v>
      </c>
      <c r="FZ221">
        <v>42.354637974111775</v>
      </c>
      <c r="GA221">
        <v>89.328168964352272</v>
      </c>
      <c r="GB221">
        <v>75.363478834324482</v>
      </c>
      <c r="GC221">
        <v>43.292353840337654</v>
      </c>
      <c r="GD221">
        <v>16.948064458894049</v>
      </c>
      <c r="GE221">
        <v>50.725930795007969</v>
      </c>
      <c r="GF221">
        <v>79.401911830417234</v>
      </c>
      <c r="GG221">
        <v>54.47653612712034</v>
      </c>
      <c r="GH221">
        <v>53.69767873544648</v>
      </c>
      <c r="GI221">
        <v>60.017230389861652</v>
      </c>
      <c r="GJ221"/>
      <c r="GK221"/>
      <c r="GL221"/>
      <c r="GM221"/>
    </row>
    <row r="222" spans="1:195" s="7" customFormat="1">
      <c r="A222" s="4"/>
      <c r="B222" s="110"/>
      <c r="C222" s="110"/>
      <c r="D222" s="110"/>
      <c r="E222" s="110"/>
      <c r="F222" s="110"/>
      <c r="G222" s="110"/>
      <c r="H222" s="110"/>
      <c r="I222" s="110"/>
      <c r="J222" s="110"/>
      <c r="K222" s="110"/>
      <c r="L222" s="110"/>
      <c r="M222" s="110"/>
      <c r="N222" s="110"/>
      <c r="O222" s="110"/>
      <c r="P222" s="110"/>
      <c r="Q222" s="110"/>
      <c r="R222" s="110"/>
      <c r="S222" s="110"/>
      <c r="T222" s="110"/>
      <c r="U222" s="110"/>
      <c r="V222" s="110"/>
      <c r="W222" s="110"/>
      <c r="X222" s="110"/>
      <c r="Y222" s="110"/>
      <c r="Z222" s="110"/>
      <c r="AA222" s="110"/>
      <c r="AB222" s="110"/>
      <c r="AC222" s="110"/>
      <c r="AD222" s="110"/>
      <c r="AE222" s="110"/>
      <c r="AF222" s="110"/>
      <c r="AG222" s="110"/>
      <c r="AH222" s="110"/>
      <c r="AI222" s="110"/>
      <c r="AJ222" s="87"/>
      <c r="AK222" s="87"/>
      <c r="AL222" s="87">
        <v>3.0028000000000028</v>
      </c>
      <c r="AM222" s="43">
        <v>206</v>
      </c>
      <c r="AN222">
        <v>276.82622967421099</v>
      </c>
      <c r="AO222">
        <v>77.93602203721359</v>
      </c>
      <c r="AP222">
        <v>492.57732718342618</v>
      </c>
      <c r="AQ222">
        <v>392.29170651963716</v>
      </c>
      <c r="AR222">
        <v>68.841696822628748</v>
      </c>
      <c r="AS222">
        <v>607.37434661095574</v>
      </c>
      <c r="AT222">
        <v>36.759139025682884</v>
      </c>
      <c r="AU222">
        <v>-19.445325510812751</v>
      </c>
      <c r="AV222"/>
      <c r="AW222"/>
      <c r="BA222" s="195"/>
      <c r="BB222" s="193"/>
      <c r="BC222" s="198"/>
      <c r="BD222" s="198"/>
      <c r="BE222" s="198"/>
      <c r="BF222" s="198"/>
      <c r="BG222" s="198"/>
      <c r="BH222" s="198"/>
      <c r="BI222" s="198"/>
      <c r="BJ222" s="198"/>
      <c r="BK222" s="198"/>
      <c r="BL222" s="198"/>
      <c r="BM222" s="198"/>
      <c r="BN222" s="198"/>
      <c r="BO222" s="198"/>
      <c r="BP222" s="198"/>
      <c r="BQ222" s="198"/>
      <c r="BR222" s="198"/>
      <c r="BS222" s="198"/>
      <c r="BT222" s="198"/>
      <c r="BU222" s="198"/>
      <c r="BV222" s="198"/>
      <c r="BW222" s="193"/>
      <c r="BX222" s="198"/>
      <c r="BY222" s="193"/>
      <c r="BZ222" s="193"/>
      <c r="CA222" s="193"/>
      <c r="CB222" s="193"/>
      <c r="CC222" s="193"/>
      <c r="CD222" s="193"/>
      <c r="CE222" s="193"/>
      <c r="CF222" s="193"/>
      <c r="CG222" s="194"/>
      <c r="CH222" s="194"/>
      <c r="CI222" s="194"/>
      <c r="CJ222" s="194"/>
      <c r="CK222" s="194"/>
      <c r="CL222" s="194"/>
      <c r="CM222" s="197"/>
      <c r="CN222" s="193"/>
      <c r="CO222" s="193"/>
      <c r="CP222" s="193"/>
      <c r="CQ222" s="193"/>
      <c r="CR222" s="193"/>
      <c r="CS222" s="193"/>
      <c r="CT222" s="193"/>
      <c r="CU222" s="193"/>
      <c r="DE222" s="187"/>
      <c r="DF222" s="182"/>
      <c r="DG222" s="186"/>
      <c r="DH222" s="186"/>
      <c r="DI222" s="186"/>
      <c r="DJ222" s="186"/>
      <c r="DK222" s="186"/>
      <c r="DL222" s="186"/>
      <c r="DM222" s="186"/>
      <c r="DN222" s="186"/>
      <c r="DO222" s="186"/>
      <c r="DP222" s="186"/>
      <c r="DQ222" s="186"/>
      <c r="DR222" s="186"/>
      <c r="DS222" s="186"/>
      <c r="DT222" s="186"/>
      <c r="DU222" s="186"/>
      <c r="DV222" s="186"/>
      <c r="DW222" s="186"/>
      <c r="DX222" s="186"/>
      <c r="DY222" s="186"/>
      <c r="DZ222" s="186"/>
      <c r="EA222" s="182"/>
      <c r="EB222" s="186"/>
      <c r="EC222" s="182"/>
      <c r="ED222" s="182"/>
      <c r="EE222" s="182"/>
      <c r="EF222" s="182"/>
      <c r="EG222" s="182"/>
      <c r="EH222" s="182"/>
      <c r="EI222" s="182"/>
      <c r="EJ222" s="182"/>
      <c r="FY222" s="211">
        <v>217</v>
      </c>
      <c r="FZ222">
        <v>23.463077612590364</v>
      </c>
      <c r="GA222">
        <v>61.126456721977036</v>
      </c>
      <c r="GB222">
        <v>93.660658419036935</v>
      </c>
      <c r="GC222">
        <v>54.948606527712755</v>
      </c>
      <c r="GD222">
        <v>36.374784772137282</v>
      </c>
      <c r="GE222">
        <v>72.385848804744171</v>
      </c>
      <c r="GF222">
        <v>68.432788234121517</v>
      </c>
      <c r="GG222">
        <v>73.156498566536314</v>
      </c>
      <c r="GH222">
        <v>56.724636676924419</v>
      </c>
      <c r="GI222">
        <v>73.39791225728483</v>
      </c>
      <c r="GJ222"/>
      <c r="GK222"/>
      <c r="GL222"/>
      <c r="GM222"/>
    </row>
    <row r="223" spans="1:195" s="7" customFormat="1">
      <c r="A223" s="4"/>
      <c r="B223" s="110"/>
      <c r="C223" s="110"/>
      <c r="D223" s="110"/>
      <c r="E223" s="110"/>
      <c r="F223" s="110"/>
      <c r="G223" s="110"/>
      <c r="H223" s="110"/>
      <c r="I223" s="110"/>
      <c r="J223" s="110"/>
      <c r="K223" s="110"/>
      <c r="L223" s="110"/>
      <c r="M223" s="110"/>
      <c r="N223" s="110"/>
      <c r="O223" s="110"/>
      <c r="P223" s="110"/>
      <c r="Q223" s="110"/>
      <c r="R223" s="110"/>
      <c r="S223" s="110"/>
      <c r="T223" s="110"/>
      <c r="U223" s="110"/>
      <c r="V223" s="110"/>
      <c r="W223" s="110"/>
      <c r="X223" s="110"/>
      <c r="Y223" s="110"/>
      <c r="Z223" s="110"/>
      <c r="AA223" s="110"/>
      <c r="AB223" s="110"/>
      <c r="AC223" s="110"/>
      <c r="AD223" s="110"/>
      <c r="AE223" s="110"/>
      <c r="AF223" s="110"/>
      <c r="AG223" s="110"/>
      <c r="AH223" s="110"/>
      <c r="AI223" s="110"/>
      <c r="AJ223" s="87"/>
      <c r="AK223" s="87"/>
      <c r="AL223" s="87">
        <v>3.0028000000000028</v>
      </c>
      <c r="AM223" s="43">
        <v>207</v>
      </c>
      <c r="AN223">
        <v>228.12488137779673</v>
      </c>
      <c r="AO223">
        <v>79.760775398464702</v>
      </c>
      <c r="AP223">
        <v>612.39039633175787</v>
      </c>
      <c r="AQ223">
        <v>434.00557659626008</v>
      </c>
      <c r="AR223">
        <v>71.859357591456842</v>
      </c>
      <c r="AS223">
        <v>583.01917329718913</v>
      </c>
      <c r="AT223" t="e">
        <v>#DIV/0!</v>
      </c>
      <c r="AU223" t="e">
        <v>#DIV/0!</v>
      </c>
      <c r="AV223"/>
      <c r="AW223"/>
      <c r="BA223" s="195"/>
      <c r="BB223" s="193"/>
      <c r="BC223" s="198"/>
      <c r="BD223" s="198"/>
      <c r="BE223" s="198"/>
      <c r="BF223" s="198"/>
      <c r="BG223" s="198"/>
      <c r="BH223" s="198"/>
      <c r="BI223" s="198"/>
      <c r="BJ223" s="198"/>
      <c r="BK223" s="198"/>
      <c r="BL223" s="198"/>
      <c r="BM223" s="198"/>
      <c r="BN223" s="198"/>
      <c r="BO223" s="198"/>
      <c r="BP223" s="198"/>
      <c r="BQ223" s="198"/>
      <c r="BR223" s="198"/>
      <c r="BS223" s="198"/>
      <c r="BT223" s="198"/>
      <c r="BU223" s="198"/>
      <c r="BV223" s="198"/>
      <c r="BW223" s="193"/>
      <c r="BX223" s="198"/>
      <c r="BY223" s="193"/>
      <c r="BZ223" s="193"/>
      <c r="CA223" s="193"/>
      <c r="CB223" s="193"/>
      <c r="CC223" s="193"/>
      <c r="CD223" s="193"/>
      <c r="CE223" s="193"/>
      <c r="CF223" s="193"/>
      <c r="CG223" s="194"/>
      <c r="CH223" s="194"/>
      <c r="CI223" s="194"/>
      <c r="CJ223" s="194"/>
      <c r="CK223" s="194"/>
      <c r="CL223" s="194"/>
      <c r="CM223" s="193"/>
      <c r="CN223" s="193"/>
      <c r="CO223" s="193"/>
      <c r="CP223" s="193"/>
      <c r="CQ223" s="193"/>
      <c r="CR223" s="193"/>
      <c r="CS223" s="193"/>
      <c r="CT223" s="193"/>
      <c r="CU223" s="193"/>
      <c r="DE223" s="187"/>
      <c r="DF223" s="182"/>
      <c r="DG223" s="186"/>
      <c r="DH223" s="186"/>
      <c r="DI223" s="186"/>
      <c r="DJ223" s="186"/>
      <c r="DK223" s="186"/>
      <c r="DL223" s="186"/>
      <c r="DM223" s="186"/>
      <c r="DN223" s="186"/>
      <c r="DO223" s="186"/>
      <c r="DP223" s="186"/>
      <c r="DQ223" s="186"/>
      <c r="DR223" s="186"/>
      <c r="DS223" s="186"/>
      <c r="DT223" s="186"/>
      <c r="DU223" s="186"/>
      <c r="DV223" s="186"/>
      <c r="DW223" s="186"/>
      <c r="DX223" s="186"/>
      <c r="DY223" s="186"/>
      <c r="DZ223" s="186"/>
      <c r="EA223" s="182"/>
      <c r="EB223" s="186"/>
      <c r="EC223" s="182"/>
      <c r="ED223" s="182"/>
      <c r="EE223" s="182"/>
      <c r="EF223" s="182"/>
      <c r="EG223" s="182"/>
      <c r="EH223" s="182"/>
      <c r="EI223" s="182"/>
      <c r="EJ223" s="182"/>
      <c r="FY223" s="211">
        <v>218</v>
      </c>
      <c r="FZ223">
        <v>22.275804091328318</v>
      </c>
      <c r="GA223">
        <v>51.904905050992681</v>
      </c>
      <c r="GB223">
        <v>64.776615886710616</v>
      </c>
      <c r="GC223">
        <v>44.859597196053507</v>
      </c>
      <c r="GD223">
        <v>23.422569585958488</v>
      </c>
      <c r="GE223">
        <v>57.190303849533876</v>
      </c>
      <c r="GF223">
        <v>96.07814283471788</v>
      </c>
      <c r="GG223">
        <v>39.363711603513892</v>
      </c>
      <c r="GH223">
        <v>6.8634371339638847</v>
      </c>
      <c r="GI223">
        <v>55.660184071842608</v>
      </c>
      <c r="GJ223"/>
      <c r="GK223"/>
      <c r="GL223"/>
      <c r="GM223"/>
    </row>
    <row r="224" spans="1:195" s="7" customFormat="1">
      <c r="A224" s="87"/>
      <c r="B224" s="110"/>
      <c r="C224" s="110"/>
      <c r="D224" s="110"/>
      <c r="E224" s="110"/>
      <c r="F224" s="110"/>
      <c r="G224" s="110"/>
      <c r="H224" s="110"/>
      <c r="I224" s="110"/>
      <c r="J224" s="110"/>
      <c r="K224" s="110"/>
      <c r="L224" s="110"/>
      <c r="M224" s="110"/>
      <c r="N224" s="110"/>
      <c r="O224" s="110"/>
      <c r="P224" s="110"/>
      <c r="Q224" s="110"/>
      <c r="R224" s="110"/>
      <c r="S224" s="110"/>
      <c r="T224" s="110"/>
      <c r="U224" s="110"/>
      <c r="V224" s="110"/>
      <c r="W224" s="110"/>
      <c r="X224" s="110"/>
      <c r="Y224" s="110"/>
      <c r="Z224" s="110"/>
      <c r="AA224" s="110"/>
      <c r="AB224" s="110"/>
      <c r="AC224" s="110"/>
      <c r="AD224" s="110"/>
      <c r="AE224" s="110"/>
      <c r="AF224" s="110"/>
      <c r="AG224" s="110"/>
      <c r="AH224" s="110"/>
      <c r="AI224" s="110"/>
      <c r="AJ224" s="87"/>
      <c r="AK224" s="87"/>
      <c r="AL224" s="87">
        <v>3.0028000000000028</v>
      </c>
      <c r="AM224" s="43">
        <v>208</v>
      </c>
      <c r="AN224">
        <v>284.25938693437138</v>
      </c>
      <c r="AO224">
        <v>110.968510383802</v>
      </c>
      <c r="AP224">
        <v>790.48522026998148</v>
      </c>
      <c r="AQ224">
        <v>591.67124787399416</v>
      </c>
      <c r="AR224">
        <v>98.481441413973727</v>
      </c>
      <c r="AS224">
        <v>714.19231954690292</v>
      </c>
      <c r="AT224">
        <v>52.467204200281849</v>
      </c>
      <c r="AU224">
        <v>43.480245446701858</v>
      </c>
      <c r="AV224"/>
      <c r="AW224"/>
      <c r="BA224" s="199"/>
      <c r="BB224" s="194"/>
      <c r="BC224" s="200"/>
      <c r="BD224" s="200"/>
      <c r="BE224" s="200"/>
      <c r="BF224" s="200"/>
      <c r="BG224" s="200"/>
      <c r="BH224" s="200"/>
      <c r="BI224" s="200"/>
      <c r="BJ224" s="200"/>
      <c r="BK224" s="200"/>
      <c r="BL224" s="200"/>
      <c r="BM224" s="200"/>
      <c r="BN224" s="200"/>
      <c r="BO224" s="200"/>
      <c r="BP224" s="200"/>
      <c r="BQ224" s="200"/>
      <c r="BR224" s="200"/>
      <c r="BS224" s="200"/>
      <c r="BT224" s="200"/>
      <c r="BU224" s="200"/>
      <c r="BV224" s="200"/>
      <c r="BW224" s="194"/>
      <c r="BX224" s="200"/>
      <c r="BY224" s="194"/>
      <c r="BZ224" s="194"/>
      <c r="CA224" s="194"/>
      <c r="CB224" s="194"/>
      <c r="CC224" s="194"/>
      <c r="CD224" s="194"/>
      <c r="CE224" s="194"/>
      <c r="CF224" s="194"/>
      <c r="CG224" s="194"/>
      <c r="CH224" s="194"/>
      <c r="CI224" s="194"/>
      <c r="CJ224" s="194"/>
      <c r="CK224" s="194"/>
      <c r="CL224" s="194"/>
      <c r="CM224" s="193"/>
      <c r="CN224" s="193"/>
      <c r="CO224" s="193"/>
      <c r="CP224" s="193"/>
      <c r="CQ224" s="193"/>
      <c r="CR224" s="193"/>
      <c r="CS224" s="193"/>
      <c r="CT224" s="193"/>
      <c r="CU224" s="193"/>
      <c r="DE224" s="184" t="s">
        <v>139</v>
      </c>
      <c r="DH224" s="204" t="s">
        <v>142</v>
      </c>
      <c r="FY224" s="211">
        <v>219</v>
      </c>
      <c r="FZ224">
        <v>19.078327152066713</v>
      </c>
      <c r="GA224">
        <v>46.169503344375336</v>
      </c>
      <c r="GB224">
        <v>89.918044489777202</v>
      </c>
      <c r="GC224">
        <v>49.578604358296204</v>
      </c>
      <c r="GD224">
        <v>11.366561860528261</v>
      </c>
      <c r="GE224">
        <v>25.151681284770362</v>
      </c>
      <c r="GF224">
        <v>46.615785191865591</v>
      </c>
      <c r="GG224">
        <v>43.916946054679912</v>
      </c>
      <c r="GH224">
        <v>32.491850483065825</v>
      </c>
      <c r="GI224">
        <v>46.578669265370529</v>
      </c>
      <c r="GJ224"/>
      <c r="GK224"/>
      <c r="GL224"/>
      <c r="GM224"/>
    </row>
    <row r="225" spans="1:195" s="7" customFormat="1">
      <c r="A225" s="87"/>
      <c r="B225" s="110"/>
      <c r="C225" s="110"/>
      <c r="D225" s="110"/>
      <c r="E225" s="110"/>
      <c r="F225" s="110"/>
      <c r="G225" s="110"/>
      <c r="H225" s="110"/>
      <c r="I225" s="110"/>
      <c r="J225" s="110"/>
      <c r="K225" s="110"/>
      <c r="L225" s="110"/>
      <c r="M225" s="110"/>
      <c r="N225" s="110"/>
      <c r="O225" s="110"/>
      <c r="P225" s="110"/>
      <c r="Q225" s="110"/>
      <c r="R225" s="110"/>
      <c r="S225" s="110"/>
      <c r="T225" s="110"/>
      <c r="U225" s="110"/>
      <c r="V225" s="110"/>
      <c r="W225" s="110"/>
      <c r="X225" s="110"/>
      <c r="Y225" s="110"/>
      <c r="Z225" s="110"/>
      <c r="AA225" s="110"/>
      <c r="AB225" s="110"/>
      <c r="AC225" s="110"/>
      <c r="AD225" s="110"/>
      <c r="AE225" s="110"/>
      <c r="AF225" s="110"/>
      <c r="AG225" s="110"/>
      <c r="AH225" s="110"/>
      <c r="AI225" s="110"/>
      <c r="AJ225" s="87"/>
      <c r="AK225" s="87"/>
      <c r="AL225" s="87">
        <v>3.0028000000000028</v>
      </c>
      <c r="AM225" s="43">
        <v>209</v>
      </c>
      <c r="AN225">
        <v>237.97333239643086</v>
      </c>
      <c r="AO225">
        <v>85.115827999207752</v>
      </c>
      <c r="AP225">
        <v>567.28375538403623</v>
      </c>
      <c r="AQ225">
        <v>433.16109155561594</v>
      </c>
      <c r="AR225">
        <v>75.049180745512047</v>
      </c>
      <c r="AS225">
        <v>595.51929864752037</v>
      </c>
      <c r="AT225">
        <v>40.19780454408739</v>
      </c>
      <c r="AU225">
        <v>16.314374970075235</v>
      </c>
      <c r="AV225"/>
      <c r="AW225"/>
      <c r="BA225" s="171"/>
      <c r="BC225" s="172"/>
      <c r="BD225" s="172"/>
      <c r="BE225" s="172"/>
      <c r="BF225" s="172"/>
      <c r="BG225" s="172"/>
      <c r="BH225" s="172"/>
      <c r="BI225" s="172"/>
      <c r="BJ225" s="172"/>
      <c r="BK225" s="172"/>
      <c r="BL225" s="172"/>
      <c r="BM225" s="172"/>
      <c r="BN225" s="172"/>
      <c r="BO225" s="172"/>
      <c r="BP225" s="172"/>
      <c r="BQ225" s="172"/>
      <c r="BR225" s="172"/>
      <c r="BS225" s="172"/>
      <c r="BT225" s="172"/>
      <c r="BU225" s="172"/>
      <c r="BV225" s="172"/>
      <c r="BX225" s="172"/>
      <c r="DE225" s="187">
        <v>39646</v>
      </c>
      <c r="DF225" s="205"/>
      <c r="DG225" s="205">
        <f>((DG212*$H$372)+(DH212*$I$372)+(DI212*$J$372)+(DJ212*$K$372)+(DK212*$L$372)+(DL212*$M$372)+(DM212*$N$372)+(DN212*$O$372)+(DO212*$P$372)+(DP212*$Q$372)+(DQ212*$R$372)+(DR212*$S$372)+(DS212*$T$372)+(DT212*$U$372))/SUM(DG212:DT212)</f>
        <v>0.10312808163840394</v>
      </c>
      <c r="DH225" s="205"/>
      <c r="DI225" s="205"/>
      <c r="DJ225" s="205"/>
      <c r="DK225" s="205"/>
      <c r="DL225" s="205"/>
      <c r="DM225" s="205"/>
      <c r="DN225" s="205"/>
      <c r="DO225" s="205"/>
      <c r="DP225" s="205"/>
      <c r="DQ225" s="205"/>
      <c r="DR225" s="205"/>
      <c r="DS225" s="205"/>
      <c r="DT225" s="205"/>
      <c r="DU225" s="205"/>
      <c r="DV225" s="205"/>
      <c r="DW225" s="205"/>
      <c r="DX225" s="205"/>
      <c r="DY225" s="205"/>
      <c r="DZ225" s="205"/>
      <c r="EA225" s="205"/>
      <c r="EB225" s="205"/>
      <c r="EC225" s="205"/>
      <c r="ED225" s="205"/>
      <c r="EE225" s="205"/>
      <c r="EF225" s="205"/>
      <c r="EG225" s="205"/>
      <c r="EH225" s="205"/>
      <c r="EI225" s="205"/>
      <c r="EJ225" s="205"/>
      <c r="FY225" s="211">
        <v>220</v>
      </c>
      <c r="FZ225">
        <v>20.68916308462564</v>
      </c>
      <c r="GA225">
        <v>65.469514723783988</v>
      </c>
      <c r="GB225">
        <v>87.021398448511931</v>
      </c>
      <c r="GC225">
        <v>52.596334906424282</v>
      </c>
      <c r="GD225">
        <v>24.894022087505224</v>
      </c>
      <c r="GE225">
        <v>54.2637077943576</v>
      </c>
      <c r="GF225">
        <v>127.07894094332624</v>
      </c>
      <c r="GG225">
        <v>77.320547091039188</v>
      </c>
      <c r="GH225">
        <v>8.0600446336767551</v>
      </c>
      <c r="GI225">
        <v>68.716426933511386</v>
      </c>
      <c r="GJ225"/>
      <c r="GK225"/>
      <c r="GL225"/>
      <c r="GM225"/>
    </row>
    <row r="226" spans="1:195" s="7" customFormat="1">
      <c r="A226" s="87"/>
      <c r="B226" s="110"/>
      <c r="C226" s="110"/>
      <c r="D226" s="110"/>
      <c r="E226" s="110"/>
      <c r="F226" s="110"/>
      <c r="G226" s="110"/>
      <c r="H226" s="110"/>
      <c r="I226" s="110"/>
      <c r="J226" s="110"/>
      <c r="K226" s="110"/>
      <c r="L226" s="110"/>
      <c r="M226" s="110"/>
      <c r="N226" s="110"/>
      <c r="O226" s="110"/>
      <c r="P226" s="110"/>
      <c r="Q226" s="110"/>
      <c r="R226" s="110"/>
      <c r="S226" s="110"/>
      <c r="T226" s="110"/>
      <c r="U226" s="110"/>
      <c r="V226" s="110"/>
      <c r="W226" s="110"/>
      <c r="X226" s="110"/>
      <c r="Y226" s="110"/>
      <c r="Z226" s="110"/>
      <c r="AA226" s="110"/>
      <c r="AB226" s="110"/>
      <c r="AC226" s="110"/>
      <c r="AD226" s="110"/>
      <c r="AE226" s="110"/>
      <c r="AF226" s="110"/>
      <c r="AG226" s="110"/>
      <c r="AH226" s="110"/>
      <c r="AI226" s="110"/>
      <c r="AJ226" s="87"/>
      <c r="AK226" s="87"/>
      <c r="AL226" s="87">
        <v>3.0028000000000028</v>
      </c>
      <c r="AM226" s="43">
        <v>210</v>
      </c>
      <c r="AN226">
        <v>250.19434628796245</v>
      </c>
      <c r="AO226">
        <v>87.337161348751266</v>
      </c>
      <c r="AP226">
        <v>668.81194980211262</v>
      </c>
      <c r="AQ226">
        <v>480.88269971025267</v>
      </c>
      <c r="AR226">
        <v>78.120267687659506</v>
      </c>
      <c r="AS226">
        <v>619.72586109493045</v>
      </c>
      <c r="AT226">
        <v>40.052685808516976</v>
      </c>
      <c r="AU226">
        <v>32.345741153218285</v>
      </c>
      <c r="AV226"/>
      <c r="AW226"/>
      <c r="DE226" s="187">
        <f>DE101</f>
        <v>39673</v>
      </c>
      <c r="DF226" s="205"/>
      <c r="DG226" s="205">
        <f t="shared" ref="DG226:DG234" si="353">((DG213*$H$372)+(DH213*$I$372)+(DI213*$J$372)+(DJ213*$K$372)+(DK213*$L$372)+(DL213*$M$372)+(DM213*$N$372)+(DN213*$O$372)+(DO213*$P$372)+(DP213*$Q$372)+(DQ213*$R$372)+(DR213*$S$372)+(DS213*$T$372)+(DT213*$U$372))/SUM(DG213:DT213)</f>
        <v>0.31767113655371204</v>
      </c>
      <c r="DH226" s="205">
        <f>(LN(DG226/DG225))/(DE213-DE212)</f>
        <v>4.1668331819353727E-2</v>
      </c>
      <c r="DI226" s="205"/>
      <c r="DJ226" s="205"/>
      <c r="DK226" s="205"/>
      <c r="DL226" s="205"/>
      <c r="DM226" s="205"/>
      <c r="DN226" s="205"/>
      <c r="DO226" s="205"/>
      <c r="DP226" s="205"/>
      <c r="DQ226" s="205"/>
      <c r="DR226" s="205"/>
      <c r="DS226" s="205"/>
      <c r="DT226" s="205"/>
      <c r="DU226" s="205"/>
      <c r="DV226" s="205"/>
      <c r="DW226" s="205"/>
      <c r="DX226" s="205"/>
      <c r="DY226" s="205"/>
      <c r="DZ226" s="205"/>
      <c r="EA226" s="205"/>
      <c r="EB226" s="205"/>
      <c r="EC226" s="205"/>
      <c r="ED226" s="205"/>
      <c r="EE226" s="205"/>
      <c r="EF226" s="205"/>
      <c r="EG226" s="205"/>
      <c r="EH226" s="205"/>
      <c r="EI226" s="205"/>
      <c r="EJ226" s="205"/>
      <c r="FY226" s="211">
        <v>221</v>
      </c>
      <c r="FZ226">
        <v>21.089782122509334</v>
      </c>
      <c r="GA226">
        <v>54.354508423705667</v>
      </c>
      <c r="GB226">
        <v>72.808943546924084</v>
      </c>
      <c r="GC226">
        <v>43.37373313127658</v>
      </c>
      <c r="GD226">
        <v>19.805481479156711</v>
      </c>
      <c r="GE226">
        <v>51.547641912804067</v>
      </c>
      <c r="GF226">
        <v>88.857024974476573</v>
      </c>
      <c r="GG226">
        <v>53.230861712738147</v>
      </c>
      <c r="GH226">
        <v>24.397977234355633</v>
      </c>
      <c r="GI226">
        <v>57.208804306338941</v>
      </c>
      <c r="GJ226"/>
      <c r="GK226"/>
      <c r="GL226"/>
      <c r="GM226"/>
    </row>
    <row r="227" spans="1:195" s="7" customFormat="1">
      <c r="A227" s="89"/>
      <c r="B227" s="111"/>
      <c r="C227" s="111"/>
      <c r="D227" s="111"/>
      <c r="E227" s="111"/>
      <c r="F227" s="111"/>
      <c r="G227" s="111"/>
      <c r="H227" s="111"/>
      <c r="I227" s="111"/>
      <c r="J227" s="111"/>
      <c r="K227" s="111"/>
      <c r="L227" s="111"/>
      <c r="M227" s="111"/>
      <c r="N227" s="111"/>
      <c r="O227" s="111"/>
      <c r="P227" s="111"/>
      <c r="Q227" s="111"/>
      <c r="R227" s="111"/>
      <c r="S227" s="111"/>
      <c r="T227" s="111"/>
      <c r="U227" s="111"/>
      <c r="V227" s="111"/>
      <c r="W227" s="111"/>
      <c r="X227" s="111"/>
      <c r="Y227" s="111"/>
      <c r="Z227" s="111"/>
      <c r="AA227" s="111"/>
      <c r="AB227" s="111"/>
      <c r="AC227" s="111"/>
      <c r="AD227" s="111"/>
      <c r="AE227" s="111"/>
      <c r="AF227" s="111"/>
      <c r="AG227" s="111"/>
      <c r="AH227" s="111"/>
      <c r="AI227" s="111"/>
      <c r="AJ227" s="2"/>
      <c r="AK227" s="81"/>
      <c r="AL227" s="81">
        <v>3.0028000000000028</v>
      </c>
      <c r="AM227" s="43">
        <v>211</v>
      </c>
      <c r="AN227">
        <v>280.45508812880087</v>
      </c>
      <c r="AO227">
        <v>77.694354167150749</v>
      </c>
      <c r="AP227">
        <v>568.44018269732317</v>
      </c>
      <c r="AQ227">
        <v>414.81722066401699</v>
      </c>
      <c r="AR227">
        <v>70.228293316433124</v>
      </c>
      <c r="AS227">
        <v>606.03466356725528</v>
      </c>
      <c r="AT227">
        <v>37.512856537354793</v>
      </c>
      <c r="AU227">
        <v>92.063403209930229</v>
      </c>
      <c r="AV227"/>
      <c r="AW227"/>
      <c r="DE227" s="187">
        <f>DE111</f>
        <v>39714</v>
      </c>
      <c r="DF227" s="205"/>
      <c r="DG227" s="205">
        <f t="shared" si="353"/>
        <v>0.18220151083217284</v>
      </c>
      <c r="DH227" s="205">
        <f t="shared" ref="DH227:DH234" si="354">(LN(DG227/DG226))/(DE214-DE213)</f>
        <v>-1.3558619730006228E-2</v>
      </c>
      <c r="DI227" s="205"/>
      <c r="DJ227" s="205"/>
      <c r="DK227" s="205"/>
      <c r="DL227" s="205"/>
      <c r="DM227" s="205"/>
      <c r="DN227" s="205"/>
      <c r="DO227" s="205"/>
      <c r="DP227" s="205"/>
      <c r="DQ227" s="205"/>
      <c r="DR227" s="205"/>
      <c r="DS227" s="205"/>
      <c r="DT227" s="205"/>
      <c r="DU227" s="205"/>
      <c r="DV227" s="205"/>
      <c r="DW227" s="205"/>
      <c r="DX227" s="205"/>
      <c r="DY227" s="205"/>
      <c r="DZ227" s="205"/>
      <c r="EA227" s="205"/>
      <c r="EB227" s="205"/>
      <c r="EC227" s="205"/>
      <c r="ED227" s="205"/>
      <c r="EE227" s="205"/>
      <c r="EF227" s="205"/>
      <c r="EG227" s="205"/>
      <c r="EH227" s="205"/>
      <c r="EI227" s="205"/>
      <c r="EJ227" s="205"/>
      <c r="FY227" s="211">
        <v>222</v>
      </c>
      <c r="FZ227">
        <v>31.209754000576993</v>
      </c>
      <c r="GA227">
        <v>51.648460318315983</v>
      </c>
      <c r="GB227">
        <v>44.487563399936064</v>
      </c>
      <c r="GC227">
        <v>32.640516311234798</v>
      </c>
      <c r="GD227">
        <v>16.953306612355313</v>
      </c>
      <c r="GE227">
        <v>63.739276689350191</v>
      </c>
      <c r="GF227">
        <v>100.08267230681371</v>
      </c>
      <c r="GG227">
        <v>32.497852269885136</v>
      </c>
      <c r="GH227">
        <v>19.534510432624426</v>
      </c>
      <c r="GI227">
        <v>50.223186919461369</v>
      </c>
      <c r="GJ227"/>
      <c r="GK227"/>
      <c r="GL227"/>
      <c r="GM227"/>
    </row>
    <row r="228" spans="1:195" s="7" customFormat="1">
      <c r="A228" s="9" t="s">
        <v>60</v>
      </c>
      <c r="B228">
        <v>0.96428556644629659</v>
      </c>
      <c r="C228">
        <v>8</v>
      </c>
      <c r="D228">
        <v>39646</v>
      </c>
      <c r="E228">
        <v>0</v>
      </c>
      <c r="F228">
        <v>0</v>
      </c>
      <c r="G228">
        <v>20.833333333333332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 s="2"/>
      <c r="AK228" s="81"/>
      <c r="AL228" s="81">
        <v>3.0028000000000028</v>
      </c>
      <c r="AM228" s="43">
        <v>212</v>
      </c>
      <c r="AN228">
        <v>250.986888633729</v>
      </c>
      <c r="AO228">
        <v>61.511814709215663</v>
      </c>
      <c r="AP228">
        <v>384.81721388676976</v>
      </c>
      <c r="AQ228">
        <v>307.83318978720314</v>
      </c>
      <c r="AR228">
        <v>56.079375948846931</v>
      </c>
      <c r="AS228">
        <v>492.67691559546779</v>
      </c>
      <c r="AT228">
        <v>27.787264308187229</v>
      </c>
      <c r="AU228">
        <v>51.14596486768783</v>
      </c>
      <c r="AV228"/>
      <c r="AW228"/>
      <c r="BB228" s="168"/>
      <c r="BC228" s="86"/>
      <c r="BD228" s="86"/>
      <c r="BE228" s="86"/>
      <c r="BF228" s="86"/>
      <c r="BG228" s="86"/>
      <c r="BH228" s="86"/>
      <c r="BI228" s="86"/>
      <c r="BJ228" s="169"/>
      <c r="BK228" s="169"/>
      <c r="BL228" s="170"/>
      <c r="BM228" s="169"/>
      <c r="BN228" s="170"/>
      <c r="BO228" s="169"/>
      <c r="BP228" s="170"/>
      <c r="BQ228" s="169"/>
      <c r="BR228" s="170"/>
      <c r="BS228" s="169"/>
      <c r="BT228" s="170"/>
      <c r="BU228" s="169"/>
      <c r="BV228" s="170"/>
      <c r="DE228" s="187">
        <f>DE121</f>
        <v>39747</v>
      </c>
      <c r="DF228" s="205"/>
      <c r="DG228" s="205">
        <f t="shared" si="353"/>
        <v>0.2789794969699646</v>
      </c>
      <c r="DH228" s="205">
        <f t="shared" si="354"/>
        <v>1.29098489273723E-2</v>
      </c>
      <c r="DI228" s="205"/>
      <c r="DJ228" s="205"/>
      <c r="DK228" s="205"/>
      <c r="DL228" s="205"/>
      <c r="DM228" s="205"/>
      <c r="DN228" s="205"/>
      <c r="DO228" s="205"/>
      <c r="DP228" s="205"/>
      <c r="DQ228" s="205"/>
      <c r="DR228" s="205"/>
      <c r="DS228" s="205"/>
      <c r="DT228" s="205"/>
      <c r="DU228" s="205"/>
      <c r="DV228" s="205"/>
      <c r="DW228" s="205"/>
      <c r="DX228" s="205"/>
      <c r="DY228" s="205"/>
      <c r="DZ228" s="205"/>
      <c r="EA228" s="205"/>
      <c r="EB228" s="205"/>
      <c r="EC228" s="205"/>
      <c r="ED228" s="205"/>
      <c r="EE228" s="205"/>
      <c r="EF228" s="205"/>
      <c r="EG228" s="205"/>
      <c r="EH228" s="205"/>
      <c r="EI228" s="205"/>
      <c r="EJ228" s="205"/>
      <c r="FY228" s="211">
        <v>223</v>
      </c>
      <c r="FZ228">
        <v>15.58747335311498</v>
      </c>
      <c r="GA228">
        <v>49.90671176697262</v>
      </c>
      <c r="GB228">
        <v>64.107867156700735</v>
      </c>
      <c r="GC228">
        <v>39.895810356193216</v>
      </c>
      <c r="GD228">
        <v>25.824413831917756</v>
      </c>
      <c r="GE228">
        <v>44.02729295505091</v>
      </c>
      <c r="GF228">
        <v>40.093063337895543</v>
      </c>
      <c r="GG228">
        <v>50.033183698648088</v>
      </c>
      <c r="GH228">
        <v>46.708129881475081</v>
      </c>
      <c r="GI228">
        <v>50.556580828194043</v>
      </c>
      <c r="GJ228"/>
      <c r="GK228"/>
      <c r="GL228"/>
      <c r="GM228"/>
    </row>
    <row r="229" spans="1:195" s="7" customFormat="1">
      <c r="A229" s="90"/>
      <c r="B229">
        <v>0.29951263630823144</v>
      </c>
      <c r="C229">
        <v>5</v>
      </c>
      <c r="D229">
        <v>39646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 s="2"/>
      <c r="AK229" s="81"/>
      <c r="AL229" s="81"/>
      <c r="AM229" s="43">
        <v>213</v>
      </c>
      <c r="AN229">
        <v>267.35721510429096</v>
      </c>
      <c r="AO229">
        <v>90.210991250853269</v>
      </c>
      <c r="AP229">
        <v>642.3910279700583</v>
      </c>
      <c r="AQ229">
        <v>486.76593448665631</v>
      </c>
      <c r="AR229">
        <v>80.435045400529717</v>
      </c>
      <c r="AS229">
        <v>656.6503954327693</v>
      </c>
      <c r="AT229">
        <v>43.283651451659104</v>
      </c>
      <c r="AU229">
        <v>61.917037370160585</v>
      </c>
      <c r="AV229"/>
      <c r="AW229"/>
      <c r="BA229" s="171"/>
      <c r="BC229" s="162"/>
      <c r="BD229" s="162"/>
      <c r="BE229" s="162"/>
      <c r="BF229" s="162"/>
      <c r="BG229" s="162"/>
      <c r="BH229" s="162"/>
      <c r="BI229" s="162"/>
      <c r="BJ229" s="162"/>
      <c r="BK229" s="162"/>
      <c r="BL229" s="162"/>
      <c r="BM229" s="162"/>
      <c r="BN229" s="162"/>
      <c r="BO229" s="162"/>
      <c r="BP229" s="162"/>
      <c r="BQ229" s="162"/>
      <c r="BR229" s="162"/>
      <c r="BS229" s="162"/>
      <c r="BT229" s="162"/>
      <c r="BU229" s="162"/>
      <c r="BV229" s="162"/>
      <c r="DE229" s="187">
        <f>DE131</f>
        <v>39775</v>
      </c>
      <c r="DF229" s="205"/>
      <c r="DG229" s="205">
        <f t="shared" si="353"/>
        <v>0.25101492320812691</v>
      </c>
      <c r="DH229" s="205">
        <f t="shared" si="354"/>
        <v>-3.7723535421896061E-3</v>
      </c>
      <c r="DI229" s="205"/>
      <c r="DJ229" s="205"/>
      <c r="DK229" s="205"/>
      <c r="DL229" s="205"/>
      <c r="DM229" s="205"/>
      <c r="DN229" s="205"/>
      <c r="DO229" s="205"/>
      <c r="DP229" s="205"/>
      <c r="DQ229" s="205"/>
      <c r="DR229" s="205"/>
      <c r="DS229" s="205"/>
      <c r="DT229" s="205"/>
      <c r="DU229" s="205"/>
      <c r="DV229" s="205"/>
      <c r="DW229" s="205"/>
      <c r="DX229" s="205"/>
      <c r="DY229" s="205"/>
      <c r="DZ229" s="205"/>
      <c r="EA229" s="205"/>
      <c r="EB229" s="205"/>
      <c r="EC229" s="205"/>
      <c r="ED229" s="205"/>
      <c r="EE229" s="205"/>
      <c r="EF229" s="205"/>
      <c r="EG229" s="205"/>
      <c r="EH229" s="205"/>
      <c r="EI229" s="205"/>
      <c r="EJ229" s="205"/>
      <c r="FY229" s="211">
        <v>224</v>
      </c>
      <c r="FZ229">
        <v>13.131100438745825</v>
      </c>
      <c r="GA229">
        <v>42.741683274049585</v>
      </c>
      <c r="GB229">
        <v>54.666335532382135</v>
      </c>
      <c r="GC229">
        <v>30.828472746632247</v>
      </c>
      <c r="GD229">
        <v>12.721836368966319</v>
      </c>
      <c r="GE229">
        <v>26.600933809174165</v>
      </c>
      <c r="GF229">
        <v>48.316385746381485</v>
      </c>
      <c r="GG229">
        <v>44.213583543150506</v>
      </c>
      <c r="GH229">
        <v>30.851893205052239</v>
      </c>
      <c r="GI229">
        <v>38.801524657160527</v>
      </c>
      <c r="GJ229"/>
      <c r="GK229"/>
      <c r="GL229"/>
      <c r="GM229"/>
    </row>
    <row r="230" spans="1:195" s="7" customFormat="1">
      <c r="A230" s="77"/>
      <c r="B230">
        <v>0.82880916268119487</v>
      </c>
      <c r="C230">
        <v>9</v>
      </c>
      <c r="D230">
        <v>39646</v>
      </c>
      <c r="E230">
        <v>0</v>
      </c>
      <c r="F230">
        <v>10.416666666666666</v>
      </c>
      <c r="G230">
        <v>10.416666666666666</v>
      </c>
      <c r="H230">
        <v>20.833333333333332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 s="2"/>
      <c r="AK230" s="81"/>
      <c r="AL230" s="81"/>
      <c r="AM230" s="43">
        <v>214</v>
      </c>
      <c r="AN230">
        <v>250.36439627683399</v>
      </c>
      <c r="AO230">
        <v>62.793661133202455</v>
      </c>
      <c r="AP230">
        <v>432.88139169791111</v>
      </c>
      <c r="AQ230">
        <v>347.7804768858922</v>
      </c>
      <c r="AR230">
        <v>57.000044892838339</v>
      </c>
      <c r="AS230">
        <v>538.12132706399359</v>
      </c>
      <c r="AT230">
        <v>30.035259981658147</v>
      </c>
      <c r="AU230">
        <v>44.438123168857125</v>
      </c>
      <c r="AV230"/>
      <c r="AW230"/>
      <c r="BA230" s="171"/>
      <c r="BC230" s="162"/>
      <c r="BD230" s="162"/>
      <c r="BE230" s="162"/>
      <c r="BF230" s="162"/>
      <c r="BG230" s="162"/>
      <c r="BH230" s="162"/>
      <c r="BI230" s="162"/>
      <c r="BJ230" s="162"/>
      <c r="BK230" s="162"/>
      <c r="BL230" s="162"/>
      <c r="BM230" s="162"/>
      <c r="BN230" s="162"/>
      <c r="BO230" s="162"/>
      <c r="BP230" s="162"/>
      <c r="BQ230" s="162"/>
      <c r="BR230" s="162"/>
      <c r="BS230" s="162"/>
      <c r="BT230" s="162"/>
      <c r="BU230" s="162"/>
      <c r="BV230" s="162"/>
      <c r="DE230" s="187">
        <f>DE141</f>
        <v>39799</v>
      </c>
      <c r="DF230" s="205"/>
      <c r="DG230" s="205">
        <f t="shared" si="353"/>
        <v>0.3465961050411997</v>
      </c>
      <c r="DH230" s="205">
        <f t="shared" si="354"/>
        <v>1.3443656134264263E-2</v>
      </c>
      <c r="DI230" s="205"/>
      <c r="DJ230" s="205"/>
      <c r="DK230" s="205"/>
      <c r="DL230" s="205"/>
      <c r="DM230" s="205"/>
      <c r="DN230" s="205"/>
      <c r="DO230" s="205"/>
      <c r="DP230" s="205"/>
      <c r="DQ230" s="205"/>
      <c r="DR230" s="205"/>
      <c r="DS230" s="205"/>
      <c r="DT230" s="205"/>
      <c r="DU230" s="205"/>
      <c r="DV230" s="205"/>
      <c r="DW230" s="205"/>
      <c r="DX230" s="205"/>
      <c r="DY230" s="205"/>
      <c r="DZ230" s="205"/>
      <c r="EA230" s="205"/>
      <c r="EB230" s="205"/>
      <c r="EC230" s="205"/>
      <c r="ED230" s="205"/>
      <c r="EE230" s="205"/>
      <c r="EF230" s="205"/>
      <c r="EG230" s="205"/>
      <c r="EH230" s="205"/>
      <c r="EI230" s="205"/>
      <c r="EJ230" s="205"/>
      <c r="FY230" s="211">
        <v>225</v>
      </c>
      <c r="FZ230">
        <v>14.465549278930329</v>
      </c>
      <c r="GA230">
        <v>42.241831611473444</v>
      </c>
      <c r="GB230">
        <v>87.0893766773154</v>
      </c>
      <c r="GC230">
        <v>48.840970267526444</v>
      </c>
      <c r="GD230">
        <v>22.217360371538177</v>
      </c>
      <c r="GE230">
        <v>69.162279948382491</v>
      </c>
      <c r="GF230">
        <v>79.973934787116306</v>
      </c>
      <c r="GG230">
        <v>34.181638486297246</v>
      </c>
      <c r="GH230">
        <v>24.94261317419959</v>
      </c>
      <c r="GI230">
        <v>58.059492641053339</v>
      </c>
      <c r="GJ230"/>
      <c r="GK230"/>
      <c r="GL230"/>
      <c r="GM230"/>
    </row>
    <row r="231" spans="1:195" s="7" customFormat="1">
      <c r="A231" s="77"/>
      <c r="B231">
        <v>0.87088784809440423</v>
      </c>
      <c r="C231">
        <v>6</v>
      </c>
      <c r="D231">
        <v>39646</v>
      </c>
      <c r="E231">
        <v>0</v>
      </c>
      <c r="F231">
        <v>20.833333333333332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 s="2"/>
      <c r="AK231" s="81"/>
      <c r="AL231" s="81"/>
      <c r="AM231" s="43">
        <v>215</v>
      </c>
      <c r="AN231">
        <v>200.32047336455807</v>
      </c>
      <c r="AO231">
        <v>76.013714028219709</v>
      </c>
      <c r="AP231">
        <v>597.23724774813377</v>
      </c>
      <c r="AQ231">
        <v>417.55040497251787</v>
      </c>
      <c r="AR231">
        <v>69.808214252907163</v>
      </c>
      <c r="AS231">
        <v>539.30414268845811</v>
      </c>
      <c r="AT231">
        <v>38.108673151704927</v>
      </c>
      <c r="AU231">
        <v>72.382146379189692</v>
      </c>
      <c r="AV231"/>
      <c r="AW231"/>
      <c r="BA231" s="171"/>
      <c r="BC231" s="162"/>
      <c r="BD231" s="162"/>
      <c r="BE231" s="162"/>
      <c r="BF231" s="162"/>
      <c r="BG231" s="162"/>
      <c r="BH231" s="162"/>
      <c r="BI231" s="162"/>
      <c r="BJ231" s="162"/>
      <c r="BK231" s="162"/>
      <c r="BL231" s="162"/>
      <c r="BM231" s="162"/>
      <c r="BN231" s="162"/>
      <c r="BO231" s="162"/>
      <c r="BP231" s="162"/>
      <c r="BQ231" s="162"/>
      <c r="BR231" s="162"/>
      <c r="BS231" s="162"/>
      <c r="BT231" s="162"/>
      <c r="BU231" s="162"/>
      <c r="BV231" s="162"/>
      <c r="DE231" s="187" t="str">
        <f>DE151</f>
        <v/>
      </c>
      <c r="DF231" s="205"/>
      <c r="DG231" s="205">
        <f t="shared" si="353"/>
        <v>0.51048240302648218</v>
      </c>
      <c r="DH231" s="205">
        <f t="shared" si="354"/>
        <v>8.0665839028324481E-3</v>
      </c>
      <c r="DI231" s="205"/>
      <c r="DJ231" s="205"/>
      <c r="DK231" s="205"/>
      <c r="DL231" s="205"/>
      <c r="DM231" s="205"/>
      <c r="DN231" s="205"/>
      <c r="DO231" s="205"/>
      <c r="DP231" s="205"/>
      <c r="DQ231" s="205"/>
      <c r="DR231" s="205"/>
      <c r="DS231" s="205"/>
      <c r="DT231" s="205"/>
      <c r="DU231" s="205"/>
      <c r="DV231" s="205"/>
      <c r="DW231" s="205"/>
      <c r="DX231" s="205"/>
      <c r="DY231" s="205"/>
      <c r="DZ231" s="205"/>
      <c r="EA231" s="205"/>
      <c r="EB231" s="205"/>
      <c r="EC231" s="205"/>
      <c r="ED231" s="205"/>
      <c r="EE231" s="205"/>
      <c r="EF231" s="205"/>
      <c r="EG231" s="205"/>
      <c r="EH231" s="205"/>
      <c r="EI231" s="205"/>
      <c r="EJ231" s="205"/>
      <c r="FY231" s="211">
        <v>226</v>
      </c>
      <c r="FZ231">
        <v>19.722921403916615</v>
      </c>
      <c r="GA231">
        <v>51.920917866509953</v>
      </c>
      <c r="GB231">
        <v>56.4848249985818</v>
      </c>
      <c r="GC231">
        <v>35.783431923573865</v>
      </c>
      <c r="GD231">
        <v>14.988920706722572</v>
      </c>
      <c r="GE231">
        <v>36.884177892789346</v>
      </c>
      <c r="GF231">
        <v>61.162699645566654</v>
      </c>
      <c r="GG231">
        <v>38.283070906820527</v>
      </c>
      <c r="GH231">
        <v>32.08724891854169</v>
      </c>
      <c r="GI231">
        <v>44.197276955540275</v>
      </c>
      <c r="GJ231"/>
      <c r="GK231"/>
      <c r="GL231"/>
      <c r="GM231"/>
    </row>
    <row r="232" spans="1:195" s="7" customFormat="1">
      <c r="A232" s="77"/>
      <c r="B232">
        <v>0.44309721099338706</v>
      </c>
      <c r="C232">
        <v>9</v>
      </c>
      <c r="D232">
        <v>39646</v>
      </c>
      <c r="E232">
        <v>0</v>
      </c>
      <c r="F232">
        <v>10.416666666666666</v>
      </c>
      <c r="G232">
        <v>10.416666666666666</v>
      </c>
      <c r="H232">
        <v>20.833333333333332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 s="2"/>
      <c r="AK232" s="81"/>
      <c r="AL232" s="81"/>
      <c r="AM232" s="43">
        <v>216</v>
      </c>
      <c r="AN232">
        <v>255.30753660419364</v>
      </c>
      <c r="AO232">
        <v>95.05091848494213</v>
      </c>
      <c r="AP232">
        <v>744.05808242164153</v>
      </c>
      <c r="AQ232">
        <v>565.6059919498739</v>
      </c>
      <c r="AR232">
        <v>84.521710590234761</v>
      </c>
      <c r="AS232">
        <v>660.65076198437885</v>
      </c>
      <c r="AT232">
        <v>45.923673140066143</v>
      </c>
      <c r="AU232">
        <v>65.058810557508565</v>
      </c>
      <c r="AV232"/>
      <c r="AW232"/>
      <c r="BA232" s="171"/>
      <c r="BC232" s="162"/>
      <c r="BD232" s="162"/>
      <c r="BE232" s="162"/>
      <c r="BF232" s="162"/>
      <c r="BG232" s="162"/>
      <c r="BH232" s="162"/>
      <c r="BI232" s="162"/>
      <c r="BJ232" s="162"/>
      <c r="BK232" s="162"/>
      <c r="BL232" s="162"/>
      <c r="BM232" s="162"/>
      <c r="BN232" s="162"/>
      <c r="BO232" s="162"/>
      <c r="BP232" s="162"/>
      <c r="BQ232" s="162"/>
      <c r="BR232" s="162"/>
      <c r="BS232" s="162"/>
      <c r="BT232" s="162"/>
      <c r="BU232" s="162"/>
      <c r="BV232" s="162"/>
      <c r="DE232" s="187">
        <f>DE162</f>
        <v>39910</v>
      </c>
      <c r="DF232" s="205"/>
      <c r="DG232" s="205">
        <f t="shared" si="353"/>
        <v>0.64604127211294915</v>
      </c>
      <c r="DH232" s="205">
        <f t="shared" si="354"/>
        <v>3.7382098972440886E-3</v>
      </c>
      <c r="DI232" s="205"/>
      <c r="DJ232" s="205"/>
      <c r="DK232" s="205"/>
      <c r="DL232" s="205"/>
      <c r="DM232" s="205"/>
      <c r="DN232" s="205"/>
      <c r="DO232" s="205"/>
      <c r="DP232" s="205"/>
      <c r="DQ232" s="205"/>
      <c r="DR232" s="205"/>
      <c r="DS232" s="205"/>
      <c r="DT232" s="205"/>
      <c r="DU232" s="205"/>
      <c r="DV232" s="205"/>
      <c r="DW232" s="205"/>
      <c r="DX232" s="205"/>
      <c r="DY232" s="205"/>
      <c r="DZ232" s="205"/>
      <c r="EA232" s="205"/>
      <c r="EB232" s="205"/>
      <c r="EC232" s="205"/>
      <c r="ED232" s="205"/>
      <c r="EE232" s="205"/>
      <c r="EF232" s="205"/>
      <c r="EG232" s="205"/>
      <c r="EH232" s="205"/>
      <c r="EI232" s="205"/>
      <c r="EJ232" s="205"/>
      <c r="FY232" s="211">
        <v>227</v>
      </c>
      <c r="FZ232">
        <v>6.5966946741843921</v>
      </c>
      <c r="GA232">
        <v>58.197989666018408</v>
      </c>
      <c r="GB232">
        <v>77.208912198735206</v>
      </c>
      <c r="GC232">
        <v>40.554414049316861</v>
      </c>
      <c r="GD232">
        <v>20.1515265608144</v>
      </c>
      <c r="GE232">
        <v>50.172015941857751</v>
      </c>
      <c r="GF232">
        <v>119.20601938429685</v>
      </c>
      <c r="GG232">
        <v>91.727915406714502</v>
      </c>
      <c r="GH232">
        <v>36.764143239159054</v>
      </c>
      <c r="GI232">
        <v>63.400570683113003</v>
      </c>
      <c r="GJ232"/>
      <c r="GK232"/>
      <c r="GL232"/>
      <c r="GM232"/>
    </row>
    <row r="233" spans="1:195" s="7" customFormat="1">
      <c r="A233" s="77"/>
      <c r="B233">
        <v>0.32976460038477518</v>
      </c>
      <c r="C233">
        <v>5</v>
      </c>
      <c r="D233">
        <v>39646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 s="2"/>
      <c r="AK233" s="81"/>
      <c r="AL233" s="81"/>
      <c r="AM233" s="43">
        <v>217</v>
      </c>
      <c r="AN233">
        <v>284.13515649228606</v>
      </c>
      <c r="AO233">
        <v>116.27577445751608</v>
      </c>
      <c r="AP233">
        <v>784.95555648123332</v>
      </c>
      <c r="AQ233">
        <v>613.67126859306552</v>
      </c>
      <c r="AR233">
        <v>105.89017954220893</v>
      </c>
      <c r="AS233">
        <v>818.96976792131807</v>
      </c>
      <c r="AT233">
        <v>60.136560741270635</v>
      </c>
      <c r="AU233">
        <v>98.826255211458573</v>
      </c>
      <c r="AV233"/>
      <c r="AW233"/>
      <c r="BA233" s="171"/>
      <c r="BC233" s="162"/>
      <c r="BD233" s="162"/>
      <c r="BE233" s="162"/>
      <c r="BF233" s="162"/>
      <c r="BG233" s="162"/>
      <c r="BH233" s="162"/>
      <c r="BI233" s="162"/>
      <c r="BJ233" s="162"/>
      <c r="BK233" s="162"/>
      <c r="BL233" s="162"/>
      <c r="BM233" s="162"/>
      <c r="BN233" s="162"/>
      <c r="BO233" s="162"/>
      <c r="BP233" s="162"/>
      <c r="BQ233" s="162"/>
      <c r="BR233" s="162"/>
      <c r="BS233" s="162"/>
      <c r="BT233" s="162"/>
      <c r="BU233" s="162"/>
      <c r="BV233" s="162"/>
      <c r="DE233" s="187">
        <f>DE171</f>
        <v>39949</v>
      </c>
      <c r="DF233" s="205"/>
      <c r="DG233" s="205">
        <f t="shared" si="353"/>
        <v>1.2238601446196147</v>
      </c>
      <c r="DH233" s="205">
        <v>1.9826E-2</v>
      </c>
      <c r="DI233" s="205"/>
      <c r="DJ233" s="205"/>
      <c r="DK233" s="205"/>
      <c r="DL233" s="205"/>
      <c r="DM233" s="205"/>
      <c r="DN233" s="205"/>
      <c r="DO233" s="205"/>
      <c r="DP233" s="205"/>
      <c r="DQ233" s="205"/>
      <c r="DR233" s="205"/>
      <c r="DS233" s="205"/>
      <c r="DT233" s="205"/>
      <c r="DU233" s="205"/>
      <c r="DV233" s="205"/>
      <c r="DW233" s="205"/>
      <c r="DX233" s="205"/>
      <c r="DY233" s="205"/>
      <c r="DZ233" s="205"/>
      <c r="EA233" s="205"/>
      <c r="EB233" s="205"/>
      <c r="EC233" s="205"/>
      <c r="ED233" s="205"/>
      <c r="EE233" s="205"/>
      <c r="EF233" s="205"/>
      <c r="EG233" s="205"/>
      <c r="EH233" s="205"/>
      <c r="EI233" s="205"/>
      <c r="EJ233" s="205"/>
      <c r="FY233" s="211">
        <v>228</v>
      </c>
      <c r="FZ233">
        <v>9.4877486698044908</v>
      </c>
      <c r="GA233">
        <v>39.798529921008964</v>
      </c>
      <c r="GB233">
        <v>65.974123967450907</v>
      </c>
      <c r="GC233">
        <v>40.31169521977467</v>
      </c>
      <c r="GD233">
        <v>24.472151254557083</v>
      </c>
      <c r="GE233">
        <v>48.204303169227273</v>
      </c>
      <c r="GF233">
        <v>77.998020214163645</v>
      </c>
      <c r="GG233">
        <v>62.174712940529304</v>
      </c>
      <c r="GH233">
        <v>23.686614112026021</v>
      </c>
      <c r="GI233">
        <v>53.386774882224501</v>
      </c>
      <c r="GJ233"/>
      <c r="GK233"/>
      <c r="GL233"/>
      <c r="GM233"/>
    </row>
    <row r="234" spans="1:195" s="7" customFormat="1">
      <c r="A234" s="77"/>
      <c r="B234">
        <v>0.24055628056104261</v>
      </c>
      <c r="C234">
        <v>2</v>
      </c>
      <c r="D234">
        <v>39646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 s="2"/>
      <c r="AK234" s="81"/>
      <c r="AL234" s="81"/>
      <c r="AM234" s="43">
        <v>218</v>
      </c>
      <c r="AN234">
        <v>274.3678038959232</v>
      </c>
      <c r="AO234">
        <v>88.996826534003915</v>
      </c>
      <c r="AP234">
        <v>621.90795985545446</v>
      </c>
      <c r="AQ234">
        <v>462.39527130461573</v>
      </c>
      <c r="AR234">
        <v>78.85500032405028</v>
      </c>
      <c r="AS234">
        <v>695.43085622460194</v>
      </c>
      <c r="AT234">
        <v>41.00832178076395</v>
      </c>
      <c r="AU234">
        <v>81.580927423921025</v>
      </c>
      <c r="AV234"/>
      <c r="AW234"/>
      <c r="BA234" s="171"/>
      <c r="BC234" s="162"/>
      <c r="BD234" s="162"/>
      <c r="BE234" s="162"/>
      <c r="BF234" s="162"/>
      <c r="BG234" s="162"/>
      <c r="BH234" s="162"/>
      <c r="BI234" s="162"/>
      <c r="BJ234" s="162"/>
      <c r="BK234" s="162"/>
      <c r="BL234" s="162"/>
      <c r="BM234" s="162"/>
      <c r="BN234" s="162"/>
      <c r="BO234" s="162"/>
      <c r="BP234" s="162"/>
      <c r="BQ234" s="162"/>
      <c r="BR234" s="162"/>
      <c r="BS234" s="162"/>
      <c r="BT234" s="162"/>
      <c r="BU234" s="162"/>
      <c r="BV234" s="162"/>
      <c r="DE234" s="187">
        <f>DE181</f>
        <v>39987</v>
      </c>
      <c r="DF234" s="205"/>
      <c r="DG234" s="205">
        <f t="shared" si="353"/>
        <v>0.13856914637351461</v>
      </c>
      <c r="DH234" s="205">
        <f t="shared" si="354"/>
        <v>-5.7326203757244641E-2</v>
      </c>
      <c r="DI234" s="205"/>
      <c r="DJ234" s="205"/>
      <c r="DK234" s="205"/>
      <c r="DL234" s="205"/>
      <c r="DM234" s="205"/>
      <c r="DN234" s="205"/>
      <c r="DO234" s="205"/>
      <c r="DP234" s="205"/>
      <c r="DQ234" s="205"/>
      <c r="DR234" s="205"/>
      <c r="DS234" s="205"/>
      <c r="DT234" s="205"/>
      <c r="DU234" s="205"/>
      <c r="DV234" s="205"/>
      <c r="DW234" s="205"/>
      <c r="DX234" s="205"/>
      <c r="DY234" s="205"/>
      <c r="DZ234" s="205"/>
      <c r="EA234" s="205"/>
      <c r="EB234" s="205"/>
      <c r="EC234" s="205"/>
      <c r="ED234" s="205"/>
      <c r="EE234" s="205"/>
      <c r="EF234" s="205"/>
      <c r="EG234" s="205"/>
      <c r="EH234" s="205"/>
      <c r="EI234" s="205"/>
      <c r="EJ234" s="205"/>
      <c r="FY234" s="211">
        <v>229</v>
      </c>
      <c r="FZ234">
        <v>18.061669172737751</v>
      </c>
      <c r="GA234">
        <v>51.529674545658409</v>
      </c>
      <c r="GB234">
        <v>82.619966735561448</v>
      </c>
      <c r="GC234">
        <v>45.890737875477981</v>
      </c>
      <c r="GD234">
        <v>19.492946581304828</v>
      </c>
      <c r="GE234">
        <v>75.428537357992383</v>
      </c>
      <c r="GF234">
        <v>111.76790685911197</v>
      </c>
      <c r="GG234">
        <v>33.059083747675608</v>
      </c>
      <c r="GH234">
        <v>10.27759573714162</v>
      </c>
      <c r="GI234">
        <v>60.286878784422015</v>
      </c>
      <c r="GJ234"/>
      <c r="GK234"/>
      <c r="GL234"/>
      <c r="GM234"/>
    </row>
    <row r="235" spans="1:195" s="7" customFormat="1">
      <c r="A235" s="77"/>
      <c r="B235">
        <v>0.93248729606158598</v>
      </c>
      <c r="C235">
        <v>2</v>
      </c>
      <c r="D235">
        <v>39646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 s="2"/>
      <c r="AK235" s="81"/>
      <c r="AL235" s="81"/>
      <c r="AM235" s="43">
        <v>219</v>
      </c>
      <c r="AN235">
        <v>229.21467746807821</v>
      </c>
      <c r="AO235">
        <v>72.594182060075056</v>
      </c>
      <c r="AP235">
        <v>548.13501361948715</v>
      </c>
      <c r="AQ235">
        <v>410.86597348479597</v>
      </c>
      <c r="AR235">
        <v>66.138978451434937</v>
      </c>
      <c r="AS235">
        <v>549.1582591614208</v>
      </c>
      <c r="AT235">
        <v>34.78734013989115</v>
      </c>
      <c r="AU235">
        <v>48.527605883051159</v>
      </c>
      <c r="AV235"/>
      <c r="AW235"/>
      <c r="BA235" s="171"/>
      <c r="BC235" s="162"/>
      <c r="BD235" s="162"/>
      <c r="BE235" s="162"/>
      <c r="BF235" s="162"/>
      <c r="BG235" s="162"/>
      <c r="BH235" s="162"/>
      <c r="BI235" s="162"/>
      <c r="BJ235" s="162"/>
      <c r="BK235" s="162"/>
      <c r="BL235" s="162"/>
      <c r="BM235" s="162"/>
      <c r="BN235" s="162"/>
      <c r="BO235" s="162"/>
      <c r="BP235" s="162"/>
      <c r="BQ235" s="162"/>
      <c r="BR235" s="162"/>
      <c r="BS235" s="162"/>
      <c r="BT235" s="162"/>
      <c r="BU235" s="162"/>
      <c r="BV235" s="162"/>
      <c r="DF235" s="205"/>
      <c r="DG235" s="205"/>
      <c r="DH235" s="205"/>
      <c r="DI235" s="205"/>
      <c r="DJ235" s="205"/>
      <c r="DK235" s="205"/>
      <c r="DL235" s="205"/>
      <c r="DM235" s="205"/>
      <c r="DN235" s="205"/>
      <c r="DO235" s="205"/>
      <c r="DP235" s="205"/>
      <c r="DQ235" s="205"/>
      <c r="DR235" s="205"/>
      <c r="DS235" s="205"/>
      <c r="DT235" s="205"/>
      <c r="DU235" s="205"/>
      <c r="DV235" s="205"/>
      <c r="DW235" s="205"/>
      <c r="DX235" s="205"/>
      <c r="DY235" s="205"/>
      <c r="DZ235" s="205"/>
      <c r="EA235" s="205"/>
      <c r="EB235" s="205"/>
      <c r="EC235" s="205"/>
      <c r="ED235" s="205"/>
      <c r="EE235" s="205"/>
      <c r="EF235" s="205"/>
      <c r="EG235" s="205"/>
      <c r="EH235" s="205"/>
      <c r="EI235" s="205"/>
      <c r="EJ235" s="205"/>
      <c r="FY235" s="211">
        <v>230</v>
      </c>
      <c r="FZ235">
        <v>8.2758939702271643</v>
      </c>
      <c r="GA235">
        <v>47.858975611908967</v>
      </c>
      <c r="GB235">
        <v>76.829186452742874</v>
      </c>
      <c r="GC235">
        <v>40.937010802532704</v>
      </c>
      <c r="GD235">
        <v>15.447251259248798</v>
      </c>
      <c r="GE235">
        <v>35.019902611404184</v>
      </c>
      <c r="GF235">
        <v>54.403569506932989</v>
      </c>
      <c r="GG235">
        <v>26.706501378579421</v>
      </c>
      <c r="GH235">
        <v>8.4934148474570641</v>
      </c>
      <c r="GI235">
        <v>42.943539975717606</v>
      </c>
      <c r="GJ235"/>
      <c r="GK235"/>
      <c r="GL235"/>
      <c r="GM235"/>
    </row>
    <row r="236" spans="1:195" s="7" customFormat="1">
      <c r="A236" s="77"/>
      <c r="B236">
        <v>2.0556355473780208E-2</v>
      </c>
      <c r="C236">
        <v>10</v>
      </c>
      <c r="D236">
        <v>39646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 s="2"/>
      <c r="AK236" s="81"/>
      <c r="AL236" s="81"/>
      <c r="AM236" s="43">
        <v>220</v>
      </c>
      <c r="AN236">
        <v>304.88113573028869</v>
      </c>
      <c r="AO236">
        <v>110.88406135863629</v>
      </c>
      <c r="AP236">
        <v>826.197517303768</v>
      </c>
      <c r="AQ236">
        <v>586.11010064676225</v>
      </c>
      <c r="AR236">
        <v>99.702216477521276</v>
      </c>
      <c r="AS236">
        <v>794.4297411929283</v>
      </c>
      <c r="AT236">
        <v>51.859203183748342</v>
      </c>
      <c r="AU236">
        <v>34.987780740535335</v>
      </c>
      <c r="AV236"/>
      <c r="AW236"/>
      <c r="BA236" s="171"/>
      <c r="BC236" s="162"/>
      <c r="BD236" s="162"/>
      <c r="BE236" s="162"/>
      <c r="BF236" s="162"/>
      <c r="BG236" s="162"/>
      <c r="BH236" s="162"/>
      <c r="BI236" s="162"/>
      <c r="BJ236" s="162"/>
      <c r="BK236" s="162"/>
      <c r="BL236" s="162"/>
      <c r="BM236" s="162"/>
      <c r="BN236" s="162"/>
      <c r="BO236" s="162"/>
      <c r="BP236" s="162"/>
      <c r="BQ236" s="162"/>
      <c r="BR236" s="162"/>
      <c r="BS236" s="162"/>
      <c r="BT236" s="162"/>
      <c r="BU236" s="162"/>
      <c r="BV236" s="162"/>
      <c r="DF236" s="205"/>
      <c r="DG236" s="205"/>
      <c r="DH236" s="205"/>
      <c r="DI236" s="205"/>
      <c r="DJ236" s="205"/>
      <c r="DK236" s="205"/>
      <c r="DL236" s="205"/>
      <c r="DM236" s="205"/>
      <c r="DN236" s="205"/>
      <c r="DO236" s="205"/>
      <c r="DP236" s="205"/>
      <c r="DQ236" s="205"/>
      <c r="DR236" s="205"/>
      <c r="DS236" s="205"/>
      <c r="DT236" s="205"/>
      <c r="DU236" s="205"/>
      <c r="DV236" s="205"/>
      <c r="DW236" s="205"/>
      <c r="DX236" s="205"/>
      <c r="DY236" s="205"/>
      <c r="DZ236" s="205"/>
      <c r="EA236" s="205"/>
      <c r="EB236" s="205"/>
      <c r="EC236" s="205"/>
      <c r="ED236" s="205"/>
      <c r="EE236" s="205"/>
      <c r="EF236" s="205"/>
      <c r="EG236" s="205"/>
      <c r="EH236" s="205"/>
      <c r="EI236" s="205"/>
      <c r="EJ236" s="205"/>
      <c r="FY236" s="211">
        <v>231</v>
      </c>
      <c r="FZ236">
        <v>35.060097442748585</v>
      </c>
      <c r="GA236">
        <v>76.07113897721942</v>
      </c>
      <c r="GB236">
        <v>54.830744060496905</v>
      </c>
      <c r="GC236">
        <v>34.013198054493891</v>
      </c>
      <c r="GD236">
        <v>18.975537721542363</v>
      </c>
      <c r="GE236">
        <v>26.42480352230071</v>
      </c>
      <c r="GF236">
        <v>42.115583060806756</v>
      </c>
      <c r="GG236">
        <v>42.503724055447954</v>
      </c>
      <c r="GH236">
        <v>26.439217008046374</v>
      </c>
      <c r="GI236">
        <v>43.214576025210775</v>
      </c>
      <c r="GJ236"/>
      <c r="GK236"/>
      <c r="GL236"/>
      <c r="GM236"/>
    </row>
    <row r="237" spans="1:195" s="7" customFormat="1">
      <c r="A237" s="77"/>
      <c r="B237">
        <v>0.81767365037012674</v>
      </c>
      <c r="C237">
        <v>6</v>
      </c>
      <c r="D237">
        <v>39646</v>
      </c>
      <c r="E237">
        <v>0</v>
      </c>
      <c r="F237">
        <v>20.833333333333332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 s="2"/>
      <c r="AK237" s="81"/>
      <c r="AL237" s="81"/>
      <c r="AM237" s="43">
        <v>221</v>
      </c>
      <c r="AN237">
        <v>267.65215519453767</v>
      </c>
      <c r="AO237">
        <v>92.155254713130347</v>
      </c>
      <c r="AP237">
        <v>675.59074189597607</v>
      </c>
      <c r="AQ237">
        <v>486.67475884428575</v>
      </c>
      <c r="AR237">
        <v>82.023324901753668</v>
      </c>
      <c r="AS237">
        <v>655.37199180060702</v>
      </c>
      <c r="AT237">
        <v>42.451321073151078</v>
      </c>
      <c r="AU237">
        <v>70.428883757545876</v>
      </c>
      <c r="AV237"/>
      <c r="AW237"/>
      <c r="BA237" s="171"/>
      <c r="BC237" s="162"/>
      <c r="BD237" s="162"/>
      <c r="BE237" s="162"/>
      <c r="BF237" s="162"/>
      <c r="BG237" s="162"/>
      <c r="BH237" s="162"/>
      <c r="BI237" s="162"/>
      <c r="BJ237" s="162"/>
      <c r="BK237" s="162"/>
      <c r="BL237" s="162"/>
      <c r="BM237" s="162"/>
      <c r="BN237" s="162"/>
      <c r="BO237" s="162"/>
      <c r="BP237" s="162"/>
      <c r="BQ237" s="162"/>
      <c r="BR237" s="162"/>
      <c r="BS237" s="162"/>
      <c r="BT237" s="162"/>
      <c r="BU237" s="162"/>
      <c r="BV237" s="162"/>
      <c r="DF237" s="205"/>
      <c r="DG237" s="205"/>
      <c r="DH237" s="205"/>
      <c r="DI237" s="205"/>
      <c r="DJ237" s="205"/>
      <c r="DK237" s="205"/>
      <c r="DL237" s="205"/>
      <c r="DM237" s="205"/>
      <c r="DN237" s="205"/>
      <c r="DO237" s="205"/>
      <c r="DP237" s="205"/>
      <c r="DQ237" s="205"/>
      <c r="DR237" s="205"/>
      <c r="DS237" s="205"/>
      <c r="DT237" s="205"/>
      <c r="DU237" s="205"/>
      <c r="DV237" s="205"/>
      <c r="DW237" s="205"/>
      <c r="DX237" s="205"/>
      <c r="DY237" s="205"/>
      <c r="DZ237" s="205"/>
      <c r="EA237" s="205"/>
      <c r="EB237" s="205"/>
      <c r="EC237" s="205"/>
      <c r="ED237" s="205"/>
      <c r="EE237" s="205"/>
      <c r="EF237" s="205"/>
      <c r="EG237" s="205"/>
      <c r="EH237" s="205"/>
      <c r="EI237" s="205"/>
      <c r="EJ237" s="205"/>
      <c r="FY237" s="211">
        <v>232</v>
      </c>
      <c r="FZ237">
        <v>8.3990539131092277</v>
      </c>
      <c r="GA237">
        <v>25.112425906445267</v>
      </c>
      <c r="GB237">
        <v>62.440765320340866</v>
      </c>
      <c r="GC237">
        <v>38.091067379478332</v>
      </c>
      <c r="GD237">
        <v>18.478477839945977</v>
      </c>
      <c r="GE237">
        <v>46.421190237118346</v>
      </c>
      <c r="GF237">
        <v>70.849508826415558</v>
      </c>
      <c r="GG237">
        <v>58.341643612677125</v>
      </c>
      <c r="GH237">
        <v>36.583962021166741</v>
      </c>
      <c r="GI237">
        <v>49.616649116755219</v>
      </c>
      <c r="GJ237"/>
      <c r="GK237"/>
      <c r="GL237"/>
      <c r="GM237"/>
    </row>
    <row r="238" spans="1:195" s="7" customFormat="1">
      <c r="A238" s="77"/>
      <c r="B238">
        <v>0.17656127820504608</v>
      </c>
      <c r="C238">
        <v>7</v>
      </c>
      <c r="D238">
        <v>39673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 s="2"/>
      <c r="AK238" s="81"/>
      <c r="AL238" s="81"/>
      <c r="AM238" s="43">
        <v>222</v>
      </c>
      <c r="AN238">
        <v>249.09228339160859</v>
      </c>
      <c r="AO238">
        <v>80.487124279391352</v>
      </c>
      <c r="AP238">
        <v>588.23899619758663</v>
      </c>
      <c r="AQ238">
        <v>443.01709926055401</v>
      </c>
      <c r="AR238">
        <v>69.40288443838439</v>
      </c>
      <c r="AS238">
        <v>608.77143100493947</v>
      </c>
      <c r="AT238">
        <v>35.931966533497494</v>
      </c>
      <c r="AU238">
        <v>113.49248598906573</v>
      </c>
      <c r="AV238"/>
      <c r="AW238"/>
      <c r="BA238" s="171"/>
      <c r="BC238" s="162"/>
      <c r="BD238" s="162"/>
      <c r="BE238" s="162"/>
      <c r="BF238" s="162"/>
      <c r="BG238" s="162"/>
      <c r="BH238" s="162"/>
      <c r="BI238" s="162"/>
      <c r="BJ238" s="162"/>
      <c r="BK238" s="162"/>
      <c r="BL238" s="162"/>
      <c r="BM238" s="162"/>
      <c r="BN238" s="162"/>
      <c r="BO238" s="162"/>
      <c r="BP238" s="162"/>
      <c r="BQ238" s="162"/>
      <c r="BR238" s="162"/>
      <c r="BS238" s="162"/>
      <c r="BT238" s="162"/>
      <c r="BU238" s="162"/>
      <c r="BV238" s="162"/>
      <c r="DF238" s="205"/>
      <c r="DG238" s="205"/>
      <c r="DH238" s="205"/>
      <c r="DI238" s="205"/>
      <c r="DJ238" s="205"/>
      <c r="DK238" s="205"/>
      <c r="DL238" s="205"/>
      <c r="DM238" s="205"/>
      <c r="DN238" s="205"/>
      <c r="DO238" s="205"/>
      <c r="DP238" s="205"/>
      <c r="DQ238" s="205"/>
      <c r="DR238" s="205"/>
      <c r="DS238" s="205"/>
      <c r="DT238" s="205"/>
      <c r="DU238" s="205"/>
      <c r="DV238" s="205"/>
      <c r="DW238" s="205"/>
      <c r="DX238" s="205"/>
      <c r="DY238" s="205"/>
      <c r="DZ238" s="205"/>
      <c r="EA238" s="205"/>
      <c r="EB238" s="205"/>
      <c r="EC238" s="205"/>
      <c r="ED238" s="205"/>
      <c r="EE238" s="205"/>
      <c r="EF238" s="205"/>
      <c r="EG238" s="205"/>
      <c r="EH238" s="205"/>
      <c r="EI238" s="205"/>
      <c r="EJ238" s="205"/>
      <c r="FY238" s="211">
        <v>233</v>
      </c>
      <c r="FZ238">
        <v>20.10009118839741</v>
      </c>
      <c r="GA238">
        <v>57.350275711576245</v>
      </c>
      <c r="GB238">
        <v>60.428726259980387</v>
      </c>
      <c r="GC238">
        <v>38.06522174773562</v>
      </c>
      <c r="GD238">
        <v>22.247886245488559</v>
      </c>
      <c r="GE238">
        <v>38.331356010853284</v>
      </c>
      <c r="GF238">
        <v>73.242138019394616</v>
      </c>
      <c r="GG238">
        <v>60.422912950385758</v>
      </c>
      <c r="GH238">
        <v>24.645682174860461</v>
      </c>
      <c r="GI238">
        <v>51.255312503906346</v>
      </c>
      <c r="GJ238"/>
      <c r="GK238"/>
      <c r="GL238"/>
      <c r="GM238"/>
    </row>
    <row r="239" spans="1:195" s="7" customFormat="1">
      <c r="A239" s="77" t="s">
        <v>61</v>
      </c>
      <c r="B239">
        <v>0.4385355481555866</v>
      </c>
      <c r="C239">
        <v>6</v>
      </c>
      <c r="D239">
        <v>39673</v>
      </c>
      <c r="E239">
        <v>0</v>
      </c>
      <c r="F239">
        <v>0</v>
      </c>
      <c r="G239">
        <v>41.666666666666664</v>
      </c>
      <c r="H239">
        <v>10.416666666666666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 s="2"/>
      <c r="AK239" s="81"/>
      <c r="AL239" s="81"/>
      <c r="AM239" s="43">
        <v>223</v>
      </c>
      <c r="AN239">
        <v>241.30234797095119</v>
      </c>
      <c r="AO239">
        <v>79.778906953970449</v>
      </c>
      <c r="AP239">
        <v>542.39611125547719</v>
      </c>
      <c r="AQ239">
        <v>426.74052716616296</v>
      </c>
      <c r="AR239">
        <v>72.628228767823458</v>
      </c>
      <c r="AS239">
        <v>556.47915162835557</v>
      </c>
      <c r="AT239">
        <v>40.195492975332336</v>
      </c>
      <c r="AU239">
        <v>132.75018259435242</v>
      </c>
      <c r="AV239"/>
      <c r="AW239"/>
      <c r="BA239" s="171"/>
      <c r="BC239" s="162"/>
      <c r="BD239" s="162"/>
      <c r="BE239" s="162"/>
      <c r="BF239" s="162"/>
      <c r="BG239" s="162"/>
      <c r="BH239" s="162"/>
      <c r="BI239" s="162"/>
      <c r="BJ239" s="162"/>
      <c r="BK239" s="162"/>
      <c r="BL239" s="162"/>
      <c r="BM239" s="162"/>
      <c r="BN239" s="162"/>
      <c r="BO239" s="162"/>
      <c r="BP239" s="162"/>
      <c r="BQ239" s="162"/>
      <c r="BR239" s="162"/>
      <c r="BS239" s="162"/>
      <c r="BT239" s="162"/>
      <c r="BU239" s="162"/>
      <c r="BV239" s="162"/>
      <c r="DE239" s="184" t="s">
        <v>139</v>
      </c>
      <c r="DF239" s="183" t="s">
        <v>83</v>
      </c>
      <c r="DG239" s="182">
        <v>1</v>
      </c>
      <c r="DH239" s="182">
        <v>2</v>
      </c>
      <c r="DI239" s="182">
        <v>3</v>
      </c>
      <c r="DJ239" s="182">
        <v>4</v>
      </c>
      <c r="DK239" s="182">
        <v>5</v>
      </c>
      <c r="DL239" s="182">
        <v>6</v>
      </c>
      <c r="DM239" s="182">
        <v>7</v>
      </c>
      <c r="DN239" s="182">
        <v>8</v>
      </c>
      <c r="DO239" s="182">
        <v>9</v>
      </c>
      <c r="DP239" s="182">
        <v>10</v>
      </c>
      <c r="DQ239" s="182">
        <v>11</v>
      </c>
      <c r="DR239" s="182">
        <v>12</v>
      </c>
      <c r="DS239" s="182">
        <v>13</v>
      </c>
      <c r="DT239" s="182">
        <v>14</v>
      </c>
      <c r="DU239" s="182">
        <v>15</v>
      </c>
      <c r="DV239" s="182">
        <v>16</v>
      </c>
      <c r="DW239" s="182">
        <v>17</v>
      </c>
      <c r="DX239" s="182">
        <v>18</v>
      </c>
      <c r="DY239" s="182">
        <v>19</v>
      </c>
      <c r="DZ239" s="182">
        <v>20</v>
      </c>
      <c r="EA239" s="182">
        <v>21</v>
      </c>
      <c r="EB239" s="182">
        <v>22</v>
      </c>
      <c r="EC239" s="182">
        <v>23</v>
      </c>
      <c r="ED239" s="182">
        <v>24</v>
      </c>
      <c r="EE239" s="182">
        <v>25</v>
      </c>
      <c r="EF239" s="182">
        <v>26</v>
      </c>
      <c r="EG239" s="182">
        <v>27</v>
      </c>
      <c r="EH239" s="182">
        <v>28</v>
      </c>
      <c r="EI239" s="182">
        <v>29</v>
      </c>
      <c r="EJ239" s="182">
        <v>30</v>
      </c>
      <c r="FY239" s="211">
        <v>234</v>
      </c>
      <c r="FZ239">
        <v>10.88222140328191</v>
      </c>
      <c r="GA239">
        <v>61.026364409767233</v>
      </c>
      <c r="GB239">
        <v>97.295294159534308</v>
      </c>
      <c r="GC239">
        <v>52.232434631131767</v>
      </c>
      <c r="GD239">
        <v>21.507563824548793</v>
      </c>
      <c r="GE239">
        <v>46.858421269748241</v>
      </c>
      <c r="GF239">
        <v>100.16361517044335</v>
      </c>
      <c r="GG239">
        <v>87.663585472032565</v>
      </c>
      <c r="GH239">
        <v>40.898976205954682</v>
      </c>
      <c r="GI239">
        <v>66.774759716314463</v>
      </c>
      <c r="GJ239"/>
      <c r="GK239"/>
      <c r="GL239"/>
      <c r="GM239"/>
    </row>
    <row r="240" spans="1:195" s="7" customFormat="1">
      <c r="A240" s="77" t="s">
        <v>62</v>
      </c>
      <c r="B240">
        <v>9.2643543955196028E-2</v>
      </c>
      <c r="C240">
        <v>3</v>
      </c>
      <c r="D240">
        <v>39673</v>
      </c>
      <c r="E240">
        <v>0</v>
      </c>
      <c r="F240">
        <v>0</v>
      </c>
      <c r="G240">
        <v>142.97385620915031</v>
      </c>
      <c r="H240">
        <v>71.486928104575156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 s="2"/>
      <c r="AK240" s="81"/>
      <c r="AL240" s="81"/>
      <c r="AM240" s="43">
        <v>224</v>
      </c>
      <c r="AN240">
        <v>206.8900832940256</v>
      </c>
      <c r="AO240">
        <v>61.361203264252467</v>
      </c>
      <c r="AP240">
        <v>464.01776448388273</v>
      </c>
      <c r="AQ240">
        <v>342.87374932169507</v>
      </c>
      <c r="AR240">
        <v>55.170519324786376</v>
      </c>
      <c r="AS240">
        <v>477.51573788969091</v>
      </c>
      <c r="AT240">
        <v>30.86232922944917</v>
      </c>
      <c r="AU240">
        <v>59.622892373123314</v>
      </c>
      <c r="AV240"/>
      <c r="AW240"/>
      <c r="BA240" s="171"/>
      <c r="BC240" s="162"/>
      <c r="BD240" s="162"/>
      <c r="BE240" s="162"/>
      <c r="BF240" s="162"/>
      <c r="BG240" s="162"/>
      <c r="BH240" s="162"/>
      <c r="BI240" s="162"/>
      <c r="BJ240" s="162"/>
      <c r="BK240" s="162"/>
      <c r="BL240" s="162"/>
      <c r="BM240" s="162"/>
      <c r="BN240" s="162"/>
      <c r="BO240" s="162"/>
      <c r="BP240" s="162"/>
      <c r="BQ240" s="162"/>
      <c r="BR240" s="162"/>
      <c r="BS240" s="162"/>
      <c r="BT240" s="162"/>
      <c r="BU240" s="162"/>
      <c r="BV240" s="162"/>
      <c r="DE240" s="187">
        <v>39646</v>
      </c>
      <c r="DF240" s="182">
        <v>0</v>
      </c>
      <c r="DG240" s="182">
        <v>5.208333333333333</v>
      </c>
      <c r="DH240" s="182">
        <v>12.5</v>
      </c>
      <c r="DI240" s="182">
        <v>6.25</v>
      </c>
      <c r="DJ240" s="182">
        <v>0</v>
      </c>
      <c r="DK240" s="182">
        <v>0</v>
      </c>
      <c r="DL240" s="182">
        <v>0</v>
      </c>
      <c r="DM240" s="182">
        <v>0</v>
      </c>
      <c r="DN240" s="182">
        <v>0</v>
      </c>
      <c r="DO240" s="182">
        <v>0</v>
      </c>
      <c r="DP240" s="182">
        <v>0</v>
      </c>
      <c r="DQ240" s="182">
        <v>0</v>
      </c>
      <c r="DR240" s="182">
        <v>0</v>
      </c>
      <c r="DS240" s="182">
        <v>0</v>
      </c>
      <c r="DT240" s="182">
        <v>0</v>
      </c>
      <c r="DU240" s="182">
        <v>0</v>
      </c>
      <c r="DV240" s="182">
        <v>0</v>
      </c>
      <c r="DW240" s="182">
        <v>0</v>
      </c>
      <c r="DX240" s="182">
        <v>0</v>
      </c>
      <c r="DY240" s="182">
        <v>0</v>
      </c>
      <c r="DZ240" s="182">
        <v>0</v>
      </c>
      <c r="EA240" s="182">
        <v>0</v>
      </c>
      <c r="EB240" s="182">
        <v>0</v>
      </c>
      <c r="EC240" s="182">
        <v>0</v>
      </c>
      <c r="ED240" s="182">
        <v>0</v>
      </c>
      <c r="EE240" s="182">
        <v>0</v>
      </c>
      <c r="EF240" s="182">
        <v>0</v>
      </c>
      <c r="EG240" s="182">
        <v>0</v>
      </c>
      <c r="EH240" s="182">
        <v>0</v>
      </c>
      <c r="EI240" s="182">
        <v>0</v>
      </c>
      <c r="EJ240" s="182">
        <v>0</v>
      </c>
      <c r="FY240" s="211">
        <v>235</v>
      </c>
      <c r="FZ240">
        <v>10.305371175440822</v>
      </c>
      <c r="GA240">
        <v>45.83550796296813</v>
      </c>
      <c r="GB240">
        <v>59.847508998836361</v>
      </c>
      <c r="GC240">
        <v>32.864154035483601</v>
      </c>
      <c r="GD240">
        <v>13.926140449451051</v>
      </c>
      <c r="GE240">
        <v>23.362859543696473</v>
      </c>
      <c r="GF240">
        <v>50.679509990215521</v>
      </c>
      <c r="GG240">
        <v>37.115902216049655</v>
      </c>
      <c r="GH240">
        <v>9.735029452193233</v>
      </c>
      <c r="GI240">
        <v>37.573331112985066</v>
      </c>
      <c r="GJ240"/>
      <c r="GK240"/>
      <c r="GL240"/>
      <c r="GM240"/>
    </row>
    <row r="241" spans="1:195" s="7" customFormat="1">
      <c r="A241" s="77"/>
      <c r="B241">
        <v>0.52724262234737895</v>
      </c>
      <c r="C241">
        <v>3</v>
      </c>
      <c r="D241">
        <v>39673</v>
      </c>
      <c r="E241">
        <v>0</v>
      </c>
      <c r="F241">
        <v>0</v>
      </c>
      <c r="G241">
        <v>142.97385620915031</v>
      </c>
      <c r="H241">
        <v>71.486928104575156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 s="2"/>
      <c r="AK241" s="81"/>
      <c r="AL241" s="81"/>
      <c r="AM241" s="43">
        <v>225</v>
      </c>
      <c r="AN241">
        <v>253.05194530483567</v>
      </c>
      <c r="AO241">
        <v>90.850353524401328</v>
      </c>
      <c r="AP241">
        <v>616.70061321777791</v>
      </c>
      <c r="AQ241">
        <v>481.17504724383281</v>
      </c>
      <c r="AR241">
        <v>80.848501306593377</v>
      </c>
      <c r="AS241">
        <v>654.55780898469334</v>
      </c>
      <c r="AT241">
        <v>45.029399330644686</v>
      </c>
      <c r="AU241">
        <v>65.435595842892255</v>
      </c>
      <c r="AV241"/>
      <c r="AW241"/>
      <c r="DE241" s="187">
        <v>39673</v>
      </c>
      <c r="DF241" s="185">
        <v>0</v>
      </c>
      <c r="DG241" s="185">
        <v>19.791666666666664</v>
      </c>
      <c r="DH241" s="185">
        <v>69.059290382819796</v>
      </c>
      <c r="DI241" s="185">
        <v>14.440359477124181</v>
      </c>
      <c r="DJ241" s="185">
        <v>0</v>
      </c>
      <c r="DK241" s="185">
        <v>1.0416666666666665</v>
      </c>
      <c r="DL241" s="185">
        <v>0</v>
      </c>
      <c r="DM241" s="185">
        <v>9.375</v>
      </c>
      <c r="DN241" s="185">
        <v>0</v>
      </c>
      <c r="DO241" s="185">
        <v>0</v>
      </c>
      <c r="DP241" s="185">
        <v>0</v>
      </c>
      <c r="DQ241" s="185">
        <v>0</v>
      </c>
      <c r="DR241" s="185">
        <v>0</v>
      </c>
      <c r="DS241" s="185">
        <v>0</v>
      </c>
      <c r="DT241" s="185">
        <v>0</v>
      </c>
      <c r="DU241" s="185">
        <v>0</v>
      </c>
      <c r="DV241" s="185">
        <v>0</v>
      </c>
      <c r="DW241" s="185">
        <v>0</v>
      </c>
      <c r="DX241" s="185">
        <v>0</v>
      </c>
      <c r="DY241" s="185">
        <v>0</v>
      </c>
      <c r="DZ241" s="185">
        <v>0</v>
      </c>
      <c r="EA241" s="185">
        <v>0</v>
      </c>
      <c r="EB241" s="185">
        <v>0</v>
      </c>
      <c r="EC241" s="185">
        <v>0</v>
      </c>
      <c r="ED241" s="185">
        <v>0</v>
      </c>
      <c r="EE241" s="185">
        <v>0</v>
      </c>
      <c r="EF241" s="185">
        <v>0</v>
      </c>
      <c r="EG241" s="185">
        <v>0</v>
      </c>
      <c r="EH241" s="185">
        <v>0</v>
      </c>
      <c r="EI241" s="185">
        <v>0</v>
      </c>
      <c r="EJ241" s="185">
        <v>0</v>
      </c>
      <c r="FY241" s="211">
        <v>236</v>
      </c>
      <c r="FZ241">
        <v>4.6913281449779927</v>
      </c>
      <c r="GA241">
        <v>33.293503498078735</v>
      </c>
      <c r="GB241">
        <v>70.44331956460897</v>
      </c>
      <c r="GC241">
        <v>37.280639057683821</v>
      </c>
      <c r="GD241">
        <v>17.853060298592538</v>
      </c>
      <c r="GE241">
        <v>39.926880394789713</v>
      </c>
      <c r="GF241">
        <v>50.466129258086418</v>
      </c>
      <c r="GG241">
        <v>41.180494022462</v>
      </c>
      <c r="GH241">
        <v>24.406222761425514</v>
      </c>
      <c r="GI241">
        <v>44.145858617043046</v>
      </c>
      <c r="GJ241"/>
      <c r="GK241"/>
      <c r="GL241"/>
      <c r="GM241"/>
    </row>
    <row r="242" spans="1:195" s="7" customFormat="1">
      <c r="A242" s="1"/>
      <c r="B242">
        <v>0.62086725012368582</v>
      </c>
      <c r="C242">
        <v>4</v>
      </c>
      <c r="D242">
        <v>39673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 s="2"/>
      <c r="AK242" s="81"/>
      <c r="AL242" s="81"/>
      <c r="AM242" s="43">
        <v>226</v>
      </c>
      <c r="AN242">
        <v>249.05412330489935</v>
      </c>
      <c r="AO242">
        <v>70.136222491190921</v>
      </c>
      <c r="AP242">
        <v>523.74239125162376</v>
      </c>
      <c r="AQ242">
        <v>391.51549121856328</v>
      </c>
      <c r="AR242">
        <v>62.173792622835393</v>
      </c>
      <c r="AS242">
        <v>537.95600229822583</v>
      </c>
      <c r="AT242">
        <v>34.385351420508201</v>
      </c>
      <c r="AU242">
        <v>5.7266391018001226</v>
      </c>
      <c r="AV242"/>
      <c r="AW242"/>
      <c r="BI242" s="162"/>
      <c r="DE242" s="187">
        <v>39714</v>
      </c>
      <c r="DF242" s="182">
        <v>0</v>
      </c>
      <c r="DG242" s="182">
        <v>8.928571428571427</v>
      </c>
      <c r="DH242" s="182">
        <v>149.32315668202764</v>
      </c>
      <c r="DI242" s="182">
        <v>138.91129032258067</v>
      </c>
      <c r="DJ242" s="182">
        <v>21.875000000000004</v>
      </c>
      <c r="DK242" s="182">
        <v>0</v>
      </c>
      <c r="DL242" s="182">
        <v>1.0416666666666665</v>
      </c>
      <c r="DM242" s="182">
        <v>0</v>
      </c>
      <c r="DN242" s="182">
        <v>0</v>
      </c>
      <c r="DO242" s="182">
        <v>0</v>
      </c>
      <c r="DP242" s="182">
        <v>0</v>
      </c>
      <c r="DQ242" s="182">
        <v>0</v>
      </c>
      <c r="DR242" s="182">
        <v>0</v>
      </c>
      <c r="DS242" s="182">
        <v>0</v>
      </c>
      <c r="DT242" s="182">
        <v>0</v>
      </c>
      <c r="DU242" s="182">
        <v>0</v>
      </c>
      <c r="DV242" s="182">
        <v>0</v>
      </c>
      <c r="DW242" s="182">
        <v>0</v>
      </c>
      <c r="DX242" s="182">
        <v>0</v>
      </c>
      <c r="DY242" s="182">
        <v>0</v>
      </c>
      <c r="DZ242" s="182">
        <v>0</v>
      </c>
      <c r="EA242" s="182">
        <v>0</v>
      </c>
      <c r="EB242" s="182">
        <v>0</v>
      </c>
      <c r="EC242" s="182">
        <v>0</v>
      </c>
      <c r="ED242" s="182">
        <v>0</v>
      </c>
      <c r="EE242" s="182">
        <v>0</v>
      </c>
      <c r="EF242" s="182">
        <v>0</v>
      </c>
      <c r="EG242" s="182">
        <v>0</v>
      </c>
      <c r="EH242" s="182">
        <v>0</v>
      </c>
      <c r="EI242" s="182">
        <v>0</v>
      </c>
      <c r="EJ242" s="182">
        <v>0</v>
      </c>
      <c r="FY242" s="211">
        <v>237</v>
      </c>
      <c r="FZ242">
        <v>10.389908527356202</v>
      </c>
      <c r="GA242">
        <v>56.429643156460351</v>
      </c>
      <c r="GB242">
        <v>67.970976725442497</v>
      </c>
      <c r="GC242">
        <v>40.150263112908149</v>
      </c>
      <c r="GD242">
        <v>18.952064136715304</v>
      </c>
      <c r="GE242">
        <v>25.259513390101542</v>
      </c>
      <c r="GF242">
        <v>69.99265005093433</v>
      </c>
      <c r="GG242">
        <v>56.365918443388793</v>
      </c>
      <c r="GH242">
        <v>12.208026092106149</v>
      </c>
      <c r="GI242">
        <v>47.214157665873778</v>
      </c>
      <c r="GJ242"/>
      <c r="GK242"/>
      <c r="GL242"/>
      <c r="GM242"/>
    </row>
    <row r="243" spans="1:195" s="7" customFormat="1">
      <c r="A243" s="1"/>
      <c r="B243">
        <v>0.81772090546291221</v>
      </c>
      <c r="C243">
        <v>5</v>
      </c>
      <c r="D243">
        <v>39673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 s="2"/>
      <c r="AK243" s="81"/>
      <c r="AL243" s="81"/>
      <c r="AM243" s="43">
        <v>227</v>
      </c>
      <c r="AN243">
        <v>301.11554390992802</v>
      </c>
      <c r="AO243">
        <v>101.01480879628267</v>
      </c>
      <c r="AP243">
        <v>782.15469621642887</v>
      </c>
      <c r="AQ243">
        <v>563.98020180421042</v>
      </c>
      <c r="AR243">
        <v>91.140080434165611</v>
      </c>
      <c r="AS243">
        <v>783.08023593999792</v>
      </c>
      <c r="AT243">
        <v>50.760707371625536</v>
      </c>
      <c r="AU243">
        <v>155.20961770614201</v>
      </c>
      <c r="AV243"/>
      <c r="AW243"/>
      <c r="DE243" s="187">
        <v>39747</v>
      </c>
      <c r="DF243" s="182">
        <v>7.0112179487179489</v>
      </c>
      <c r="DG243" s="182">
        <v>112.76992284535388</v>
      </c>
      <c r="DH243" s="182">
        <v>287.97588307286577</v>
      </c>
      <c r="DI243" s="182">
        <v>107.45197055712723</v>
      </c>
      <c r="DJ243" s="182">
        <v>162.6788078960335</v>
      </c>
      <c r="DK243" s="182">
        <v>44.744318181818187</v>
      </c>
      <c r="DL243" s="182">
        <v>3.125</v>
      </c>
      <c r="DM243" s="182">
        <v>3.8825757575757569</v>
      </c>
      <c r="DN243" s="182">
        <v>0</v>
      </c>
      <c r="DO243" s="182">
        <v>0</v>
      </c>
      <c r="DP243" s="182">
        <v>0</v>
      </c>
      <c r="DQ243" s="182">
        <v>0</v>
      </c>
      <c r="DR243" s="182">
        <v>0</v>
      </c>
      <c r="DS243" s="182">
        <v>0</v>
      </c>
      <c r="DT243" s="182">
        <v>0</v>
      </c>
      <c r="DU243" s="182">
        <v>0</v>
      </c>
      <c r="DV243" s="182">
        <v>0</v>
      </c>
      <c r="DW243" s="182">
        <v>0</v>
      </c>
      <c r="DX243" s="182">
        <v>0</v>
      </c>
      <c r="DY243" s="182">
        <v>0</v>
      </c>
      <c r="DZ243" s="182">
        <v>0</v>
      </c>
      <c r="EA243" s="182">
        <v>0</v>
      </c>
      <c r="EB243" s="182">
        <v>0</v>
      </c>
      <c r="EC243" s="182">
        <v>0</v>
      </c>
      <c r="ED243" s="182">
        <v>0</v>
      </c>
      <c r="EE243" s="182">
        <v>0</v>
      </c>
      <c r="EF243" s="182">
        <v>0</v>
      </c>
      <c r="EG243" s="182">
        <v>0</v>
      </c>
      <c r="EH243" s="182">
        <v>0</v>
      </c>
      <c r="EI243" s="182">
        <v>0</v>
      </c>
      <c r="EJ243" s="182">
        <v>0</v>
      </c>
      <c r="FY243" s="211">
        <v>238</v>
      </c>
      <c r="FZ243">
        <v>22.991900723062209</v>
      </c>
      <c r="GA243">
        <v>68.431474482214284</v>
      </c>
      <c r="GB243">
        <v>91.298468051754952</v>
      </c>
      <c r="GC243">
        <v>49.43990500112875</v>
      </c>
      <c r="GD243">
        <v>33.856747197439148</v>
      </c>
      <c r="GE243">
        <v>80.215593485276784</v>
      </c>
      <c r="GF243">
        <v>100.10088639615473</v>
      </c>
      <c r="GG243">
        <v>67.326468638978142</v>
      </c>
      <c r="GH243">
        <v>26.90864266006032</v>
      </c>
      <c r="GI243">
        <v>73.182905816586043</v>
      </c>
      <c r="GJ243"/>
      <c r="GK243"/>
      <c r="GL243"/>
      <c r="GM243"/>
    </row>
    <row r="244" spans="1:195" s="7" customFormat="1">
      <c r="A244" s="1"/>
      <c r="B244">
        <v>0.45217154318671948</v>
      </c>
      <c r="C244">
        <v>7</v>
      </c>
      <c r="D244">
        <v>39673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 s="2"/>
      <c r="AK244" s="81"/>
      <c r="AL244" s="81"/>
      <c r="AM244" s="43">
        <v>228</v>
      </c>
      <c r="AN244">
        <v>248.02634535214011</v>
      </c>
      <c r="AO244">
        <v>84.496935999828253</v>
      </c>
      <c r="AP244">
        <v>586.71860511775913</v>
      </c>
      <c r="AQ244">
        <v>445.4946743507669</v>
      </c>
      <c r="AR244">
        <v>76.504535595097948</v>
      </c>
      <c r="AS244">
        <v>667.17495478064302</v>
      </c>
      <c r="AT244">
        <v>41.901319805370861</v>
      </c>
      <c r="AU244">
        <v>94.47724702671826</v>
      </c>
      <c r="AV244"/>
      <c r="AW244"/>
      <c r="DE244" s="187">
        <v>39775</v>
      </c>
      <c r="DF244" s="182">
        <v>0</v>
      </c>
      <c r="DG244" s="182">
        <v>33.333333333333329</v>
      </c>
      <c r="DH244" s="182">
        <v>175.0608766233766</v>
      </c>
      <c r="DI244" s="182">
        <v>25.378787878787879</v>
      </c>
      <c r="DJ244" s="182">
        <v>80.133061383061388</v>
      </c>
      <c r="DK244" s="182">
        <v>18.939393939393938</v>
      </c>
      <c r="DL244" s="182">
        <v>0</v>
      </c>
      <c r="DM244" s="182">
        <v>0</v>
      </c>
      <c r="DN244" s="182">
        <v>0</v>
      </c>
      <c r="DO244" s="182">
        <v>0</v>
      </c>
      <c r="DP244" s="182">
        <v>0</v>
      </c>
      <c r="DQ244" s="182">
        <v>0</v>
      </c>
      <c r="DR244" s="182">
        <v>0</v>
      </c>
      <c r="DS244" s="182">
        <v>0</v>
      </c>
      <c r="DT244" s="182">
        <v>0</v>
      </c>
      <c r="DU244" s="182">
        <v>0</v>
      </c>
      <c r="DV244" s="182">
        <v>0</v>
      </c>
      <c r="DW244" s="182">
        <v>0</v>
      </c>
      <c r="DX244" s="182">
        <v>0</v>
      </c>
      <c r="DY244" s="182">
        <v>0</v>
      </c>
      <c r="DZ244" s="182">
        <v>0</v>
      </c>
      <c r="EA244" s="182">
        <v>0</v>
      </c>
      <c r="EB244" s="182">
        <v>0</v>
      </c>
      <c r="EC244" s="182">
        <v>0</v>
      </c>
      <c r="ED244" s="182">
        <v>0</v>
      </c>
      <c r="EE244" s="182">
        <v>0</v>
      </c>
      <c r="EF244" s="182">
        <v>0</v>
      </c>
      <c r="EG244" s="182">
        <v>0</v>
      </c>
      <c r="EH244" s="182">
        <v>0</v>
      </c>
      <c r="EI244" s="182">
        <v>0</v>
      </c>
      <c r="EJ244" s="182">
        <v>0</v>
      </c>
      <c r="FY244" s="211">
        <v>239</v>
      </c>
      <c r="FZ244">
        <v>24.702153923739075</v>
      </c>
      <c r="GA244">
        <v>46.085847508249472</v>
      </c>
      <c r="GB244">
        <v>64.977509644046236</v>
      </c>
      <c r="GC244">
        <v>41.686161911485279</v>
      </c>
      <c r="GD244">
        <v>18.413098637619402</v>
      </c>
      <c r="GE244">
        <v>36.820538805725661</v>
      </c>
      <c r="GF244">
        <v>65.863414263334946</v>
      </c>
      <c r="GG244">
        <v>61.949357265800735</v>
      </c>
      <c r="GH244">
        <v>38.609532747827231</v>
      </c>
      <c r="GI244">
        <v>50.83531969137519</v>
      </c>
      <c r="GJ244"/>
      <c r="GK244"/>
      <c r="GL244"/>
      <c r="GM244"/>
    </row>
    <row r="245" spans="1:195" s="7" customFormat="1">
      <c r="A245" s="1"/>
      <c r="B245">
        <v>0.95859486664721238</v>
      </c>
      <c r="C245">
        <v>9</v>
      </c>
      <c r="D245">
        <v>39673</v>
      </c>
      <c r="E245">
        <v>0</v>
      </c>
      <c r="F245">
        <v>10.416666666666666</v>
      </c>
      <c r="G245">
        <v>52.083333333333336</v>
      </c>
      <c r="H245">
        <v>0</v>
      </c>
      <c r="I245">
        <v>0</v>
      </c>
      <c r="J245">
        <v>0</v>
      </c>
      <c r="K245">
        <v>0</v>
      </c>
      <c r="L245">
        <v>72.916666666666671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 s="2"/>
      <c r="AK245" s="81"/>
      <c r="AL245" s="81"/>
      <c r="AM245" s="43">
        <v>229</v>
      </c>
      <c r="AN245">
        <v>278.94097327890393</v>
      </c>
      <c r="AO245">
        <v>95.636714357618104</v>
      </c>
      <c r="AP245">
        <v>680.48432980342614</v>
      </c>
      <c r="AQ245">
        <v>508.41499739708399</v>
      </c>
      <c r="AR245">
        <v>83.780523268229643</v>
      </c>
      <c r="AS245">
        <v>713.88341695177087</v>
      </c>
      <c r="AT245">
        <v>45.266805782659247</v>
      </c>
      <c r="AU245">
        <v>56.616722804530198</v>
      </c>
      <c r="AV245"/>
      <c r="AW245"/>
      <c r="DE245" s="187">
        <v>39799</v>
      </c>
      <c r="DF245" s="182">
        <v>0</v>
      </c>
      <c r="DG245" s="182">
        <v>16.535027472527474</v>
      </c>
      <c r="DH245" s="182">
        <v>152.24931318681317</v>
      </c>
      <c r="DI245" s="182">
        <v>10.563568376068377</v>
      </c>
      <c r="DJ245" s="182">
        <v>58.17694830818975</v>
      </c>
      <c r="DK245" s="182">
        <v>28.030303030303031</v>
      </c>
      <c r="DL245" s="182">
        <v>11.363636363636363</v>
      </c>
      <c r="DM245" s="182">
        <v>0</v>
      </c>
      <c r="DN245" s="182">
        <v>0</v>
      </c>
      <c r="DO245" s="182">
        <v>0</v>
      </c>
      <c r="DP245" s="182">
        <v>0</v>
      </c>
      <c r="DQ245" s="182">
        <v>0</v>
      </c>
      <c r="DR245" s="182">
        <v>0</v>
      </c>
      <c r="DS245" s="182">
        <v>0</v>
      </c>
      <c r="DT245" s="182">
        <v>0</v>
      </c>
      <c r="DU245" s="182">
        <v>0</v>
      </c>
      <c r="DV245" s="182">
        <v>0</v>
      </c>
      <c r="DW245" s="182">
        <v>0</v>
      </c>
      <c r="DX245" s="182">
        <v>0</v>
      </c>
      <c r="DY245" s="182">
        <v>0</v>
      </c>
      <c r="DZ245" s="182">
        <v>0</v>
      </c>
      <c r="EA245" s="182">
        <v>0</v>
      </c>
      <c r="EB245" s="182">
        <v>0</v>
      </c>
      <c r="EC245" s="182">
        <v>0</v>
      </c>
      <c r="ED245" s="182">
        <v>0</v>
      </c>
      <c r="EE245" s="182">
        <v>0</v>
      </c>
      <c r="EF245" s="182">
        <v>0</v>
      </c>
      <c r="EG245" s="182">
        <v>0</v>
      </c>
      <c r="EH245" s="182">
        <v>0</v>
      </c>
      <c r="EI245" s="182">
        <v>0</v>
      </c>
      <c r="EJ245" s="182">
        <v>0</v>
      </c>
      <c r="FY245" s="211">
        <v>240</v>
      </c>
      <c r="FZ245">
        <v>19.722934991341557</v>
      </c>
      <c r="GA245">
        <v>64.454978196328753</v>
      </c>
      <c r="GB245">
        <v>84.376794579120187</v>
      </c>
      <c r="GC245">
        <v>45.384149996544679</v>
      </c>
      <c r="GD245">
        <v>14.463902504271502</v>
      </c>
      <c r="GE245">
        <v>18.399316828682384</v>
      </c>
      <c r="GF245">
        <v>34.185956101509539</v>
      </c>
      <c r="GG245">
        <v>24.0784879184957</v>
      </c>
      <c r="GH245">
        <v>4.9087265051271425</v>
      </c>
      <c r="GI245">
        <v>40.923476972821859</v>
      </c>
      <c r="GJ245"/>
      <c r="GK245"/>
      <c r="GL245"/>
      <c r="GM245"/>
    </row>
    <row r="246" spans="1:195" s="7" customFormat="1">
      <c r="A246" s="1"/>
      <c r="B246">
        <v>0.87087981162978423</v>
      </c>
      <c r="C246">
        <v>6</v>
      </c>
      <c r="D246">
        <v>39673</v>
      </c>
      <c r="E246">
        <v>0</v>
      </c>
      <c r="F246">
        <v>0</v>
      </c>
      <c r="G246">
        <v>41.666666666666664</v>
      </c>
      <c r="H246">
        <v>10.416666666666666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 s="2"/>
      <c r="AK246" s="81"/>
      <c r="AL246" s="81"/>
      <c r="AM246" s="43">
        <v>230</v>
      </c>
      <c r="AN246">
        <v>247.94397575139374</v>
      </c>
      <c r="AO246">
        <v>67.345190860814711</v>
      </c>
      <c r="AP246">
        <v>480.63244149405557</v>
      </c>
      <c r="AQ246">
        <v>356.91524641675181</v>
      </c>
      <c r="AR246">
        <v>60.354950063425242</v>
      </c>
      <c r="AS246">
        <v>529.91280591186717</v>
      </c>
      <c r="AT246">
        <v>33.50107381647863</v>
      </c>
      <c r="AU246">
        <v>84.195170831718102</v>
      </c>
      <c r="AV246"/>
      <c r="AW246"/>
      <c r="DE246" s="187">
        <v>39847</v>
      </c>
      <c r="DF246" s="182">
        <v>0</v>
      </c>
      <c r="DG246" s="182">
        <v>0</v>
      </c>
      <c r="DH246" s="182">
        <v>115.31575520833333</v>
      </c>
      <c r="DI246" s="182">
        <v>22.922092013888889</v>
      </c>
      <c r="DJ246" s="182">
        <v>29.947916666666668</v>
      </c>
      <c r="DK246" s="182">
        <v>45.138888888888893</v>
      </c>
      <c r="DL246" s="182">
        <v>16.493055555555557</v>
      </c>
      <c r="DM246" s="182">
        <v>0</v>
      </c>
      <c r="DN246" s="182">
        <v>0</v>
      </c>
      <c r="DO246" s="182">
        <v>0</v>
      </c>
      <c r="DP246" s="182">
        <v>1.3020833333333333</v>
      </c>
      <c r="DQ246" s="182">
        <v>0</v>
      </c>
      <c r="DR246" s="182">
        <v>0</v>
      </c>
      <c r="DS246" s="182">
        <v>0</v>
      </c>
      <c r="DT246" s="182">
        <v>0</v>
      </c>
      <c r="DU246" s="182">
        <v>0</v>
      </c>
      <c r="DV246" s="182">
        <v>0</v>
      </c>
      <c r="DW246" s="182">
        <v>0</v>
      </c>
      <c r="DX246" s="182">
        <v>0</v>
      </c>
      <c r="DY246" s="182">
        <v>0</v>
      </c>
      <c r="DZ246" s="182">
        <v>0</v>
      </c>
      <c r="EA246" s="182">
        <v>0</v>
      </c>
      <c r="EB246" s="182">
        <v>0</v>
      </c>
      <c r="EC246" s="182">
        <v>0</v>
      </c>
      <c r="ED246" s="182">
        <v>0</v>
      </c>
      <c r="EE246" s="182">
        <v>0</v>
      </c>
      <c r="EF246" s="182">
        <v>0</v>
      </c>
      <c r="EG246" s="182">
        <v>0</v>
      </c>
      <c r="EH246" s="182">
        <v>0</v>
      </c>
      <c r="EI246" s="182">
        <v>0</v>
      </c>
      <c r="EJ246" s="182">
        <v>0</v>
      </c>
      <c r="FY246" s="211">
        <v>241</v>
      </c>
      <c r="FZ246">
        <v>18.175230563683115</v>
      </c>
      <c r="GA246">
        <v>42.973320952897666</v>
      </c>
      <c r="GB246">
        <v>52.712888925672949</v>
      </c>
      <c r="GC246">
        <v>33.127961470477857</v>
      </c>
      <c r="GD246">
        <v>14.43060558948301</v>
      </c>
      <c r="GE246">
        <v>31.118916149008307</v>
      </c>
      <c r="GF246">
        <v>61.513166296429951</v>
      </c>
      <c r="GG246">
        <v>45.291448672462835</v>
      </c>
      <c r="GH246">
        <v>23.123375026552281</v>
      </c>
      <c r="GI246">
        <v>40.621050796274567</v>
      </c>
      <c r="GJ246"/>
      <c r="GK246"/>
      <c r="GL246"/>
      <c r="GM246"/>
    </row>
    <row r="247" spans="1:195" s="7" customFormat="1">
      <c r="A247" s="77" t="s">
        <v>61</v>
      </c>
      <c r="B247">
        <v>2.828650128596788E-2</v>
      </c>
      <c r="C247">
        <v>10</v>
      </c>
      <c r="D247">
        <v>39673</v>
      </c>
      <c r="E247">
        <v>0</v>
      </c>
      <c r="F247">
        <v>0</v>
      </c>
      <c r="G247">
        <v>297.61904761904765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 s="2"/>
      <c r="AK247" s="81"/>
      <c r="AL247" s="81"/>
      <c r="AM247" s="43">
        <v>231</v>
      </c>
      <c r="AN247">
        <v>214.22967599865643</v>
      </c>
      <c r="AO247">
        <v>67.787589293275374</v>
      </c>
      <c r="AP247">
        <v>509.64325735154466</v>
      </c>
      <c r="AQ247">
        <v>399.64861992831374</v>
      </c>
      <c r="AR247">
        <v>62.13174107428307</v>
      </c>
      <c r="AS247">
        <v>514.51673899560376</v>
      </c>
      <c r="AT247">
        <v>34.076123065458553</v>
      </c>
      <c r="AU247">
        <v>64.808388921119516</v>
      </c>
      <c r="AV247"/>
      <c r="AW247"/>
      <c r="DE247" s="187">
        <v>39910</v>
      </c>
      <c r="DF247" s="182">
        <v>0</v>
      </c>
      <c r="DG247" s="182">
        <v>11.594202898550723</v>
      </c>
      <c r="DH247" s="182">
        <v>42.418981481481481</v>
      </c>
      <c r="DI247" s="182">
        <v>43.807870370370367</v>
      </c>
      <c r="DJ247" s="182">
        <v>42.013888888888893</v>
      </c>
      <c r="DK247" s="182">
        <v>29.924242424242426</v>
      </c>
      <c r="DL247" s="182">
        <v>20.729166666666664</v>
      </c>
      <c r="DM247" s="182">
        <v>0</v>
      </c>
      <c r="DN247" s="182">
        <v>2.083333333333333</v>
      </c>
      <c r="DO247" s="182">
        <v>0</v>
      </c>
      <c r="DP247" s="182">
        <v>0</v>
      </c>
      <c r="DQ247" s="182">
        <v>1.0416666666666665</v>
      </c>
      <c r="DR247" s="182">
        <v>0</v>
      </c>
      <c r="DS247" s="182">
        <v>0</v>
      </c>
      <c r="DT247" s="182">
        <v>0</v>
      </c>
      <c r="DU247" s="182">
        <v>0</v>
      </c>
      <c r="DV247" s="182">
        <v>0</v>
      </c>
      <c r="DW247" s="182">
        <v>0</v>
      </c>
      <c r="DX247" s="182">
        <v>0</v>
      </c>
      <c r="DY247" s="182">
        <v>0</v>
      </c>
      <c r="DZ247" s="182">
        <v>0</v>
      </c>
      <c r="EA247" s="182">
        <v>0</v>
      </c>
      <c r="EB247" s="182">
        <v>0</v>
      </c>
      <c r="EC247" s="182">
        <v>0</v>
      </c>
      <c r="ED247" s="182">
        <v>0</v>
      </c>
      <c r="EE247" s="182">
        <v>0</v>
      </c>
      <c r="EF247" s="182">
        <v>0</v>
      </c>
      <c r="EG247" s="182">
        <v>0</v>
      </c>
      <c r="EH247" s="182">
        <v>0</v>
      </c>
      <c r="EI247" s="182">
        <v>0</v>
      </c>
      <c r="EJ247" s="182">
        <v>0</v>
      </c>
      <c r="FY247" s="211">
        <v>242</v>
      </c>
      <c r="FZ247">
        <v>12.592446086466172</v>
      </c>
      <c r="GA247">
        <v>42.297778499985789</v>
      </c>
      <c r="GB247">
        <v>73.288068001666986</v>
      </c>
      <c r="GC247">
        <v>39.687015140190759</v>
      </c>
      <c r="GD247">
        <v>22.832068929194286</v>
      </c>
      <c r="GE247">
        <v>68.029831122198942</v>
      </c>
      <c r="GF247">
        <v>74.473319914502369</v>
      </c>
      <c r="GG247">
        <v>33.260425657122262</v>
      </c>
      <c r="GH247">
        <v>23.159924067499915</v>
      </c>
      <c r="GI247">
        <v>54.22767684346806</v>
      </c>
      <c r="GJ247"/>
      <c r="GK247"/>
      <c r="GL247"/>
      <c r="GM247"/>
    </row>
    <row r="248" spans="1:195" s="7" customFormat="1">
      <c r="A248" s="77" t="s">
        <v>62</v>
      </c>
      <c r="B248">
        <v>3.5391763603607851E-2</v>
      </c>
      <c r="C248">
        <v>7</v>
      </c>
      <c r="D248">
        <v>39714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 s="2"/>
      <c r="AK248" s="81"/>
      <c r="AL248" s="81"/>
      <c r="AM248" s="43">
        <v>232</v>
      </c>
      <c r="AN248">
        <v>208.61460735574437</v>
      </c>
      <c r="AO248">
        <v>79.259201895924463</v>
      </c>
      <c r="AP248">
        <v>564.3067801804192</v>
      </c>
      <c r="AQ248">
        <v>414.33474417345263</v>
      </c>
      <c r="AR248">
        <v>71.043572810998526</v>
      </c>
      <c r="AS248">
        <v>578.85284364185895</v>
      </c>
      <c r="AT248" t="e">
        <v>#DIV/0!</v>
      </c>
      <c r="AU248" t="e">
        <v>#DIV/0!</v>
      </c>
      <c r="AV248"/>
      <c r="AW248"/>
      <c r="DE248" s="187">
        <v>39949</v>
      </c>
      <c r="DF248" s="182">
        <v>0</v>
      </c>
      <c r="DG248" s="182">
        <v>5.9865900383141755</v>
      </c>
      <c r="DH248" s="182">
        <v>11.458333333333332</v>
      </c>
      <c r="DI248" s="182">
        <v>18.518518518518515</v>
      </c>
      <c r="DJ248" s="182">
        <v>5.208333333333333</v>
      </c>
      <c r="DK248" s="182">
        <v>16.666666666666668</v>
      </c>
      <c r="DL248" s="182">
        <v>14.583333333333332</v>
      </c>
      <c r="DM248" s="182">
        <v>0</v>
      </c>
      <c r="DN248" s="182">
        <v>0</v>
      </c>
      <c r="DO248" s="182">
        <v>8</v>
      </c>
      <c r="DP248" s="182">
        <v>0</v>
      </c>
      <c r="DQ248" s="182">
        <v>0</v>
      </c>
      <c r="DR248" s="182">
        <v>0</v>
      </c>
      <c r="DS248" s="182">
        <v>0</v>
      </c>
      <c r="DT248" s="182">
        <v>0</v>
      </c>
      <c r="DU248" s="182">
        <v>0</v>
      </c>
      <c r="DV248" s="182">
        <v>0</v>
      </c>
      <c r="DW248" s="182">
        <v>0</v>
      </c>
      <c r="DX248" s="182">
        <v>0</v>
      </c>
      <c r="DY248" s="182">
        <v>0</v>
      </c>
      <c r="DZ248" s="182">
        <v>0</v>
      </c>
      <c r="EA248" s="182">
        <v>0</v>
      </c>
      <c r="EB248" s="182">
        <v>0</v>
      </c>
      <c r="EC248" s="182">
        <v>0</v>
      </c>
      <c r="ED248" s="182">
        <v>0</v>
      </c>
      <c r="EE248" s="182">
        <v>0</v>
      </c>
      <c r="EF248" s="182">
        <v>0</v>
      </c>
      <c r="EG248" s="182">
        <v>0</v>
      </c>
      <c r="EH248" s="182">
        <v>0</v>
      </c>
      <c r="EI248" s="182">
        <v>0</v>
      </c>
      <c r="EJ248" s="182">
        <v>0</v>
      </c>
      <c r="FY248" s="211">
        <v>243</v>
      </c>
      <c r="FZ248">
        <v>23.146444624394125</v>
      </c>
      <c r="GA248">
        <v>63.989179191795472</v>
      </c>
      <c r="GB248">
        <v>63.447138033304135</v>
      </c>
      <c r="GC248">
        <v>35.770272727695279</v>
      </c>
      <c r="GD248">
        <v>29.868293818686329</v>
      </c>
      <c r="GE248">
        <v>75.535342557658055</v>
      </c>
      <c r="GF248">
        <v>104.65186347517574</v>
      </c>
      <c r="GG248">
        <v>79.195848182494387</v>
      </c>
      <c r="GH248">
        <v>45.970745588342972</v>
      </c>
      <c r="GI248">
        <v>66.524799744759292</v>
      </c>
      <c r="GJ248"/>
      <c r="GK248"/>
      <c r="GL248"/>
      <c r="GM248"/>
    </row>
    <row r="249" spans="1:195" s="7" customFormat="1">
      <c r="A249" s="1"/>
      <c r="B249">
        <v>0.15615628239090817</v>
      </c>
      <c r="C249">
        <v>7</v>
      </c>
      <c r="D249">
        <v>39714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 s="2"/>
      <c r="AK249" s="81"/>
      <c r="AL249" s="81"/>
      <c r="AM249" s="43">
        <v>233</v>
      </c>
      <c r="AN249">
        <v>240.17255386743832</v>
      </c>
      <c r="AO249">
        <v>81.505132631722432</v>
      </c>
      <c r="AP249">
        <v>595.43613518318659</v>
      </c>
      <c r="AQ249">
        <v>446.08960281257868</v>
      </c>
      <c r="AR249">
        <v>73.972806594218369</v>
      </c>
      <c r="AS249">
        <v>576.69118019661437</v>
      </c>
      <c r="AT249" t="e">
        <v>#DIV/0!</v>
      </c>
      <c r="AU249" t="e">
        <v>#DIV/0!</v>
      </c>
      <c r="AV249"/>
      <c r="AW249"/>
      <c r="DE249" s="187">
        <v>39987</v>
      </c>
      <c r="DF249" s="182">
        <v>0</v>
      </c>
      <c r="DG249" s="182">
        <v>0</v>
      </c>
      <c r="DH249" s="182">
        <v>6.6506410256410264</v>
      </c>
      <c r="DI249" s="182">
        <v>0</v>
      </c>
      <c r="DJ249" s="182">
        <v>1.0416666666666665</v>
      </c>
      <c r="DK249" s="182">
        <v>0</v>
      </c>
      <c r="DL249" s="182">
        <v>0</v>
      </c>
      <c r="DM249" s="182">
        <v>0</v>
      </c>
      <c r="DN249" s="182">
        <v>0</v>
      </c>
      <c r="DO249" s="182">
        <v>0</v>
      </c>
      <c r="DP249" s="182">
        <v>0</v>
      </c>
      <c r="DQ249" s="182">
        <v>0</v>
      </c>
      <c r="DR249" s="182">
        <v>0</v>
      </c>
      <c r="DS249" s="182">
        <v>0</v>
      </c>
      <c r="DT249" s="182">
        <v>0</v>
      </c>
      <c r="DU249" s="182">
        <v>0</v>
      </c>
      <c r="DV249" s="182">
        <v>0</v>
      </c>
      <c r="DW249" s="182">
        <v>0</v>
      </c>
      <c r="DX249" s="182">
        <v>0</v>
      </c>
      <c r="DY249" s="182">
        <v>0</v>
      </c>
      <c r="DZ249" s="182">
        <v>0</v>
      </c>
      <c r="EA249" s="182">
        <v>0</v>
      </c>
      <c r="EB249" s="182">
        <v>0</v>
      </c>
      <c r="EC249" s="182">
        <v>0</v>
      </c>
      <c r="ED249" s="182">
        <v>0</v>
      </c>
      <c r="EE249" s="182">
        <v>0</v>
      </c>
      <c r="EF249" s="182">
        <v>0</v>
      </c>
      <c r="EG249" s="182">
        <v>0</v>
      </c>
      <c r="EH249" s="182">
        <v>0</v>
      </c>
      <c r="EI249" s="182">
        <v>0</v>
      </c>
      <c r="EJ249" s="182">
        <v>0</v>
      </c>
      <c r="FY249" s="211">
        <v>244</v>
      </c>
      <c r="FZ249">
        <v>4.3559496267659883</v>
      </c>
      <c r="GA249">
        <v>33.168123507205948</v>
      </c>
      <c r="GB249">
        <v>65.317490348533269</v>
      </c>
      <c r="GC249">
        <v>42.866367773448793</v>
      </c>
      <c r="GD249">
        <v>22.428343803046019</v>
      </c>
      <c r="GE249">
        <v>38.891134422522732</v>
      </c>
      <c r="GF249">
        <v>40.116366418965256</v>
      </c>
      <c r="GG249">
        <v>36.243547271625033</v>
      </c>
      <c r="GH249">
        <v>35.373372340728181</v>
      </c>
      <c r="GI249">
        <v>44.675189301095088</v>
      </c>
      <c r="GJ249"/>
      <c r="GK249"/>
      <c r="GL249"/>
      <c r="GM249"/>
    </row>
    <row r="250" spans="1:195" s="7" customFormat="1">
      <c r="A250" s="1"/>
      <c r="B250">
        <v>0.43640274896091502</v>
      </c>
      <c r="C250">
        <v>7</v>
      </c>
      <c r="D250">
        <v>39714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 s="2"/>
      <c r="AK250" s="81"/>
      <c r="AL250" s="81"/>
      <c r="AM250" s="43">
        <v>234</v>
      </c>
      <c r="AN250">
        <v>313.77184864381741</v>
      </c>
      <c r="AO250">
        <v>106.17904289721965</v>
      </c>
      <c r="AP250">
        <v>807.67797682605408</v>
      </c>
      <c r="AQ250">
        <v>585.30323626275731</v>
      </c>
      <c r="AR250">
        <v>96.371051414651106</v>
      </c>
      <c r="AS250">
        <v>840.76165846555239</v>
      </c>
      <c r="AT250">
        <v>51.851796033570089</v>
      </c>
      <c r="AU250">
        <v>90.510679285586704</v>
      </c>
      <c r="AV250"/>
      <c r="AW250"/>
      <c r="DE250" s="187"/>
      <c r="DF250" s="182"/>
      <c r="DG250" s="186"/>
      <c r="DH250" s="186"/>
      <c r="DI250" s="186"/>
      <c r="DJ250" s="186"/>
      <c r="DK250" s="186"/>
      <c r="DL250" s="186"/>
      <c r="DM250" s="186"/>
      <c r="DN250" s="186"/>
      <c r="DO250" s="186"/>
      <c r="DP250" s="186"/>
      <c r="DQ250" s="186"/>
      <c r="DR250" s="186"/>
      <c r="DS250" s="186"/>
      <c r="DT250" s="186"/>
      <c r="DU250" s="186"/>
      <c r="DV250" s="186"/>
      <c r="DW250" s="186"/>
      <c r="DX250" s="186"/>
      <c r="DY250" s="186"/>
      <c r="DZ250" s="186"/>
      <c r="EA250" s="182"/>
      <c r="EB250" s="186"/>
      <c r="EC250" s="182"/>
      <c r="ED250" s="182"/>
      <c r="EE250" s="182"/>
      <c r="EF250" s="182"/>
      <c r="EG250" s="182"/>
      <c r="EH250" s="182"/>
      <c r="EI250" s="182"/>
      <c r="EJ250" s="182"/>
      <c r="FY250" s="211">
        <v>245</v>
      </c>
      <c r="FZ250">
        <v>27.25795480635114</v>
      </c>
      <c r="GA250">
        <v>55.054894867980487</v>
      </c>
      <c r="GB250">
        <v>65.904144265226634</v>
      </c>
      <c r="GC250">
        <v>42.33866573866662</v>
      </c>
      <c r="GD250">
        <v>26.646157984535044</v>
      </c>
      <c r="GE250">
        <v>54.941434497032091</v>
      </c>
      <c r="GF250">
        <v>67.998876000493766</v>
      </c>
      <c r="GG250">
        <v>43.127596974698605</v>
      </c>
      <c r="GH250">
        <v>20.088922900308987</v>
      </c>
      <c r="GI250">
        <v>54.761444843293049</v>
      </c>
      <c r="GJ250"/>
      <c r="GK250"/>
      <c r="GL250"/>
      <c r="GM250"/>
    </row>
    <row r="251" spans="1:195" s="7" customFormat="1">
      <c r="A251" s="1"/>
      <c r="B251">
        <v>0.1049742212764766</v>
      </c>
      <c r="C251">
        <v>8</v>
      </c>
      <c r="D251">
        <v>39714</v>
      </c>
      <c r="E251">
        <v>0</v>
      </c>
      <c r="F251">
        <v>0</v>
      </c>
      <c r="G251">
        <v>0</v>
      </c>
      <c r="H251">
        <v>83.333333333333329</v>
      </c>
      <c r="I251">
        <v>104.16666666666667</v>
      </c>
      <c r="J251">
        <v>0</v>
      </c>
      <c r="K251">
        <v>10.416666666666666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 s="2"/>
      <c r="AK251" s="81"/>
      <c r="AL251" s="81"/>
      <c r="AM251" s="43">
        <v>235</v>
      </c>
      <c r="AN251">
        <v>204.3845744248195</v>
      </c>
      <c r="AO251">
        <v>59.872583103249077</v>
      </c>
      <c r="AP251">
        <v>447.08272356866541</v>
      </c>
      <c r="AQ251">
        <v>321.24531493731996</v>
      </c>
      <c r="AR251">
        <v>54.346423317138935</v>
      </c>
      <c r="AS251">
        <v>460.88280459252582</v>
      </c>
      <c r="AT251">
        <v>30.123107327086434</v>
      </c>
      <c r="AU251">
        <v>45.625545536154078</v>
      </c>
      <c r="AV251"/>
      <c r="AW251"/>
      <c r="DE251" s="187"/>
      <c r="DF251" s="182"/>
      <c r="DG251" s="186"/>
      <c r="DH251" s="186"/>
      <c r="DI251" s="186"/>
      <c r="DJ251" s="186"/>
      <c r="DK251" s="186"/>
      <c r="DL251" s="186"/>
      <c r="DM251" s="186"/>
      <c r="DN251" s="186"/>
      <c r="DO251" s="186"/>
      <c r="DP251" s="186"/>
      <c r="DQ251" s="186"/>
      <c r="DR251" s="186"/>
      <c r="DS251" s="186"/>
      <c r="DT251" s="186"/>
      <c r="DU251" s="186"/>
      <c r="DV251" s="186"/>
      <c r="DW251" s="186"/>
      <c r="DX251" s="186"/>
      <c r="DY251" s="186"/>
      <c r="DZ251" s="186"/>
      <c r="EA251" s="182"/>
      <c r="EB251" s="186"/>
      <c r="EC251" s="182"/>
      <c r="ED251" s="182"/>
      <c r="EE251" s="182"/>
      <c r="EF251" s="182"/>
      <c r="EG251" s="182"/>
      <c r="EH251" s="182"/>
      <c r="EI251" s="182"/>
      <c r="EJ251" s="182"/>
      <c r="FY251" s="211">
        <v>246</v>
      </c>
      <c r="FZ251">
        <v>12.143955113888575</v>
      </c>
      <c r="GA251">
        <v>50.760740360714578</v>
      </c>
      <c r="GB251">
        <v>77.627852004078591</v>
      </c>
      <c r="GC251">
        <v>42.621601961562632</v>
      </c>
      <c r="GD251">
        <v>18.617539175064209</v>
      </c>
      <c r="GE251">
        <v>52.217315759448852</v>
      </c>
      <c r="GF251">
        <v>73.61618034121048</v>
      </c>
      <c r="GG251">
        <v>31.897782841119849</v>
      </c>
      <c r="GH251">
        <v>15.100410765073679</v>
      </c>
      <c r="GI251">
        <v>50.99668853912609</v>
      </c>
      <c r="GJ251"/>
      <c r="GK251"/>
      <c r="GL251"/>
      <c r="GM251"/>
    </row>
    <row r="252" spans="1:195" s="7" customFormat="1">
      <c r="A252" s="1"/>
      <c r="B252">
        <v>0.57427110080296639</v>
      </c>
      <c r="C252">
        <v>7</v>
      </c>
      <c r="D252">
        <v>39714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 s="2"/>
      <c r="AK252" s="81"/>
      <c r="AL252" s="81"/>
      <c r="AM252" s="43">
        <v>236</v>
      </c>
      <c r="AN252">
        <v>227.84978538453305</v>
      </c>
      <c r="AO252">
        <v>69.208283980878846</v>
      </c>
      <c r="AP252">
        <v>482.47369876752737</v>
      </c>
      <c r="AQ252">
        <v>363.68743561774875</v>
      </c>
      <c r="AR252">
        <v>62.80390280817047</v>
      </c>
      <c r="AS252">
        <v>519.94814381727372</v>
      </c>
      <c r="AT252">
        <v>32.760537589457762</v>
      </c>
      <c r="AU252">
        <v>78.644123759848455</v>
      </c>
      <c r="AV252"/>
      <c r="AW252"/>
      <c r="FY252" s="211">
        <v>247</v>
      </c>
      <c r="FZ252">
        <v>10.773201085179654</v>
      </c>
      <c r="GA252">
        <v>49.716531920877479</v>
      </c>
      <c r="GB252">
        <v>92.5025217081363</v>
      </c>
      <c r="GC252">
        <v>48.684641526561037</v>
      </c>
      <c r="GD252">
        <v>11.869612288735432</v>
      </c>
      <c r="GE252">
        <v>26.901268457917123</v>
      </c>
      <c r="GF252">
        <v>81.119503868542907</v>
      </c>
      <c r="GG252">
        <v>57.758822053287119</v>
      </c>
      <c r="GH252">
        <v>13.713530062488534</v>
      </c>
      <c r="GI252">
        <v>50.894450449304628</v>
      </c>
      <c r="GJ252"/>
      <c r="GK252"/>
      <c r="GL252"/>
      <c r="GM252"/>
    </row>
    <row r="253" spans="1:195" s="7" customFormat="1">
      <c r="A253" s="1"/>
      <c r="B253">
        <v>0.33888273032284078</v>
      </c>
      <c r="C253">
        <v>6</v>
      </c>
      <c r="D253">
        <v>39714</v>
      </c>
      <c r="E253">
        <v>0</v>
      </c>
      <c r="F253">
        <v>0</v>
      </c>
      <c r="G253">
        <v>0</v>
      </c>
      <c r="H253">
        <v>114.58333333333333</v>
      </c>
      <c r="I253">
        <v>31.25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 s="2"/>
      <c r="AK253" s="81"/>
      <c r="AL253" s="81"/>
      <c r="AM253" s="43">
        <v>237</v>
      </c>
      <c r="AN253">
        <v>255.94318326532647</v>
      </c>
      <c r="AO253">
        <v>75.418439908649603</v>
      </c>
      <c r="AP253">
        <v>565.80000709710691</v>
      </c>
      <c r="AQ253">
        <v>404.93312130128709</v>
      </c>
      <c r="AR253">
        <v>68.799293898992275</v>
      </c>
      <c r="AS253">
        <v>593.89487751639433</v>
      </c>
      <c r="AT253">
        <v>36.978052236700755</v>
      </c>
      <c r="AU253">
        <v>25.375715629020085</v>
      </c>
      <c r="AV253"/>
      <c r="AW253"/>
      <c r="FY253" s="211">
        <v>248</v>
      </c>
      <c r="FZ253">
        <v>42.612196556811647</v>
      </c>
      <c r="GA253">
        <v>71.867795839953033</v>
      </c>
      <c r="GB253">
        <v>73.101495796842357</v>
      </c>
      <c r="GC253">
        <v>45.491822628999287</v>
      </c>
      <c r="GD253">
        <v>20.349045999102739</v>
      </c>
      <c r="GE253">
        <v>55.038614498078758</v>
      </c>
      <c r="GF253">
        <v>108.2979709810883</v>
      </c>
      <c r="GG253">
        <v>86.828739860230044</v>
      </c>
      <c r="GH253">
        <v>51.958043820945143</v>
      </c>
      <c r="GI253">
        <v>67.537284347880572</v>
      </c>
      <c r="GJ253"/>
      <c r="GK253"/>
      <c r="GL253"/>
      <c r="GM253"/>
    </row>
    <row r="254" spans="1:195" s="7" customFormat="1">
      <c r="A254" s="1"/>
      <c r="B254">
        <v>0.6268728356580644</v>
      </c>
      <c r="C254">
        <v>7</v>
      </c>
      <c r="D254">
        <v>39714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 s="2"/>
      <c r="AK254" s="81"/>
      <c r="AL254" s="81"/>
      <c r="AM254" s="43">
        <v>238</v>
      </c>
      <c r="AN254">
        <v>294.56760993582867</v>
      </c>
      <c r="AO254">
        <v>116.9291442739257</v>
      </c>
      <c r="AP254">
        <v>809.41329829487302</v>
      </c>
      <c r="AQ254">
        <v>613.75299245265535</v>
      </c>
      <c r="AR254">
        <v>105.51730731134248</v>
      </c>
      <c r="AS254">
        <v>885.6813093752362</v>
      </c>
      <c r="AT254">
        <v>58.244350556222336</v>
      </c>
      <c r="AU254">
        <v>62.963757086052169</v>
      </c>
      <c r="AV254"/>
      <c r="AW254"/>
      <c r="FY254" s="211">
        <v>249</v>
      </c>
      <c r="FZ254">
        <v>8.3352019538879745</v>
      </c>
      <c r="GA254">
        <v>57.935811400610852</v>
      </c>
      <c r="GB254">
        <v>76.474135340108234</v>
      </c>
      <c r="GC254">
        <v>43.735259044665128</v>
      </c>
      <c r="GD254">
        <v>17.411065187179418</v>
      </c>
      <c r="GE254">
        <v>32.540020674582607</v>
      </c>
      <c r="GF254">
        <v>77.460834615553367</v>
      </c>
      <c r="GG254">
        <v>43.991663959867594</v>
      </c>
      <c r="GH254">
        <v>8.3995473833715373</v>
      </c>
      <c r="GI254">
        <v>49.647896747303875</v>
      </c>
      <c r="GJ254"/>
      <c r="GK254"/>
      <c r="GL254"/>
      <c r="GM254"/>
    </row>
    <row r="255" spans="1:195" s="7" customFormat="1">
      <c r="A255" s="1"/>
      <c r="B255">
        <v>0.4914707897783881</v>
      </c>
      <c r="C255">
        <v>10</v>
      </c>
      <c r="D255">
        <v>39714</v>
      </c>
      <c r="E255">
        <v>0</v>
      </c>
      <c r="F255">
        <v>89.285714285714278</v>
      </c>
      <c r="G255">
        <v>419.64285714285711</v>
      </c>
      <c r="H255">
        <v>187.5</v>
      </c>
      <c r="I255">
        <v>52.083333333333336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 s="2"/>
      <c r="AK255" s="81"/>
      <c r="AL255" s="81"/>
      <c r="AM255" s="43">
        <v>239</v>
      </c>
      <c r="AN255">
        <v>232.08109192324341</v>
      </c>
      <c r="AO255">
        <v>80.377305017540579</v>
      </c>
      <c r="AP255">
        <v>594.70978091115762</v>
      </c>
      <c r="AQ255">
        <v>449.9429343992033</v>
      </c>
      <c r="AR255">
        <v>73.098348890494009</v>
      </c>
      <c r="AS255">
        <v>607.50596446394763</v>
      </c>
      <c r="AT255">
        <v>37.789542327798308</v>
      </c>
      <c r="AU255">
        <v>66.326086867769192</v>
      </c>
      <c r="AV255"/>
      <c r="AW255"/>
      <c r="FY255" s="211">
        <v>250</v>
      </c>
      <c r="FZ255">
        <v>18.062986286922968</v>
      </c>
      <c r="GA255">
        <v>47.940273116629214</v>
      </c>
      <c r="GB255">
        <v>56.567248178949974</v>
      </c>
      <c r="GC255">
        <v>34.903542430345844</v>
      </c>
      <c r="GD255">
        <v>19.981496523819413</v>
      </c>
      <c r="GE255">
        <v>33.738753346563605</v>
      </c>
      <c r="GF255">
        <v>36.143592604963089</v>
      </c>
      <c r="GG255">
        <v>24.694677785206348</v>
      </c>
      <c r="GH255">
        <v>13.335375159570983</v>
      </c>
      <c r="GI255">
        <v>39.120839360502174</v>
      </c>
      <c r="GJ255"/>
      <c r="GK255"/>
      <c r="GL255"/>
      <c r="GM255"/>
    </row>
    <row r="256" spans="1:195" s="7" customFormat="1">
      <c r="A256" s="1"/>
      <c r="B256">
        <v>0.66170117635223313</v>
      </c>
      <c r="C256">
        <v>7</v>
      </c>
      <c r="D256">
        <v>39714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 s="2"/>
      <c r="AK256" s="81"/>
      <c r="AL256" s="81"/>
      <c r="AM256" s="43">
        <v>240</v>
      </c>
      <c r="AN256">
        <v>204.1963033284907</v>
      </c>
      <c r="AO256">
        <v>63.951878247000096</v>
      </c>
      <c r="AP256">
        <v>469.8244777867194</v>
      </c>
      <c r="AQ256">
        <v>350.89872459424333</v>
      </c>
      <c r="AR256">
        <v>58.557088168766633</v>
      </c>
      <c r="AS256">
        <v>505.81671210169009</v>
      </c>
      <c r="AT256">
        <v>32.865295463758073</v>
      </c>
      <c r="AU256">
        <v>91.477208402392606</v>
      </c>
      <c r="AV256"/>
      <c r="AW256"/>
      <c r="FY256" s="211">
        <v>251</v>
      </c>
      <c r="FZ256">
        <v>16.129099117432535</v>
      </c>
      <c r="GA256">
        <v>45.531647196605519</v>
      </c>
      <c r="GB256">
        <v>82.380566878427956</v>
      </c>
      <c r="GC256">
        <v>54.547512465263864</v>
      </c>
      <c r="GD256">
        <v>18.54076985264243</v>
      </c>
      <c r="GE256">
        <v>14.968936703939427</v>
      </c>
      <c r="GF256">
        <v>31.506473349064407</v>
      </c>
      <c r="GG256">
        <v>31.173647140316994</v>
      </c>
      <c r="GH256">
        <v>12.793642563714531</v>
      </c>
      <c r="GI256">
        <v>42.697718933261669</v>
      </c>
      <c r="GJ256"/>
      <c r="GK256"/>
      <c r="GL256"/>
      <c r="GM256"/>
    </row>
    <row r="257" spans="1:195" s="7" customFormat="1">
      <c r="A257" s="1"/>
      <c r="B257">
        <v>0.86889167981504856</v>
      </c>
      <c r="C257">
        <v>10</v>
      </c>
      <c r="D257">
        <v>39714</v>
      </c>
      <c r="E257">
        <v>0</v>
      </c>
      <c r="F257">
        <v>89.285714285714278</v>
      </c>
      <c r="G257">
        <v>419.64285714285711</v>
      </c>
      <c r="H257">
        <v>187.5</v>
      </c>
      <c r="I257">
        <v>52.083333333333336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0</v>
      </c>
      <c r="AF257">
        <v>0</v>
      </c>
      <c r="AG257">
        <v>0</v>
      </c>
      <c r="AH257">
        <v>0</v>
      </c>
      <c r="AI257">
        <v>0</v>
      </c>
      <c r="AJ257" s="2"/>
      <c r="AK257" s="81"/>
      <c r="AL257" s="81"/>
      <c r="AM257" s="43">
        <v>241</v>
      </c>
      <c r="AN257">
        <v>222.72411612395027</v>
      </c>
      <c r="AO257">
        <v>63.291042429465008</v>
      </c>
      <c r="AP257">
        <v>471.79925342546517</v>
      </c>
      <c r="AQ257">
        <v>363.08796444294256</v>
      </c>
      <c r="AR257">
        <v>57.138301899261371</v>
      </c>
      <c r="AS257">
        <v>489.30290654132165</v>
      </c>
      <c r="AT257">
        <v>30.947679322339635</v>
      </c>
      <c r="AU257">
        <v>64.52800503372822</v>
      </c>
      <c r="AV257"/>
      <c r="AW257"/>
      <c r="FY257" s="211">
        <v>252</v>
      </c>
      <c r="FZ257">
        <v>14.440584402749367</v>
      </c>
      <c r="GA257">
        <v>49.016737567836138</v>
      </c>
      <c r="GB257">
        <v>64.212499042752228</v>
      </c>
      <c r="GC257">
        <v>40.895268486440145</v>
      </c>
      <c r="GD257">
        <v>17.366379465378415</v>
      </c>
      <c r="GE257">
        <v>28.470997059346519</v>
      </c>
      <c r="GF257">
        <v>52.42391918240304</v>
      </c>
      <c r="GG257">
        <v>31.904252418586125</v>
      </c>
      <c r="GH257">
        <v>12.669404784797116</v>
      </c>
      <c r="GI257">
        <v>41.447510471696575</v>
      </c>
      <c r="GJ257"/>
      <c r="GK257"/>
      <c r="GL257"/>
      <c r="GM257"/>
    </row>
    <row r="258" spans="1:195" s="7" customFormat="1">
      <c r="A258" s="1"/>
      <c r="B258">
        <v>0.73764342362758306</v>
      </c>
      <c r="C258">
        <v>1</v>
      </c>
      <c r="D258">
        <v>39747</v>
      </c>
      <c r="E258">
        <v>0</v>
      </c>
      <c r="F258">
        <v>173.61111111111111</v>
      </c>
      <c r="G258">
        <v>173.61111111111111</v>
      </c>
      <c r="H258">
        <v>260.41666666666669</v>
      </c>
      <c r="I258">
        <v>170.13888888888891</v>
      </c>
      <c r="J258">
        <v>10.416666666666666</v>
      </c>
      <c r="K258">
        <v>10.416666666666666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0</v>
      </c>
      <c r="AH258">
        <v>0</v>
      </c>
      <c r="AI258">
        <v>0</v>
      </c>
      <c r="AJ258" s="2"/>
      <c r="AK258" s="81"/>
      <c r="AL258" s="81"/>
      <c r="AM258" s="43">
        <v>242</v>
      </c>
      <c r="AN258">
        <v>262.65120968512281</v>
      </c>
      <c r="AO258">
        <v>85.904137786552326</v>
      </c>
      <c r="AP258">
        <v>580.18015005116456</v>
      </c>
      <c r="AQ258">
        <v>443.84855426229558</v>
      </c>
      <c r="AR258">
        <v>76.15363230489065</v>
      </c>
      <c r="AS258">
        <v>635.27417924629481</v>
      </c>
      <c r="AT258">
        <v>38.284005634531205</v>
      </c>
      <c r="AU258">
        <v>78.303077435099254</v>
      </c>
      <c r="AV258"/>
      <c r="AW258"/>
      <c r="FY258" s="211">
        <v>253</v>
      </c>
      <c r="FZ258">
        <v>30.189090484366105</v>
      </c>
      <c r="GA258">
        <v>84.483444796286207</v>
      </c>
      <c r="GB258">
        <v>75.97022374082951</v>
      </c>
      <c r="GC258">
        <v>39.017508885063336</v>
      </c>
      <c r="GD258">
        <v>14.64222020410843</v>
      </c>
      <c r="GE258">
        <v>33.055936270575387</v>
      </c>
      <c r="GF258">
        <v>117.59018471641951</v>
      </c>
      <c r="GG258">
        <v>91.774158626046614</v>
      </c>
      <c r="GH258">
        <v>21.63828129460207</v>
      </c>
      <c r="GI258">
        <v>61.266362352505368</v>
      </c>
      <c r="GJ258"/>
      <c r="GK258"/>
      <c r="GL258"/>
      <c r="GM258"/>
    </row>
    <row r="259" spans="1:195" s="7" customFormat="1">
      <c r="A259" s="90"/>
      <c r="B259">
        <v>0.92240373501301409</v>
      </c>
      <c r="C259">
        <v>3</v>
      </c>
      <c r="D259">
        <v>39747</v>
      </c>
      <c r="E259">
        <v>0</v>
      </c>
      <c r="F259">
        <v>0</v>
      </c>
      <c r="G259">
        <v>0</v>
      </c>
      <c r="H259">
        <v>10.416666666666666</v>
      </c>
      <c r="I259">
        <v>10.416666666666666</v>
      </c>
      <c r="J259">
        <v>0</v>
      </c>
      <c r="K259">
        <v>10.416666666666666</v>
      </c>
      <c r="L259">
        <v>10.416666666666666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0</v>
      </c>
      <c r="AE259">
        <v>0</v>
      </c>
      <c r="AF259">
        <v>0</v>
      </c>
      <c r="AG259">
        <v>0</v>
      </c>
      <c r="AH259">
        <v>0</v>
      </c>
      <c r="AI259">
        <v>0</v>
      </c>
      <c r="AJ259" s="2"/>
      <c r="AK259" s="81"/>
      <c r="AL259" s="81"/>
      <c r="AM259" s="43">
        <v>243</v>
      </c>
      <c r="AN259">
        <v>265.68450680806535</v>
      </c>
      <c r="AO259">
        <v>104.99606354458209</v>
      </c>
      <c r="AP259">
        <v>751.46836116426664</v>
      </c>
      <c r="AQ259">
        <v>588.09992794430582</v>
      </c>
      <c r="AR259">
        <v>94.475978474385997</v>
      </c>
      <c r="AS259">
        <v>741.23677306654599</v>
      </c>
      <c r="AT259">
        <v>54.886935002280303</v>
      </c>
      <c r="AU259">
        <v>173.31296598953463</v>
      </c>
      <c r="AV259"/>
      <c r="AW259"/>
      <c r="FY259" s="211">
        <v>254</v>
      </c>
      <c r="FZ259">
        <v>10.803201896514173</v>
      </c>
      <c r="GA259">
        <v>38.139146390836778</v>
      </c>
      <c r="GB259">
        <v>66.15802984317456</v>
      </c>
      <c r="GC259">
        <v>42.11646397414701</v>
      </c>
      <c r="GD259">
        <v>14.915695595869011</v>
      </c>
      <c r="GE259">
        <v>28.025823658111705</v>
      </c>
      <c r="GF259">
        <v>67.983190750631493</v>
      </c>
      <c r="GG259">
        <v>70.358036118106838</v>
      </c>
      <c r="GH259">
        <v>49.334787559027312</v>
      </c>
      <c r="GI259">
        <v>49.062014037742856</v>
      </c>
      <c r="GJ259"/>
      <c r="GK259"/>
      <c r="GL259"/>
      <c r="GM259"/>
    </row>
    <row r="260" spans="1:195" s="7" customFormat="1">
      <c r="A260" s="77" t="s">
        <v>61</v>
      </c>
      <c r="B260">
        <v>0.868092294122917</v>
      </c>
      <c r="C260">
        <v>7</v>
      </c>
      <c r="D260">
        <v>39747</v>
      </c>
      <c r="E260">
        <v>0</v>
      </c>
      <c r="F260">
        <v>74.404761904761912</v>
      </c>
      <c r="G260">
        <v>297.61904761904765</v>
      </c>
      <c r="H260">
        <v>0</v>
      </c>
      <c r="I260">
        <v>10.416666666666666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0</v>
      </c>
      <c r="AI260">
        <v>0</v>
      </c>
      <c r="AJ260" s="2"/>
      <c r="AK260" s="81"/>
      <c r="AL260" s="81"/>
      <c r="AM260" s="43">
        <v>244</v>
      </c>
      <c r="AN260">
        <v>211.09641725412334</v>
      </c>
      <c r="AO260">
        <v>69.438962508351011</v>
      </c>
      <c r="AP260">
        <v>455.81651578550793</v>
      </c>
      <c r="AQ260">
        <v>363.4358848139363</v>
      </c>
      <c r="AR260">
        <v>62.958233044757982</v>
      </c>
      <c r="AS260">
        <v>528.04778972283964</v>
      </c>
      <c r="AT260">
        <v>35.346731534120792</v>
      </c>
      <c r="AU260">
        <v>40.569634357619677</v>
      </c>
      <c r="AV260"/>
      <c r="AW260"/>
      <c r="FY260" s="211">
        <v>255</v>
      </c>
      <c r="FZ260">
        <v>10.463819498808933</v>
      </c>
      <c r="GA260">
        <v>25.824120981166963</v>
      </c>
      <c r="GB260">
        <v>56.59024850068905</v>
      </c>
      <c r="GC260">
        <v>45.350658206392097</v>
      </c>
      <c r="GD260">
        <v>20.418432354194938</v>
      </c>
      <c r="GE260">
        <v>27.829571015305284</v>
      </c>
      <c r="GF260">
        <v>41.609271175035822</v>
      </c>
      <c r="GG260">
        <v>20.987138275388915</v>
      </c>
      <c r="GH260">
        <v>7.7639473234295568</v>
      </c>
      <c r="GI260">
        <v>37.684210743322474</v>
      </c>
      <c r="GJ260"/>
      <c r="GK260"/>
      <c r="GL260"/>
      <c r="GM260"/>
    </row>
    <row r="261" spans="1:195" s="7" customFormat="1">
      <c r="A261" s="77" t="s">
        <v>62</v>
      </c>
      <c r="B261">
        <v>0.93757376538842796</v>
      </c>
      <c r="C261">
        <v>5</v>
      </c>
      <c r="D261">
        <v>39747</v>
      </c>
      <c r="E261">
        <v>0</v>
      </c>
      <c r="F261">
        <v>0</v>
      </c>
      <c r="G261">
        <v>220.95959595959593</v>
      </c>
      <c r="H261">
        <v>31.25</v>
      </c>
      <c r="I261">
        <v>452.33585858585855</v>
      </c>
      <c r="J261">
        <v>0</v>
      </c>
      <c r="K261">
        <v>10.416666666666666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0</v>
      </c>
      <c r="AD261">
        <v>0</v>
      </c>
      <c r="AE261">
        <v>0</v>
      </c>
      <c r="AF261">
        <v>0</v>
      </c>
      <c r="AG261">
        <v>0</v>
      </c>
      <c r="AH261">
        <v>0</v>
      </c>
      <c r="AI261">
        <v>0</v>
      </c>
      <c r="AJ261" s="2"/>
      <c r="AK261" s="81"/>
      <c r="AL261" s="81"/>
      <c r="AM261" s="43">
        <v>245</v>
      </c>
      <c r="AN261">
        <v>209.79457741044695</v>
      </c>
      <c r="AO261">
        <v>87.164444594824957</v>
      </c>
      <c r="AP261">
        <v>592.80183136497988</v>
      </c>
      <c r="AQ261">
        <v>458.12009287858643</v>
      </c>
      <c r="AR261">
        <v>78.717642696761985</v>
      </c>
      <c r="AS261">
        <v>611.25582363957096</v>
      </c>
      <c r="AT261">
        <v>42.926858908854172</v>
      </c>
      <c r="AU261">
        <v>58.791979247079034</v>
      </c>
      <c r="AV261"/>
      <c r="AW261"/>
      <c r="FY261" s="211">
        <v>256</v>
      </c>
      <c r="FZ261">
        <v>13.086054676592187</v>
      </c>
      <c r="GA261">
        <v>59.453421006087396</v>
      </c>
      <c r="GB261">
        <v>57.277239166748444</v>
      </c>
      <c r="GC261">
        <v>30.415774458589404</v>
      </c>
      <c r="GD261">
        <v>14.386073582646226</v>
      </c>
      <c r="GE261">
        <v>26.643709166356025</v>
      </c>
      <c r="GF261">
        <v>61.422213153030519</v>
      </c>
      <c r="GG261">
        <v>55.68448611340412</v>
      </c>
      <c r="GH261">
        <v>32.297032474882101</v>
      </c>
      <c r="GI261">
        <v>43.704992264209594</v>
      </c>
      <c r="GJ261"/>
      <c r="GK261"/>
      <c r="GL261"/>
      <c r="GM261"/>
    </row>
    <row r="262" spans="1:195" s="7" customFormat="1" ht="12.75" customHeight="1">
      <c r="A262" s="77"/>
      <c r="B262">
        <v>0.91709145182771601</v>
      </c>
      <c r="C262">
        <v>4</v>
      </c>
      <c r="D262">
        <v>39747</v>
      </c>
      <c r="E262">
        <v>0</v>
      </c>
      <c r="F262">
        <v>188.57758620689654</v>
      </c>
      <c r="G262">
        <v>502.87356321839076</v>
      </c>
      <c r="H262">
        <v>216.98667711598745</v>
      </c>
      <c r="I262">
        <v>198.86363636363635</v>
      </c>
      <c r="J262">
        <v>56.818181818181813</v>
      </c>
      <c r="K262">
        <v>0</v>
      </c>
      <c r="L262">
        <v>28.409090909090907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0</v>
      </c>
      <c r="AD262">
        <v>0</v>
      </c>
      <c r="AE262">
        <v>0</v>
      </c>
      <c r="AF262">
        <v>0</v>
      </c>
      <c r="AG262">
        <v>0</v>
      </c>
      <c r="AH262">
        <v>0</v>
      </c>
      <c r="AI262">
        <v>0</v>
      </c>
      <c r="AJ262" s="2"/>
      <c r="AK262" s="81"/>
      <c r="AL262" s="81"/>
      <c r="AM262" s="43">
        <v>246</v>
      </c>
      <c r="AN262">
        <v>276.69366235217478</v>
      </c>
      <c r="AO262">
        <v>80.680218796383571</v>
      </c>
      <c r="AP262">
        <v>567.88211909328402</v>
      </c>
      <c r="AQ262">
        <v>425.60006686128759</v>
      </c>
      <c r="AR262">
        <v>71.275174622210073</v>
      </c>
      <c r="AS262">
        <v>615.59878857770639</v>
      </c>
      <c r="AT262">
        <v>38.965537219594601</v>
      </c>
      <c r="AU262">
        <v>75.390215148024765</v>
      </c>
      <c r="AV262"/>
      <c r="AW262"/>
      <c r="FY262" s="211">
        <v>257</v>
      </c>
      <c r="FZ262">
        <v>8.4731720240960691</v>
      </c>
      <c r="GA262">
        <v>36.581020835351438</v>
      </c>
      <c r="GB262">
        <v>82.52110477678039</v>
      </c>
      <c r="GC262">
        <v>47.394244119350198</v>
      </c>
      <c r="GD262">
        <v>18.330748666527871</v>
      </c>
      <c r="GE262">
        <v>26.167887836671333</v>
      </c>
      <c r="GF262">
        <v>44.565294695852863</v>
      </c>
      <c r="GG262">
        <v>56.584680236425946</v>
      </c>
      <c r="GH262">
        <v>32.28290061581734</v>
      </c>
      <c r="GI262">
        <v>47.592389869642382</v>
      </c>
      <c r="GJ262"/>
      <c r="GK262"/>
      <c r="GL262"/>
      <c r="GM262"/>
    </row>
    <row r="263" spans="1:195" s="7" customFormat="1">
      <c r="A263" s="77"/>
      <c r="B263">
        <v>0.62595390725795053</v>
      </c>
      <c r="C263">
        <v>1</v>
      </c>
      <c r="D263">
        <v>39747</v>
      </c>
      <c r="E263">
        <v>0</v>
      </c>
      <c r="F263">
        <v>173.61111111111111</v>
      </c>
      <c r="G263">
        <v>173.61111111111111</v>
      </c>
      <c r="H263">
        <v>260.41666666666669</v>
      </c>
      <c r="I263">
        <v>170.13888888888891</v>
      </c>
      <c r="J263">
        <v>10.416666666666666</v>
      </c>
      <c r="K263">
        <v>10.416666666666666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0</v>
      </c>
      <c r="AE263">
        <v>0</v>
      </c>
      <c r="AF263">
        <v>0</v>
      </c>
      <c r="AG263">
        <v>0</v>
      </c>
      <c r="AH263">
        <v>0</v>
      </c>
      <c r="AI263">
        <v>0</v>
      </c>
      <c r="AJ263" s="2"/>
      <c r="AK263" s="81"/>
      <c r="AL263" s="81"/>
      <c r="AM263" s="43">
        <v>247</v>
      </c>
      <c r="AN263">
        <v>254.93326677808105</v>
      </c>
      <c r="AO263">
        <v>80.381333010105806</v>
      </c>
      <c r="AP263">
        <v>625.06992809967016</v>
      </c>
      <c r="AQ263">
        <v>443.93408342103021</v>
      </c>
      <c r="AR263">
        <v>73.11988651836019</v>
      </c>
      <c r="AS263">
        <v>611.16847688813948</v>
      </c>
      <c r="AT263">
        <v>38.664231567208809</v>
      </c>
      <c r="AU263">
        <v>52.729074982510639</v>
      </c>
      <c r="AV263"/>
      <c r="AW263"/>
      <c r="FY263" s="211">
        <v>258</v>
      </c>
      <c r="FZ263">
        <v>9.4120079987291945</v>
      </c>
      <c r="GA263">
        <v>27.676865122909728</v>
      </c>
      <c r="GB263">
        <v>66.190171343095471</v>
      </c>
      <c r="GC263">
        <v>45.545756014542427</v>
      </c>
      <c r="GD263">
        <v>17.727111683527138</v>
      </c>
      <c r="GE263">
        <v>28.718931955288443</v>
      </c>
      <c r="GF263">
        <v>42.660375421206581</v>
      </c>
      <c r="GG263">
        <v>19.752207202731007</v>
      </c>
      <c r="GH263">
        <v>5.8420912535001888</v>
      </c>
      <c r="GI263">
        <v>38.377795034413587</v>
      </c>
      <c r="GJ263"/>
      <c r="GK263"/>
      <c r="GL263"/>
      <c r="GM263"/>
    </row>
    <row r="264" spans="1:195" s="7" customFormat="1">
      <c r="A264" s="77"/>
      <c r="B264">
        <v>0.17333190534999976</v>
      </c>
      <c r="C264">
        <v>4</v>
      </c>
      <c r="D264">
        <v>39747</v>
      </c>
      <c r="E264">
        <v>0</v>
      </c>
      <c r="F264">
        <v>188.57758620689654</v>
      </c>
      <c r="G264">
        <v>502.87356321839076</v>
      </c>
      <c r="H264">
        <v>216.98667711598745</v>
      </c>
      <c r="I264">
        <v>198.86363636363635</v>
      </c>
      <c r="J264">
        <v>56.818181818181813</v>
      </c>
      <c r="K264">
        <v>0</v>
      </c>
      <c r="L264">
        <v>28.409090909090907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0</v>
      </c>
      <c r="AE264">
        <v>0</v>
      </c>
      <c r="AF264">
        <v>0</v>
      </c>
      <c r="AG264">
        <v>0</v>
      </c>
      <c r="AH264">
        <v>0</v>
      </c>
      <c r="AI264">
        <v>0</v>
      </c>
      <c r="AJ264" s="2"/>
      <c r="AK264" s="81"/>
      <c r="AL264" s="81"/>
      <c r="AM264" s="43">
        <v>248</v>
      </c>
      <c r="AN264">
        <v>290.76626382094457</v>
      </c>
      <c r="AO264">
        <v>107.99571798302711</v>
      </c>
      <c r="AP264">
        <v>839.64414717329271</v>
      </c>
      <c r="AQ264">
        <v>623.08301032993188</v>
      </c>
      <c r="AR264">
        <v>97.250965611987709</v>
      </c>
      <c r="AS264">
        <v>768.32073032827805</v>
      </c>
      <c r="AT264">
        <v>50.635122380781262</v>
      </c>
      <c r="AU264">
        <v>44.928414416009424</v>
      </c>
      <c r="AV264"/>
      <c r="AW264"/>
      <c r="FY264" s="211">
        <v>259</v>
      </c>
      <c r="FZ264">
        <v>17.817954317951504</v>
      </c>
      <c r="GA264">
        <v>64.259130925742255</v>
      </c>
      <c r="GB264">
        <v>81.746493572958769</v>
      </c>
      <c r="GC264">
        <v>43.266764091690689</v>
      </c>
      <c r="GD264">
        <v>13.815921479745978</v>
      </c>
      <c r="GE264">
        <v>32.690341015178774</v>
      </c>
      <c r="GF264">
        <v>51.097039526991814</v>
      </c>
      <c r="GG264">
        <v>31.460219645658896</v>
      </c>
      <c r="GH264">
        <v>24.935640554740139</v>
      </c>
      <c r="GI264">
        <v>45.463535971638215</v>
      </c>
      <c r="GJ264"/>
      <c r="GK264"/>
      <c r="GL264"/>
      <c r="GM264"/>
    </row>
    <row r="265" spans="1:195" s="7" customFormat="1">
      <c r="A265" s="77"/>
      <c r="B265">
        <v>0.82052150582381911</v>
      </c>
      <c r="C265">
        <v>2</v>
      </c>
      <c r="D265">
        <v>39747</v>
      </c>
      <c r="E265">
        <v>0</v>
      </c>
      <c r="F265">
        <v>0</v>
      </c>
      <c r="G265">
        <v>182.29166666666666</v>
      </c>
      <c r="H265">
        <v>260.41666666666669</v>
      </c>
      <c r="I265">
        <v>312.5</v>
      </c>
      <c r="J265">
        <v>338.54166666666669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0</v>
      </c>
      <c r="AE265">
        <v>0</v>
      </c>
      <c r="AF265">
        <v>0</v>
      </c>
      <c r="AG265">
        <v>0</v>
      </c>
      <c r="AH265">
        <v>0</v>
      </c>
      <c r="AI265">
        <v>0</v>
      </c>
      <c r="AJ265" s="2"/>
      <c r="AK265" s="81"/>
      <c r="AL265" s="81"/>
      <c r="AM265" s="43">
        <v>249</v>
      </c>
      <c r="AN265">
        <v>239.80530619616155</v>
      </c>
      <c r="AO265">
        <v>79.799839761997887</v>
      </c>
      <c r="AP265">
        <v>590.56422696598554</v>
      </c>
      <c r="AQ265">
        <v>415.93143630713064</v>
      </c>
      <c r="AR265">
        <v>71.096443103626299</v>
      </c>
      <c r="AS265">
        <v>622.25093044621485</v>
      </c>
      <c r="AT265">
        <v>42.981613312465008</v>
      </c>
      <c r="AU265">
        <v>38.279166259793563</v>
      </c>
      <c r="AV265"/>
      <c r="AW265"/>
      <c r="FY265" s="211">
        <v>260</v>
      </c>
      <c r="FZ265">
        <v>18.485864526351968</v>
      </c>
      <c r="GA265">
        <v>42.496849653281977</v>
      </c>
      <c r="GB265">
        <v>96.884515626935539</v>
      </c>
      <c r="GC265">
        <v>61.237843611597185</v>
      </c>
      <c r="GD265">
        <v>21.561876731212422</v>
      </c>
      <c r="GE265">
        <v>36.876603100139114</v>
      </c>
      <c r="GF265">
        <v>67.518430656994383</v>
      </c>
      <c r="GG265">
        <v>50.368306953686904</v>
      </c>
      <c r="GH265">
        <v>20.920174657526623</v>
      </c>
      <c r="GI265">
        <v>58.293942295847124</v>
      </c>
      <c r="GJ265"/>
      <c r="GK265"/>
      <c r="GL265"/>
      <c r="GM265"/>
    </row>
    <row r="266" spans="1:195" s="7" customFormat="1">
      <c r="A266" s="1"/>
      <c r="B266">
        <v>0.96629556644649206</v>
      </c>
      <c r="C266">
        <v>1</v>
      </c>
      <c r="D266">
        <v>39747</v>
      </c>
      <c r="E266">
        <v>0</v>
      </c>
      <c r="F266">
        <v>173.61111111111111</v>
      </c>
      <c r="G266">
        <v>173.61111111111111</v>
      </c>
      <c r="H266">
        <v>260.41666666666669</v>
      </c>
      <c r="I266">
        <v>170.13888888888891</v>
      </c>
      <c r="J266">
        <v>10.416666666666666</v>
      </c>
      <c r="K266">
        <v>10.416666666666666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v>0</v>
      </c>
      <c r="AD266">
        <v>0</v>
      </c>
      <c r="AE266">
        <v>0</v>
      </c>
      <c r="AF266">
        <v>0</v>
      </c>
      <c r="AG266">
        <v>0</v>
      </c>
      <c r="AH266">
        <v>0</v>
      </c>
      <c r="AI266">
        <v>0</v>
      </c>
      <c r="AJ266" s="2"/>
      <c r="AK266" s="81"/>
      <c r="AL266" s="81"/>
      <c r="AM266" s="43">
        <v>250</v>
      </c>
      <c r="AN266">
        <v>223.54114513977129</v>
      </c>
      <c r="AO266">
        <v>61.282802375361953</v>
      </c>
      <c r="AP266">
        <v>414.2230973630692</v>
      </c>
      <c r="AQ266">
        <v>324.48878479347354</v>
      </c>
      <c r="AR266">
        <v>55.784827493112736</v>
      </c>
      <c r="AS266">
        <v>478.94019468299405</v>
      </c>
      <c r="AT266">
        <v>29.465435114457026</v>
      </c>
      <c r="AU266">
        <v>84.779915745904972</v>
      </c>
      <c r="AV266"/>
      <c r="AW266"/>
      <c r="FY266" s="211">
        <v>261</v>
      </c>
      <c r="FZ266">
        <v>13.199345435444995</v>
      </c>
      <c r="GA266">
        <v>49.648061703482796</v>
      </c>
      <c r="GB266">
        <v>84.140406705818378</v>
      </c>
      <c r="GC266">
        <v>57.007764750614548</v>
      </c>
      <c r="GD266">
        <v>23.626617676945678</v>
      </c>
      <c r="GE266">
        <v>36.986878923877953</v>
      </c>
      <c r="GF266">
        <v>76.191469759189829</v>
      </c>
      <c r="GG266">
        <v>52.240233526995191</v>
      </c>
      <c r="GH266">
        <v>22.412763246527199</v>
      </c>
      <c r="GI266">
        <v>56.283937703800476</v>
      </c>
      <c r="GJ266"/>
      <c r="GK266"/>
      <c r="GL266"/>
      <c r="GM266"/>
    </row>
    <row r="267" spans="1:195" s="7" customFormat="1">
      <c r="A267" s="1"/>
      <c r="B267">
        <v>0.34751453550410116</v>
      </c>
      <c r="C267">
        <v>1</v>
      </c>
      <c r="D267">
        <v>39747</v>
      </c>
      <c r="E267">
        <v>0</v>
      </c>
      <c r="F267">
        <v>173.61111111111111</v>
      </c>
      <c r="G267">
        <v>173.61111111111111</v>
      </c>
      <c r="H267">
        <v>260.41666666666669</v>
      </c>
      <c r="I267">
        <v>170.13888888888891</v>
      </c>
      <c r="J267">
        <v>10.416666666666666</v>
      </c>
      <c r="K267">
        <v>10.416666666666666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0</v>
      </c>
      <c r="AD267">
        <v>0</v>
      </c>
      <c r="AE267">
        <v>0</v>
      </c>
      <c r="AF267">
        <v>0</v>
      </c>
      <c r="AG267">
        <v>0</v>
      </c>
      <c r="AH267">
        <v>0</v>
      </c>
      <c r="AI267">
        <v>0</v>
      </c>
      <c r="AJ267" s="2"/>
      <c r="AK267" s="81"/>
      <c r="AL267" s="81"/>
      <c r="AM267" s="43">
        <v>251</v>
      </c>
      <c r="AN267">
        <v>225.27681053443712</v>
      </c>
      <c r="AO267">
        <v>66.164211982026146</v>
      </c>
      <c r="AP267">
        <v>452.81207882353289</v>
      </c>
      <c r="AQ267">
        <v>350.27001420066932</v>
      </c>
      <c r="AR267">
        <v>61.05911963113423</v>
      </c>
      <c r="AS267">
        <v>533.50048035311681</v>
      </c>
      <c r="AT267">
        <v>33.605155040175788</v>
      </c>
      <c r="AU267">
        <v>12.280678044839489</v>
      </c>
      <c r="AV267"/>
      <c r="AW267"/>
      <c r="FY267" s="211">
        <v>262</v>
      </c>
      <c r="FZ267">
        <v>13.775440124241385</v>
      </c>
      <c r="GA267">
        <v>56.337359224467448</v>
      </c>
      <c r="GB267">
        <v>77.827667153121382</v>
      </c>
      <c r="GC267">
        <v>46.348328251331523</v>
      </c>
      <c r="GD267">
        <v>17.584498695376897</v>
      </c>
      <c r="GE267">
        <v>24.725715992050223</v>
      </c>
      <c r="GF267">
        <v>66.404906093085273</v>
      </c>
      <c r="GG267">
        <v>56.901912523370534</v>
      </c>
      <c r="GH267">
        <v>23.338135066202994</v>
      </c>
      <c r="GI267">
        <v>49.840455806544099</v>
      </c>
      <c r="GJ267"/>
      <c r="GK267"/>
      <c r="GL267"/>
      <c r="GM267"/>
    </row>
    <row r="268" spans="1:195" s="7" customFormat="1">
      <c r="A268" s="1"/>
      <c r="B268">
        <v>0.18098326043086121</v>
      </c>
      <c r="C268">
        <v>4</v>
      </c>
      <c r="D268">
        <v>39775</v>
      </c>
      <c r="E268">
        <v>0</v>
      </c>
      <c r="F268">
        <v>0</v>
      </c>
      <c r="G268">
        <v>83.333333333333329</v>
      </c>
      <c r="H268">
        <v>41.666666666666664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0</v>
      </c>
      <c r="AD268">
        <v>0</v>
      </c>
      <c r="AE268">
        <v>0</v>
      </c>
      <c r="AF268">
        <v>0</v>
      </c>
      <c r="AG268">
        <v>0</v>
      </c>
      <c r="AH268">
        <v>0</v>
      </c>
      <c r="AI268">
        <v>0</v>
      </c>
      <c r="AJ268" s="2"/>
      <c r="AK268" s="81"/>
      <c r="AL268" s="81"/>
      <c r="AM268" s="43">
        <v>252</v>
      </c>
      <c r="AN268">
        <v>203.42559688035277</v>
      </c>
      <c r="AO268">
        <v>64.690362597464429</v>
      </c>
      <c r="AP268">
        <v>456.77590071457757</v>
      </c>
      <c r="AQ268">
        <v>352.84755288198562</v>
      </c>
      <c r="AR268">
        <v>58.302709695117706</v>
      </c>
      <c r="AS268">
        <v>518.26556615083734</v>
      </c>
      <c r="AT268">
        <v>35.088432969157857</v>
      </c>
      <c r="AU268">
        <v>64.308942875140346</v>
      </c>
      <c r="AV268"/>
      <c r="AW268"/>
      <c r="FY268" s="211">
        <v>263</v>
      </c>
      <c r="FZ268">
        <v>27.077401615929311</v>
      </c>
      <c r="GA268">
        <v>57.582711927089747</v>
      </c>
      <c r="GB268">
        <v>74.770231991779724</v>
      </c>
      <c r="GC268">
        <v>49.479080722903099</v>
      </c>
      <c r="GD268">
        <v>17.94808131276994</v>
      </c>
      <c r="GE268">
        <v>18.410579740449229</v>
      </c>
      <c r="GF268">
        <v>80.99413784353824</v>
      </c>
      <c r="GG268">
        <v>80.906461020328791</v>
      </c>
      <c r="GH268">
        <v>25.192467413619852</v>
      </c>
      <c r="GI268">
        <v>54.894708256552192</v>
      </c>
      <c r="GJ268"/>
      <c r="GK268"/>
      <c r="GL268"/>
      <c r="GM268"/>
    </row>
    <row r="269" spans="1:195" s="7" customFormat="1">
      <c r="A269" s="1"/>
      <c r="B269">
        <v>6.6295758463397192E-3</v>
      </c>
      <c r="C269">
        <v>9</v>
      </c>
      <c r="D269">
        <v>39775</v>
      </c>
      <c r="E269">
        <v>0</v>
      </c>
      <c r="F269">
        <v>0</v>
      </c>
      <c r="G269">
        <v>41.666666666666664</v>
      </c>
      <c r="H269">
        <v>0</v>
      </c>
      <c r="I269">
        <v>83.333333333333329</v>
      </c>
      <c r="J269">
        <v>31.25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0</v>
      </c>
      <c r="AD269">
        <v>0</v>
      </c>
      <c r="AE269">
        <v>0</v>
      </c>
      <c r="AF269">
        <v>0</v>
      </c>
      <c r="AG269">
        <v>0</v>
      </c>
      <c r="AH269">
        <v>0</v>
      </c>
      <c r="AI269">
        <v>0</v>
      </c>
      <c r="AJ269" s="2"/>
      <c r="AK269" s="81"/>
      <c r="AL269" s="81"/>
      <c r="AM269" s="43">
        <v>253</v>
      </c>
      <c r="AN269">
        <v>323.6324575496086</v>
      </c>
      <c r="AO269">
        <v>99.643465883940365</v>
      </c>
      <c r="AP269">
        <v>829.21632509553297</v>
      </c>
      <c r="AQ269">
        <v>569.62741137080252</v>
      </c>
      <c r="AR269">
        <v>90.07003407307235</v>
      </c>
      <c r="AS269">
        <v>761.39228277857478</v>
      </c>
      <c r="AT269">
        <v>46.783963658323991</v>
      </c>
      <c r="AU269">
        <v>-8.3448051462946164</v>
      </c>
      <c r="AV269"/>
      <c r="AW269"/>
      <c r="FY269" s="211">
        <v>264</v>
      </c>
      <c r="FZ269">
        <v>13.517546015262731</v>
      </c>
      <c r="GA269">
        <v>42.355554786774242</v>
      </c>
      <c r="GB269">
        <v>112.20341989746078</v>
      </c>
      <c r="GC269">
        <v>75.462114118767147</v>
      </c>
      <c r="GD269">
        <v>31.983082136330523</v>
      </c>
      <c r="GE269">
        <v>52.981012350094666</v>
      </c>
      <c r="GF269">
        <v>80.194974360896154</v>
      </c>
      <c r="GG269">
        <v>52.449995770435613</v>
      </c>
      <c r="GH269">
        <v>20.296089168414106</v>
      </c>
      <c r="GI269">
        <v>71.19087111264291</v>
      </c>
      <c r="GJ269"/>
      <c r="GK269"/>
      <c r="GL269"/>
      <c r="GM269"/>
    </row>
    <row r="270" spans="1:195" s="7" customFormat="1">
      <c r="A270" s="1"/>
      <c r="B270">
        <v>0.18228529316937259</v>
      </c>
      <c r="C270">
        <v>7</v>
      </c>
      <c r="D270">
        <v>39775</v>
      </c>
      <c r="E270">
        <v>0</v>
      </c>
      <c r="F270">
        <v>0</v>
      </c>
      <c r="G270">
        <v>69.444444444444443</v>
      </c>
      <c r="H270">
        <v>14.204545454545453</v>
      </c>
      <c r="I270">
        <v>170.45454545454544</v>
      </c>
      <c r="J270">
        <v>85.22727272727272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>
        <v>0</v>
      </c>
      <c r="AD270">
        <v>0</v>
      </c>
      <c r="AE270">
        <v>0</v>
      </c>
      <c r="AF270">
        <v>0</v>
      </c>
      <c r="AG270">
        <v>0</v>
      </c>
      <c r="AH270">
        <v>0</v>
      </c>
      <c r="AI270">
        <v>0</v>
      </c>
      <c r="AJ270" s="2"/>
      <c r="AK270" s="81"/>
      <c r="AL270" s="81"/>
      <c r="AM270" s="43">
        <v>254</v>
      </c>
      <c r="AN270">
        <v>238.12278669732126</v>
      </c>
      <c r="AO270">
        <v>77.502222907970832</v>
      </c>
      <c r="AP270">
        <v>592.10235122227164</v>
      </c>
      <c r="AQ270">
        <v>436.89638982416176</v>
      </c>
      <c r="AR270">
        <v>70.218480014383928</v>
      </c>
      <c r="AS270">
        <v>591.20369101634606</v>
      </c>
      <c r="AT270">
        <v>38.349444016073278</v>
      </c>
      <c r="AU270">
        <v>84.201692681693572</v>
      </c>
      <c r="AV270"/>
      <c r="AW270"/>
      <c r="FY270" s="211">
        <v>265</v>
      </c>
      <c r="FZ270">
        <v>21.114983067512025</v>
      </c>
      <c r="GA270">
        <v>54.171273631348626</v>
      </c>
      <c r="GB270">
        <v>77.44096972222998</v>
      </c>
      <c r="GC270">
        <v>44.209899955691455</v>
      </c>
      <c r="GD270">
        <v>18.950268836261372</v>
      </c>
      <c r="GE270">
        <v>33.330024327437734</v>
      </c>
      <c r="GF270">
        <v>49.977301796534981</v>
      </c>
      <c r="GG270">
        <v>51.612223751527225</v>
      </c>
      <c r="GH270">
        <v>33.289609706089621</v>
      </c>
      <c r="GI270">
        <v>50.087727157081005</v>
      </c>
      <c r="GJ270"/>
      <c r="GK270"/>
      <c r="GL270"/>
      <c r="GM270"/>
    </row>
    <row r="271" spans="1:195" s="7" customFormat="1">
      <c r="A271" s="77"/>
      <c r="B271">
        <v>0.36636437994540727</v>
      </c>
      <c r="C271">
        <v>9</v>
      </c>
      <c r="D271">
        <v>39775</v>
      </c>
      <c r="E271">
        <v>0</v>
      </c>
      <c r="F271">
        <v>0</v>
      </c>
      <c r="G271">
        <v>41.666666666666664</v>
      </c>
      <c r="H271">
        <v>0</v>
      </c>
      <c r="I271">
        <v>83.333333333333329</v>
      </c>
      <c r="J271">
        <v>31.25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>
        <v>0</v>
      </c>
      <c r="AD271">
        <v>0</v>
      </c>
      <c r="AE271">
        <v>0</v>
      </c>
      <c r="AF271">
        <v>0</v>
      </c>
      <c r="AG271">
        <v>0</v>
      </c>
      <c r="AH271">
        <v>0</v>
      </c>
      <c r="AI271">
        <v>0</v>
      </c>
      <c r="AJ271" s="2"/>
      <c r="AK271" s="81"/>
      <c r="AL271" s="81"/>
      <c r="AM271" s="43">
        <v>255</v>
      </c>
      <c r="AN271">
        <v>232.07413542409986</v>
      </c>
      <c r="AO271">
        <v>58.323982630633601</v>
      </c>
      <c r="AP271">
        <v>365.13880581840704</v>
      </c>
      <c r="AQ271">
        <v>294.52141807373403</v>
      </c>
      <c r="AR271">
        <v>52.782260825437966</v>
      </c>
      <c r="AS271">
        <v>523.28374640404809</v>
      </c>
      <c r="AT271" t="e">
        <v>#DIV/0!</v>
      </c>
      <c r="AU271" t="e">
        <v>#DIV/0!</v>
      </c>
      <c r="AV271"/>
      <c r="AW271"/>
      <c r="FY271" s="211">
        <v>266</v>
      </c>
      <c r="FZ271">
        <v>22.695062649691735</v>
      </c>
      <c r="GA271">
        <v>63.813468337549594</v>
      </c>
      <c r="GB271">
        <v>74.030974594060936</v>
      </c>
      <c r="GC271">
        <v>45.93088501254207</v>
      </c>
      <c r="GD271">
        <v>28.537045810775773</v>
      </c>
      <c r="GE271">
        <v>36.098349313787907</v>
      </c>
      <c r="GF271">
        <v>36.615131886789754</v>
      </c>
      <c r="GG271">
        <v>56.636705434985878</v>
      </c>
      <c r="GH271">
        <v>39.506717008966156</v>
      </c>
      <c r="GI271">
        <v>53.792542520128471</v>
      </c>
      <c r="GJ271"/>
      <c r="GK271"/>
      <c r="GL271"/>
      <c r="GM271"/>
    </row>
    <row r="272" spans="1:195" s="7" customFormat="1">
      <c r="A272" s="77"/>
      <c r="B272">
        <v>0.81295908876856249</v>
      </c>
      <c r="C272">
        <v>6</v>
      </c>
      <c r="D272">
        <v>39775</v>
      </c>
      <c r="E272">
        <v>0</v>
      </c>
      <c r="F272">
        <v>0</v>
      </c>
      <c r="G272">
        <v>52.083333333333336</v>
      </c>
      <c r="H272">
        <v>41.666666666666664</v>
      </c>
      <c r="I272">
        <v>93.75</v>
      </c>
      <c r="J272">
        <v>10.416666666666666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0</v>
      </c>
      <c r="AD272">
        <v>0</v>
      </c>
      <c r="AE272">
        <v>0</v>
      </c>
      <c r="AF272">
        <v>0</v>
      </c>
      <c r="AG272">
        <v>0</v>
      </c>
      <c r="AH272">
        <v>0</v>
      </c>
      <c r="AI272">
        <v>0</v>
      </c>
      <c r="AJ272" s="2"/>
      <c r="AK272" s="81"/>
      <c r="AL272" s="81"/>
      <c r="AM272" s="43">
        <v>256</v>
      </c>
      <c r="AN272">
        <v>200.64581126483895</v>
      </c>
      <c r="AO272">
        <v>70.187027665994776</v>
      </c>
      <c r="AP272">
        <v>551.7700876718161</v>
      </c>
      <c r="AQ272">
        <v>394.37099606254594</v>
      </c>
      <c r="AR272">
        <v>63.233782087238978</v>
      </c>
      <c r="AS272">
        <v>532.6246027384185</v>
      </c>
      <c r="AT272">
        <v>36.499664745411181</v>
      </c>
      <c r="AU272">
        <v>114.57934809372891</v>
      </c>
      <c r="AV272"/>
      <c r="AW272"/>
      <c r="FY272" s="211">
        <v>267</v>
      </c>
      <c r="FZ272">
        <v>23.843557588106812</v>
      </c>
      <c r="GA272">
        <v>51.555284212333113</v>
      </c>
      <c r="GB272">
        <v>64.358354889375008</v>
      </c>
      <c r="GC272">
        <v>41.977929324811228</v>
      </c>
      <c r="GD272">
        <v>27.000543989917524</v>
      </c>
      <c r="GE272">
        <v>56.348738831380842</v>
      </c>
      <c r="GF272">
        <v>57.269281101676356</v>
      </c>
      <c r="GG272">
        <v>43.111221270002225</v>
      </c>
      <c r="GH272">
        <v>34.602966987149316</v>
      </c>
      <c r="GI272">
        <v>53.491592615168216</v>
      </c>
      <c r="GJ272"/>
      <c r="GK272"/>
      <c r="GL272"/>
      <c r="GM272"/>
    </row>
    <row r="273" spans="1:195" s="7" customFormat="1">
      <c r="A273" s="1"/>
      <c r="B273">
        <v>0.7581319648298126</v>
      </c>
      <c r="C273">
        <v>6</v>
      </c>
      <c r="D273">
        <v>39775</v>
      </c>
      <c r="E273">
        <v>0</v>
      </c>
      <c r="F273">
        <v>0</v>
      </c>
      <c r="G273">
        <v>52.083333333333336</v>
      </c>
      <c r="H273">
        <v>41.666666666666664</v>
      </c>
      <c r="I273">
        <v>93.75</v>
      </c>
      <c r="J273">
        <v>10.416666666666666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v>0</v>
      </c>
      <c r="AD273">
        <v>0</v>
      </c>
      <c r="AE273">
        <v>0</v>
      </c>
      <c r="AF273">
        <v>0</v>
      </c>
      <c r="AG273">
        <v>0</v>
      </c>
      <c r="AH273">
        <v>0</v>
      </c>
      <c r="AI273">
        <v>0</v>
      </c>
      <c r="AJ273" s="2"/>
      <c r="AK273" s="81"/>
      <c r="AL273" s="81"/>
      <c r="AM273" s="43">
        <v>257</v>
      </c>
      <c r="AN273">
        <v>229.04475043318098</v>
      </c>
      <c r="AO273">
        <v>73.928195520992546</v>
      </c>
      <c r="AP273">
        <v>526.8902247155836</v>
      </c>
      <c r="AQ273">
        <v>400.49344367651577</v>
      </c>
      <c r="AR273">
        <v>68.28383549702508</v>
      </c>
      <c r="AS273">
        <v>602.14045820173794</v>
      </c>
      <c r="AT273">
        <v>37.812775198593769</v>
      </c>
      <c r="AU273">
        <v>60.30897237053906</v>
      </c>
      <c r="AV273"/>
      <c r="AW273"/>
      <c r="FY273" s="211">
        <v>268</v>
      </c>
      <c r="FZ273">
        <v>12.820622467957255</v>
      </c>
      <c r="GA273">
        <v>36.446546657728859</v>
      </c>
      <c r="GB273">
        <v>96.785244222145096</v>
      </c>
      <c r="GC273">
        <v>61.556876638683697</v>
      </c>
      <c r="GD273">
        <v>17.323437417582724</v>
      </c>
      <c r="GE273">
        <v>45.0505891619379</v>
      </c>
      <c r="GF273">
        <v>95.566032091541217</v>
      </c>
      <c r="GG273">
        <v>41.05522108457415</v>
      </c>
      <c r="GH273">
        <v>6.4662101999922745</v>
      </c>
      <c r="GI273">
        <v>58.011382709011627</v>
      </c>
      <c r="GJ273"/>
      <c r="GK273"/>
      <c r="GL273"/>
      <c r="GM273"/>
    </row>
    <row r="274" spans="1:195" s="7" customFormat="1">
      <c r="A274" s="1"/>
      <c r="B274">
        <v>5.7986200461406234E-2</v>
      </c>
      <c r="C274">
        <v>10</v>
      </c>
      <c r="D274">
        <v>39775</v>
      </c>
      <c r="E274">
        <v>0</v>
      </c>
      <c r="F274">
        <v>229.16666666666666</v>
      </c>
      <c r="G274">
        <v>10.416666666666666</v>
      </c>
      <c r="H274">
        <v>41.666666666666664</v>
      </c>
      <c r="I274">
        <v>41.666666666666664</v>
      </c>
      <c r="J274">
        <v>10.416666666666666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>
        <v>0</v>
      </c>
      <c r="AD274">
        <v>0</v>
      </c>
      <c r="AE274">
        <v>0</v>
      </c>
      <c r="AF274">
        <v>0</v>
      </c>
      <c r="AG274">
        <v>0</v>
      </c>
      <c r="AH274">
        <v>0</v>
      </c>
      <c r="AI274">
        <v>0</v>
      </c>
      <c r="AJ274" s="2"/>
      <c r="AK274" s="81"/>
      <c r="AL274" s="81"/>
      <c r="AM274" s="43">
        <v>258</v>
      </c>
      <c r="AN274">
        <v>198.18301764523565</v>
      </c>
      <c r="AO274">
        <v>59.4027125369876</v>
      </c>
      <c r="AP274">
        <v>381.8398222414371</v>
      </c>
      <c r="AQ274">
        <v>301.90331302994377</v>
      </c>
      <c r="AR274">
        <v>53.831447483078421</v>
      </c>
      <c r="AS274">
        <v>490.34456175078378</v>
      </c>
      <c r="AT274">
        <v>28.762211430160743</v>
      </c>
      <c r="AU274">
        <v>19.14815429503297</v>
      </c>
      <c r="AV274"/>
      <c r="AW274"/>
      <c r="FY274" s="211">
        <v>269</v>
      </c>
      <c r="FZ274">
        <v>6.8672374873180377</v>
      </c>
      <c r="GA274">
        <v>44.183335371404368</v>
      </c>
      <c r="GB274">
        <v>98.703476474518538</v>
      </c>
      <c r="GC274">
        <v>59.142313981679379</v>
      </c>
      <c r="GD274">
        <v>21.184131930173645</v>
      </c>
      <c r="GE274">
        <v>33.437693088543654</v>
      </c>
      <c r="GF274">
        <v>39.648532936731371</v>
      </c>
      <c r="GG274">
        <v>25.590220890344916</v>
      </c>
      <c r="GH274">
        <v>17.452236096543523</v>
      </c>
      <c r="GI274">
        <v>49.612129196927896</v>
      </c>
      <c r="GJ274"/>
      <c r="GK274"/>
      <c r="GL274"/>
      <c r="GM274"/>
    </row>
    <row r="275" spans="1:195" s="7" customFormat="1">
      <c r="A275" s="1"/>
      <c r="B275">
        <v>0.58446137110354024</v>
      </c>
      <c r="C275">
        <v>1</v>
      </c>
      <c r="D275">
        <v>39775</v>
      </c>
      <c r="E275">
        <v>0</v>
      </c>
      <c r="F275">
        <v>0</v>
      </c>
      <c r="G275">
        <v>109.375</v>
      </c>
      <c r="H275">
        <v>0</v>
      </c>
      <c r="I275">
        <v>96.15384615384616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0</v>
      </c>
      <c r="AD275">
        <v>0</v>
      </c>
      <c r="AE275">
        <v>0</v>
      </c>
      <c r="AF275">
        <v>0</v>
      </c>
      <c r="AG275">
        <v>0</v>
      </c>
      <c r="AH275">
        <v>0</v>
      </c>
      <c r="AI275">
        <v>0</v>
      </c>
      <c r="AJ275" s="2"/>
      <c r="AK275" s="81"/>
      <c r="AL275" s="81"/>
      <c r="AM275" s="43">
        <v>259</v>
      </c>
      <c r="AN275">
        <v>241.424037919824</v>
      </c>
      <c r="AO275">
        <v>70.5140599899092</v>
      </c>
      <c r="AP275">
        <v>532.1612045691495</v>
      </c>
      <c r="AQ275">
        <v>406.55304110229702</v>
      </c>
      <c r="AR275">
        <v>63.543608121905024</v>
      </c>
      <c r="AS275">
        <v>560.63218918045141</v>
      </c>
      <c r="AT275">
        <v>34.936987908884703</v>
      </c>
      <c r="AU275">
        <v>45.901923639958653</v>
      </c>
      <c r="AV275"/>
      <c r="AW275"/>
      <c r="FY275" s="211">
        <v>270</v>
      </c>
      <c r="FZ275">
        <v>15.997504791591158</v>
      </c>
      <c r="GA275">
        <v>59.484023483622586</v>
      </c>
      <c r="GB275">
        <v>56.716314666619098</v>
      </c>
      <c r="GC275">
        <v>29.514524411839066</v>
      </c>
      <c r="GD275">
        <v>14.582618669723701</v>
      </c>
      <c r="GE275">
        <v>38.548621249106198</v>
      </c>
      <c r="GF275">
        <v>53.688547436701235</v>
      </c>
      <c r="GG275">
        <v>36.713397222201799</v>
      </c>
      <c r="GH275">
        <v>34.203015788816423</v>
      </c>
      <c r="GI275">
        <v>41.679432370717514</v>
      </c>
      <c r="GJ275"/>
      <c r="GK275"/>
      <c r="GL275"/>
      <c r="GM275"/>
    </row>
    <row r="276" spans="1:195" s="7" customFormat="1">
      <c r="A276" s="1"/>
      <c r="B276">
        <v>0.71666289353570178</v>
      </c>
      <c r="C276">
        <v>3</v>
      </c>
      <c r="D276">
        <v>39775</v>
      </c>
      <c r="E276">
        <v>0</v>
      </c>
      <c r="F276">
        <v>52.083333333333336</v>
      </c>
      <c r="G276">
        <v>885.41666666666663</v>
      </c>
      <c r="H276">
        <v>72.916666666666671</v>
      </c>
      <c r="I276">
        <v>104.16666666666667</v>
      </c>
      <c r="J276">
        <v>52.083333333333336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v>0</v>
      </c>
      <c r="AD276">
        <v>0</v>
      </c>
      <c r="AE276">
        <v>0</v>
      </c>
      <c r="AF276">
        <v>0</v>
      </c>
      <c r="AG276">
        <v>0</v>
      </c>
      <c r="AH276">
        <v>0</v>
      </c>
      <c r="AI276">
        <v>0</v>
      </c>
      <c r="AJ276" s="2"/>
      <c r="AK276" s="81"/>
      <c r="AL276" s="81"/>
      <c r="AM276" s="43">
        <v>260</v>
      </c>
      <c r="AN276">
        <v>244.65641597590178</v>
      </c>
      <c r="AO276">
        <v>92.307439309045293</v>
      </c>
      <c r="AP276">
        <v>643.81317077391793</v>
      </c>
      <c r="AQ276">
        <v>474.6444078135732</v>
      </c>
      <c r="AR276">
        <v>83.830058174729118</v>
      </c>
      <c r="AS276">
        <v>692.64086349149886</v>
      </c>
      <c r="AT276">
        <v>47.037398262508503</v>
      </c>
      <c r="AU276">
        <v>55.794474833007818</v>
      </c>
      <c r="AV276"/>
      <c r="AW276"/>
      <c r="FY276" s="211">
        <v>271</v>
      </c>
      <c r="FZ276">
        <v>28.857711695560283</v>
      </c>
      <c r="GA276">
        <v>75.337994881434753</v>
      </c>
      <c r="GB276">
        <v>79.43823803612149</v>
      </c>
      <c r="GC276">
        <v>40.596530368767795</v>
      </c>
      <c r="GD276">
        <v>13.037099848653476</v>
      </c>
      <c r="GE276">
        <v>34.160031342430486</v>
      </c>
      <c r="GF276">
        <v>57.133725568811954</v>
      </c>
      <c r="GG276">
        <v>42.171348233330619</v>
      </c>
      <c r="GH276">
        <v>34.995872047276343</v>
      </c>
      <c r="GI276">
        <v>50.0583157923123</v>
      </c>
      <c r="GJ276"/>
      <c r="GK276"/>
      <c r="GL276"/>
      <c r="GM276"/>
    </row>
    <row r="277" spans="1:195" s="7" customFormat="1">
      <c r="A277" s="1"/>
      <c r="B277">
        <v>0.90637237507914392</v>
      </c>
      <c r="C277">
        <v>9</v>
      </c>
      <c r="D277">
        <v>39775</v>
      </c>
      <c r="E277">
        <v>0</v>
      </c>
      <c r="F277">
        <v>0</v>
      </c>
      <c r="G277">
        <v>41.666666666666664</v>
      </c>
      <c r="H277">
        <v>0</v>
      </c>
      <c r="I277">
        <v>83.333333333333329</v>
      </c>
      <c r="J277">
        <v>31.25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0</v>
      </c>
      <c r="AD277">
        <v>0</v>
      </c>
      <c r="AE277">
        <v>0</v>
      </c>
      <c r="AF277">
        <v>0</v>
      </c>
      <c r="AG277">
        <v>0</v>
      </c>
      <c r="AH277">
        <v>0</v>
      </c>
      <c r="AI277">
        <v>0</v>
      </c>
      <c r="AJ277" s="2"/>
      <c r="AK277" s="81"/>
      <c r="AL277" s="81"/>
      <c r="AM277" s="43">
        <v>261</v>
      </c>
      <c r="AN277">
        <v>274.22238158448386</v>
      </c>
      <c r="AO277">
        <v>88.005685482472174</v>
      </c>
      <c r="AP277">
        <v>618.65552058699609</v>
      </c>
      <c r="AQ277">
        <v>471.73747943269706</v>
      </c>
      <c r="AR277">
        <v>79.759953014082399</v>
      </c>
      <c r="AS277">
        <v>696.88387336289327</v>
      </c>
      <c r="AT277">
        <v>47.054419404982099</v>
      </c>
      <c r="AU277">
        <v>22.620743619665227</v>
      </c>
      <c r="AV277"/>
      <c r="AW277"/>
      <c r="FY277" s="211">
        <v>272</v>
      </c>
      <c r="FZ277">
        <v>7.868559997183981</v>
      </c>
      <c r="GA277">
        <v>44.246301861237491</v>
      </c>
      <c r="GB277">
        <v>64.635102920931473</v>
      </c>
      <c r="GC277">
        <v>38.244746348556518</v>
      </c>
      <c r="GD277">
        <v>34.643451042410902</v>
      </c>
      <c r="GE277">
        <v>79.680171829838017</v>
      </c>
      <c r="GF277">
        <v>120.24163998633259</v>
      </c>
      <c r="GG277">
        <v>85.515705955183194</v>
      </c>
      <c r="GH277">
        <v>27.218871829372276</v>
      </c>
      <c r="GI277">
        <v>69.869368614820644</v>
      </c>
      <c r="GJ277"/>
      <c r="GK277"/>
      <c r="GL277"/>
      <c r="GM277"/>
    </row>
    <row r="278" spans="1:195" s="7" customFormat="1">
      <c r="A278" s="1"/>
      <c r="B278">
        <v>0.32889398465312003</v>
      </c>
      <c r="C278">
        <v>3</v>
      </c>
      <c r="D278">
        <v>39799</v>
      </c>
      <c r="E278">
        <v>0</v>
      </c>
      <c r="F278">
        <v>0</v>
      </c>
      <c r="G278">
        <v>666.66666666666663</v>
      </c>
      <c r="H278">
        <v>24.038461538461537</v>
      </c>
      <c r="I278">
        <v>48.076923076923073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0</v>
      </c>
      <c r="AD278">
        <v>0</v>
      </c>
      <c r="AE278">
        <v>0</v>
      </c>
      <c r="AF278">
        <v>0</v>
      </c>
      <c r="AG278">
        <v>0</v>
      </c>
      <c r="AH278">
        <v>0</v>
      </c>
      <c r="AI278">
        <v>0</v>
      </c>
      <c r="AJ278" s="2"/>
      <c r="AK278" s="81"/>
      <c r="AL278" s="81"/>
      <c r="AM278" s="43">
        <v>262</v>
      </c>
      <c r="AN278">
        <v>238.9788949967718</v>
      </c>
      <c r="AO278">
        <v>78.628736058334667</v>
      </c>
      <c r="AP278">
        <v>590.57803708881261</v>
      </c>
      <c r="AQ278">
        <v>433.0844189297917</v>
      </c>
      <c r="AR278">
        <v>71.638465255330559</v>
      </c>
      <c r="AS278">
        <v>601.27075430363652</v>
      </c>
      <c r="AT278">
        <v>41.136600006346562</v>
      </c>
      <c r="AU278">
        <v>45.710382601756741</v>
      </c>
      <c r="AV278"/>
      <c r="AW278"/>
      <c r="FY278" s="211">
        <v>273</v>
      </c>
      <c r="FZ278">
        <v>25.395007196275536</v>
      </c>
      <c r="GA278">
        <v>74.128263837822843</v>
      </c>
      <c r="GB278">
        <v>95.211095070095368</v>
      </c>
      <c r="GC278">
        <v>52.447887296512405</v>
      </c>
      <c r="GD278">
        <v>30.672124356421655</v>
      </c>
      <c r="GE278">
        <v>56.942556739248346</v>
      </c>
      <c r="GF278">
        <v>78.687717243829951</v>
      </c>
      <c r="GG278">
        <v>59.417237015486386</v>
      </c>
      <c r="GH278">
        <v>15.786077895816224</v>
      </c>
      <c r="GI278">
        <v>66.511432515258434</v>
      </c>
      <c r="GJ278"/>
      <c r="GK278"/>
      <c r="GL278"/>
      <c r="GM278"/>
    </row>
    <row r="279" spans="1:195" s="7" customFormat="1">
      <c r="A279" s="1"/>
      <c r="B279">
        <v>0.27862199518118036</v>
      </c>
      <c r="C279">
        <v>3</v>
      </c>
      <c r="D279">
        <v>39799</v>
      </c>
      <c r="E279">
        <v>0</v>
      </c>
      <c r="F279">
        <v>0</v>
      </c>
      <c r="G279">
        <v>666.66666666666663</v>
      </c>
      <c r="H279">
        <v>24.038461538461537</v>
      </c>
      <c r="I279">
        <v>48.076923076923073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  <c r="AC279">
        <v>0</v>
      </c>
      <c r="AD279">
        <v>0</v>
      </c>
      <c r="AE279">
        <v>0</v>
      </c>
      <c r="AF279">
        <v>0</v>
      </c>
      <c r="AG279">
        <v>0</v>
      </c>
      <c r="AH279">
        <v>0</v>
      </c>
      <c r="AI279">
        <v>0</v>
      </c>
      <c r="AJ279" s="2"/>
      <c r="AK279" s="81"/>
      <c r="AL279" s="81"/>
      <c r="AM279" s="43">
        <v>263</v>
      </c>
      <c r="AN279">
        <v>238.56249126065941</v>
      </c>
      <c r="AO279">
        <v>88.252560598559683</v>
      </c>
      <c r="AP279">
        <v>687.12069759480562</v>
      </c>
      <c r="AQ279">
        <v>487.25586184496012</v>
      </c>
      <c r="AR279">
        <v>81.353565215194166</v>
      </c>
      <c r="AS279">
        <v>673.92952310114413</v>
      </c>
      <c r="AT279">
        <v>42.264584045179305</v>
      </c>
      <c r="AU279">
        <v>41.704312452406874</v>
      </c>
      <c r="AV279"/>
      <c r="AW279"/>
      <c r="FY279" s="211">
        <v>274</v>
      </c>
      <c r="FZ279">
        <v>7.7838745156626832</v>
      </c>
      <c r="GA279">
        <v>29.053538318165465</v>
      </c>
      <c r="GB279">
        <v>71.643189511050423</v>
      </c>
      <c r="GC279">
        <v>44.900692812556628</v>
      </c>
      <c r="GD279">
        <v>16.192807054096665</v>
      </c>
      <c r="GE279">
        <v>23.766019336694843</v>
      </c>
      <c r="GF279">
        <v>34.144567728930355</v>
      </c>
      <c r="GG279">
        <v>21.686256080844817</v>
      </c>
      <c r="GH279">
        <v>7.3502665427436025</v>
      </c>
      <c r="GI279">
        <v>37.226623539229941</v>
      </c>
      <c r="GJ279"/>
      <c r="GK279"/>
      <c r="GL279"/>
      <c r="GM279"/>
    </row>
    <row r="280" spans="1:195" s="7" customFormat="1">
      <c r="A280" s="1"/>
      <c r="B280">
        <v>0.25048040841974295</v>
      </c>
      <c r="C280">
        <v>1</v>
      </c>
      <c r="D280">
        <v>39799</v>
      </c>
      <c r="E280">
        <v>0</v>
      </c>
      <c r="F280">
        <v>0</v>
      </c>
      <c r="G280">
        <v>416.66666666666669</v>
      </c>
      <c r="H280">
        <v>0</v>
      </c>
      <c r="I280">
        <v>20.833333333333332</v>
      </c>
      <c r="J280">
        <v>10.416666666666666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v>0</v>
      </c>
      <c r="AD280">
        <v>0</v>
      </c>
      <c r="AE280">
        <v>0</v>
      </c>
      <c r="AF280">
        <v>0</v>
      </c>
      <c r="AG280">
        <v>0</v>
      </c>
      <c r="AH280">
        <v>0</v>
      </c>
      <c r="AI280">
        <v>0</v>
      </c>
      <c r="AJ280" s="2"/>
      <c r="AK280" s="81"/>
      <c r="AL280" s="81"/>
      <c r="AM280" s="43">
        <v>264</v>
      </c>
      <c r="AN280">
        <v>290.10121376857973</v>
      </c>
      <c r="AO280">
        <v>113.70690081170616</v>
      </c>
      <c r="AP280">
        <v>748.06332438406275</v>
      </c>
      <c r="AQ280">
        <v>552.63465971707876</v>
      </c>
      <c r="AR280">
        <v>102.66293935029609</v>
      </c>
      <c r="AS280">
        <v>862.52176773063195</v>
      </c>
      <c r="AT280">
        <v>57.019895864222036</v>
      </c>
      <c r="AU280">
        <v>108.59416137394722</v>
      </c>
      <c r="AV280"/>
      <c r="AW280"/>
      <c r="FY280" s="211">
        <v>275</v>
      </c>
      <c r="FZ280">
        <v>11.430721393999258</v>
      </c>
      <c r="GA280">
        <v>55.844115588749069</v>
      </c>
      <c r="GB280">
        <v>87.995574643848727</v>
      </c>
      <c r="GC280">
        <v>51.252112166059547</v>
      </c>
      <c r="GD280">
        <v>27.013608692065752</v>
      </c>
      <c r="GE280">
        <v>55.16519046407312</v>
      </c>
      <c r="GF280">
        <v>57.284582635269338</v>
      </c>
      <c r="GG280">
        <v>39.308163952683024</v>
      </c>
      <c r="GH280">
        <v>33.951494171212289</v>
      </c>
      <c r="GI280">
        <v>57.793994289731458</v>
      </c>
      <c r="GJ280"/>
      <c r="GK280"/>
      <c r="GL280"/>
      <c r="GM280"/>
    </row>
    <row r="281" spans="1:195" s="7" customFormat="1">
      <c r="A281" s="1"/>
      <c r="B281">
        <v>0.54446152061833608</v>
      </c>
      <c r="C281">
        <v>4</v>
      </c>
      <c r="D281">
        <v>39799</v>
      </c>
      <c r="E281">
        <v>0</v>
      </c>
      <c r="F281">
        <v>0</v>
      </c>
      <c r="G281">
        <v>0</v>
      </c>
      <c r="H281">
        <v>0</v>
      </c>
      <c r="I281">
        <v>330.32531194295899</v>
      </c>
      <c r="J281">
        <v>113.63636363636363</v>
      </c>
      <c r="K281">
        <v>113.63636363636363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0</v>
      </c>
      <c r="AD281">
        <v>0</v>
      </c>
      <c r="AE281">
        <v>0</v>
      </c>
      <c r="AF281">
        <v>0</v>
      </c>
      <c r="AG281">
        <v>0</v>
      </c>
      <c r="AH281">
        <v>0</v>
      </c>
      <c r="AI281">
        <v>0</v>
      </c>
      <c r="AJ281" s="80"/>
      <c r="AK281" s="81"/>
      <c r="AL281" s="81"/>
      <c r="AM281" s="43">
        <v>265</v>
      </c>
      <c r="AN281">
        <v>247.26740176042389</v>
      </c>
      <c r="AO281">
        <v>79.320325162026322</v>
      </c>
      <c r="AP281">
        <v>581.35465682236088</v>
      </c>
      <c r="AQ281">
        <v>434.18428195171401</v>
      </c>
      <c r="AR281">
        <v>72.648986568535122</v>
      </c>
      <c r="AS281">
        <v>596.83256014259098</v>
      </c>
      <c r="AT281">
        <v>37.224887410828309</v>
      </c>
      <c r="AU281">
        <v>56.25924127900776</v>
      </c>
      <c r="AV281"/>
      <c r="AW281"/>
      <c r="FY281" s="211">
        <v>276</v>
      </c>
      <c r="FZ281">
        <v>7.1765633785379546</v>
      </c>
      <c r="GA281">
        <v>66.228932146380913</v>
      </c>
      <c r="GB281">
        <v>92.197366089876937</v>
      </c>
      <c r="GC281">
        <v>42.741929908795939</v>
      </c>
      <c r="GD281">
        <v>14.064688486814026</v>
      </c>
      <c r="GE281">
        <v>52.535922178592614</v>
      </c>
      <c r="GF281">
        <v>101.00168336504491</v>
      </c>
      <c r="GG281">
        <v>55.919064811527846</v>
      </c>
      <c r="GH281">
        <v>27.23434230865562</v>
      </c>
      <c r="GI281">
        <v>57.781806659152075</v>
      </c>
      <c r="GJ281"/>
      <c r="GK281"/>
      <c r="GL281"/>
      <c r="GM281"/>
    </row>
    <row r="282" spans="1:195" s="7" customFormat="1">
      <c r="A282" s="1"/>
      <c r="B282">
        <v>0.87901926360043259</v>
      </c>
      <c r="C282">
        <v>5</v>
      </c>
      <c r="D282">
        <v>39799</v>
      </c>
      <c r="E282">
        <v>0</v>
      </c>
      <c r="F282">
        <v>70.112179487179489</v>
      </c>
      <c r="G282">
        <v>70.112179487179489</v>
      </c>
      <c r="H282">
        <v>0</v>
      </c>
      <c r="I282">
        <v>52.083333333333336</v>
      </c>
      <c r="J282">
        <v>20.833333333333332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0</v>
      </c>
      <c r="AC282">
        <v>0</v>
      </c>
      <c r="AD282">
        <v>0</v>
      </c>
      <c r="AE282">
        <v>0</v>
      </c>
      <c r="AF282">
        <v>0</v>
      </c>
      <c r="AG282">
        <v>0</v>
      </c>
      <c r="AH282">
        <v>0</v>
      </c>
      <c r="AI282">
        <v>0</v>
      </c>
      <c r="AJ282" s="80"/>
      <c r="AK282" s="81"/>
      <c r="AL282" s="81"/>
      <c r="AM282" s="43">
        <v>266</v>
      </c>
      <c r="AN282">
        <v>233.17520853451089</v>
      </c>
      <c r="AO282">
        <v>84.924007250742903</v>
      </c>
      <c r="AP282">
        <v>588.49029132123087</v>
      </c>
      <c r="AQ282">
        <v>457.65688256927825</v>
      </c>
      <c r="AR282">
        <v>78.618153228617629</v>
      </c>
      <c r="AS282">
        <v>635.72184609063765</v>
      </c>
      <c r="AT282">
        <v>41.903065242071968</v>
      </c>
      <c r="AU282">
        <v>73.136954174489532</v>
      </c>
      <c r="AV282"/>
      <c r="AW282"/>
      <c r="FY282" s="211">
        <v>277</v>
      </c>
      <c r="FZ282">
        <v>6.8698049086176747</v>
      </c>
      <c r="GA282">
        <v>48.049258312861099</v>
      </c>
      <c r="GB282">
        <v>78.432849516594132</v>
      </c>
      <c r="GC282">
        <v>45.33283218128792</v>
      </c>
      <c r="GD282">
        <v>30.928259391934962</v>
      </c>
      <c r="GE282">
        <v>81.579075772028531</v>
      </c>
      <c r="GF282">
        <v>104.69923686769829</v>
      </c>
      <c r="GG282">
        <v>67.381673859716415</v>
      </c>
      <c r="GH282">
        <v>44.128296365469097</v>
      </c>
      <c r="GI282">
        <v>69.210909493336032</v>
      </c>
      <c r="GJ282"/>
      <c r="GK282"/>
      <c r="GL282"/>
      <c r="GM282"/>
    </row>
    <row r="283" spans="1:195" s="7" customFormat="1">
      <c r="A283" s="1"/>
      <c r="B283">
        <v>0.77058696704495011</v>
      </c>
      <c r="C283">
        <v>3</v>
      </c>
      <c r="D283">
        <v>39799</v>
      </c>
      <c r="E283">
        <v>0</v>
      </c>
      <c r="F283">
        <v>0</v>
      </c>
      <c r="G283">
        <v>666.66666666666663</v>
      </c>
      <c r="H283">
        <v>24.038461538461537</v>
      </c>
      <c r="I283">
        <v>48.076923076923073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0</v>
      </c>
      <c r="AD283">
        <v>0</v>
      </c>
      <c r="AE283">
        <v>0</v>
      </c>
      <c r="AF283">
        <v>0</v>
      </c>
      <c r="AG283">
        <v>0</v>
      </c>
      <c r="AH283">
        <v>0</v>
      </c>
      <c r="AI283">
        <v>0</v>
      </c>
      <c r="AJ283" s="80"/>
      <c r="AK283" s="81"/>
      <c r="AL283" s="81"/>
      <c r="AM283" s="43">
        <v>267</v>
      </c>
      <c r="AN283">
        <v>253.58581925973044</v>
      </c>
      <c r="AO283">
        <v>83.887671513468007</v>
      </c>
      <c r="AP283">
        <v>563.15055910919671</v>
      </c>
      <c r="AQ283">
        <v>453.55947080992058</v>
      </c>
      <c r="AR283">
        <v>75.793246060140447</v>
      </c>
      <c r="AS283">
        <v>664.627772002955</v>
      </c>
      <c r="AT283">
        <v>40.318335259769675</v>
      </c>
      <c r="AU283">
        <v>73.350031562340774</v>
      </c>
      <c r="AV283"/>
      <c r="AW283"/>
      <c r="FY283" s="211">
        <v>278</v>
      </c>
      <c r="FZ283">
        <v>24.676803191741776</v>
      </c>
      <c r="GA283">
        <v>61.937414442572631</v>
      </c>
      <c r="GB283">
        <v>69.957144771861579</v>
      </c>
      <c r="GC283">
        <v>37.30556791027881</v>
      </c>
      <c r="GD283">
        <v>18.827428688427936</v>
      </c>
      <c r="GE283">
        <v>35.072019691500479</v>
      </c>
      <c r="GF283">
        <v>72.750567300112849</v>
      </c>
      <c r="GG283">
        <v>75.538328598386684</v>
      </c>
      <c r="GH283">
        <v>34.602966987149316</v>
      </c>
      <c r="GI283">
        <v>53.945797792008868</v>
      </c>
      <c r="GJ283"/>
      <c r="GK283"/>
      <c r="GL283"/>
      <c r="GM283"/>
    </row>
    <row r="284" spans="1:195" s="7" customFormat="1">
      <c r="A284" s="1"/>
      <c r="B284">
        <v>0.92870434617516917</v>
      </c>
      <c r="C284">
        <v>1</v>
      </c>
      <c r="D284">
        <v>39799</v>
      </c>
      <c r="E284">
        <v>0</v>
      </c>
      <c r="F284">
        <v>0</v>
      </c>
      <c r="G284">
        <v>416.66666666666669</v>
      </c>
      <c r="H284">
        <v>0</v>
      </c>
      <c r="I284">
        <v>20.833333333333332</v>
      </c>
      <c r="J284">
        <v>10.416666666666666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v>0</v>
      </c>
      <c r="AD284">
        <v>0</v>
      </c>
      <c r="AE284">
        <v>0</v>
      </c>
      <c r="AF284">
        <v>0</v>
      </c>
      <c r="AG284">
        <v>0</v>
      </c>
      <c r="AH284">
        <v>0</v>
      </c>
      <c r="AI284">
        <v>0</v>
      </c>
      <c r="AJ284" s="80"/>
      <c r="AK284" s="81"/>
      <c r="AL284" s="81"/>
      <c r="AM284" s="43">
        <v>268</v>
      </c>
      <c r="AN284">
        <v>241.95024727379655</v>
      </c>
      <c r="AO284">
        <v>92.203212050783804</v>
      </c>
      <c r="AP284">
        <v>652.40855735355399</v>
      </c>
      <c r="AQ284">
        <v>471.08216265115482</v>
      </c>
      <c r="AR284">
        <v>81.922152453505348</v>
      </c>
      <c r="AS284">
        <v>664.04696805550464</v>
      </c>
      <c r="AT284" t="e">
        <v>#DIV/0!</v>
      </c>
      <c r="AU284" t="e">
        <v>#DIV/0!</v>
      </c>
      <c r="AV284"/>
      <c r="AW284"/>
      <c r="FY284" s="211">
        <v>279</v>
      </c>
      <c r="FZ284">
        <v>10.509686832937392</v>
      </c>
      <c r="GA284">
        <v>55.130809035699741</v>
      </c>
      <c r="GB284">
        <v>70.378975654779723</v>
      </c>
      <c r="GC284">
        <v>35.31698879448129</v>
      </c>
      <c r="GD284">
        <v>20.300497168277733</v>
      </c>
      <c r="GE284">
        <v>31.912715600773947</v>
      </c>
      <c r="GF284">
        <v>58.808072121100309</v>
      </c>
      <c r="GG284">
        <v>45.268488514474519</v>
      </c>
      <c r="GH284">
        <v>1.2431154813806589</v>
      </c>
      <c r="GI284">
        <v>44.377449787442664</v>
      </c>
      <c r="GJ284"/>
      <c r="GK284"/>
      <c r="GL284"/>
      <c r="GM284"/>
    </row>
    <row r="285" spans="1:195" s="7" customFormat="1">
      <c r="A285" s="1"/>
      <c r="B285">
        <v>0.96694788858909053</v>
      </c>
      <c r="C285">
        <v>1</v>
      </c>
      <c r="D285">
        <v>39799</v>
      </c>
      <c r="E285">
        <v>0</v>
      </c>
      <c r="F285">
        <v>0</v>
      </c>
      <c r="G285">
        <v>416.66666666666669</v>
      </c>
      <c r="H285">
        <v>0</v>
      </c>
      <c r="I285">
        <v>20.833333333333332</v>
      </c>
      <c r="J285">
        <v>10.416666666666666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>
        <v>0</v>
      </c>
      <c r="AD285">
        <v>0</v>
      </c>
      <c r="AE285">
        <v>0</v>
      </c>
      <c r="AF285">
        <v>0</v>
      </c>
      <c r="AG285">
        <v>0</v>
      </c>
      <c r="AH285">
        <v>0</v>
      </c>
      <c r="AI285">
        <v>0</v>
      </c>
      <c r="AJ285" s="80"/>
      <c r="AK285" s="81"/>
      <c r="AL285" s="81"/>
      <c r="AM285" s="43">
        <v>269</v>
      </c>
      <c r="AN285">
        <v>222.07985543343321</v>
      </c>
      <c r="AO285">
        <v>76.962179483096037</v>
      </c>
      <c r="AP285">
        <v>510.0824851976119</v>
      </c>
      <c r="AQ285">
        <v>395.82130745418533</v>
      </c>
      <c r="AR285">
        <v>70.069357955200203</v>
      </c>
      <c r="AS285">
        <v>588.27847919683177</v>
      </c>
      <c r="AT285">
        <v>39.041319049703667</v>
      </c>
      <c r="AU285">
        <v>38.869906285915711</v>
      </c>
      <c r="AV285"/>
      <c r="AW285"/>
      <c r="FY285" s="211">
        <v>280</v>
      </c>
      <c r="FZ285">
        <v>9.225843707780033</v>
      </c>
      <c r="GA285">
        <v>42.430945886245617</v>
      </c>
      <c r="GB285">
        <v>64.826088133396055</v>
      </c>
      <c r="GC285">
        <v>41.043509815959673</v>
      </c>
      <c r="GD285">
        <v>18.129098859126003</v>
      </c>
      <c r="GE285">
        <v>49.35494814298805</v>
      </c>
      <c r="GF285">
        <v>111.15871297499838</v>
      </c>
      <c r="GG285">
        <v>75.943561343860324</v>
      </c>
      <c r="GH285">
        <v>39.214509894564692</v>
      </c>
      <c r="GI285">
        <v>57.817414808570334</v>
      </c>
      <c r="GJ285"/>
      <c r="GK285"/>
      <c r="GL285"/>
      <c r="GM285"/>
    </row>
    <row r="286" spans="1:195" s="7" customFormat="1">
      <c r="A286" s="1"/>
      <c r="B286">
        <v>0.42178014277758669</v>
      </c>
      <c r="C286">
        <v>2</v>
      </c>
      <c r="D286">
        <v>39799</v>
      </c>
      <c r="E286">
        <v>0</v>
      </c>
      <c r="F286">
        <v>0</v>
      </c>
      <c r="G286">
        <v>52.083333333333336</v>
      </c>
      <c r="H286">
        <v>10.416666666666666</v>
      </c>
      <c r="I286">
        <v>20.833333333333332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0</v>
      </c>
      <c r="AD286">
        <v>0</v>
      </c>
      <c r="AE286">
        <v>0</v>
      </c>
      <c r="AF286">
        <v>0</v>
      </c>
      <c r="AG286">
        <v>0</v>
      </c>
      <c r="AH286">
        <v>0</v>
      </c>
      <c r="AI286">
        <v>0</v>
      </c>
      <c r="AJ286" s="80"/>
      <c r="AK286" s="81"/>
      <c r="AL286" s="81"/>
      <c r="AM286" s="43">
        <v>270</v>
      </c>
      <c r="AN286">
        <v>242.77008283553496</v>
      </c>
      <c r="AO286">
        <v>65.149754408973848</v>
      </c>
      <c r="AP286">
        <v>494.22561278742211</v>
      </c>
      <c r="AQ286">
        <v>381.12800009093877</v>
      </c>
      <c r="AR286">
        <v>57.996714348888574</v>
      </c>
      <c r="AS286">
        <v>519.86694302042349</v>
      </c>
      <c r="AT286">
        <v>31.127384361592224</v>
      </c>
      <c r="AU286">
        <v>43.929893374530465</v>
      </c>
      <c r="AV286"/>
      <c r="AW286"/>
      <c r="FY286" s="211">
        <v>281</v>
      </c>
      <c r="FZ286">
        <v>16.964606428358955</v>
      </c>
      <c r="GA286">
        <v>45.755741050492517</v>
      </c>
      <c r="GB286">
        <v>79.98577828030858</v>
      </c>
      <c r="GC286">
        <v>52.544092542189944</v>
      </c>
      <c r="GD286">
        <v>26.162284580215722</v>
      </c>
      <c r="GE286">
        <v>50.252652334196533</v>
      </c>
      <c r="GF286">
        <v>85.95567220305503</v>
      </c>
      <c r="GG286">
        <v>53.694362817411189</v>
      </c>
      <c r="GH286">
        <v>15.335562018430434</v>
      </c>
      <c r="GI286">
        <v>59.092988403754582</v>
      </c>
      <c r="GJ286"/>
      <c r="GK286"/>
      <c r="GL286"/>
      <c r="GM286"/>
    </row>
    <row r="287" spans="1:195" s="7" customFormat="1">
      <c r="A287" s="1"/>
      <c r="B287">
        <v>0.82968724909182723</v>
      </c>
      <c r="C287">
        <v>10</v>
      </c>
      <c r="D287">
        <v>39799</v>
      </c>
      <c r="E287">
        <v>0</v>
      </c>
      <c r="F287">
        <v>20.833333333333332</v>
      </c>
      <c r="G287">
        <v>83.333333333333329</v>
      </c>
      <c r="H287">
        <v>10.416666666666666</v>
      </c>
      <c r="I287">
        <v>10.416666666666666</v>
      </c>
      <c r="J287">
        <v>52.083333333333336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0</v>
      </c>
      <c r="AD287">
        <v>0</v>
      </c>
      <c r="AE287">
        <v>0</v>
      </c>
      <c r="AF287">
        <v>0</v>
      </c>
      <c r="AG287">
        <v>0</v>
      </c>
      <c r="AH287">
        <v>0</v>
      </c>
      <c r="AI287">
        <v>0</v>
      </c>
      <c r="AJ287" s="80"/>
      <c r="AK287" s="81"/>
      <c r="AL287" s="81"/>
      <c r="AM287" s="43">
        <v>271</v>
      </c>
      <c r="AN287">
        <v>264.09284524048564</v>
      </c>
      <c r="AO287">
        <v>79.379100098767225</v>
      </c>
      <c r="AP287">
        <v>623.33943207641983</v>
      </c>
      <c r="AQ287">
        <v>455.78686781469946</v>
      </c>
      <c r="AR287">
        <v>71.242268995182158</v>
      </c>
      <c r="AS287">
        <v>616.47539012336199</v>
      </c>
      <c r="AT287">
        <v>38.199755427251482</v>
      </c>
      <c r="AU287">
        <v>54.349636886276897</v>
      </c>
      <c r="AV287"/>
      <c r="AW287"/>
      <c r="FY287" s="211">
        <v>282</v>
      </c>
      <c r="FZ287">
        <v>26.462577487622795</v>
      </c>
      <c r="GA287">
        <v>56.929713037669458</v>
      </c>
      <c r="GB287">
        <v>48.447670476934292</v>
      </c>
      <c r="GC287">
        <v>27.26773812816857</v>
      </c>
      <c r="GD287">
        <v>10.286931116321744</v>
      </c>
      <c r="GE287">
        <v>38.329500660035109</v>
      </c>
      <c r="GF287">
        <v>101.39598381347805</v>
      </c>
      <c r="GG287">
        <v>65.672442437107975</v>
      </c>
      <c r="GH287">
        <v>25.050283739384593</v>
      </c>
      <c r="GI287">
        <v>47.652603889185656</v>
      </c>
      <c r="GJ287"/>
      <c r="GK287"/>
      <c r="GL287"/>
      <c r="GM287"/>
    </row>
    <row r="288" spans="1:195" s="7" customFormat="1">
      <c r="A288" s="1"/>
      <c r="B288">
        <v>0.54905129839918976</v>
      </c>
      <c r="C288">
        <v>6</v>
      </c>
      <c r="D288">
        <v>39847</v>
      </c>
      <c r="E288">
        <v>0</v>
      </c>
      <c r="F288">
        <v>0</v>
      </c>
      <c r="G288">
        <v>0</v>
      </c>
      <c r="H288">
        <v>0</v>
      </c>
      <c r="I288">
        <v>31.25</v>
      </c>
      <c r="J288">
        <v>62.5</v>
      </c>
      <c r="K288">
        <v>62.5</v>
      </c>
      <c r="L288">
        <v>0</v>
      </c>
      <c r="M288">
        <v>0</v>
      </c>
      <c r="N288">
        <v>0</v>
      </c>
      <c r="O288">
        <v>10.416666666666666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>
        <v>0</v>
      </c>
      <c r="AD288">
        <v>0</v>
      </c>
      <c r="AE288">
        <v>0</v>
      </c>
      <c r="AF288">
        <v>0</v>
      </c>
      <c r="AG288">
        <v>0</v>
      </c>
      <c r="AH288">
        <v>0</v>
      </c>
      <c r="AI288">
        <v>0</v>
      </c>
      <c r="AJ288" s="80"/>
      <c r="AK288" s="81"/>
      <c r="AL288" s="81"/>
      <c r="AM288" s="43">
        <v>272</v>
      </c>
      <c r="AN288">
        <v>266.94525250521787</v>
      </c>
      <c r="AO288">
        <v>112.86110586111484</v>
      </c>
      <c r="AP288">
        <v>778.97163174122102</v>
      </c>
      <c r="AQ288">
        <v>572.16392038586707</v>
      </c>
      <c r="AR288">
        <v>101.67439429059768</v>
      </c>
      <c r="AS288">
        <v>777.5403142164115</v>
      </c>
      <c r="AT288">
        <v>56.84553676229536</v>
      </c>
      <c r="AU288">
        <v>95.028163931011605</v>
      </c>
      <c r="AV288"/>
      <c r="AW288"/>
      <c r="FY288" s="211">
        <v>283</v>
      </c>
      <c r="FZ288">
        <v>5.6279053150369851</v>
      </c>
      <c r="GA288">
        <v>19.472179358400311</v>
      </c>
      <c r="GB288">
        <v>65.074078721439889</v>
      </c>
      <c r="GC288">
        <v>41.869692057281512</v>
      </c>
      <c r="GD288">
        <v>18.416895900333618</v>
      </c>
      <c r="GE288">
        <v>54.668920913269915</v>
      </c>
      <c r="GF288">
        <v>110.47704757120201</v>
      </c>
      <c r="GG288">
        <v>68.184851191346098</v>
      </c>
      <c r="GH288">
        <v>23.564306756649604</v>
      </c>
      <c r="GI288">
        <v>55.62607105314045</v>
      </c>
      <c r="GJ288"/>
      <c r="GK288"/>
      <c r="GL288"/>
      <c r="GM288"/>
    </row>
    <row r="289" spans="1:195" s="7" customFormat="1">
      <c r="A289" s="1"/>
      <c r="B289">
        <v>0.80237750984771439</v>
      </c>
      <c r="C289">
        <v>10</v>
      </c>
      <c r="D289">
        <v>39847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10.416666666666666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  <c r="AC289">
        <v>0</v>
      </c>
      <c r="AD289">
        <v>0</v>
      </c>
      <c r="AE289">
        <v>0</v>
      </c>
      <c r="AF289">
        <v>0</v>
      </c>
      <c r="AG289">
        <v>0</v>
      </c>
      <c r="AH289">
        <v>0</v>
      </c>
      <c r="AI289">
        <v>0</v>
      </c>
      <c r="AJ289" s="80"/>
      <c r="AK289" s="81"/>
      <c r="AL289" s="81"/>
      <c r="AM289" s="43">
        <v>273</v>
      </c>
      <c r="AN289">
        <v>273.39871030136601</v>
      </c>
      <c r="AO289">
        <v>106.0457569474052</v>
      </c>
      <c r="AP289">
        <v>740.40084199407556</v>
      </c>
      <c r="AQ289">
        <v>555.19939916676708</v>
      </c>
      <c r="AR289">
        <v>96.558442361927717</v>
      </c>
      <c r="AS289">
        <v>761.9906483127121</v>
      </c>
      <c r="AT289">
        <v>52.614432855277933</v>
      </c>
      <c r="AU289">
        <v>170.51585505573533</v>
      </c>
      <c r="AV289"/>
      <c r="AW289"/>
      <c r="FY289" s="211">
        <v>284</v>
      </c>
      <c r="FZ289">
        <v>8.5463109663618262</v>
      </c>
      <c r="GA289">
        <v>51.727770572367469</v>
      </c>
      <c r="GB289">
        <v>81.561689944801444</v>
      </c>
      <c r="GC289">
        <v>45.329362944898804</v>
      </c>
      <c r="GD289">
        <v>20.562007340628096</v>
      </c>
      <c r="GE289">
        <v>53.087105893642814</v>
      </c>
      <c r="GF289">
        <v>86.654926577460444</v>
      </c>
      <c r="GG289">
        <v>44.471712776770431</v>
      </c>
      <c r="GH289">
        <v>16.046828407921236</v>
      </c>
      <c r="GI289">
        <v>55.084096465991664</v>
      </c>
      <c r="GJ289"/>
      <c r="GK289"/>
      <c r="GL289"/>
      <c r="GM289"/>
    </row>
    <row r="290" spans="1:195" s="7" customFormat="1">
      <c r="A290" s="1"/>
      <c r="B290">
        <v>0.32173804205941714</v>
      </c>
      <c r="C290">
        <v>6</v>
      </c>
      <c r="D290">
        <v>39847</v>
      </c>
      <c r="E290">
        <v>0</v>
      </c>
      <c r="F290">
        <v>0</v>
      </c>
      <c r="G290">
        <v>0</v>
      </c>
      <c r="H290">
        <v>0</v>
      </c>
      <c r="I290">
        <v>31.25</v>
      </c>
      <c r="J290">
        <v>62.5</v>
      </c>
      <c r="K290">
        <v>62.5</v>
      </c>
      <c r="L290">
        <v>0</v>
      </c>
      <c r="M290">
        <v>0</v>
      </c>
      <c r="N290">
        <v>0</v>
      </c>
      <c r="O290">
        <v>10.416666666666666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</v>
      </c>
      <c r="AC290">
        <v>0</v>
      </c>
      <c r="AD290">
        <v>0</v>
      </c>
      <c r="AE290">
        <v>0</v>
      </c>
      <c r="AF290">
        <v>0</v>
      </c>
      <c r="AG290">
        <v>0</v>
      </c>
      <c r="AH290">
        <v>0</v>
      </c>
      <c r="AI290">
        <v>0</v>
      </c>
      <c r="AJ290" s="80"/>
      <c r="AK290" s="81"/>
      <c r="AL290" s="81"/>
      <c r="AM290" s="43">
        <v>274</v>
      </c>
      <c r="AN290">
        <v>221.26533689711337</v>
      </c>
      <c r="AO290">
        <v>57.864997030467883</v>
      </c>
      <c r="AP290">
        <v>383.1720831710777</v>
      </c>
      <c r="AQ290">
        <v>293.74783543997546</v>
      </c>
      <c r="AR290">
        <v>52.666018466751012</v>
      </c>
      <c r="AS290">
        <v>456.25704390518939</v>
      </c>
      <c r="AT290">
        <v>28.252009165487749</v>
      </c>
      <c r="AU290">
        <v>52.961207309722163</v>
      </c>
      <c r="AV290"/>
      <c r="AW290"/>
      <c r="FY290" s="211">
        <v>285</v>
      </c>
      <c r="FZ290">
        <v>11.988878472463034</v>
      </c>
      <c r="GA290">
        <v>48.270109732502739</v>
      </c>
      <c r="GB290">
        <v>72.90499498391307</v>
      </c>
      <c r="GC290">
        <v>37.413672877448406</v>
      </c>
      <c r="GD290">
        <v>15.810259101189956</v>
      </c>
      <c r="GE290">
        <v>44.222738973453801</v>
      </c>
      <c r="GF290">
        <v>68.100610246965047</v>
      </c>
      <c r="GG290">
        <v>45.955136924552512</v>
      </c>
      <c r="GH290">
        <v>26.90864266006032</v>
      </c>
      <c r="GI290">
        <v>48.656987895158181</v>
      </c>
      <c r="GJ290"/>
      <c r="GK290"/>
      <c r="GL290"/>
      <c r="GM290"/>
    </row>
    <row r="291" spans="1:195" s="7" customFormat="1">
      <c r="A291" s="1"/>
      <c r="B291">
        <v>4.9872175612297953E-2</v>
      </c>
      <c r="C291">
        <v>8</v>
      </c>
      <c r="D291">
        <v>39847</v>
      </c>
      <c r="E291">
        <v>0</v>
      </c>
      <c r="F291">
        <v>0</v>
      </c>
      <c r="G291">
        <v>10.416666666666666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0</v>
      </c>
      <c r="AC291">
        <v>0</v>
      </c>
      <c r="AD291">
        <v>0</v>
      </c>
      <c r="AE291">
        <v>0</v>
      </c>
      <c r="AF291">
        <v>0</v>
      </c>
      <c r="AG291">
        <v>0</v>
      </c>
      <c r="AH291">
        <v>0</v>
      </c>
      <c r="AI291">
        <v>0</v>
      </c>
      <c r="AJ291" s="80"/>
      <c r="AK291" s="81"/>
      <c r="AL291" s="81"/>
      <c r="AM291" s="43">
        <v>275</v>
      </c>
      <c r="AN291">
        <v>288.62552403489934</v>
      </c>
      <c r="AO291">
        <v>90.072600223519316</v>
      </c>
      <c r="AP291">
        <v>604.55857353872796</v>
      </c>
      <c r="AQ291">
        <v>477.03955799769159</v>
      </c>
      <c r="AR291">
        <v>81.235881023281777</v>
      </c>
      <c r="AS291">
        <v>708.38830284087817</v>
      </c>
      <c r="AT291">
        <v>44.887694973822157</v>
      </c>
      <c r="AU291">
        <v>89.552594264919776</v>
      </c>
      <c r="AV291"/>
      <c r="AW291"/>
      <c r="FY291" s="211">
        <v>286</v>
      </c>
      <c r="FZ291">
        <v>5.2424117169739137</v>
      </c>
      <c r="GA291">
        <v>43.691485372220178</v>
      </c>
      <c r="GB291">
        <v>84.009964790060081</v>
      </c>
      <c r="GC291">
        <v>52.330297847059605</v>
      </c>
      <c r="GD291">
        <v>19.108429923751011</v>
      </c>
      <c r="GE291">
        <v>25.694540504825177</v>
      </c>
      <c r="GF291">
        <v>34.372938860578728</v>
      </c>
      <c r="GG291">
        <v>31.850475545945507</v>
      </c>
      <c r="GH291">
        <v>29.352816620091332</v>
      </c>
      <c r="GI291">
        <v>45.317752650592496</v>
      </c>
      <c r="GJ291"/>
      <c r="GK291"/>
      <c r="GL291"/>
      <c r="GM291"/>
    </row>
    <row r="292" spans="1:195" s="7" customFormat="1">
      <c r="A292" s="1"/>
      <c r="B292">
        <v>0.71696846909645395</v>
      </c>
      <c r="C292">
        <v>10</v>
      </c>
      <c r="D292">
        <v>39847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10.416666666666666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0</v>
      </c>
      <c r="AC292">
        <v>0</v>
      </c>
      <c r="AD292">
        <v>0</v>
      </c>
      <c r="AE292">
        <v>0</v>
      </c>
      <c r="AF292">
        <v>0</v>
      </c>
      <c r="AG292">
        <v>0</v>
      </c>
      <c r="AH292">
        <v>0</v>
      </c>
      <c r="AI292">
        <v>0</v>
      </c>
      <c r="AJ292" s="80"/>
      <c r="AK292" s="81"/>
      <c r="AL292" s="81"/>
      <c r="AM292" s="43">
        <v>276</v>
      </c>
      <c r="AN292">
        <v>320.30660155677191</v>
      </c>
      <c r="AO292">
        <v>90.720997782269677</v>
      </c>
      <c r="AP292">
        <v>708.47304530342058</v>
      </c>
      <c r="AQ292">
        <v>516.88229933337891</v>
      </c>
      <c r="AR292">
        <v>80.714128445300318</v>
      </c>
      <c r="AS292">
        <v>729.9708505218241</v>
      </c>
      <c r="AT292" t="e">
        <v>#DIV/0!</v>
      </c>
      <c r="AU292" t="e">
        <v>#DIV/0!</v>
      </c>
      <c r="AV292"/>
      <c r="AW292"/>
      <c r="FY292" s="211">
        <v>287</v>
      </c>
      <c r="FZ292">
        <v>9.7096342615306188</v>
      </c>
      <c r="GA292">
        <v>40.30998026136303</v>
      </c>
      <c r="GB292">
        <v>70.686009031198225</v>
      </c>
      <c r="GC292">
        <v>46.086980663109102</v>
      </c>
      <c r="GD292">
        <v>17.272548441531047</v>
      </c>
      <c r="GE292">
        <v>32.869702514588184</v>
      </c>
      <c r="GF292">
        <v>68.038371922598827</v>
      </c>
      <c r="GG292">
        <v>55.290074686137181</v>
      </c>
      <c r="GH292">
        <v>37.580758206185273</v>
      </c>
      <c r="GI292">
        <v>50.87787328065663</v>
      </c>
      <c r="GJ292"/>
      <c r="GK292"/>
      <c r="GL292"/>
      <c r="GM292"/>
    </row>
    <row r="293" spans="1:195" s="7" customFormat="1">
      <c r="A293" s="1"/>
      <c r="B293">
        <v>0.71532169779136101</v>
      </c>
      <c r="C293">
        <v>2</v>
      </c>
      <c r="D293">
        <v>39847</v>
      </c>
      <c r="E293">
        <v>0</v>
      </c>
      <c r="F293">
        <v>0</v>
      </c>
      <c r="G293">
        <v>797.52604166666663</v>
      </c>
      <c r="H293">
        <v>183.37673611111111</v>
      </c>
      <c r="I293">
        <v>0</v>
      </c>
      <c r="J293">
        <v>173.61111111111111</v>
      </c>
      <c r="K293">
        <v>69.444444444444443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0</v>
      </c>
      <c r="AD293">
        <v>0</v>
      </c>
      <c r="AE293">
        <v>0</v>
      </c>
      <c r="AF293">
        <v>0</v>
      </c>
      <c r="AG293">
        <v>0</v>
      </c>
      <c r="AH293">
        <v>0</v>
      </c>
      <c r="AI293">
        <v>0</v>
      </c>
      <c r="AJ293" s="80"/>
      <c r="AK293" s="81"/>
      <c r="AL293" s="81"/>
      <c r="AM293" s="43">
        <v>277</v>
      </c>
      <c r="AN293">
        <v>290.59628299047279</v>
      </c>
      <c r="AO293">
        <v>109.89400861296936</v>
      </c>
      <c r="AP293">
        <v>754.89433636590786</v>
      </c>
      <c r="AQ293">
        <v>576.61219666954423</v>
      </c>
      <c r="AR293">
        <v>97.94280413269199</v>
      </c>
      <c r="AS293">
        <v>818.96601809071615</v>
      </c>
      <c r="AT293">
        <v>56.129104161070977</v>
      </c>
      <c r="AU293">
        <v>141.56795431544859</v>
      </c>
      <c r="AV293"/>
      <c r="AW293"/>
      <c r="FY293" s="211">
        <v>288</v>
      </c>
      <c r="FZ293">
        <v>20.354347798942847</v>
      </c>
      <c r="GA293">
        <v>48.65253864908442</v>
      </c>
      <c r="GB293">
        <v>87.523852374721358</v>
      </c>
      <c r="GC293">
        <v>55.436879054375098</v>
      </c>
      <c r="GD293">
        <v>17.572666538389896</v>
      </c>
      <c r="GE293">
        <v>29.312907532211739</v>
      </c>
      <c r="GF293">
        <v>57.439477279305507</v>
      </c>
      <c r="GG293">
        <v>37.975045304893122</v>
      </c>
      <c r="GH293">
        <v>17.842200870876248</v>
      </c>
      <c r="GI293">
        <v>50.897301068932094</v>
      </c>
      <c r="GJ293"/>
      <c r="GK293"/>
      <c r="GL293"/>
      <c r="GM293"/>
    </row>
    <row r="294" spans="1:195" s="7" customFormat="1">
      <c r="A294" s="1"/>
      <c r="B294">
        <v>0.67202756674728015</v>
      </c>
      <c r="C294">
        <v>8</v>
      </c>
      <c r="D294">
        <v>39847</v>
      </c>
      <c r="E294">
        <v>0</v>
      </c>
      <c r="F294">
        <v>0</v>
      </c>
      <c r="G294">
        <v>10.416666666666666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0</v>
      </c>
      <c r="AD294">
        <v>0</v>
      </c>
      <c r="AE294">
        <v>0</v>
      </c>
      <c r="AF294">
        <v>0</v>
      </c>
      <c r="AG294">
        <v>0</v>
      </c>
      <c r="AH294">
        <v>0</v>
      </c>
      <c r="AI294">
        <v>0</v>
      </c>
      <c r="AJ294" s="80"/>
      <c r="AK294" s="81"/>
      <c r="AL294" s="81"/>
      <c r="AM294" s="43">
        <v>278</v>
      </c>
      <c r="AN294">
        <v>255.36256133460355</v>
      </c>
      <c r="AO294">
        <v>86.122701674182096</v>
      </c>
      <c r="AP294">
        <v>664.14260029082288</v>
      </c>
      <c r="AQ294">
        <v>484.61403937404094</v>
      </c>
      <c r="AR294">
        <v>78.807808656273721</v>
      </c>
      <c r="AS294">
        <v>634.19211135728801</v>
      </c>
      <c r="AT294">
        <v>41.062346102416562</v>
      </c>
      <c r="AU294">
        <v>124.32957127233396</v>
      </c>
      <c r="AV294"/>
      <c r="AW294"/>
      <c r="FY294" s="211">
        <v>289</v>
      </c>
      <c r="FZ294">
        <v>16.715811555750307</v>
      </c>
      <c r="GA294">
        <v>45.398043111758241</v>
      </c>
      <c r="GB294">
        <v>82.327347735664773</v>
      </c>
      <c r="GC294">
        <v>48.340886062819564</v>
      </c>
      <c r="GD294">
        <v>24.972814738539761</v>
      </c>
      <c r="GE294">
        <v>44.793985580768769</v>
      </c>
      <c r="GF294">
        <v>83.695676724060633</v>
      </c>
      <c r="GG294">
        <v>74.182182677170672</v>
      </c>
      <c r="GH294">
        <v>21.285978446581346</v>
      </c>
      <c r="GI294">
        <v>59.668068506927298</v>
      </c>
      <c r="GJ294"/>
      <c r="GK294"/>
      <c r="GL294"/>
      <c r="GM294"/>
    </row>
    <row r="295" spans="1:195" s="7" customFormat="1">
      <c r="A295" s="1"/>
      <c r="B295">
        <v>0.86920140106027066</v>
      </c>
      <c r="C295">
        <v>9</v>
      </c>
      <c r="D295">
        <v>39847</v>
      </c>
      <c r="E295">
        <v>0</v>
      </c>
      <c r="F295">
        <v>0</v>
      </c>
      <c r="G295">
        <v>0</v>
      </c>
      <c r="H295">
        <v>0</v>
      </c>
      <c r="I295">
        <v>41.666666666666664</v>
      </c>
      <c r="J295">
        <v>10.416666666666666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  <c r="AC295">
        <v>0</v>
      </c>
      <c r="AD295">
        <v>0</v>
      </c>
      <c r="AE295">
        <v>0</v>
      </c>
      <c r="AF295">
        <v>0</v>
      </c>
      <c r="AG295">
        <v>0</v>
      </c>
      <c r="AH295">
        <v>0</v>
      </c>
      <c r="AI295">
        <v>0</v>
      </c>
      <c r="AJ295" s="80"/>
      <c r="AK295" s="81"/>
      <c r="AL295" s="81"/>
      <c r="AM295" s="43">
        <v>279</v>
      </c>
      <c r="AN295">
        <v>214.99464358733289</v>
      </c>
      <c r="AO295">
        <v>70.136996143207895</v>
      </c>
      <c r="AP295">
        <v>507.44482647653331</v>
      </c>
      <c r="AQ295">
        <v>373.24679899134799</v>
      </c>
      <c r="AR295">
        <v>64.795722743810785</v>
      </c>
      <c r="AS295">
        <v>531.44045176549662</v>
      </c>
      <c r="AT295">
        <v>35.619830990300834</v>
      </c>
      <c r="AU295">
        <v>41.035180660865116</v>
      </c>
      <c r="AV295"/>
      <c r="AW295"/>
      <c r="FY295" s="211">
        <v>290</v>
      </c>
      <c r="FZ295">
        <v>30.311169649989619</v>
      </c>
      <c r="GA295">
        <v>66.390515305939928</v>
      </c>
      <c r="GB295">
        <v>73.221215809238828</v>
      </c>
      <c r="GC295">
        <v>41.442633539930007</v>
      </c>
      <c r="GD295">
        <v>19.181734211521249</v>
      </c>
      <c r="GE295">
        <v>36.536688950084248</v>
      </c>
      <c r="GF295">
        <v>84.434703686154805</v>
      </c>
      <c r="GG295">
        <v>68.991727819543058</v>
      </c>
      <c r="GH295">
        <v>17.606149732555462</v>
      </c>
      <c r="GI295">
        <v>55.926278738492215</v>
      </c>
      <c r="GJ295"/>
      <c r="GK295"/>
      <c r="GL295"/>
      <c r="GM295"/>
    </row>
    <row r="296" spans="1:195" s="7" customFormat="1">
      <c r="A296" s="1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 s="80"/>
      <c r="AK296" s="81"/>
      <c r="AL296" s="81"/>
      <c r="AM296" s="43">
        <v>280</v>
      </c>
      <c r="AN296">
        <v>299.42198052316434</v>
      </c>
      <c r="AO296">
        <v>91.620523333464419</v>
      </c>
      <c r="AP296">
        <v>696.92839225265914</v>
      </c>
      <c r="AQ296">
        <v>509.14463356748917</v>
      </c>
      <c r="AR296">
        <v>81.686387596182499</v>
      </c>
      <c r="AS296">
        <v>683.34548553851403</v>
      </c>
      <c r="AT296">
        <v>45.90368399989174</v>
      </c>
      <c r="AU296">
        <v>104.67889323988763</v>
      </c>
      <c r="AV296"/>
      <c r="AW296"/>
      <c r="FY296" s="211">
        <v>291</v>
      </c>
      <c r="FZ296">
        <v>16.913399871124362</v>
      </c>
      <c r="GA296">
        <v>49.442244601166863</v>
      </c>
      <c r="GB296">
        <v>76.836824086141007</v>
      </c>
      <c r="GC296">
        <v>43.651430442415844</v>
      </c>
      <c r="GD296">
        <v>24.227145754098714</v>
      </c>
      <c r="GE296">
        <v>62.283079300249625</v>
      </c>
      <c r="GF296">
        <v>54.142694695414058</v>
      </c>
      <c r="GG296">
        <v>12.529558150345835</v>
      </c>
      <c r="GH296">
        <v>9.7153400190988766</v>
      </c>
      <c r="GI296">
        <v>49.10489500697738</v>
      </c>
      <c r="GJ296"/>
      <c r="GK296"/>
      <c r="GL296"/>
      <c r="GM296"/>
    </row>
    <row r="297" spans="1:195" s="7" customFormat="1">
      <c r="A297" s="1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 s="80"/>
      <c r="AK297" s="81"/>
      <c r="AL297" s="81"/>
      <c r="AM297" s="43">
        <v>281</v>
      </c>
      <c r="AN297">
        <v>281.36362452373004</v>
      </c>
      <c r="AO297">
        <v>93.460813522555654</v>
      </c>
      <c r="AP297">
        <v>645.18969688912875</v>
      </c>
      <c r="AQ297">
        <v>485.74374065841346</v>
      </c>
      <c r="AR297">
        <v>84.49811290306566</v>
      </c>
      <c r="AS297">
        <v>693.35051796877258</v>
      </c>
      <c r="AT297">
        <v>44.451976269394528</v>
      </c>
      <c r="AU297">
        <v>80.863242734669569</v>
      </c>
      <c r="AV297"/>
      <c r="AW297"/>
      <c r="FY297" s="211">
        <v>292</v>
      </c>
      <c r="FZ297">
        <v>24.785440556745016</v>
      </c>
      <c r="GA297">
        <v>61.351858112530174</v>
      </c>
      <c r="GB297">
        <v>67.703347700614998</v>
      </c>
      <c r="GC297">
        <v>39.303530807575015</v>
      </c>
      <c r="GD297">
        <v>16.696392173010757</v>
      </c>
      <c r="GE297">
        <v>33.515475941609481</v>
      </c>
      <c r="GF297">
        <v>98.034775980287975</v>
      </c>
      <c r="GG297">
        <v>68.335979083533871</v>
      </c>
      <c r="GH297">
        <v>9.3700759864096987</v>
      </c>
      <c r="GI297">
        <v>53.137338169908034</v>
      </c>
      <c r="GJ297"/>
      <c r="GK297"/>
      <c r="GL297"/>
      <c r="GM297"/>
    </row>
    <row r="298" spans="1:195" s="7" customFormat="1">
      <c r="A298" s="1"/>
      <c r="B298">
        <v>6.8606249409390863E-2</v>
      </c>
      <c r="C298">
        <v>4</v>
      </c>
      <c r="D298">
        <v>39910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v>0</v>
      </c>
      <c r="AC298">
        <v>0</v>
      </c>
      <c r="AD298">
        <v>0</v>
      </c>
      <c r="AE298">
        <v>0</v>
      </c>
      <c r="AF298">
        <v>0</v>
      </c>
      <c r="AG298">
        <v>0</v>
      </c>
      <c r="AH298">
        <v>0</v>
      </c>
      <c r="AI298">
        <v>0</v>
      </c>
      <c r="AJ298" s="80"/>
      <c r="AK298" s="81"/>
      <c r="AL298" s="81"/>
      <c r="AM298" s="43">
        <v>282</v>
      </c>
      <c r="AN298">
        <v>237.33225155483646</v>
      </c>
      <c r="AO298">
        <v>77.253305039975018</v>
      </c>
      <c r="AP298">
        <v>635.23193702897288</v>
      </c>
      <c r="AQ298">
        <v>447.49544478590826</v>
      </c>
      <c r="AR298">
        <v>68.58738351104104</v>
      </c>
      <c r="AS298">
        <v>577.43215939181164</v>
      </c>
      <c r="AT298" t="e">
        <v>#DIV/0!</v>
      </c>
      <c r="AU298" t="e">
        <v>#DIV/0!</v>
      </c>
      <c r="AV298"/>
      <c r="AW298"/>
      <c r="FY298" s="211">
        <v>293</v>
      </c>
      <c r="FZ298">
        <v>24.646342282458132</v>
      </c>
      <c r="GA298">
        <v>76.577315274764885</v>
      </c>
      <c r="GB298">
        <v>62.857035338542843</v>
      </c>
      <c r="GC298">
        <v>32.116134152208446</v>
      </c>
      <c r="GD298">
        <v>24.622413326390866</v>
      </c>
      <c r="GE298">
        <v>46.37752162333075</v>
      </c>
      <c r="GF298">
        <v>39.435773748510378</v>
      </c>
      <c r="GG298">
        <v>26.750876601665141</v>
      </c>
      <c r="GH298">
        <v>17.531138012472358</v>
      </c>
      <c r="GI298">
        <v>45.95327788807402</v>
      </c>
      <c r="GJ298"/>
      <c r="GK298"/>
      <c r="GL298"/>
      <c r="GM298"/>
    </row>
    <row r="299" spans="1:195" s="7" customFormat="1">
      <c r="A299" s="1"/>
      <c r="B299">
        <v>0.81606977763449251</v>
      </c>
      <c r="C299">
        <v>7</v>
      </c>
      <c r="D299">
        <v>39910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  <c r="AC299">
        <v>0</v>
      </c>
      <c r="AD299">
        <v>0</v>
      </c>
      <c r="AE299">
        <v>0</v>
      </c>
      <c r="AF299">
        <v>0</v>
      </c>
      <c r="AG299">
        <v>0</v>
      </c>
      <c r="AH299">
        <v>0</v>
      </c>
      <c r="AI299">
        <v>0</v>
      </c>
      <c r="AJ299" s="80"/>
      <c r="AK299" s="81"/>
      <c r="AL299" s="81"/>
      <c r="AM299" s="43">
        <v>283</v>
      </c>
      <c r="AN299">
        <v>237.26004534696494</v>
      </c>
      <c r="AO299">
        <v>88.889375673621984</v>
      </c>
      <c r="AP299">
        <v>640.42298346168593</v>
      </c>
      <c r="AQ299">
        <v>462.98194883810044</v>
      </c>
      <c r="AR299">
        <v>79.283510636006795</v>
      </c>
      <c r="AS299">
        <v>653.4812803561349</v>
      </c>
      <c r="AT299">
        <v>42.907061446504116</v>
      </c>
      <c r="AU299">
        <v>86.451907746840192</v>
      </c>
      <c r="AV299"/>
      <c r="AW299"/>
      <c r="FY299" s="211">
        <v>294</v>
      </c>
      <c r="FZ299">
        <v>7.5428088165062128</v>
      </c>
      <c r="GA299">
        <v>38.261079815900729</v>
      </c>
      <c r="GB299">
        <v>67.155858752122427</v>
      </c>
      <c r="GC299">
        <v>37.495487501363215</v>
      </c>
      <c r="GD299">
        <v>14.735033908004201</v>
      </c>
      <c r="GE299">
        <v>50.496532240734339</v>
      </c>
      <c r="GF299">
        <v>149.88253813739695</v>
      </c>
      <c r="GG299">
        <v>101.16649302106939</v>
      </c>
      <c r="GH299">
        <v>22.916208758447162</v>
      </c>
      <c r="GI299">
        <v>61.702760553981655</v>
      </c>
      <c r="GJ299"/>
      <c r="GK299"/>
      <c r="GL299"/>
      <c r="GM299"/>
    </row>
    <row r="300" spans="1:195" s="7" customFormat="1">
      <c r="A300" s="1"/>
      <c r="B300">
        <v>0.96317797908107861</v>
      </c>
      <c r="C300">
        <v>10</v>
      </c>
      <c r="D300">
        <v>39910</v>
      </c>
      <c r="E300">
        <v>0</v>
      </c>
      <c r="F300">
        <v>0</v>
      </c>
      <c r="G300">
        <v>312.5</v>
      </c>
      <c r="H300">
        <v>208.33333333333334</v>
      </c>
      <c r="I300">
        <v>166.66666666666666</v>
      </c>
      <c r="J300">
        <v>197.91666666666666</v>
      </c>
      <c r="K300">
        <v>93.75</v>
      </c>
      <c r="L300">
        <v>0</v>
      </c>
      <c r="M300">
        <v>10.416666666666666</v>
      </c>
      <c r="N300">
        <v>0</v>
      </c>
      <c r="O300">
        <v>0</v>
      </c>
      <c r="P300">
        <v>10.416666666666666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0</v>
      </c>
      <c r="AC300">
        <v>0</v>
      </c>
      <c r="AD300">
        <v>0</v>
      </c>
      <c r="AE300">
        <v>0</v>
      </c>
      <c r="AF300">
        <v>0</v>
      </c>
      <c r="AG300">
        <v>0</v>
      </c>
      <c r="AH300">
        <v>0</v>
      </c>
      <c r="AI300">
        <v>0</v>
      </c>
      <c r="AJ300" s="80"/>
      <c r="AK300" s="81"/>
      <c r="AL300" s="81"/>
      <c r="AM300" s="43">
        <v>284</v>
      </c>
      <c r="AN300">
        <v>259.94087539787677</v>
      </c>
      <c r="AO300">
        <v>87.204882016299081</v>
      </c>
      <c r="AP300">
        <v>623.52063967202184</v>
      </c>
      <c r="AQ300">
        <v>463.07181189084423</v>
      </c>
      <c r="AR300">
        <v>77.807917512570214</v>
      </c>
      <c r="AS300">
        <v>637.98214520512101</v>
      </c>
      <c r="AT300">
        <v>42.854152156481113</v>
      </c>
      <c r="AU300">
        <v>122.65878579848332</v>
      </c>
      <c r="AV300"/>
      <c r="AW300"/>
      <c r="FY300" s="211">
        <v>295</v>
      </c>
      <c r="FZ300">
        <v>27.169356222403025</v>
      </c>
      <c r="GA300">
        <v>67.03294844800476</v>
      </c>
      <c r="GB300">
        <v>98.520405609610819</v>
      </c>
      <c r="GC300">
        <v>52.461573413315087</v>
      </c>
      <c r="GD300">
        <v>17.570815870669922</v>
      </c>
      <c r="GE300">
        <v>60.556243987291744</v>
      </c>
      <c r="GF300">
        <v>73.882761366396963</v>
      </c>
      <c r="GG300">
        <v>32.027003900524875</v>
      </c>
      <c r="GH300">
        <v>32.398816708072232</v>
      </c>
      <c r="GI300">
        <v>59.279109392824992</v>
      </c>
      <c r="GJ300"/>
      <c r="GK300"/>
      <c r="GL300"/>
      <c r="GM300"/>
    </row>
    <row r="301" spans="1:195" s="7" customFormat="1">
      <c r="A301" s="1"/>
      <c r="B301">
        <v>0.45658061611379264</v>
      </c>
      <c r="C301">
        <v>4</v>
      </c>
      <c r="D301">
        <v>39910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0</v>
      </c>
      <c r="AD301">
        <v>0</v>
      </c>
      <c r="AE301">
        <v>0</v>
      </c>
      <c r="AF301">
        <v>0</v>
      </c>
      <c r="AG301">
        <v>0</v>
      </c>
      <c r="AH301">
        <v>0</v>
      </c>
      <c r="AI301">
        <v>0</v>
      </c>
      <c r="AJ301" s="80"/>
      <c r="AK301" s="81"/>
      <c r="AL301" s="81"/>
      <c r="AM301" s="43">
        <v>285</v>
      </c>
      <c r="AN301">
        <v>207.1582204330054</v>
      </c>
      <c r="AO301">
        <v>77.004848419897883</v>
      </c>
      <c r="AP301">
        <v>567.87536261012292</v>
      </c>
      <c r="AQ301">
        <v>420.23203186770701</v>
      </c>
      <c r="AR301">
        <v>68.819860950734395</v>
      </c>
      <c r="AS301">
        <v>539.42289611079582</v>
      </c>
      <c r="AT301">
        <v>38.278609578432111</v>
      </c>
      <c r="AU301">
        <v>34.204870364813686</v>
      </c>
      <c r="AV301"/>
      <c r="AW301"/>
      <c r="FY301" s="211">
        <v>296</v>
      </c>
      <c r="FZ301">
        <v>16.567847635601883</v>
      </c>
      <c r="GA301">
        <v>59.533770723996582</v>
      </c>
      <c r="GB301">
        <v>117.36320671661355</v>
      </c>
      <c r="GC301">
        <v>59.118907743672878</v>
      </c>
      <c r="GD301">
        <v>10.559104385494805</v>
      </c>
      <c r="GE301">
        <v>21.94163631626035</v>
      </c>
      <c r="GF301">
        <v>80.029713997691019</v>
      </c>
      <c r="GG301">
        <v>66.438289609786395</v>
      </c>
      <c r="GH301">
        <v>15.716068793548668</v>
      </c>
      <c r="GI301">
        <v>58.477105051425646</v>
      </c>
      <c r="GJ301"/>
      <c r="GK301"/>
      <c r="GL301"/>
      <c r="GM301"/>
    </row>
    <row r="302" spans="1:195" s="7" customFormat="1">
      <c r="A302" s="1"/>
      <c r="B302">
        <v>0.51395259309124786</v>
      </c>
      <c r="C302">
        <v>5</v>
      </c>
      <c r="D302">
        <v>39910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10.416666666666666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0</v>
      </c>
      <c r="AC302">
        <v>0</v>
      </c>
      <c r="AD302">
        <v>0</v>
      </c>
      <c r="AE302">
        <v>0</v>
      </c>
      <c r="AF302">
        <v>0</v>
      </c>
      <c r="AG302">
        <v>0</v>
      </c>
      <c r="AH302">
        <v>0</v>
      </c>
      <c r="AI302">
        <v>0</v>
      </c>
      <c r="AJ302" s="80"/>
      <c r="AK302" s="81"/>
      <c r="AL302" s="81"/>
      <c r="AM302" s="43">
        <v>286</v>
      </c>
      <c r="AN302">
        <v>251.67325412713572</v>
      </c>
      <c r="AO302">
        <v>70.378164561295037</v>
      </c>
      <c r="AP302">
        <v>483.49131802868527</v>
      </c>
      <c r="AQ302">
        <v>370.97111383209801</v>
      </c>
      <c r="AR302">
        <v>63.917093058356379</v>
      </c>
      <c r="AS302">
        <v>600.29383486793131</v>
      </c>
      <c r="AT302">
        <v>37.879724193977644</v>
      </c>
      <c r="AU302">
        <v>93.218935025308781</v>
      </c>
      <c r="AV302"/>
      <c r="AW302"/>
      <c r="FY302" s="211">
        <v>297</v>
      </c>
      <c r="FZ302">
        <v>15.445612875508015</v>
      </c>
      <c r="GA302">
        <v>45.562255811242565</v>
      </c>
      <c r="GB302">
        <v>75.537363006336278</v>
      </c>
      <c r="GC302">
        <v>43.346895289444589</v>
      </c>
      <c r="GD302">
        <v>14.991203697924714</v>
      </c>
      <c r="GE302">
        <v>50.810474323173388</v>
      </c>
      <c r="GF302">
        <v>73.832486838728485</v>
      </c>
      <c r="GG302">
        <v>27.928979297498689</v>
      </c>
      <c r="GH302">
        <v>21.034456828977213</v>
      </c>
      <c r="GI302">
        <v>49.780802841076678</v>
      </c>
      <c r="GJ302"/>
      <c r="GK302"/>
      <c r="GL302"/>
      <c r="GM302"/>
    </row>
    <row r="303" spans="1:195" s="7" customFormat="1">
      <c r="A303" s="1"/>
      <c r="B303">
        <v>0.35629972622569506</v>
      </c>
      <c r="C303">
        <v>2</v>
      </c>
      <c r="D303">
        <v>39910</v>
      </c>
      <c r="E303">
        <v>0</v>
      </c>
      <c r="F303">
        <v>115.94202898550724</v>
      </c>
      <c r="G303">
        <v>0</v>
      </c>
      <c r="H303">
        <v>10.416666666666666</v>
      </c>
      <c r="I303">
        <v>20.833333333333332</v>
      </c>
      <c r="J303">
        <v>20.833333333333332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0</v>
      </c>
      <c r="AD303">
        <v>0</v>
      </c>
      <c r="AE303">
        <v>0</v>
      </c>
      <c r="AF303">
        <v>0</v>
      </c>
      <c r="AG303">
        <v>0</v>
      </c>
      <c r="AH303">
        <v>0</v>
      </c>
      <c r="AI303">
        <v>0</v>
      </c>
      <c r="AJ303" s="80"/>
      <c r="AK303" s="81"/>
      <c r="AL303" s="81"/>
      <c r="AM303" s="43">
        <v>287</v>
      </c>
      <c r="AN303">
        <v>265.540532955625</v>
      </c>
      <c r="AO303">
        <v>81.277270963126426</v>
      </c>
      <c r="AP303">
        <v>597.64036803304577</v>
      </c>
      <c r="AQ303">
        <v>428.72193326889811</v>
      </c>
      <c r="AR303">
        <v>72.828798289229368</v>
      </c>
      <c r="AS303">
        <v>635.57957897884671</v>
      </c>
      <c r="AT303">
        <v>41.039122604334544</v>
      </c>
      <c r="AU303">
        <v>82.89071397486677</v>
      </c>
      <c r="AV303"/>
      <c r="AW303"/>
      <c r="FY303" s="211">
        <v>298</v>
      </c>
      <c r="FZ303">
        <v>28.421718407158441</v>
      </c>
      <c r="GA303">
        <v>61.686992264258556</v>
      </c>
      <c r="GB303">
        <v>63.791088361721613</v>
      </c>
      <c r="GC303">
        <v>41.762644309191572</v>
      </c>
      <c r="GD303">
        <v>24.72228041199384</v>
      </c>
      <c r="GE303">
        <v>61.49806139576269</v>
      </c>
      <c r="GF303">
        <v>93.84889618207005</v>
      </c>
      <c r="GG303">
        <v>55.054874934490172</v>
      </c>
      <c r="GH303">
        <v>29.557727748834573</v>
      </c>
      <c r="GI303">
        <v>59.683877948149984</v>
      </c>
      <c r="GJ303"/>
      <c r="GK303"/>
      <c r="GL303"/>
      <c r="GM303"/>
    </row>
    <row r="304" spans="1:195" s="7" customFormat="1">
      <c r="A304" s="1"/>
      <c r="B304">
        <v>0.71162827054407374</v>
      </c>
      <c r="C304">
        <v>6</v>
      </c>
      <c r="D304">
        <v>39910</v>
      </c>
      <c r="E304">
        <v>0</v>
      </c>
      <c r="F304">
        <v>0</v>
      </c>
      <c r="G304">
        <v>0</v>
      </c>
      <c r="H304">
        <v>0</v>
      </c>
      <c r="I304">
        <v>72.916666666666671</v>
      </c>
      <c r="J304">
        <v>20.833333333333332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v>0</v>
      </c>
      <c r="AB304">
        <v>0</v>
      </c>
      <c r="AC304">
        <v>0</v>
      </c>
      <c r="AD304">
        <v>0</v>
      </c>
      <c r="AE304">
        <v>0</v>
      </c>
      <c r="AF304">
        <v>0</v>
      </c>
      <c r="AG304">
        <v>0</v>
      </c>
      <c r="AH304">
        <v>0</v>
      </c>
      <c r="AI304">
        <v>0</v>
      </c>
      <c r="AJ304" s="80"/>
      <c r="AK304" s="81"/>
      <c r="AL304" s="81"/>
      <c r="AM304" s="43">
        <v>288</v>
      </c>
      <c r="AN304">
        <v>229.80817820699741</v>
      </c>
      <c r="AO304">
        <v>80.270683911803275</v>
      </c>
      <c r="AP304">
        <v>572.6375760104512</v>
      </c>
      <c r="AQ304">
        <v>423.00721647173231</v>
      </c>
      <c r="AR304">
        <v>72.53287604811841</v>
      </c>
      <c r="AS304">
        <v>609.57424868171938</v>
      </c>
      <c r="AT304">
        <v>42.727459322701726</v>
      </c>
      <c r="AU304">
        <v>48.140496804923011</v>
      </c>
      <c r="AV304"/>
      <c r="AW304"/>
      <c r="FY304" s="211">
        <v>299</v>
      </c>
      <c r="FZ304">
        <v>12.982433836852897</v>
      </c>
      <c r="GA304">
        <v>38.909878061810204</v>
      </c>
      <c r="GB304">
        <v>74.661135947568454</v>
      </c>
      <c r="GC304">
        <v>47.391621357351269</v>
      </c>
      <c r="GD304">
        <v>17.259546525815082</v>
      </c>
      <c r="GE304">
        <v>27.318008575251472</v>
      </c>
      <c r="GF304">
        <v>57.306235922548645</v>
      </c>
      <c r="GG304">
        <v>44.836782022540156</v>
      </c>
      <c r="GH304">
        <v>18.474565344438219</v>
      </c>
      <c r="GI304">
        <v>46.373823184463099</v>
      </c>
      <c r="GJ304"/>
      <c r="GK304"/>
      <c r="GL304"/>
      <c r="GM304"/>
    </row>
    <row r="305" spans="1:195" s="7" customFormat="1">
      <c r="A305" s="1"/>
      <c r="B305">
        <v>0.29910837293411996</v>
      </c>
      <c r="C305">
        <v>3</v>
      </c>
      <c r="D305">
        <v>39910</v>
      </c>
      <c r="E305">
        <v>0</v>
      </c>
      <c r="F305">
        <v>0</v>
      </c>
      <c r="G305">
        <v>0</v>
      </c>
      <c r="H305">
        <v>86.805555555555557</v>
      </c>
      <c r="I305">
        <v>86.805555555555557</v>
      </c>
      <c r="J305">
        <v>28.409090909090907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v>0</v>
      </c>
      <c r="AC305">
        <v>0</v>
      </c>
      <c r="AD305">
        <v>0</v>
      </c>
      <c r="AE305">
        <v>0</v>
      </c>
      <c r="AF305">
        <v>0</v>
      </c>
      <c r="AG305">
        <v>0</v>
      </c>
      <c r="AH305">
        <v>0</v>
      </c>
      <c r="AI305">
        <v>0</v>
      </c>
      <c r="AJ305" s="80"/>
      <c r="AK305" s="81"/>
      <c r="AL305" s="81"/>
      <c r="AM305" s="43">
        <v>289</v>
      </c>
      <c r="AN305">
        <v>282.13777317210929</v>
      </c>
      <c r="AO305">
        <v>94.816920560689397</v>
      </c>
      <c r="AP305">
        <v>679.73643231498681</v>
      </c>
      <c r="AQ305">
        <v>501.3807951400413</v>
      </c>
      <c r="AR305">
        <v>87.11028388844322</v>
      </c>
      <c r="AS305">
        <v>716.1761094951238</v>
      </c>
      <c r="AT305">
        <v>44.680031571778905</v>
      </c>
      <c r="AU305">
        <v>53.078570589465357</v>
      </c>
      <c r="AV305"/>
      <c r="AW305"/>
      <c r="FY305" s="211">
        <v>300</v>
      </c>
      <c r="FZ305">
        <v>11.127105242647456</v>
      </c>
      <c r="GA305">
        <v>39.820154806343055</v>
      </c>
      <c r="GB305">
        <v>49.587102568861454</v>
      </c>
      <c r="GC305">
        <v>36.056239367353463</v>
      </c>
      <c r="GD305">
        <v>18.057548692826586</v>
      </c>
      <c r="GE305">
        <v>18.108684407765583</v>
      </c>
      <c r="GF305">
        <v>100.15749517357595</v>
      </c>
      <c r="GG305">
        <v>107.16546784860708</v>
      </c>
      <c r="GH305">
        <v>36.091379324551951</v>
      </c>
      <c r="GI305">
        <v>52.714187381870573</v>
      </c>
      <c r="GJ305"/>
      <c r="GK305"/>
      <c r="GL305"/>
      <c r="GM305"/>
    </row>
    <row r="306" spans="1:195" s="7" customFormat="1">
      <c r="A306" s="1"/>
      <c r="B306">
        <v>2.8950144178454096E-2</v>
      </c>
      <c r="C306">
        <v>3</v>
      </c>
      <c r="D306">
        <v>39910</v>
      </c>
      <c r="E306">
        <v>0</v>
      </c>
      <c r="F306">
        <v>0</v>
      </c>
      <c r="G306">
        <v>0</v>
      </c>
      <c r="H306">
        <v>86.805555555555557</v>
      </c>
      <c r="I306">
        <v>86.805555555555557</v>
      </c>
      <c r="J306">
        <v>28.409090909090907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>
        <v>0</v>
      </c>
      <c r="AC306">
        <v>0</v>
      </c>
      <c r="AD306">
        <v>0</v>
      </c>
      <c r="AE306">
        <v>0</v>
      </c>
      <c r="AF306">
        <v>0</v>
      </c>
      <c r="AG306">
        <v>0</v>
      </c>
      <c r="AH306">
        <v>0</v>
      </c>
      <c r="AI306">
        <v>0</v>
      </c>
      <c r="AJ306" s="80"/>
      <c r="AK306" s="81"/>
      <c r="AL306" s="81"/>
      <c r="AM306" s="43">
        <v>290</v>
      </c>
      <c r="AN306">
        <v>263.6257852505376</v>
      </c>
      <c r="AO306">
        <v>90.470185830299101</v>
      </c>
      <c r="AP306">
        <v>694.1662275028757</v>
      </c>
      <c r="AQ306">
        <v>494.04281744344945</v>
      </c>
      <c r="AR306">
        <v>82.160302481229053</v>
      </c>
      <c r="AS306">
        <v>663.1987511307575</v>
      </c>
      <c r="AT306" t="e">
        <v>#DIV/0!</v>
      </c>
      <c r="AU306" t="e">
        <v>#DIV/0!</v>
      </c>
      <c r="AV306"/>
      <c r="AW306"/>
      <c r="FY306" s="211">
        <v>301</v>
      </c>
      <c r="FZ306">
        <v>23.216689262366749</v>
      </c>
      <c r="GA306">
        <v>65.024663795885274</v>
      </c>
      <c r="GB306">
        <v>77.966329291280047</v>
      </c>
      <c r="GC306">
        <v>41.517108826155798</v>
      </c>
      <c r="GD306">
        <v>15.314118745908189</v>
      </c>
      <c r="GE306">
        <v>41.440626489910166</v>
      </c>
      <c r="GF306">
        <v>54.452779019433258</v>
      </c>
      <c r="GG306">
        <v>14.883174469594231</v>
      </c>
      <c r="GH306">
        <v>6.0706543942503819</v>
      </c>
      <c r="GI306">
        <v>44.352681818204253</v>
      </c>
      <c r="GJ306"/>
      <c r="GK306"/>
      <c r="GL306"/>
      <c r="GM306"/>
    </row>
    <row r="307" spans="1:195" s="7" customFormat="1">
      <c r="A307" s="1"/>
      <c r="B307">
        <v>0.71047824235127788</v>
      </c>
      <c r="C307">
        <v>7</v>
      </c>
      <c r="D307">
        <v>39910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>
        <v>0</v>
      </c>
      <c r="AC307">
        <v>0</v>
      </c>
      <c r="AD307">
        <v>0</v>
      </c>
      <c r="AE307">
        <v>0</v>
      </c>
      <c r="AF307">
        <v>0</v>
      </c>
      <c r="AG307">
        <v>0</v>
      </c>
      <c r="AH307">
        <v>0</v>
      </c>
      <c r="AI307">
        <v>0</v>
      </c>
      <c r="AJ307" s="80"/>
      <c r="AK307" s="81"/>
      <c r="AL307" s="81"/>
      <c r="AM307" s="43">
        <v>291</v>
      </c>
      <c r="AN307">
        <v>234.3593960668608</v>
      </c>
      <c r="AO307">
        <v>76.447178664411112</v>
      </c>
      <c r="AP307">
        <v>488.96221666923907</v>
      </c>
      <c r="AQ307">
        <v>398.84661192703254</v>
      </c>
      <c r="AR307">
        <v>68.244377398432263</v>
      </c>
      <c r="AS307">
        <v>593.08832355593734</v>
      </c>
      <c r="AT307">
        <v>38.148988365157237</v>
      </c>
      <c r="AU307">
        <v>23.566909746747655</v>
      </c>
      <c r="AV307"/>
      <c r="AW307"/>
      <c r="FY307" s="211">
        <v>302</v>
      </c>
      <c r="FZ307">
        <v>7.7270568579007577</v>
      </c>
      <c r="GA307">
        <v>42.239669908119751</v>
      </c>
      <c r="GB307">
        <v>76.49368091001125</v>
      </c>
      <c r="GC307">
        <v>46.623085568859793</v>
      </c>
      <c r="GD307">
        <v>17.93475580324867</v>
      </c>
      <c r="GE307">
        <v>37.977740351710466</v>
      </c>
      <c r="GF307">
        <v>118.21075003728662</v>
      </c>
      <c r="GG307">
        <v>95.835459538513959</v>
      </c>
      <c r="GH307">
        <v>32.969796389489197</v>
      </c>
      <c r="GI307">
        <v>62.096839445685973</v>
      </c>
      <c r="GJ307"/>
      <c r="GK307"/>
      <c r="GL307"/>
      <c r="GM307"/>
    </row>
    <row r="308" spans="1:195" s="7" customFormat="1">
      <c r="A308" s="1"/>
      <c r="B308">
        <v>0.99834937398625079</v>
      </c>
      <c r="C308">
        <v>6</v>
      </c>
      <c r="D308">
        <v>39949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>
        <v>0</v>
      </c>
      <c r="AB308">
        <v>0</v>
      </c>
      <c r="AC308">
        <v>0</v>
      </c>
      <c r="AD308">
        <v>0</v>
      </c>
      <c r="AE308">
        <v>0</v>
      </c>
      <c r="AF308">
        <v>0</v>
      </c>
      <c r="AG308">
        <v>0</v>
      </c>
      <c r="AH308">
        <v>0</v>
      </c>
      <c r="AI308">
        <v>0</v>
      </c>
      <c r="AJ308" s="80"/>
      <c r="AK308" s="81"/>
      <c r="AL308" s="81"/>
      <c r="AM308" s="43">
        <v>292</v>
      </c>
      <c r="AN308">
        <v>267.90979990961779</v>
      </c>
      <c r="AO308">
        <v>85.743589462240521</v>
      </c>
      <c r="AP308">
        <v>673.54388814981792</v>
      </c>
      <c r="AQ308">
        <v>472.23421451222498</v>
      </c>
      <c r="AR308">
        <v>77.810139811404312</v>
      </c>
      <c r="AS308">
        <v>674.51840425737612</v>
      </c>
      <c r="AT308">
        <v>39.962182198323042</v>
      </c>
      <c r="AU308">
        <v>15.236673902631287</v>
      </c>
      <c r="AV308"/>
      <c r="AW308"/>
      <c r="FY308" s="211">
        <v>303</v>
      </c>
      <c r="FZ308">
        <v>16.783761061904539</v>
      </c>
      <c r="GA308">
        <v>52.319640116734988</v>
      </c>
      <c r="GB308">
        <v>65.849590788396881</v>
      </c>
      <c r="GC308">
        <v>42.370060659996589</v>
      </c>
      <c r="GD308">
        <v>18.780386993839478</v>
      </c>
      <c r="GE308">
        <v>31.915436051598306</v>
      </c>
      <c r="GF308">
        <v>43.634851789629785</v>
      </c>
      <c r="GG308">
        <v>24.567430477604915</v>
      </c>
      <c r="GH308">
        <v>17.647382862692524</v>
      </c>
      <c r="GI308">
        <v>42.732773268980473</v>
      </c>
      <c r="GJ308"/>
      <c r="GK308"/>
      <c r="GL308"/>
      <c r="GM308"/>
    </row>
    <row r="309" spans="1:195" s="7" customFormat="1">
      <c r="A309" s="1"/>
      <c r="B309">
        <v>0.36386645826460473</v>
      </c>
      <c r="C309">
        <v>8</v>
      </c>
      <c r="D309">
        <v>39949</v>
      </c>
      <c r="E309">
        <v>0</v>
      </c>
      <c r="F309">
        <v>0</v>
      </c>
      <c r="G309">
        <v>114.58333333333333</v>
      </c>
      <c r="H309">
        <v>41.666666666666664</v>
      </c>
      <c r="I309">
        <v>0</v>
      </c>
      <c r="J309">
        <v>62.5</v>
      </c>
      <c r="K309">
        <v>10.416666666666666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0</v>
      </c>
      <c r="AC309">
        <v>0</v>
      </c>
      <c r="AD309">
        <v>0</v>
      </c>
      <c r="AE309">
        <v>0</v>
      </c>
      <c r="AF309">
        <v>0</v>
      </c>
      <c r="AG309">
        <v>0</v>
      </c>
      <c r="AH309">
        <v>0</v>
      </c>
      <c r="AI309">
        <v>0</v>
      </c>
      <c r="AJ309" s="80"/>
      <c r="AK309" s="81"/>
      <c r="AL309" s="81"/>
      <c r="AM309" s="43">
        <v>293</v>
      </c>
      <c r="AN309">
        <v>220.50683878247577</v>
      </c>
      <c r="AO309">
        <v>72.653716098698695</v>
      </c>
      <c r="AP309">
        <v>502.08415098261867</v>
      </c>
      <c r="AQ309">
        <v>396.86782824841782</v>
      </c>
      <c r="AR309">
        <v>65.8890424324332</v>
      </c>
      <c r="AS309">
        <v>544.65015980548503</v>
      </c>
      <c r="AT309">
        <v>37.573876167401792</v>
      </c>
      <c r="AU309">
        <v>89.11231173787445</v>
      </c>
      <c r="AV309"/>
      <c r="AW309"/>
      <c r="FY309" s="211">
        <v>304</v>
      </c>
      <c r="FZ309">
        <v>16.048777744101528</v>
      </c>
      <c r="GA309">
        <v>53.44406100808601</v>
      </c>
      <c r="GB309">
        <v>75.068014184152219</v>
      </c>
      <c r="GC309">
        <v>45.658904644448491</v>
      </c>
      <c r="GD309">
        <v>22.433274340631389</v>
      </c>
      <c r="GE309">
        <v>50.510652015613246</v>
      </c>
      <c r="GF309">
        <v>65.669893355841225</v>
      </c>
      <c r="GG309">
        <v>32.060036365399512</v>
      </c>
      <c r="GH309">
        <v>20.967251417445489</v>
      </c>
      <c r="GI309">
        <v>51.324207244900101</v>
      </c>
      <c r="GJ309"/>
      <c r="GK309"/>
      <c r="GL309"/>
      <c r="GM309"/>
    </row>
    <row r="310" spans="1:195" s="7" customFormat="1">
      <c r="A310" s="1"/>
      <c r="B310">
        <v>0.73795024572458212</v>
      </c>
      <c r="C310">
        <v>5</v>
      </c>
      <c r="D310">
        <v>39949</v>
      </c>
      <c r="E310">
        <v>0</v>
      </c>
      <c r="F310">
        <v>0</v>
      </c>
      <c r="G310">
        <v>0</v>
      </c>
      <c r="H310">
        <v>20.833333333333332</v>
      </c>
      <c r="I310">
        <v>10.416666666666666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0</v>
      </c>
      <c r="AC310">
        <v>0</v>
      </c>
      <c r="AD310">
        <v>0</v>
      </c>
      <c r="AE310">
        <v>0</v>
      </c>
      <c r="AF310">
        <v>0</v>
      </c>
      <c r="AG310">
        <v>0</v>
      </c>
      <c r="AH310">
        <v>0</v>
      </c>
      <c r="AI310">
        <v>0</v>
      </c>
      <c r="AJ310" s="80"/>
      <c r="AK310" s="81"/>
      <c r="AL310" s="81"/>
      <c r="AM310" s="43">
        <v>294</v>
      </c>
      <c r="AN310">
        <v>291.0332189185076</v>
      </c>
      <c r="AO310">
        <v>99.275477962028589</v>
      </c>
      <c r="AP310">
        <v>792.34908777678186</v>
      </c>
      <c r="AQ310">
        <v>551.35480150552632</v>
      </c>
      <c r="AR310">
        <v>88.899044488052098</v>
      </c>
      <c r="AS310">
        <v>726.75477629120735</v>
      </c>
      <c r="AT310">
        <v>49.250888818296296</v>
      </c>
      <c r="AU310">
        <v>146.48791272196218</v>
      </c>
      <c r="AV310"/>
      <c r="AW310"/>
      <c r="FY310" s="211">
        <v>305</v>
      </c>
      <c r="FZ310">
        <v>9.6454657444861347</v>
      </c>
      <c r="GA310">
        <v>65.010841365915596</v>
      </c>
      <c r="GB310">
        <v>85.366827235279615</v>
      </c>
      <c r="GC310">
        <v>40.426806360883774</v>
      </c>
      <c r="GD310">
        <v>12.522267114241414</v>
      </c>
      <c r="GE310">
        <v>26.849482477384768</v>
      </c>
      <c r="GF310">
        <v>92.437249536932669</v>
      </c>
      <c r="GG310">
        <v>69.763999215231507</v>
      </c>
      <c r="GH310">
        <v>12.532892051609519</v>
      </c>
      <c r="GI310">
        <v>51.816720410176401</v>
      </c>
      <c r="GJ310"/>
      <c r="GK310"/>
      <c r="GL310"/>
      <c r="GM310"/>
    </row>
    <row r="311" spans="1:195" s="7" customFormat="1">
      <c r="A311" s="1"/>
      <c r="B311">
        <v>0.53685486590814935</v>
      </c>
      <c r="C311">
        <v>9</v>
      </c>
      <c r="D311">
        <v>39949</v>
      </c>
      <c r="E311">
        <v>0</v>
      </c>
      <c r="F311">
        <v>0</v>
      </c>
      <c r="G311">
        <v>0</v>
      </c>
      <c r="H311">
        <v>10.416666666666666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>
        <v>0</v>
      </c>
      <c r="AC311">
        <v>0</v>
      </c>
      <c r="AD311">
        <v>0</v>
      </c>
      <c r="AE311">
        <v>0</v>
      </c>
      <c r="AF311">
        <v>0</v>
      </c>
      <c r="AG311">
        <v>0</v>
      </c>
      <c r="AH311">
        <v>0</v>
      </c>
      <c r="AI311">
        <v>0</v>
      </c>
      <c r="AJ311" s="80"/>
      <c r="AK311" s="81"/>
      <c r="AL311" s="81"/>
      <c r="AM311" s="43">
        <v>295</v>
      </c>
      <c r="AN311">
        <v>279.28139137874086</v>
      </c>
      <c r="AO311">
        <v>92.572267579164787</v>
      </c>
      <c r="AP311">
        <v>673.86238916107118</v>
      </c>
      <c r="AQ311">
        <v>520.89903491911446</v>
      </c>
      <c r="AR311">
        <v>82.316007416034353</v>
      </c>
      <c r="AS311">
        <v>715.94077493233885</v>
      </c>
      <c r="AT311">
        <v>45.634294032449645</v>
      </c>
      <c r="AU311">
        <v>18.742622755894672</v>
      </c>
      <c r="AV311"/>
      <c r="AW311"/>
      <c r="FY311" s="211">
        <v>306</v>
      </c>
      <c r="FZ311">
        <v>6.0070702455519269</v>
      </c>
      <c r="GA311">
        <v>45.121416995774418</v>
      </c>
      <c r="GB311">
        <v>111.20126528139613</v>
      </c>
      <c r="GC311">
        <v>63.700518250003149</v>
      </c>
      <c r="GD311">
        <v>22.14650659104851</v>
      </c>
      <c r="GE311">
        <v>48.777833863319017</v>
      </c>
      <c r="GF311">
        <v>67.519524871913063</v>
      </c>
      <c r="GG311">
        <v>63.324618118096822</v>
      </c>
      <c r="GH311">
        <v>56.35027523701379</v>
      </c>
      <c r="GI311">
        <v>65.416873391507153</v>
      </c>
      <c r="GJ311"/>
      <c r="GK311"/>
      <c r="GL311"/>
      <c r="GM311"/>
    </row>
    <row r="312" spans="1:195" s="7" customFormat="1">
      <c r="A312" s="1"/>
      <c r="B312">
        <v>0.93415828359287634</v>
      </c>
      <c r="C312">
        <v>3</v>
      </c>
      <c r="D312">
        <v>39949</v>
      </c>
      <c r="E312">
        <v>0</v>
      </c>
      <c r="F312">
        <v>0</v>
      </c>
      <c r="G312">
        <v>0</v>
      </c>
      <c r="H312">
        <v>91.43518518518519</v>
      </c>
      <c r="I312">
        <v>0</v>
      </c>
      <c r="J312">
        <v>0</v>
      </c>
      <c r="K312">
        <v>20.833333333333332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>
        <v>0</v>
      </c>
      <c r="AB312">
        <v>0</v>
      </c>
      <c r="AC312">
        <v>0</v>
      </c>
      <c r="AD312">
        <v>0</v>
      </c>
      <c r="AE312">
        <v>0</v>
      </c>
      <c r="AF312">
        <v>0</v>
      </c>
      <c r="AG312">
        <v>0</v>
      </c>
      <c r="AH312">
        <v>0</v>
      </c>
      <c r="AI312">
        <v>0</v>
      </c>
      <c r="AJ312" s="80"/>
      <c r="AK312" s="81"/>
      <c r="AL312" s="81"/>
      <c r="AM312" s="43">
        <v>296</v>
      </c>
      <c r="AN312">
        <v>259.49766836656124</v>
      </c>
      <c r="AO312">
        <v>93.563985052619245</v>
      </c>
      <c r="AP312">
        <v>742.3046563319574</v>
      </c>
      <c r="AQ312">
        <v>505.74565097409186</v>
      </c>
      <c r="AR312">
        <v>85.380060609115816</v>
      </c>
      <c r="AS312">
        <v>720.47740372574538</v>
      </c>
      <c r="AT312">
        <v>48.839902110442154</v>
      </c>
      <c r="AU312">
        <v>-8.8500852049388659</v>
      </c>
      <c r="AV312"/>
      <c r="AW312"/>
      <c r="FY312" s="211">
        <v>307</v>
      </c>
      <c r="FZ312">
        <v>7.5348720917249068</v>
      </c>
      <c r="GA312">
        <v>35.775511358983245</v>
      </c>
      <c r="GB312">
        <v>94.264844084749242</v>
      </c>
      <c r="GC312">
        <v>53.671312065844965</v>
      </c>
      <c r="GD312">
        <v>13.094066386217948</v>
      </c>
      <c r="GE312">
        <v>44.752050867786991</v>
      </c>
      <c r="GF312">
        <v>107.42794967202462</v>
      </c>
      <c r="GG312">
        <v>61.762172451669954</v>
      </c>
      <c r="GH312">
        <v>20.041879597769693</v>
      </c>
      <c r="GI312">
        <v>58.409926804308093</v>
      </c>
      <c r="GJ312"/>
      <c r="GK312"/>
      <c r="GL312"/>
      <c r="GM312"/>
    </row>
    <row r="313" spans="1:195" s="7" customFormat="1">
      <c r="A313" s="1"/>
      <c r="B313">
        <v>0.23155586855830634</v>
      </c>
      <c r="C313">
        <v>6</v>
      </c>
      <c r="D313">
        <v>39949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0</v>
      </c>
      <c r="AB313">
        <v>0</v>
      </c>
      <c r="AC313">
        <v>0</v>
      </c>
      <c r="AD313">
        <v>0</v>
      </c>
      <c r="AE313">
        <v>0</v>
      </c>
      <c r="AF313">
        <v>0</v>
      </c>
      <c r="AG313">
        <v>0</v>
      </c>
      <c r="AH313">
        <v>0</v>
      </c>
      <c r="AI313">
        <v>0</v>
      </c>
      <c r="AJ313" s="80"/>
      <c r="AK313" s="81"/>
      <c r="AL313" s="81"/>
      <c r="AM313" s="43">
        <v>297</v>
      </c>
      <c r="AN313">
        <v>211.37073268792128</v>
      </c>
      <c r="AO313">
        <v>79.269231160402029</v>
      </c>
      <c r="AP313">
        <v>571.53263321573991</v>
      </c>
      <c r="AQ313">
        <v>418.27053080991061</v>
      </c>
      <c r="AR313">
        <v>69.768986387540963</v>
      </c>
      <c r="AS313">
        <v>582.50622164198944</v>
      </c>
      <c r="AT313">
        <v>38.277058167559396</v>
      </c>
      <c r="AU313">
        <v>106.68444399150644</v>
      </c>
      <c r="AV313"/>
      <c r="AW313"/>
      <c r="FY313" s="211">
        <v>308</v>
      </c>
      <c r="FZ313">
        <v>18.075661030257301</v>
      </c>
      <c r="GA313">
        <v>57.139043942744323</v>
      </c>
      <c r="GB313">
        <v>70.870991620731957</v>
      </c>
      <c r="GC313">
        <v>41.685605561251741</v>
      </c>
      <c r="GD313">
        <v>30.972970090476107</v>
      </c>
      <c r="GE313">
        <v>63.829718326347603</v>
      </c>
      <c r="GF313">
        <v>91.677770117544398</v>
      </c>
      <c r="GG313">
        <v>60.63876284992552</v>
      </c>
      <c r="GH313">
        <v>13.282956216569737</v>
      </c>
      <c r="GI313">
        <v>61.633014986244476</v>
      </c>
      <c r="GJ313"/>
      <c r="GK313"/>
      <c r="GL313"/>
      <c r="GM313"/>
    </row>
    <row r="314" spans="1:195" s="7" customFormat="1">
      <c r="A314" s="1"/>
      <c r="B314">
        <v>0.24912864170240168</v>
      </c>
      <c r="C314">
        <v>4</v>
      </c>
      <c r="D314">
        <v>39949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</v>
      </c>
      <c r="AA314">
        <v>0</v>
      </c>
      <c r="AB314">
        <v>0</v>
      </c>
      <c r="AC314">
        <v>0</v>
      </c>
      <c r="AD314">
        <v>0</v>
      </c>
      <c r="AE314">
        <v>0</v>
      </c>
      <c r="AF314">
        <v>0</v>
      </c>
      <c r="AG314">
        <v>0</v>
      </c>
      <c r="AH314">
        <v>0</v>
      </c>
      <c r="AI314">
        <v>0</v>
      </c>
      <c r="AJ314" s="80"/>
      <c r="AK314" s="81"/>
      <c r="AL314" s="81"/>
      <c r="AM314" s="43">
        <v>298</v>
      </c>
      <c r="AN314">
        <v>271.6759622509274</v>
      </c>
      <c r="AO314">
        <v>94.986907480213517</v>
      </c>
      <c r="AP314">
        <v>681.99855420940696</v>
      </c>
      <c r="AQ314">
        <v>520.02816196363142</v>
      </c>
      <c r="AR314">
        <v>84.706771267580294</v>
      </c>
      <c r="AS314">
        <v>673.79522676872034</v>
      </c>
      <c r="AT314">
        <v>45.255143119092054</v>
      </c>
      <c r="AU314">
        <v>136.14650943877359</v>
      </c>
      <c r="AV314"/>
      <c r="AW314"/>
      <c r="FY314" s="211">
        <v>309</v>
      </c>
      <c r="FZ314">
        <v>14.326441961907165</v>
      </c>
      <c r="GA314">
        <v>48.588559934165453</v>
      </c>
      <c r="GB314">
        <v>90.19564988720164</v>
      </c>
      <c r="GC314">
        <v>51.4927488828083</v>
      </c>
      <c r="GD314">
        <v>14.901926437773373</v>
      </c>
      <c r="GE314">
        <v>50.565472446118683</v>
      </c>
      <c r="GF314">
        <v>92.779617644875785</v>
      </c>
      <c r="GG314">
        <v>41.195613833177603</v>
      </c>
      <c r="GH314">
        <v>19.625108852950369</v>
      </c>
      <c r="GI314">
        <v>56.572887875415873</v>
      </c>
      <c r="GJ314"/>
      <c r="GK314"/>
      <c r="GL314"/>
      <c r="GM314"/>
    </row>
    <row r="315" spans="1:195" s="7" customFormat="1">
      <c r="A315" s="1"/>
      <c r="B315">
        <v>0.23458576013526589</v>
      </c>
      <c r="C315">
        <v>7</v>
      </c>
      <c r="D315">
        <v>39949</v>
      </c>
      <c r="E315">
        <v>0</v>
      </c>
      <c r="F315">
        <v>0</v>
      </c>
      <c r="G315">
        <v>0</v>
      </c>
      <c r="H315">
        <v>10.416666666666666</v>
      </c>
      <c r="I315">
        <v>41.666666666666664</v>
      </c>
      <c r="J315">
        <v>104.16666666666667</v>
      </c>
      <c r="K315">
        <v>114.58333333333333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0</v>
      </c>
      <c r="AB315">
        <v>0</v>
      </c>
      <c r="AC315">
        <v>0</v>
      </c>
      <c r="AD315">
        <v>0</v>
      </c>
      <c r="AE315">
        <v>0</v>
      </c>
      <c r="AF315">
        <v>0</v>
      </c>
      <c r="AG315">
        <v>0</v>
      </c>
      <c r="AH315">
        <v>0</v>
      </c>
      <c r="AI315">
        <v>0</v>
      </c>
      <c r="AJ315" s="80"/>
      <c r="AK315" s="81"/>
      <c r="AL315" s="81"/>
      <c r="AM315" s="43">
        <v>299</v>
      </c>
      <c r="AN315">
        <v>220.90226182407301</v>
      </c>
      <c r="AO315">
        <v>73.529244321216609</v>
      </c>
      <c r="AP315">
        <v>525.41722277781457</v>
      </c>
      <c r="AQ315">
        <v>385.51403077863955</v>
      </c>
      <c r="AR315">
        <v>66.781870620354141</v>
      </c>
      <c r="AS315">
        <v>576.42716015830217</v>
      </c>
      <c r="AT315">
        <v>36.439939396770299</v>
      </c>
      <c r="AU315">
        <v>59.780545402547787</v>
      </c>
      <c r="AV315"/>
      <c r="AW315"/>
      <c r="FY315" s="211">
        <v>310</v>
      </c>
      <c r="FZ315">
        <v>15.060738205124959</v>
      </c>
      <c r="GA315">
        <v>47.800481681281909</v>
      </c>
      <c r="GB315">
        <v>80.157565160709282</v>
      </c>
      <c r="GC315">
        <v>45.365185744990725</v>
      </c>
      <c r="GD315">
        <v>15.606764135041068</v>
      </c>
      <c r="GE315">
        <v>39.970246068676552</v>
      </c>
      <c r="GF315">
        <v>67.609322128239782</v>
      </c>
      <c r="GG315">
        <v>59.356803479263405</v>
      </c>
      <c r="GH315">
        <v>47.857873158274884</v>
      </c>
      <c r="GI315">
        <v>53.755706106885107</v>
      </c>
      <c r="GJ315"/>
      <c r="GK315"/>
      <c r="GL315"/>
      <c r="GM315"/>
    </row>
    <row r="316" spans="1:195" s="7" customFormat="1">
      <c r="A316" s="1"/>
      <c r="B316">
        <v>0.83199023851056797</v>
      </c>
      <c r="C316">
        <v>4</v>
      </c>
      <c r="D316">
        <v>39949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0</v>
      </c>
      <c r="AC316">
        <v>0</v>
      </c>
      <c r="AD316">
        <v>0</v>
      </c>
      <c r="AE316">
        <v>0</v>
      </c>
      <c r="AF316">
        <v>0</v>
      </c>
      <c r="AG316">
        <v>0</v>
      </c>
      <c r="AH316">
        <v>0</v>
      </c>
      <c r="AI316">
        <v>0</v>
      </c>
      <c r="AJ316" s="80"/>
      <c r="AK316" s="81"/>
      <c r="AL316" s="81"/>
      <c r="AM316" s="43">
        <v>300</v>
      </c>
      <c r="AN316">
        <v>228.24696785838032</v>
      </c>
      <c r="AO316">
        <v>86.192458060851962</v>
      </c>
      <c r="AP316">
        <v>687.26561552424948</v>
      </c>
      <c r="AQ316">
        <v>468.88536481440315</v>
      </c>
      <c r="AR316">
        <v>79.103559985213707</v>
      </c>
      <c r="AS316">
        <v>623.45386332148644</v>
      </c>
      <c r="AT316" t="e">
        <v>#DIV/0!</v>
      </c>
      <c r="AU316" t="e">
        <v>#DIV/0!</v>
      </c>
      <c r="AV316"/>
      <c r="AW316"/>
      <c r="FY316" s="211">
        <v>311</v>
      </c>
      <c r="FZ316">
        <v>12.195475247140669</v>
      </c>
      <c r="GA316">
        <v>44.76566713690184</v>
      </c>
      <c r="GB316">
        <v>94.346097021209459</v>
      </c>
      <c r="GC316">
        <v>49.652370428500994</v>
      </c>
      <c r="GD316">
        <v>16.834526399008006</v>
      </c>
      <c r="GE316">
        <v>38.038874728562384</v>
      </c>
      <c r="GF316">
        <v>96.393593293112602</v>
      </c>
      <c r="GG316">
        <v>77.400542879545625</v>
      </c>
      <c r="GH316">
        <v>18.293550437353971</v>
      </c>
      <c r="GI316">
        <v>59.611460965214803</v>
      </c>
      <c r="GJ316"/>
      <c r="GK316"/>
      <c r="GL316"/>
      <c r="GM316"/>
    </row>
    <row r="317" spans="1:195" s="7" customFormat="1">
      <c r="A317" s="1"/>
      <c r="B317">
        <v>0.86898285990147084</v>
      </c>
      <c r="C317">
        <v>6</v>
      </c>
      <c r="D317">
        <v>39949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0</v>
      </c>
      <c r="AB317">
        <v>0</v>
      </c>
      <c r="AC317">
        <v>0</v>
      </c>
      <c r="AD317">
        <v>0</v>
      </c>
      <c r="AE317">
        <v>0</v>
      </c>
      <c r="AF317">
        <v>0</v>
      </c>
      <c r="AG317">
        <v>0</v>
      </c>
      <c r="AH317">
        <v>0</v>
      </c>
      <c r="AI317">
        <v>0</v>
      </c>
      <c r="AJ317" s="80"/>
      <c r="AK317" s="81"/>
      <c r="AL317" s="81"/>
      <c r="AM317" s="43">
        <v>301</v>
      </c>
      <c r="AN317">
        <v>246.98748246865495</v>
      </c>
      <c r="AO317">
        <v>69.541657538349298</v>
      </c>
      <c r="AP317">
        <v>503.2783256645896</v>
      </c>
      <c r="AQ317">
        <v>384.23882611298836</v>
      </c>
      <c r="AR317">
        <v>61.942416585194287</v>
      </c>
      <c r="AS317">
        <v>556.83313211272275</v>
      </c>
      <c r="AT317">
        <v>33.232886493980544</v>
      </c>
      <c r="AU317">
        <v>46.025301813974373</v>
      </c>
      <c r="AV317"/>
      <c r="AW317"/>
      <c r="FY317" s="211">
        <v>312</v>
      </c>
      <c r="FZ317">
        <v>8.6756485568127797</v>
      </c>
      <c r="GA317">
        <v>44.966307505934232</v>
      </c>
      <c r="GB317">
        <v>45.676154493404923</v>
      </c>
      <c r="GC317">
        <v>32.645015279712553</v>
      </c>
      <c r="GD317">
        <v>20.056214016714115</v>
      </c>
      <c r="GE317">
        <v>36.204402880985526</v>
      </c>
      <c r="GF317">
        <v>54.327923475160439</v>
      </c>
      <c r="GG317">
        <v>16.920711177932688</v>
      </c>
      <c r="GH317">
        <v>1.8805325978455705</v>
      </c>
      <c r="GI317">
        <v>36.939608808680084</v>
      </c>
      <c r="GJ317"/>
      <c r="GK317"/>
      <c r="GL317"/>
      <c r="GM317"/>
    </row>
    <row r="318" spans="1:195" s="7" customFormat="1">
      <c r="A318" s="1"/>
      <c r="B318">
        <v>0.97991584519446295</v>
      </c>
      <c r="C318">
        <v>5</v>
      </c>
      <c r="D318">
        <v>39987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  <c r="AA318">
        <v>0</v>
      </c>
      <c r="AB318">
        <v>0</v>
      </c>
      <c r="AC318">
        <v>0</v>
      </c>
      <c r="AD318">
        <v>0</v>
      </c>
      <c r="AE318">
        <v>0</v>
      </c>
      <c r="AF318">
        <v>0</v>
      </c>
      <c r="AG318">
        <v>0</v>
      </c>
      <c r="AH318">
        <v>0</v>
      </c>
      <c r="AI318">
        <v>0</v>
      </c>
      <c r="AJ318" s="80"/>
      <c r="AK318" s="81"/>
      <c r="AL318" s="81"/>
      <c r="AM318" s="43">
        <v>302</v>
      </c>
      <c r="AN318">
        <v>284.82909142302867</v>
      </c>
      <c r="AO318">
        <v>100.14521238737757</v>
      </c>
      <c r="AP318">
        <v>776.88982042718033</v>
      </c>
      <c r="AQ318">
        <v>538.10883481082635</v>
      </c>
      <c r="AR318">
        <v>90.380197736933411</v>
      </c>
      <c r="AS318">
        <v>760.44861879278892</v>
      </c>
      <c r="AT318">
        <v>50.296974180549341</v>
      </c>
      <c r="AU318">
        <v>87.882516709782294</v>
      </c>
      <c r="AV318"/>
      <c r="AW318"/>
      <c r="FY318" s="211">
        <v>313</v>
      </c>
      <c r="FZ318">
        <v>14.960222074275906</v>
      </c>
      <c r="GA318">
        <v>35.403971588622923</v>
      </c>
      <c r="GB318">
        <v>73.537205513721076</v>
      </c>
      <c r="GC318">
        <v>48.527399504947354</v>
      </c>
      <c r="GD318">
        <v>17.3307130796831</v>
      </c>
      <c r="GE318">
        <v>27.415299863620874</v>
      </c>
      <c r="GF318">
        <v>56.806010259896219</v>
      </c>
      <c r="GG318">
        <v>33.009541960265402</v>
      </c>
      <c r="GH318">
        <v>3.856591209919547</v>
      </c>
      <c r="GI318">
        <v>43.142637555964178</v>
      </c>
      <c r="GJ318"/>
      <c r="GK318"/>
      <c r="GL318"/>
      <c r="GM318"/>
    </row>
    <row r="319" spans="1:195" s="7" customFormat="1">
      <c r="A319" s="1"/>
      <c r="B319">
        <v>0.9152141589107945</v>
      </c>
      <c r="C319">
        <v>3</v>
      </c>
      <c r="D319">
        <v>39987</v>
      </c>
      <c r="E319">
        <v>0</v>
      </c>
      <c r="F319">
        <v>0</v>
      </c>
      <c r="G319">
        <v>10.416666666666666</v>
      </c>
      <c r="H319">
        <v>0</v>
      </c>
      <c r="I319">
        <v>10.416666666666666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>
        <v>0</v>
      </c>
      <c r="AC319">
        <v>0</v>
      </c>
      <c r="AD319">
        <v>0</v>
      </c>
      <c r="AE319">
        <v>0</v>
      </c>
      <c r="AF319">
        <v>0</v>
      </c>
      <c r="AG319">
        <v>0</v>
      </c>
      <c r="AH319">
        <v>0</v>
      </c>
      <c r="AI319">
        <v>0</v>
      </c>
      <c r="AJ319" s="80"/>
      <c r="AK319" s="81"/>
      <c r="AL319" s="81"/>
      <c r="AM319" s="43">
        <v>303</v>
      </c>
      <c r="AN319">
        <v>245.51613659080425</v>
      </c>
      <c r="AO319">
        <v>67.401598011042012</v>
      </c>
      <c r="AP319">
        <v>469.63295078477557</v>
      </c>
      <c r="AQ319">
        <v>356.60131407137845</v>
      </c>
      <c r="AR319">
        <v>60.483119258301905</v>
      </c>
      <c r="AS319">
        <v>552.13465809293973</v>
      </c>
      <c r="AT319">
        <v>31.718042874930333</v>
      </c>
      <c r="AU319">
        <v>54.908201365594351</v>
      </c>
      <c r="AV319"/>
      <c r="AW319"/>
      <c r="FY319" s="211">
        <v>314</v>
      </c>
      <c r="FZ319">
        <v>11.893913248942892</v>
      </c>
      <c r="GA319">
        <v>40.915817239134107</v>
      </c>
      <c r="GB319">
        <v>87.764611177540615</v>
      </c>
      <c r="GC319">
        <v>56.687838163754847</v>
      </c>
      <c r="GD319">
        <v>23.963877828590483</v>
      </c>
      <c r="GE319">
        <v>34.199694978080231</v>
      </c>
      <c r="GF319">
        <v>78.111811853321058</v>
      </c>
      <c r="GG319">
        <v>56.012115207544937</v>
      </c>
      <c r="GH319">
        <v>4.3674820171970286</v>
      </c>
      <c r="GI319">
        <v>55.720502647265789</v>
      </c>
      <c r="GJ319"/>
      <c r="GK319"/>
      <c r="GL319"/>
      <c r="GM319"/>
    </row>
    <row r="320" spans="1:195" s="7" customFormat="1">
      <c r="A320" s="1"/>
      <c r="B320">
        <v>0.25636337384278285</v>
      </c>
      <c r="C320">
        <v>4</v>
      </c>
      <c r="D320">
        <v>39987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0</v>
      </c>
      <c r="AD320">
        <v>0</v>
      </c>
      <c r="AE320">
        <v>0</v>
      </c>
      <c r="AF320">
        <v>0</v>
      </c>
      <c r="AG320">
        <v>0</v>
      </c>
      <c r="AH320">
        <v>0</v>
      </c>
      <c r="AI320">
        <v>0</v>
      </c>
      <c r="AJ320" s="80"/>
      <c r="AK320" s="81"/>
      <c r="AL320" s="81"/>
      <c r="AM320" s="43">
        <v>304</v>
      </c>
      <c r="AN320">
        <v>254.51044640895981</v>
      </c>
      <c r="AO320">
        <v>79.656542893418745</v>
      </c>
      <c r="AP320">
        <v>545.17023871565652</v>
      </c>
      <c r="AQ320">
        <v>433.18507232061921</v>
      </c>
      <c r="AR320">
        <v>71.441022686016055</v>
      </c>
      <c r="AS320">
        <v>626.00911177691785</v>
      </c>
      <c r="AT320">
        <v>40.070793260028118</v>
      </c>
      <c r="AU320">
        <v>93.196515608690902</v>
      </c>
      <c r="AV320"/>
      <c r="AW320"/>
      <c r="FY320" s="211">
        <v>315</v>
      </c>
      <c r="FZ320">
        <v>19.558915196858713</v>
      </c>
      <c r="GA320">
        <v>49.926442423655615</v>
      </c>
      <c r="GB320">
        <v>65.287370398576797</v>
      </c>
      <c r="GC320">
        <v>41.081183433752351</v>
      </c>
      <c r="GD320">
        <v>20.275814832039792</v>
      </c>
      <c r="GE320">
        <v>39.13392485860944</v>
      </c>
      <c r="GF320">
        <v>67.439478117333323</v>
      </c>
      <c r="GG320">
        <v>37.953248131806447</v>
      </c>
      <c r="GH320">
        <v>6.8519225631344209</v>
      </c>
      <c r="GI320">
        <v>46.444486047217879</v>
      </c>
      <c r="GJ320"/>
      <c r="GK320"/>
      <c r="GL320"/>
      <c r="GM320"/>
    </row>
    <row r="321" spans="1:195" s="7" customFormat="1">
      <c r="A321" s="1"/>
      <c r="B321">
        <v>0.70427828394002767</v>
      </c>
      <c r="C321">
        <v>2</v>
      </c>
      <c r="D321">
        <v>39987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0</v>
      </c>
      <c r="AB321">
        <v>0</v>
      </c>
      <c r="AC321">
        <v>0</v>
      </c>
      <c r="AD321">
        <v>0</v>
      </c>
      <c r="AE321">
        <v>0</v>
      </c>
      <c r="AF321">
        <v>0</v>
      </c>
      <c r="AG321">
        <v>0</v>
      </c>
      <c r="AH321">
        <v>0</v>
      </c>
      <c r="AI321">
        <v>0</v>
      </c>
      <c r="AJ321" s="80"/>
      <c r="AK321" s="81"/>
      <c r="AL321" s="81"/>
      <c r="AM321" s="43">
        <v>305</v>
      </c>
      <c r="AN321">
        <v>265.93725541712342</v>
      </c>
      <c r="AO321">
        <v>82.516324580439132</v>
      </c>
      <c r="AP321">
        <v>671.54678335100903</v>
      </c>
      <c r="AQ321">
        <v>466.3725515121414</v>
      </c>
      <c r="AR321">
        <v>75.279946280001994</v>
      </c>
      <c r="AS321">
        <v>641.35128167063829</v>
      </c>
      <c r="AT321">
        <v>40.765534860807335</v>
      </c>
      <c r="AU321">
        <v>51.651928587986376</v>
      </c>
      <c r="AV321"/>
      <c r="AW321"/>
      <c r="FY321" s="211">
        <v>316</v>
      </c>
      <c r="FZ321">
        <v>22.395562604598894</v>
      </c>
      <c r="GA321">
        <v>47.445770128622911</v>
      </c>
      <c r="GB321">
        <v>77.049560513762771</v>
      </c>
      <c r="GC321">
        <v>46.152650660043392</v>
      </c>
      <c r="GD321">
        <v>18.926731951989826</v>
      </c>
      <c r="GE321">
        <v>43.741651537867902</v>
      </c>
      <c r="GF321">
        <v>82.141279010014429</v>
      </c>
      <c r="GG321">
        <v>57.352566626344903</v>
      </c>
      <c r="GH321">
        <v>22.724397231929842</v>
      </c>
      <c r="GI321">
        <v>55.120340967445955</v>
      </c>
      <c r="GJ321"/>
      <c r="GK321"/>
      <c r="GL321"/>
      <c r="GM321"/>
    </row>
    <row r="322" spans="1:195" s="7" customFormat="1">
      <c r="A322" s="1"/>
      <c r="B322">
        <v>0.46761844054166901</v>
      </c>
      <c r="C322">
        <v>7</v>
      </c>
      <c r="D322">
        <v>39987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0</v>
      </c>
      <c r="AB322">
        <v>0</v>
      </c>
      <c r="AC322">
        <v>0</v>
      </c>
      <c r="AD322">
        <v>0</v>
      </c>
      <c r="AE322">
        <v>0</v>
      </c>
      <c r="AF322">
        <v>0</v>
      </c>
      <c r="AG322">
        <v>0</v>
      </c>
      <c r="AH322">
        <v>0</v>
      </c>
      <c r="AI322">
        <v>0</v>
      </c>
      <c r="AJ322" s="80"/>
      <c r="AK322" s="81"/>
      <c r="AL322" s="81"/>
      <c r="AM322" s="43">
        <v>306</v>
      </c>
      <c r="AN322">
        <v>288.88740851352202</v>
      </c>
      <c r="AO322">
        <v>102.18841947078801</v>
      </c>
      <c r="AP322">
        <v>725.7734543302754</v>
      </c>
      <c r="AQ322">
        <v>549.5659028456239</v>
      </c>
      <c r="AR322">
        <v>92.324845580483824</v>
      </c>
      <c r="AS322">
        <v>778.5891658986352</v>
      </c>
      <c r="AT322">
        <v>51.754255719309384</v>
      </c>
      <c r="AU322">
        <v>86.567952226363744</v>
      </c>
      <c r="AV322"/>
      <c r="AW322"/>
      <c r="FY322" s="211">
        <v>317</v>
      </c>
      <c r="FZ322">
        <v>24.253691786208368</v>
      </c>
      <c r="GA322">
        <v>49.347245276235498</v>
      </c>
      <c r="GB322">
        <v>88.072625324474714</v>
      </c>
      <c r="GC322">
        <v>54.589481764458171</v>
      </c>
      <c r="GD322">
        <v>15.849552956576765</v>
      </c>
      <c r="GE322">
        <v>36.439389805962882</v>
      </c>
      <c r="GF322">
        <v>69.263718255336784</v>
      </c>
      <c r="GG322">
        <v>42.902416324654354</v>
      </c>
      <c r="GH322">
        <v>22.264735942510136</v>
      </c>
      <c r="GI322">
        <v>52.646090992852365</v>
      </c>
      <c r="GJ322"/>
      <c r="GK322"/>
      <c r="GL322"/>
      <c r="GM322"/>
    </row>
    <row r="323" spans="1:195" s="7" customFormat="1">
      <c r="A323" s="1"/>
      <c r="B323">
        <v>0.11814793688350056</v>
      </c>
      <c r="C323">
        <v>10</v>
      </c>
      <c r="D323">
        <v>39987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0</v>
      </c>
      <c r="AB323">
        <v>0</v>
      </c>
      <c r="AC323">
        <v>0</v>
      </c>
      <c r="AD323">
        <v>0</v>
      </c>
      <c r="AE323">
        <v>0</v>
      </c>
      <c r="AF323">
        <v>0</v>
      </c>
      <c r="AG323">
        <v>0</v>
      </c>
      <c r="AH323">
        <v>0</v>
      </c>
      <c r="AI323">
        <v>0</v>
      </c>
      <c r="AJ323" s="80"/>
      <c r="AK323" s="81"/>
      <c r="AL323" s="81"/>
      <c r="AM323" s="43">
        <v>307</v>
      </c>
      <c r="AN323">
        <v>263.38726159291025</v>
      </c>
      <c r="AO323">
        <v>93.139726943446192</v>
      </c>
      <c r="AP323">
        <v>702.77744483668437</v>
      </c>
      <c r="AQ323">
        <v>496.73458538107974</v>
      </c>
      <c r="AR323">
        <v>83.010804150594296</v>
      </c>
      <c r="AS323">
        <v>702.13229267273687</v>
      </c>
      <c r="AT323">
        <v>44.391273265159008</v>
      </c>
      <c r="AU323">
        <v>80.118380963758739</v>
      </c>
      <c r="AV323"/>
      <c r="AW323"/>
      <c r="FY323" s="211">
        <v>318</v>
      </c>
      <c r="FZ323">
        <v>9.0280386543854476</v>
      </c>
      <c r="GA323">
        <v>40.448499007808309</v>
      </c>
      <c r="GB323">
        <v>46.175878889579117</v>
      </c>
      <c r="GC323">
        <v>31.596264335023051</v>
      </c>
      <c r="GD323">
        <v>17.379031964908599</v>
      </c>
      <c r="GE323">
        <v>33.412052886360264</v>
      </c>
      <c r="GF323">
        <v>92.624217738715828</v>
      </c>
      <c r="GG323">
        <v>75.440824771493638</v>
      </c>
      <c r="GH323">
        <v>30.450009045409619</v>
      </c>
      <c r="GI323">
        <v>47.874833399886313</v>
      </c>
      <c r="GJ323"/>
      <c r="GK323"/>
      <c r="GL323"/>
      <c r="GM323"/>
    </row>
    <row r="324" spans="1:195" s="7" customFormat="1">
      <c r="A324" s="1"/>
      <c r="B324">
        <v>0.77399549405545232</v>
      </c>
      <c r="C324">
        <v>6</v>
      </c>
      <c r="D324">
        <v>39987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0</v>
      </c>
      <c r="AB324">
        <v>0</v>
      </c>
      <c r="AC324">
        <v>0</v>
      </c>
      <c r="AD324">
        <v>0</v>
      </c>
      <c r="AE324">
        <v>0</v>
      </c>
      <c r="AF324">
        <v>0</v>
      </c>
      <c r="AG324">
        <v>0</v>
      </c>
      <c r="AH324">
        <v>0</v>
      </c>
      <c r="AI324">
        <v>0</v>
      </c>
      <c r="AJ324" s="80"/>
      <c r="AK324" s="81"/>
      <c r="AL324" s="81"/>
      <c r="AM324" s="43">
        <v>308</v>
      </c>
      <c r="AN324">
        <v>284.87551952438508</v>
      </c>
      <c r="AO324">
        <v>98.676574506578703</v>
      </c>
      <c r="AP324">
        <v>677.12205179330556</v>
      </c>
      <c r="AQ324">
        <v>509.80649474209321</v>
      </c>
      <c r="AR324">
        <v>89.339002631370263</v>
      </c>
      <c r="AS324">
        <v>750.22280215995056</v>
      </c>
      <c r="AT324">
        <v>45.621276447865263</v>
      </c>
      <c r="AU324">
        <v>54.599554491004604</v>
      </c>
      <c r="AV324"/>
      <c r="AW324"/>
      <c r="FY324" s="211">
        <v>319</v>
      </c>
      <c r="FZ324">
        <v>3.4545329510103477</v>
      </c>
      <c r="GA324">
        <v>29.712820135850752</v>
      </c>
      <c r="GB324">
        <v>58.653319101484215</v>
      </c>
      <c r="GC324">
        <v>34.778805746955591</v>
      </c>
      <c r="GD324">
        <v>20.142902184290552</v>
      </c>
      <c r="GE324">
        <v>57.467568792757319</v>
      </c>
      <c r="GF324">
        <v>102.79194458386802</v>
      </c>
      <c r="GG324">
        <v>64.928871351246329</v>
      </c>
      <c r="GH324">
        <v>27.102626979152106</v>
      </c>
      <c r="GI324">
        <v>54.191848139800285</v>
      </c>
      <c r="GJ324"/>
      <c r="GK324"/>
      <c r="GL324"/>
      <c r="GM324"/>
    </row>
    <row r="325" spans="1:195" s="7" customFormat="1">
      <c r="A325" s="1"/>
      <c r="B325">
        <v>0.97826546566879546</v>
      </c>
      <c r="C325">
        <v>5</v>
      </c>
      <c r="D325">
        <v>39987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A325">
        <v>0</v>
      </c>
      <c r="AB325">
        <v>0</v>
      </c>
      <c r="AC325">
        <v>0</v>
      </c>
      <c r="AD325">
        <v>0</v>
      </c>
      <c r="AE325">
        <v>0</v>
      </c>
      <c r="AF325">
        <v>0</v>
      </c>
      <c r="AG325">
        <v>0</v>
      </c>
      <c r="AH325">
        <v>0</v>
      </c>
      <c r="AI325">
        <v>0</v>
      </c>
      <c r="AJ325" s="80"/>
      <c r="AK325" s="81"/>
      <c r="AL325" s="81"/>
      <c r="AM325" s="43">
        <v>309</v>
      </c>
      <c r="AN325">
        <v>272.56328210741509</v>
      </c>
      <c r="AO325">
        <v>90.092685143442736</v>
      </c>
      <c r="AP325">
        <v>664.84057770424545</v>
      </c>
      <c r="AQ325">
        <v>480.24402775639419</v>
      </c>
      <c r="AR325">
        <v>79.547611026274879</v>
      </c>
      <c r="AS325">
        <v>662.50698970574149</v>
      </c>
      <c r="AT325" t="e">
        <v>#DIV/0!</v>
      </c>
      <c r="AU325" t="e">
        <v>#DIV/0!</v>
      </c>
      <c r="AV325"/>
      <c r="AW325"/>
      <c r="FY325" s="211">
        <v>320</v>
      </c>
      <c r="FZ325">
        <v>8.5449863228739016</v>
      </c>
      <c r="GA325">
        <v>30.582140535487369</v>
      </c>
      <c r="GB325">
        <v>62.880095899153716</v>
      </c>
      <c r="GC325">
        <v>35.089941231309894</v>
      </c>
      <c r="GD325">
        <v>25.181442727595723</v>
      </c>
      <c r="GE325">
        <v>52.750542704562662</v>
      </c>
      <c r="GF325">
        <v>60.270031287126663</v>
      </c>
      <c r="GG325">
        <v>58.895496539312447</v>
      </c>
      <c r="GH325">
        <v>31.711416003273719</v>
      </c>
      <c r="GI325">
        <v>50.495451197074999</v>
      </c>
      <c r="GJ325"/>
      <c r="GK325"/>
      <c r="GL325"/>
      <c r="GM325"/>
    </row>
    <row r="326" spans="1:195" s="7" customFormat="1">
      <c r="A326" s="1"/>
      <c r="B326">
        <v>0.71979250707136444</v>
      </c>
      <c r="C326">
        <v>8</v>
      </c>
      <c r="D326">
        <v>39987</v>
      </c>
      <c r="E326">
        <v>0</v>
      </c>
      <c r="F326">
        <v>0</v>
      </c>
      <c r="G326">
        <v>56.089743589743591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0</v>
      </c>
      <c r="AD326">
        <v>0</v>
      </c>
      <c r="AE326">
        <v>0</v>
      </c>
      <c r="AF326">
        <v>0</v>
      </c>
      <c r="AG326">
        <v>0</v>
      </c>
      <c r="AH326">
        <v>0</v>
      </c>
      <c r="AI326">
        <v>0</v>
      </c>
      <c r="AJ326" s="80"/>
      <c r="AK326" s="81"/>
      <c r="AL326" s="81"/>
      <c r="AM326" s="43">
        <v>310</v>
      </c>
      <c r="AN326">
        <v>238.1719253558519</v>
      </c>
      <c r="AO326">
        <v>85.274405559236811</v>
      </c>
      <c r="AP326">
        <v>644.20063859966763</v>
      </c>
      <c r="AQ326">
        <v>472.54068586848769</v>
      </c>
      <c r="AR326">
        <v>76.647201063365088</v>
      </c>
      <c r="AS326">
        <v>616.56573499633737</v>
      </c>
      <c r="AT326" t="e">
        <v>#DIV/0!</v>
      </c>
      <c r="AU326" t="e">
        <v>#DIV/0!</v>
      </c>
      <c r="AV326"/>
      <c r="AW326"/>
      <c r="FY326" s="211">
        <v>321</v>
      </c>
      <c r="FZ326">
        <v>5.6132660123448197</v>
      </c>
      <c r="GA326">
        <v>37.10957928951877</v>
      </c>
      <c r="GB326">
        <v>56.345497588607742</v>
      </c>
      <c r="GC326">
        <v>31.707025502293892</v>
      </c>
      <c r="GD326">
        <v>13.027884453660839</v>
      </c>
      <c r="GE326">
        <v>24.7373187841186</v>
      </c>
      <c r="GF326">
        <v>68.864210134100375</v>
      </c>
      <c r="GG326">
        <v>45.844710985847549</v>
      </c>
      <c r="GH326">
        <v>3.9036679698384131</v>
      </c>
      <c r="GI326">
        <v>37.552616332931116</v>
      </c>
      <c r="GJ326"/>
      <c r="GK326"/>
      <c r="GL326"/>
      <c r="GM326"/>
    </row>
    <row r="327" spans="1:195" s="7" customFormat="1">
      <c r="A327" s="1"/>
      <c r="B327">
        <v>0.26293463093593505</v>
      </c>
      <c r="C327">
        <v>8</v>
      </c>
      <c r="D327">
        <v>39987</v>
      </c>
      <c r="E327">
        <v>0</v>
      </c>
      <c r="F327">
        <v>0</v>
      </c>
      <c r="G327">
        <v>56.089743589743591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  <c r="AC327">
        <v>0</v>
      </c>
      <c r="AD327">
        <v>0</v>
      </c>
      <c r="AE327">
        <v>0</v>
      </c>
      <c r="AF327">
        <v>0</v>
      </c>
      <c r="AG327">
        <v>0</v>
      </c>
      <c r="AH327">
        <v>0</v>
      </c>
      <c r="AI327">
        <v>0</v>
      </c>
      <c r="AJ327" s="80"/>
      <c r="AK327" s="81"/>
      <c r="AL327" s="81"/>
      <c r="AM327" s="43">
        <v>311</v>
      </c>
      <c r="AN327">
        <v>242.41368815119372</v>
      </c>
      <c r="AO327">
        <v>96.060399803812032</v>
      </c>
      <c r="AP327">
        <v>732.55520397738758</v>
      </c>
      <c r="AQ327">
        <v>507.53215853655041</v>
      </c>
      <c r="AR327">
        <v>87.556499473573069</v>
      </c>
      <c r="AS327">
        <v>699.31808178571964</v>
      </c>
      <c r="AT327">
        <v>48.473948037685538</v>
      </c>
      <c r="AU327">
        <v>89.978760317603204</v>
      </c>
      <c r="AV327"/>
      <c r="AW327"/>
      <c r="FY327" s="211">
        <v>322</v>
      </c>
      <c r="FZ327">
        <v>18.098348180192485</v>
      </c>
      <c r="GA327">
        <v>46.079726122355751</v>
      </c>
      <c r="GB327">
        <v>132.04042008694131</v>
      </c>
      <c r="GC327">
        <v>76.184508378966186</v>
      </c>
      <c r="GD327">
        <v>14.796052798501695</v>
      </c>
      <c r="GE327">
        <v>26.058910944984714</v>
      </c>
      <c r="GF327">
        <v>60.542002875590029</v>
      </c>
      <c r="GG327">
        <v>51.82519496860241</v>
      </c>
      <c r="GH327">
        <v>26.907808970968386</v>
      </c>
      <c r="GI327">
        <v>62.353283189107799</v>
      </c>
      <c r="GJ327"/>
      <c r="GK327"/>
      <c r="GL327"/>
      <c r="GM327"/>
    </row>
    <row r="328" spans="1:195" s="7" customFormat="1">
      <c r="A328" s="1"/>
      <c r="B328" t="s">
        <v>104</v>
      </c>
      <c r="C328" t="s">
        <v>104</v>
      </c>
      <c r="D328" t="s">
        <v>104</v>
      </c>
      <c r="E328" t="s">
        <v>104</v>
      </c>
      <c r="F328" t="s">
        <v>104</v>
      </c>
      <c r="G328" t="s">
        <v>104</v>
      </c>
      <c r="H328" t="s">
        <v>104</v>
      </c>
      <c r="I328" t="s">
        <v>104</v>
      </c>
      <c r="J328" t="s">
        <v>104</v>
      </c>
      <c r="K328" t="s">
        <v>104</v>
      </c>
      <c r="L328" t="s">
        <v>104</v>
      </c>
      <c r="M328" t="s">
        <v>104</v>
      </c>
      <c r="N328" t="s">
        <v>104</v>
      </c>
      <c r="O328" t="s">
        <v>104</v>
      </c>
      <c r="P328" t="s">
        <v>104</v>
      </c>
      <c r="Q328" t="s">
        <v>104</v>
      </c>
      <c r="R328" t="s">
        <v>104</v>
      </c>
      <c r="S328" t="s">
        <v>104</v>
      </c>
      <c r="T328" t="s">
        <v>104</v>
      </c>
      <c r="U328" t="s">
        <v>104</v>
      </c>
      <c r="V328" t="s">
        <v>104</v>
      </c>
      <c r="W328" t="s">
        <v>104</v>
      </c>
      <c r="X328" t="s">
        <v>104</v>
      </c>
      <c r="Y328" t="s">
        <v>104</v>
      </c>
      <c r="Z328" t="s">
        <v>104</v>
      </c>
      <c r="AA328" t="s">
        <v>104</v>
      </c>
      <c r="AB328" t="s">
        <v>104</v>
      </c>
      <c r="AC328" t="s">
        <v>104</v>
      </c>
      <c r="AD328" t="s">
        <v>104</v>
      </c>
      <c r="AE328" t="s">
        <v>104</v>
      </c>
      <c r="AF328" t="s">
        <v>104</v>
      </c>
      <c r="AG328" t="s">
        <v>104</v>
      </c>
      <c r="AH328" t="s">
        <v>104</v>
      </c>
      <c r="AI328" t="s">
        <v>104</v>
      </c>
      <c r="AJ328" s="80"/>
      <c r="AK328" s="81"/>
      <c r="AL328" s="81"/>
      <c r="AM328" s="43">
        <v>312</v>
      </c>
      <c r="AN328">
        <v>192.99520518780872</v>
      </c>
      <c r="AO328">
        <v>57.96633312615991</v>
      </c>
      <c r="AP328">
        <v>381.69530402807493</v>
      </c>
      <c r="AQ328">
        <v>298.29251879318292</v>
      </c>
      <c r="AR328">
        <v>51.56487949026252</v>
      </c>
      <c r="AS328">
        <v>447.25606669204336</v>
      </c>
      <c r="AT328">
        <v>28.880981332482872</v>
      </c>
      <c r="AU328">
        <v>92.117951656283878</v>
      </c>
      <c r="AV328"/>
      <c r="AW328"/>
      <c r="FY328" s="211">
        <v>323</v>
      </c>
      <c r="FZ328">
        <v>26.628294935943323</v>
      </c>
      <c r="GA328">
        <v>62.533110639804079</v>
      </c>
      <c r="GB328">
        <v>60.418146606945051</v>
      </c>
      <c r="GC328">
        <v>40.25193506939646</v>
      </c>
      <c r="GD328">
        <v>29.104189591531522</v>
      </c>
      <c r="GE328">
        <v>59.805676529496495</v>
      </c>
      <c r="GF328">
        <v>109.63676919008022</v>
      </c>
      <c r="GG328">
        <v>83.30325506214794</v>
      </c>
      <c r="GH328">
        <v>31.558485734692777</v>
      </c>
      <c r="GI328">
        <v>65.016911467222471</v>
      </c>
      <c r="GJ328"/>
      <c r="GK328"/>
      <c r="GL328"/>
      <c r="GM328"/>
    </row>
    <row r="329" spans="1:195" s="7" customFormat="1">
      <c r="A329" s="1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 s="80"/>
      <c r="AK329" s="81"/>
      <c r="AL329" s="81"/>
      <c r="AM329" s="43">
        <v>313</v>
      </c>
      <c r="AN329">
        <v>208.16847389471909</v>
      </c>
      <c r="AO329">
        <v>66.729963624540162</v>
      </c>
      <c r="AP329">
        <v>458.35894464609379</v>
      </c>
      <c r="AQ329">
        <v>353.98959261091659</v>
      </c>
      <c r="AR329">
        <v>60.895424844417633</v>
      </c>
      <c r="AS329">
        <v>490.01050975736575</v>
      </c>
      <c r="AT329">
        <v>33.297969452400167</v>
      </c>
      <c r="AU329">
        <v>15.225773058504176</v>
      </c>
      <c r="AV329"/>
      <c r="AW329"/>
      <c r="FY329" s="211">
        <v>324</v>
      </c>
      <c r="FZ329">
        <v>20.57877941171866</v>
      </c>
      <c r="GA329">
        <v>43.61245322520773</v>
      </c>
      <c r="GB329">
        <v>111.31075005444821</v>
      </c>
      <c r="GC329">
        <v>64.119467850395282</v>
      </c>
      <c r="GD329">
        <v>15.614738192122209</v>
      </c>
      <c r="GE329">
        <v>32.588158231208226</v>
      </c>
      <c r="GF329">
        <v>81.15728271307519</v>
      </c>
      <c r="GG329">
        <v>66.29117813983359</v>
      </c>
      <c r="GH329">
        <v>22.180931062017422</v>
      </c>
      <c r="GI329">
        <v>60.927987009958763</v>
      </c>
      <c r="GJ329"/>
      <c r="GK329"/>
      <c r="GL329"/>
      <c r="GM329"/>
    </row>
    <row r="330" spans="1:195" s="7" customFormat="1">
      <c r="A330" s="1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 s="80"/>
      <c r="AK330" s="81"/>
      <c r="AL330" s="81"/>
      <c r="AM330" s="43">
        <v>314</v>
      </c>
      <c r="AN330">
        <v>252.10571976045935</v>
      </c>
      <c r="AO330">
        <v>88.008642275789128</v>
      </c>
      <c r="AP330">
        <v>609.42073288188499</v>
      </c>
      <c r="AQ330">
        <v>449.637664361372</v>
      </c>
      <c r="AR330">
        <v>80.781125407354168</v>
      </c>
      <c r="AS330">
        <v>682.59106795664923</v>
      </c>
      <c r="AT330">
        <v>45.949648585125168</v>
      </c>
      <c r="AU330">
        <v>58.036511693642922</v>
      </c>
      <c r="AV330"/>
      <c r="AW330"/>
      <c r="FY330" s="211">
        <v>325</v>
      </c>
      <c r="FZ330">
        <v>18.780645194114484</v>
      </c>
      <c r="GA330">
        <v>43.623506854889285</v>
      </c>
      <c r="GB330">
        <v>84.009640292401883</v>
      </c>
      <c r="GC330">
        <v>49.49511107308318</v>
      </c>
      <c r="GD330">
        <v>21.546519950352128</v>
      </c>
      <c r="GE330">
        <v>80.809130793084123</v>
      </c>
      <c r="GF330">
        <v>122.07708388705016</v>
      </c>
      <c r="GG330">
        <v>52.469648745769078</v>
      </c>
      <c r="GH330">
        <v>29.482666003664072</v>
      </c>
      <c r="GI330">
        <v>66.845412397454339</v>
      </c>
      <c r="GJ330"/>
      <c r="GK330"/>
      <c r="GL330"/>
      <c r="GM330"/>
    </row>
    <row r="331" spans="1:195" s="7" customFormat="1">
      <c r="A331" s="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 s="80"/>
      <c r="AK331" s="81"/>
      <c r="AL331" s="81"/>
      <c r="AM331" s="43">
        <v>315</v>
      </c>
      <c r="AN331">
        <v>262.02740069299165</v>
      </c>
      <c r="AO331">
        <v>72.736252678771507</v>
      </c>
      <c r="AP331">
        <v>511.19323121437287</v>
      </c>
      <c r="AQ331">
        <v>393.95278600298474</v>
      </c>
      <c r="AR331">
        <v>65.922719835795533</v>
      </c>
      <c r="AS331">
        <v>604.73503842716627</v>
      </c>
      <c r="AT331">
        <v>34.938105377746332</v>
      </c>
      <c r="AU331">
        <v>57.069990886252917</v>
      </c>
      <c r="AV331"/>
      <c r="AW331"/>
      <c r="FY331" s="211">
        <v>326</v>
      </c>
      <c r="FZ331">
        <v>9.2451343351380526</v>
      </c>
      <c r="GA331">
        <v>42.137707232348504</v>
      </c>
      <c r="GB331">
        <v>60.499523106332838</v>
      </c>
      <c r="GC331">
        <v>41.06752885746868</v>
      </c>
      <c r="GD331">
        <v>23.25949170299101</v>
      </c>
      <c r="GE331">
        <v>69.419408882368145</v>
      </c>
      <c r="GF331">
        <v>114.88678374618165</v>
      </c>
      <c r="GG331">
        <v>36.487726812226775</v>
      </c>
      <c r="GH331">
        <v>4.289413790360129</v>
      </c>
      <c r="GI331">
        <v>55.088253735527417</v>
      </c>
      <c r="GJ331"/>
      <c r="GK331"/>
      <c r="GL331"/>
      <c r="GM331"/>
    </row>
    <row r="332" spans="1:195" s="7" customFormat="1">
      <c r="A332" s="1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 s="80"/>
      <c r="AK332" s="81"/>
      <c r="AL332" s="81"/>
      <c r="AM332" s="43">
        <v>316</v>
      </c>
      <c r="AN332">
        <v>276.0514425508178</v>
      </c>
      <c r="AO332">
        <v>87.371305425112098</v>
      </c>
      <c r="AP332">
        <v>640.94040972644723</v>
      </c>
      <c r="AQ332">
        <v>473.05051123262086</v>
      </c>
      <c r="AR332">
        <v>78.998076827740903</v>
      </c>
      <c r="AS332">
        <v>648.52254345454014</v>
      </c>
      <c r="AT332">
        <v>39.38566930717716</v>
      </c>
      <c r="AU332">
        <v>23.059964390685916</v>
      </c>
      <c r="AV332"/>
      <c r="AW332"/>
      <c r="FY332" s="211">
        <v>327</v>
      </c>
      <c r="FZ332">
        <v>13.603530525496685</v>
      </c>
      <c r="GA332">
        <v>60.758155194789872</v>
      </c>
      <c r="GB332">
        <v>64.099337307570778</v>
      </c>
      <c r="GC332">
        <v>32.914777529583873</v>
      </c>
      <c r="GD332">
        <v>19.614442620223933</v>
      </c>
      <c r="GE332">
        <v>48.612600850999321</v>
      </c>
      <c r="GF332">
        <v>86.88789570315933</v>
      </c>
      <c r="GG332">
        <v>48.792550664086775</v>
      </c>
      <c r="GH332">
        <v>11.295822252184797</v>
      </c>
      <c r="GI332">
        <v>50.868974500607358</v>
      </c>
      <c r="GJ332"/>
      <c r="GK332"/>
      <c r="GL332"/>
      <c r="GM332"/>
    </row>
    <row r="333" spans="1:195" s="7" customFormat="1">
      <c r="A333" s="1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 s="80"/>
      <c r="AK333" s="81"/>
      <c r="AL333" s="81"/>
      <c r="AM333" s="43">
        <v>317</v>
      </c>
      <c r="AN333">
        <v>259.13136804770278</v>
      </c>
      <c r="AO333">
        <v>82.194060103737627</v>
      </c>
      <c r="AP333">
        <v>599.47294175540992</v>
      </c>
      <c r="AQ333">
        <v>455.62894842927005</v>
      </c>
      <c r="AR333">
        <v>74.095469919817177</v>
      </c>
      <c r="AS333">
        <v>618.89110650663861</v>
      </c>
      <c r="AT333">
        <v>37.777655127954198</v>
      </c>
      <c r="AU333">
        <v>62.281962594334637</v>
      </c>
      <c r="AV333"/>
      <c r="AW333"/>
      <c r="FY333" s="211">
        <v>328</v>
      </c>
      <c r="FZ333">
        <v>9.9449657895789709</v>
      </c>
      <c r="GA333">
        <v>43.986010915760957</v>
      </c>
      <c r="GB333">
        <v>91.643770053890449</v>
      </c>
      <c r="GC333">
        <v>49.421640393026848</v>
      </c>
      <c r="GD333">
        <v>18.095638189222679</v>
      </c>
      <c r="GE333">
        <v>43.627190561652014</v>
      </c>
      <c r="GF333">
        <v>53.135311982441884</v>
      </c>
      <c r="GG333">
        <v>22.601094320943169</v>
      </c>
      <c r="GH333">
        <v>8.5781269357881307</v>
      </c>
      <c r="GI333">
        <v>48.435226032330597</v>
      </c>
      <c r="GJ333"/>
      <c r="GK333"/>
      <c r="GL333"/>
      <c r="GM333"/>
    </row>
    <row r="334" spans="1:195" s="7" customFormat="1">
      <c r="A334" s="1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 s="80"/>
      <c r="AK334" s="81"/>
      <c r="AL334" s="81"/>
      <c r="AM334" s="43">
        <v>318</v>
      </c>
      <c r="AN334">
        <v>220.87032772639873</v>
      </c>
      <c r="AO334">
        <v>76.371277234465779</v>
      </c>
      <c r="AP334">
        <v>585.97773163116642</v>
      </c>
      <c r="AQ334">
        <v>424.42965069357018</v>
      </c>
      <c r="AR334">
        <v>68.88030898872212</v>
      </c>
      <c r="AS334">
        <v>572.40963163506274</v>
      </c>
      <c r="AT334">
        <v>41.074612765516832</v>
      </c>
      <c r="AU334">
        <v>153.61899707678683</v>
      </c>
      <c r="AV334"/>
      <c r="AW334"/>
      <c r="FY334" s="211">
        <v>329</v>
      </c>
      <c r="FZ334">
        <v>29.236443705784303</v>
      </c>
      <c r="GA334">
        <v>58.443326982844852</v>
      </c>
      <c r="GB334">
        <v>84.020474625810152</v>
      </c>
      <c r="GC334">
        <v>46.180714224325371</v>
      </c>
      <c r="GD334">
        <v>10.65610405720949</v>
      </c>
      <c r="GE334">
        <v>34.657030135783614</v>
      </c>
      <c r="GF334">
        <v>90.305828340740661</v>
      </c>
      <c r="GG334">
        <v>73.584929002034357</v>
      </c>
      <c r="GH334">
        <v>40.860978662197638</v>
      </c>
      <c r="GI334">
        <v>57.918185504585558</v>
      </c>
      <c r="GJ334"/>
      <c r="GK334"/>
      <c r="GL334"/>
      <c r="GM334"/>
    </row>
    <row r="335" spans="1:195" s="7" customFormat="1">
      <c r="A335" s="1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 s="80"/>
      <c r="AK335" s="81"/>
      <c r="AL335" s="81"/>
      <c r="AM335" s="43">
        <v>319</v>
      </c>
      <c r="AN335">
        <v>261.76495140161086</v>
      </c>
      <c r="AO335">
        <v>87.242911574247586</v>
      </c>
      <c r="AP335">
        <v>631.23606824892886</v>
      </c>
      <c r="AQ335">
        <v>453.22523996641553</v>
      </c>
      <c r="AR335">
        <v>77.580935806577131</v>
      </c>
      <c r="AS335">
        <v>620.02299468328192</v>
      </c>
      <c r="AT335">
        <v>40.952247001412282</v>
      </c>
      <c r="AU335">
        <v>81.664938801766979</v>
      </c>
      <c r="AV335"/>
      <c r="AW335"/>
      <c r="FY335" s="211">
        <v>330</v>
      </c>
      <c r="FZ335">
        <v>6.2343230715760125</v>
      </c>
      <c r="GA335">
        <v>37.655986440248903</v>
      </c>
      <c r="GB335">
        <v>92.28993069573626</v>
      </c>
      <c r="GC335">
        <v>55.990778299303351</v>
      </c>
      <c r="GD335">
        <v>22.648370681974832</v>
      </c>
      <c r="GE335">
        <v>34.233215568528458</v>
      </c>
      <c r="GF335">
        <v>42.821363930170257</v>
      </c>
      <c r="GG335">
        <v>26.370849888111998</v>
      </c>
      <c r="GH335">
        <v>6.4382417824484666</v>
      </c>
      <c r="GI335">
        <v>48.280644837970371</v>
      </c>
      <c r="GJ335"/>
      <c r="GK335"/>
      <c r="GL335"/>
      <c r="GM335"/>
    </row>
    <row r="336" spans="1:195" s="7" customFormat="1">
      <c r="A336" s="1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 s="80"/>
      <c r="AK336" s="81"/>
      <c r="AL336" s="81"/>
      <c r="AM336" s="43">
        <v>320</v>
      </c>
      <c r="AN336">
        <v>218.06024310030813</v>
      </c>
      <c r="AO336">
        <v>79.63371510029306</v>
      </c>
      <c r="AP336">
        <v>533.57394618888975</v>
      </c>
      <c r="AQ336">
        <v>416.40154444777107</v>
      </c>
      <c r="AR336">
        <v>72.821227656473596</v>
      </c>
      <c r="AS336">
        <v>564.17205777906634</v>
      </c>
      <c r="AT336" t="e">
        <v>#DIV/0!</v>
      </c>
      <c r="AU336" t="e">
        <v>#DIV/0!</v>
      </c>
      <c r="AV336"/>
      <c r="AW336"/>
      <c r="FY336" s="211">
        <v>331</v>
      </c>
      <c r="FZ336">
        <v>15.610678740288508</v>
      </c>
      <c r="GA336">
        <v>47.754209888457012</v>
      </c>
      <c r="GB336">
        <v>65.746352397611957</v>
      </c>
      <c r="GC336">
        <v>38.665579821725409</v>
      </c>
      <c r="GD336">
        <v>19.870463046145129</v>
      </c>
      <c r="GE336">
        <v>38.980362914189136</v>
      </c>
      <c r="GF336">
        <v>91.329026109735338</v>
      </c>
      <c r="GG336">
        <v>66.748205202631027</v>
      </c>
      <c r="GH336">
        <v>11.525547839992203</v>
      </c>
      <c r="GI336">
        <v>51.940399703059889</v>
      </c>
      <c r="GJ336"/>
      <c r="GK336"/>
      <c r="GL336"/>
      <c r="GM336"/>
    </row>
    <row r="337" spans="1:195" s="7" customFormat="1">
      <c r="A337" s="1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 s="80"/>
      <c r="AK337" s="81"/>
      <c r="AL337" s="81"/>
      <c r="AM337" s="43">
        <v>321</v>
      </c>
      <c r="AN337">
        <v>204.61983330365157</v>
      </c>
      <c r="AO337">
        <v>58.794275535351503</v>
      </c>
      <c r="AP337">
        <v>440.89377319154829</v>
      </c>
      <c r="AQ337">
        <v>324.70577705326212</v>
      </c>
      <c r="AR337">
        <v>53.425410234213651</v>
      </c>
      <c r="AS337">
        <v>465.78165583018341</v>
      </c>
      <c r="AT337">
        <v>28.340130932367373</v>
      </c>
      <c r="AU337">
        <v>33.780807630057161</v>
      </c>
      <c r="AV337"/>
      <c r="AW337"/>
      <c r="FY337" s="211">
        <v>332</v>
      </c>
      <c r="FZ337">
        <v>7.8052634730842971</v>
      </c>
      <c r="GA337">
        <v>51.799812219328246</v>
      </c>
      <c r="GB337">
        <v>91.714019741642858</v>
      </c>
      <c r="GC337">
        <v>49.960810903961985</v>
      </c>
      <c r="GD337">
        <v>24.500607900028097</v>
      </c>
      <c r="GE337">
        <v>49.012229623388677</v>
      </c>
      <c r="GF337">
        <v>82.156177218883215</v>
      </c>
      <c r="GG337">
        <v>84.121101373442428</v>
      </c>
      <c r="GH337">
        <v>50.582541094130995</v>
      </c>
      <c r="GI337">
        <v>64.321382446687423</v>
      </c>
      <c r="GJ337"/>
      <c r="GK337"/>
      <c r="GL337"/>
      <c r="GM337"/>
    </row>
    <row r="338" spans="1:195" s="7" customFormat="1">
      <c r="A338" s="1"/>
      <c r="B338" t="s">
        <v>104</v>
      </c>
      <c r="C338" t="s">
        <v>104</v>
      </c>
      <c r="D338" t="s">
        <v>104</v>
      </c>
      <c r="E338" t="s">
        <v>104</v>
      </c>
      <c r="F338" t="s">
        <v>104</v>
      </c>
      <c r="G338" t="s">
        <v>104</v>
      </c>
      <c r="H338" t="s">
        <v>104</v>
      </c>
      <c r="I338" t="s">
        <v>104</v>
      </c>
      <c r="J338" t="s">
        <v>104</v>
      </c>
      <c r="K338" t="s">
        <v>104</v>
      </c>
      <c r="L338" t="s">
        <v>104</v>
      </c>
      <c r="M338" t="s">
        <v>104</v>
      </c>
      <c r="N338" t="s">
        <v>104</v>
      </c>
      <c r="O338" t="s">
        <v>104</v>
      </c>
      <c r="P338" t="s">
        <v>104</v>
      </c>
      <c r="Q338" t="s">
        <v>104</v>
      </c>
      <c r="R338" t="s">
        <v>104</v>
      </c>
      <c r="S338" t="s">
        <v>104</v>
      </c>
      <c r="T338" t="s">
        <v>104</v>
      </c>
      <c r="U338" t="s">
        <v>104</v>
      </c>
      <c r="V338" t="s">
        <v>104</v>
      </c>
      <c r="W338" t="s">
        <v>104</v>
      </c>
      <c r="X338" t="s">
        <v>104</v>
      </c>
      <c r="Y338" t="s">
        <v>104</v>
      </c>
      <c r="Z338" t="s">
        <v>104</v>
      </c>
      <c r="AA338" t="s">
        <v>104</v>
      </c>
      <c r="AB338" t="s">
        <v>104</v>
      </c>
      <c r="AC338" t="s">
        <v>104</v>
      </c>
      <c r="AD338" t="s">
        <v>104</v>
      </c>
      <c r="AE338" t="s">
        <v>104</v>
      </c>
      <c r="AF338" t="s">
        <v>104</v>
      </c>
      <c r="AG338" t="s">
        <v>104</v>
      </c>
      <c r="AH338" t="s">
        <v>104</v>
      </c>
      <c r="AI338" t="s">
        <v>104</v>
      </c>
      <c r="AJ338" s="80"/>
      <c r="AK338" s="81"/>
      <c r="AL338" s="81"/>
      <c r="AM338" s="43">
        <v>322</v>
      </c>
      <c r="AN338">
        <v>228.86367020827601</v>
      </c>
      <c r="AO338">
        <v>98.834508857123581</v>
      </c>
      <c r="AP338">
        <v>724.29740053724663</v>
      </c>
      <c r="AQ338">
        <v>514.88625651621078</v>
      </c>
      <c r="AR338">
        <v>90.171602333897283</v>
      </c>
      <c r="AS338">
        <v>672.98103451091242</v>
      </c>
      <c r="AT338">
        <v>51.55895214854386</v>
      </c>
      <c r="AU338">
        <v>95.202804872993866</v>
      </c>
      <c r="AV338"/>
      <c r="AW338"/>
      <c r="FY338" s="211">
        <v>333</v>
      </c>
      <c r="FZ338">
        <v>8.7360887983576259</v>
      </c>
      <c r="GA338">
        <v>41.471730558846552</v>
      </c>
      <c r="GB338">
        <v>41.39087937927011</v>
      </c>
      <c r="GC338">
        <v>25.339921631011602</v>
      </c>
      <c r="GD338">
        <v>14.707077853160026</v>
      </c>
      <c r="GE338">
        <v>47.571366336304024</v>
      </c>
      <c r="GF338">
        <v>89.165273983417308</v>
      </c>
      <c r="GG338">
        <v>40.96849335723887</v>
      </c>
      <c r="GH338">
        <v>18.799431303941585</v>
      </c>
      <c r="GI338">
        <v>41.623361353893479</v>
      </c>
      <c r="GJ338"/>
      <c r="GK338"/>
      <c r="GL338"/>
      <c r="GM338"/>
    </row>
    <row r="339" spans="1:195" s="7" customFormat="1">
      <c r="A339" s="1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 s="80"/>
      <c r="AK339" s="81"/>
      <c r="AL339" s="81"/>
      <c r="AM339" s="43">
        <v>323</v>
      </c>
      <c r="AN339">
        <v>289.08187268203193</v>
      </c>
      <c r="AO339">
        <v>103.6913913045411</v>
      </c>
      <c r="AP339">
        <v>752.39377317315791</v>
      </c>
      <c r="AQ339">
        <v>568.25677482726041</v>
      </c>
      <c r="AR339">
        <v>93.693274423711671</v>
      </c>
      <c r="AS339">
        <v>780.98325011386532</v>
      </c>
      <c r="AT339">
        <v>51.728730215138903</v>
      </c>
      <c r="AU339">
        <v>152.95758037272429</v>
      </c>
      <c r="AV339"/>
      <c r="AW339"/>
      <c r="FY339" s="211">
        <v>334</v>
      </c>
      <c r="FZ339">
        <v>13.686308800199647</v>
      </c>
      <c r="GA339">
        <v>48.547532424188148</v>
      </c>
      <c r="GB339">
        <v>52.442720285382052</v>
      </c>
      <c r="GC339">
        <v>33.377969173820986</v>
      </c>
      <c r="GD339">
        <v>18.581900352289992</v>
      </c>
      <c r="GE339">
        <v>35.856243096872518</v>
      </c>
      <c r="GF339">
        <v>56.724972542826507</v>
      </c>
      <c r="GG339">
        <v>30.786893912839886</v>
      </c>
      <c r="GH339">
        <v>13.109934238182738</v>
      </c>
      <c r="GI339">
        <v>40.220116491874748</v>
      </c>
      <c r="GJ339"/>
      <c r="GK339"/>
      <c r="GL339"/>
      <c r="GM339"/>
    </row>
    <row r="340" spans="1:195" s="7" customFormat="1">
      <c r="A340" s="1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 s="80"/>
      <c r="AK340" s="81"/>
      <c r="AL340" s="81"/>
      <c r="AM340" s="43">
        <v>324</v>
      </c>
      <c r="AN340">
        <v>217.42543258568617</v>
      </c>
      <c r="AO340">
        <v>96.074386923869611</v>
      </c>
      <c r="AP340">
        <v>714.62388786490374</v>
      </c>
      <c r="AQ340">
        <v>518.38172588998532</v>
      </c>
      <c r="AR340">
        <v>87.75436556615864</v>
      </c>
      <c r="AS340">
        <v>668.94904110764753</v>
      </c>
      <c r="AT340">
        <v>50.754979452057022</v>
      </c>
      <c r="AU340">
        <v>64.797516136273074</v>
      </c>
      <c r="AV340"/>
      <c r="AW340"/>
      <c r="FY340" s="211">
        <v>335</v>
      </c>
      <c r="FZ340">
        <v>31.246018329512498</v>
      </c>
      <c r="GA340">
        <v>62.237234169616848</v>
      </c>
      <c r="GB340">
        <v>50.330563525237487</v>
      </c>
      <c r="GC340">
        <v>28.759346512498194</v>
      </c>
      <c r="GD340">
        <v>13.698167746878685</v>
      </c>
      <c r="GE340">
        <v>29.100655347036483</v>
      </c>
      <c r="GF340">
        <v>70.093364117547168</v>
      </c>
      <c r="GG340">
        <v>72.512914272800487</v>
      </c>
      <c r="GH340">
        <v>42.901514937014824</v>
      </c>
      <c r="GI340">
        <v>46.930702457160365</v>
      </c>
      <c r="GJ340"/>
      <c r="GK340"/>
      <c r="GL340"/>
      <c r="GM340"/>
    </row>
    <row r="341" spans="1:195" s="7" customFormat="1">
      <c r="A341" s="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 s="80"/>
      <c r="AK341" s="81"/>
      <c r="AL341" s="81"/>
      <c r="AM341" s="43">
        <v>325</v>
      </c>
      <c r="AN341">
        <v>313.38499470963023</v>
      </c>
      <c r="AO341">
        <v>105.669942302895</v>
      </c>
      <c r="AP341">
        <v>753.6333510012347</v>
      </c>
      <c r="AQ341">
        <v>569.13936519186268</v>
      </c>
      <c r="AR341">
        <v>92.976541821214425</v>
      </c>
      <c r="AS341">
        <v>770.24713876891815</v>
      </c>
      <c r="AT341">
        <v>49.20681937701017</v>
      </c>
      <c r="AU341">
        <v>89.019820848210159</v>
      </c>
      <c r="AV341"/>
      <c r="AW341"/>
      <c r="FY341" s="211">
        <v>336</v>
      </c>
      <c r="FZ341">
        <v>10.121144171685531</v>
      </c>
      <c r="GA341">
        <v>39.349931848917414</v>
      </c>
      <c r="GB341">
        <v>95.452303706797196</v>
      </c>
      <c r="GC341">
        <v>53.15669663440454</v>
      </c>
      <c r="GD341">
        <v>11.817353909315447</v>
      </c>
      <c r="GE341">
        <v>23.500900224367271</v>
      </c>
      <c r="GF341">
        <v>47.726925052781482</v>
      </c>
      <c r="GG341">
        <v>42.135484733782981</v>
      </c>
      <c r="GH341">
        <v>29.18573500432494</v>
      </c>
      <c r="GI341">
        <v>47.737478030492746</v>
      </c>
      <c r="GJ341"/>
      <c r="GK341"/>
      <c r="GL341"/>
      <c r="GM341"/>
    </row>
    <row r="342" spans="1:195" s="7" customFormat="1">
      <c r="A342" s="1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 s="80"/>
      <c r="AK342" s="81"/>
      <c r="AL342" s="81"/>
      <c r="AM342" s="43">
        <v>326</v>
      </c>
      <c r="AN342">
        <v>308.23249823540436</v>
      </c>
      <c r="AO342">
        <v>86.904477375128096</v>
      </c>
      <c r="AP342">
        <v>595.55432153439119</v>
      </c>
      <c r="AQ342">
        <v>456.38097220094318</v>
      </c>
      <c r="AR342">
        <v>75.96693757219829</v>
      </c>
      <c r="AS342">
        <v>664.90849779620453</v>
      </c>
      <c r="AT342">
        <v>40.619477138023903</v>
      </c>
      <c r="AU342">
        <v>93.430495695630029</v>
      </c>
      <c r="AV342"/>
      <c r="AW342"/>
      <c r="FY342" s="211">
        <v>337</v>
      </c>
      <c r="FZ342">
        <v>6.5368222126657312</v>
      </c>
      <c r="GA342">
        <v>33.836227296849628</v>
      </c>
      <c r="GB342">
        <v>64.737730723915547</v>
      </c>
      <c r="GC342">
        <v>38.553899899098326</v>
      </c>
      <c r="GD342">
        <v>14.099935707193023</v>
      </c>
      <c r="GE342">
        <v>32.294954236289875</v>
      </c>
      <c r="GF342">
        <v>91.103778653243623</v>
      </c>
      <c r="GG342">
        <v>65.277841871111846</v>
      </c>
      <c r="GH342">
        <v>17.893018148301781</v>
      </c>
      <c r="GI342">
        <v>49.28955125889663</v>
      </c>
      <c r="GJ342"/>
      <c r="GK342"/>
      <c r="GL342"/>
      <c r="GM342"/>
    </row>
    <row r="343" spans="1:195" s="7" customFormat="1">
      <c r="A343" s="1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 s="80"/>
      <c r="AK343" s="81"/>
      <c r="AL343" s="81"/>
      <c r="AM343" s="43">
        <v>327</v>
      </c>
      <c r="AN343">
        <v>265.85170760696269</v>
      </c>
      <c r="AO343">
        <v>81.513419601940313</v>
      </c>
      <c r="AP343">
        <v>601.66777228608407</v>
      </c>
      <c r="AQ343">
        <v>437.44808714870271</v>
      </c>
      <c r="AR343">
        <v>72.686321594213169</v>
      </c>
      <c r="AS343">
        <v>585.76950884917233</v>
      </c>
      <c r="AT343">
        <v>40.454493329496842</v>
      </c>
      <c r="AU343">
        <v>27.309251768110148</v>
      </c>
      <c r="AV343"/>
      <c r="AW343"/>
      <c r="FY343" s="211">
        <v>338</v>
      </c>
      <c r="FZ343">
        <v>16.254714304297863</v>
      </c>
      <c r="GA343">
        <v>62.761666693975968</v>
      </c>
      <c r="GB343">
        <v>58.848463785968505</v>
      </c>
      <c r="GC343">
        <v>33.991339805162404</v>
      </c>
      <c r="GD343">
        <v>15.179746729487698</v>
      </c>
      <c r="GE343">
        <v>30.475731780077421</v>
      </c>
      <c r="GF343">
        <v>78.368265474519191</v>
      </c>
      <c r="GG343">
        <v>53.57511975861204</v>
      </c>
      <c r="GH343">
        <v>18.43810280699023</v>
      </c>
      <c r="GI343">
        <v>45.711232445904002</v>
      </c>
      <c r="GJ343"/>
      <c r="GK343"/>
      <c r="GL343"/>
      <c r="GM343"/>
    </row>
    <row r="344" spans="1:195" s="7" customFormat="1">
      <c r="A344" s="1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 s="80"/>
      <c r="AK344" s="81"/>
      <c r="AL344" s="81"/>
      <c r="AM344" s="43">
        <v>328</v>
      </c>
      <c r="AN344">
        <v>244.76659658217991</v>
      </c>
      <c r="AO344">
        <v>76.018031678049923</v>
      </c>
      <c r="AP344">
        <v>518.3991898729472</v>
      </c>
      <c r="AQ344">
        <v>389.46897517463572</v>
      </c>
      <c r="AR344">
        <v>68.16227480972799</v>
      </c>
      <c r="AS344">
        <v>584.83770189630866</v>
      </c>
      <c r="AT344">
        <v>37.752091814674493</v>
      </c>
      <c r="AU344">
        <v>53.525543298368923</v>
      </c>
      <c r="AV344"/>
      <c r="AW344"/>
      <c r="FY344" s="211">
        <v>339</v>
      </c>
      <c r="FZ344">
        <v>25.553002444696453</v>
      </c>
      <c r="GA344">
        <v>61.109109222811632</v>
      </c>
      <c r="GB344">
        <v>70.334683889983239</v>
      </c>
      <c r="GC344">
        <v>39.85358916407688</v>
      </c>
      <c r="GD344">
        <v>28.940256371249472</v>
      </c>
      <c r="GE344">
        <v>56.98272319903711</v>
      </c>
      <c r="GF344">
        <v>69.947445672312341</v>
      </c>
      <c r="GG344">
        <v>46.689764781645728</v>
      </c>
      <c r="GH344">
        <v>7.042016686380479</v>
      </c>
      <c r="GI344">
        <v>55.081555466984234</v>
      </c>
      <c r="GJ344"/>
      <c r="GK344"/>
      <c r="GL344"/>
      <c r="GM344"/>
    </row>
    <row r="345" spans="1:195" s="7" customFormat="1">
      <c r="A345" s="1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 s="80"/>
      <c r="AK345" s="81"/>
      <c r="AL345" s="81"/>
      <c r="AM345" s="43">
        <v>329</v>
      </c>
      <c r="AN345">
        <v>237.7685986578295</v>
      </c>
      <c r="AO345">
        <v>93.133424070208761</v>
      </c>
      <c r="AP345">
        <v>748.62630825851124</v>
      </c>
      <c r="AQ345">
        <v>525.864015241316</v>
      </c>
      <c r="AR345">
        <v>83.631568759556757</v>
      </c>
      <c r="AS345">
        <v>666.38384355960443</v>
      </c>
      <c r="AT345">
        <v>44.045683195290735</v>
      </c>
      <c r="AU345">
        <v>56.888883563801279</v>
      </c>
      <c r="AV345"/>
      <c r="AW345"/>
      <c r="FY345" s="211">
        <v>340</v>
      </c>
      <c r="FZ345">
        <v>14.479519324404912</v>
      </c>
      <c r="GA345">
        <v>55.715969033023953</v>
      </c>
      <c r="GB345">
        <v>85.149569995240583</v>
      </c>
      <c r="GC345">
        <v>48.899304383153968</v>
      </c>
      <c r="GD345">
        <v>22.656365318564191</v>
      </c>
      <c r="GE345">
        <v>41.883346206878137</v>
      </c>
      <c r="GF345">
        <v>44.045754971026362</v>
      </c>
      <c r="GG345">
        <v>36.726783276688536</v>
      </c>
      <c r="GH345">
        <v>31.02134397961418</v>
      </c>
      <c r="GI345">
        <v>51.367174638721778</v>
      </c>
      <c r="GJ345"/>
      <c r="GK345"/>
      <c r="GL345"/>
      <c r="GM345"/>
    </row>
    <row r="346" spans="1:195" s="7" customFormat="1">
      <c r="A346" s="1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 s="80"/>
      <c r="AK346" s="81"/>
      <c r="AL346" s="81"/>
      <c r="AM346" s="43">
        <v>330</v>
      </c>
      <c r="AN346">
        <v>202.21217813950489</v>
      </c>
      <c r="AO346">
        <v>75.251978103037771</v>
      </c>
      <c r="AP346">
        <v>486.30871422795497</v>
      </c>
      <c r="AQ346">
        <v>372.96370519606893</v>
      </c>
      <c r="AR346">
        <v>68.725730923915549</v>
      </c>
      <c r="AS346">
        <v>587.91006499092066</v>
      </c>
      <c r="AT346">
        <v>39.416258109771618</v>
      </c>
      <c r="AU346">
        <v>45.024363450394432</v>
      </c>
      <c r="AV346"/>
      <c r="AW346"/>
      <c r="FY346" s="211">
        <v>341</v>
      </c>
      <c r="FZ346">
        <v>16.563183541627346</v>
      </c>
      <c r="GA346">
        <v>49.288507440476323</v>
      </c>
      <c r="GB346">
        <v>66.231897072868023</v>
      </c>
      <c r="GC346">
        <v>39.75734928636134</v>
      </c>
      <c r="GD346">
        <v>18.297736322418711</v>
      </c>
      <c r="GE346">
        <v>40.895057395733176</v>
      </c>
      <c r="GF346">
        <v>83.439530730985581</v>
      </c>
      <c r="GG346">
        <v>48.29222720454748</v>
      </c>
      <c r="GH346">
        <v>8.0598949553376897</v>
      </c>
      <c r="GI346">
        <v>48.48175685783125</v>
      </c>
      <c r="GJ346"/>
      <c r="GK346"/>
      <c r="GL346"/>
      <c r="GM346"/>
    </row>
    <row r="347" spans="1:195" s="7" customFormat="1">
      <c r="A347" s="1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 s="80"/>
      <c r="AK347" s="81"/>
      <c r="AL347" s="81"/>
      <c r="AM347" s="43">
        <v>331</v>
      </c>
      <c r="AN347">
        <v>255.1027438847546</v>
      </c>
      <c r="AO347">
        <v>82.644466048241</v>
      </c>
      <c r="AP347">
        <v>613.92780785188154</v>
      </c>
      <c r="AQ347">
        <v>448.17082566383556</v>
      </c>
      <c r="AR347">
        <v>75.289308434901272</v>
      </c>
      <c r="AS347">
        <v>655.26309689471134</v>
      </c>
      <c r="AT347">
        <v>39.861502419013775</v>
      </c>
      <c r="AU347">
        <v>45.652404422217522</v>
      </c>
      <c r="AV347"/>
      <c r="AW347"/>
      <c r="FY347" s="211">
        <v>342</v>
      </c>
      <c r="FZ347">
        <v>12.921451763028788</v>
      </c>
      <c r="GA347">
        <v>40.163412581849094</v>
      </c>
      <c r="GB347">
        <v>90.701053772669795</v>
      </c>
      <c r="GC347">
        <v>56.710540794826358</v>
      </c>
      <c r="GD347">
        <v>16.256540447481065</v>
      </c>
      <c r="GE347">
        <v>18.68724261697427</v>
      </c>
      <c r="GF347">
        <v>82.693895579480014</v>
      </c>
      <c r="GG347">
        <v>73.483661728698138</v>
      </c>
      <c r="GH347">
        <v>12.961359300825947</v>
      </c>
      <c r="GI347">
        <v>53.602320579333252</v>
      </c>
      <c r="GJ347"/>
      <c r="GK347"/>
      <c r="GL347"/>
      <c r="GM347"/>
    </row>
    <row r="348" spans="1:195" s="7" customFormat="1">
      <c r="A348" s="80"/>
      <c r="B348" s="80"/>
      <c r="C348" s="80"/>
      <c r="D348" s="80"/>
      <c r="E348" s="80"/>
      <c r="F348" s="80"/>
      <c r="G348" s="80"/>
      <c r="H348" s="80"/>
      <c r="I348" s="80"/>
      <c r="J348" s="80"/>
      <c r="K348" s="80"/>
      <c r="L348" s="80"/>
      <c r="M348" s="80"/>
      <c r="N348" s="80"/>
      <c r="O348" s="80"/>
      <c r="P348" s="80"/>
      <c r="Q348" s="80"/>
      <c r="R348" s="80"/>
      <c r="S348" s="80"/>
      <c r="T348" s="80"/>
      <c r="U348" s="80"/>
      <c r="V348" s="80"/>
      <c r="W348" s="80"/>
      <c r="X348" s="80"/>
      <c r="Y348" s="80"/>
      <c r="Z348" s="80"/>
      <c r="AA348" s="80"/>
      <c r="AB348" s="80"/>
      <c r="AC348" s="80"/>
      <c r="AD348" s="80"/>
      <c r="AE348" s="80"/>
      <c r="AF348" s="80"/>
      <c r="AG348" s="80"/>
      <c r="AH348" s="80"/>
      <c r="AI348" s="80"/>
      <c r="AJ348" s="80"/>
      <c r="AK348" s="81"/>
      <c r="AL348" s="81"/>
      <c r="AM348" s="43">
        <v>332</v>
      </c>
      <c r="AN348">
        <v>274.04592529818376</v>
      </c>
      <c r="AO348">
        <v>100.99330620387326</v>
      </c>
      <c r="AP348">
        <v>736.04800764087042</v>
      </c>
      <c r="AQ348">
        <v>555.97394599457812</v>
      </c>
      <c r="AR348">
        <v>92.106601901369302</v>
      </c>
      <c r="AS348">
        <v>734.15533364677037</v>
      </c>
      <c r="AT348">
        <v>53.557090176629941</v>
      </c>
      <c r="AU348">
        <v>137.12526047457237</v>
      </c>
      <c r="AV348"/>
      <c r="AW348"/>
      <c r="FY348" s="211">
        <v>343</v>
      </c>
      <c r="FZ348">
        <v>10.66074925709038</v>
      </c>
      <c r="GA348">
        <v>41.476613357231102</v>
      </c>
      <c r="GB348">
        <v>55.382892556358712</v>
      </c>
      <c r="GC348">
        <v>32.591263361825021</v>
      </c>
      <c r="GD348">
        <v>14.437654192469903</v>
      </c>
      <c r="GE348">
        <v>37.594244343431725</v>
      </c>
      <c r="GF348">
        <v>79.462200525282356</v>
      </c>
      <c r="GG348">
        <v>39.851257355989539</v>
      </c>
      <c r="GH348">
        <v>5.6958048464134139</v>
      </c>
      <c r="GI348">
        <v>41.089356901103265</v>
      </c>
      <c r="GJ348"/>
      <c r="GK348"/>
      <c r="GL348"/>
      <c r="GM348"/>
    </row>
    <row r="349" spans="1:195" s="7" customFormat="1">
      <c r="A349" s="4"/>
      <c r="B349" s="4"/>
      <c r="C349" s="81"/>
      <c r="D349" s="81"/>
      <c r="E349" s="81"/>
      <c r="F349" s="81"/>
      <c r="G349" s="81"/>
      <c r="H349" s="81"/>
      <c r="I349" s="81"/>
      <c r="J349" s="81"/>
      <c r="K349" s="81"/>
      <c r="L349" s="81"/>
      <c r="M349" s="81"/>
      <c r="N349" s="81"/>
      <c r="O349" s="81"/>
      <c r="P349" s="81"/>
      <c r="Q349" s="81"/>
      <c r="R349" s="81"/>
      <c r="S349" s="81"/>
      <c r="T349" s="81"/>
      <c r="U349" s="81"/>
      <c r="V349" s="81"/>
      <c r="W349" s="81"/>
      <c r="X349" s="81"/>
      <c r="Y349" s="81"/>
      <c r="Z349" s="81"/>
      <c r="AA349" s="81"/>
      <c r="AB349" s="81"/>
      <c r="AC349" s="81"/>
      <c r="AD349" s="4"/>
      <c r="AE349" s="4"/>
      <c r="AF349" s="81"/>
      <c r="AG349" s="81"/>
      <c r="AH349" s="81"/>
      <c r="AI349" s="81"/>
      <c r="AJ349" s="81"/>
      <c r="AK349" s="81"/>
      <c r="AL349" s="81"/>
      <c r="AM349" s="43">
        <v>333</v>
      </c>
      <c r="AN349">
        <v>235.9173228814646</v>
      </c>
      <c r="AO349">
        <v>65.180840825040974</v>
      </c>
      <c r="AP349">
        <v>486.14971943293062</v>
      </c>
      <c r="AQ349">
        <v>369.77362455544113</v>
      </c>
      <c r="AR349">
        <v>57.354711443562415</v>
      </c>
      <c r="AS349">
        <v>540.80108947737494</v>
      </c>
      <c r="AT349">
        <v>31.790893534166447</v>
      </c>
      <c r="AU349">
        <v>93.230244468702935</v>
      </c>
      <c r="AV349"/>
      <c r="AW349"/>
      <c r="FY349" s="211">
        <v>344</v>
      </c>
      <c r="FZ349">
        <v>12.607820773546766</v>
      </c>
      <c r="GA349">
        <v>38.375495014162489</v>
      </c>
      <c r="GB349">
        <v>102.56853128052654</v>
      </c>
      <c r="GC349">
        <v>59.649590040736754</v>
      </c>
      <c r="GD349">
        <v>25.645598436897568</v>
      </c>
      <c r="GE349">
        <v>47.743194973708121</v>
      </c>
      <c r="GF349">
        <v>33.335952172353558</v>
      </c>
      <c r="GG349">
        <v>29.987244304493352</v>
      </c>
      <c r="GH349">
        <v>26.597908559621708</v>
      </c>
      <c r="GI349">
        <v>54.734568225766253</v>
      </c>
      <c r="GJ349"/>
      <c r="GK349"/>
      <c r="GL349"/>
      <c r="GM349"/>
    </row>
    <row r="350" spans="1:195" s="7" customFormat="1">
      <c r="A350" s="4"/>
      <c r="B350" s="4"/>
      <c r="C350" s="81"/>
      <c r="D350" s="81"/>
      <c r="E350" s="81"/>
      <c r="F350" s="81"/>
      <c r="G350" s="81"/>
      <c r="H350" s="81"/>
      <c r="I350" s="81"/>
      <c r="J350" s="81"/>
      <c r="K350" s="81"/>
      <c r="L350" s="81"/>
      <c r="M350" s="81"/>
      <c r="N350" s="81"/>
      <c r="O350" s="81"/>
      <c r="P350" s="81"/>
      <c r="Q350" s="81"/>
      <c r="R350" s="81"/>
      <c r="S350" s="81"/>
      <c r="T350" s="81"/>
      <c r="U350" s="81"/>
      <c r="V350" s="81"/>
      <c r="W350" s="81"/>
      <c r="X350" s="81"/>
      <c r="Y350" s="81"/>
      <c r="Z350" s="81"/>
      <c r="AA350" s="81"/>
      <c r="AB350" s="81"/>
      <c r="AC350" s="81"/>
      <c r="AD350" s="4"/>
      <c r="AE350" s="4"/>
      <c r="AF350" s="81"/>
      <c r="AG350" s="81"/>
      <c r="AH350" s="81"/>
      <c r="AI350" s="81"/>
      <c r="AJ350" s="81"/>
      <c r="AK350" s="81"/>
      <c r="AL350" s="81"/>
      <c r="AM350" s="43">
        <v>334</v>
      </c>
      <c r="AN350">
        <v>216.68529818801076</v>
      </c>
      <c r="AO350">
        <v>62.901626166840252</v>
      </c>
      <c r="AP350">
        <v>440.5207769146665</v>
      </c>
      <c r="AQ350">
        <v>343.33459131847724</v>
      </c>
      <c r="AR350">
        <v>56.378703918519065</v>
      </c>
      <c r="AS350">
        <v>502.7716099633007</v>
      </c>
      <c r="AT350">
        <v>29.729481833160165</v>
      </c>
      <c r="AU350">
        <v>20.155555960541104</v>
      </c>
      <c r="AV350"/>
      <c r="AW350"/>
      <c r="FY350" s="211">
        <v>345</v>
      </c>
      <c r="FZ350">
        <v>18.40983548197439</v>
      </c>
      <c r="GA350">
        <v>61.143230810233845</v>
      </c>
      <c r="GB350">
        <v>75.415159649769606</v>
      </c>
      <c r="GC350">
        <v>41.766141984274427</v>
      </c>
      <c r="GD350">
        <v>19.695912322977229</v>
      </c>
      <c r="GE350">
        <v>64.433137084863546</v>
      </c>
      <c r="GF350">
        <v>102.58490209278845</v>
      </c>
      <c r="GG350">
        <v>45.889661118887858</v>
      </c>
      <c r="GH350">
        <v>22.751761065095327</v>
      </c>
      <c r="GI350">
        <v>58.040984171893875</v>
      </c>
      <c r="GJ350"/>
      <c r="GK350"/>
      <c r="GL350"/>
      <c r="GM350"/>
    </row>
    <row r="351" spans="1:195" s="7" customFormat="1">
      <c r="A351" s="4"/>
      <c r="B351" s="4"/>
      <c r="C351" s="81"/>
      <c r="D351" s="81"/>
      <c r="E351" s="81"/>
      <c r="F351" s="81"/>
      <c r="G351" s="81"/>
      <c r="H351" s="81"/>
      <c r="I351" s="81"/>
      <c r="J351" s="81"/>
      <c r="K351" s="81"/>
      <c r="L351" s="81"/>
      <c r="M351" s="81"/>
      <c r="N351" s="81"/>
      <c r="O351" s="81"/>
      <c r="P351" s="81"/>
      <c r="Q351" s="81"/>
      <c r="R351" s="81"/>
      <c r="S351" s="81"/>
      <c r="T351" s="81"/>
      <c r="U351" s="81"/>
      <c r="V351" s="81"/>
      <c r="W351" s="81"/>
      <c r="X351" s="81"/>
      <c r="Y351" s="81"/>
      <c r="Z351" s="81"/>
      <c r="AA351" s="81"/>
      <c r="AB351" s="81"/>
      <c r="AC351" s="81"/>
      <c r="AD351" s="4"/>
      <c r="AE351" s="4"/>
      <c r="AF351" s="81"/>
      <c r="AG351" s="81"/>
      <c r="AH351" s="81"/>
      <c r="AI351" s="81"/>
      <c r="AJ351" s="81"/>
      <c r="AK351" s="81"/>
      <c r="AL351" s="81"/>
      <c r="AM351" s="43">
        <v>335</v>
      </c>
      <c r="AN351">
        <v>231.81104518680581</v>
      </c>
      <c r="AO351">
        <v>75.082615898195911</v>
      </c>
      <c r="AP351">
        <v>611.40018890900922</v>
      </c>
      <c r="AQ351">
        <v>447.81048141530306</v>
      </c>
      <c r="AR351">
        <v>68.123423208065773</v>
      </c>
      <c r="AS351">
        <v>566.93971805684907</v>
      </c>
      <c r="AT351">
        <v>36.79409435117573</v>
      </c>
      <c r="AU351">
        <v>87.330246650833743</v>
      </c>
      <c r="AV351"/>
      <c r="AW351"/>
      <c r="FY351" s="211">
        <v>346</v>
      </c>
      <c r="FZ351">
        <v>27.587013699751296</v>
      </c>
      <c r="GA351">
        <v>55.328181483274946</v>
      </c>
      <c r="GB351">
        <v>64.316129585736434</v>
      </c>
      <c r="GC351">
        <v>42.48982076875766</v>
      </c>
      <c r="GD351">
        <v>23.027722127385822</v>
      </c>
      <c r="GE351">
        <v>49.14922115567969</v>
      </c>
      <c r="GF351">
        <v>51.002978991337713</v>
      </c>
      <c r="GG351">
        <v>15.312405627524436</v>
      </c>
      <c r="GH351">
        <v>8.1964838481179321</v>
      </c>
      <c r="GI351">
        <v>46.239435942680082</v>
      </c>
      <c r="GJ351"/>
      <c r="GK351"/>
      <c r="GL351"/>
      <c r="GM351"/>
    </row>
    <row r="352" spans="1:195" s="7" customFormat="1">
      <c r="A352" s="4"/>
      <c r="B352" s="4"/>
      <c r="C352" s="81"/>
      <c r="D352" s="81"/>
      <c r="E352" s="81"/>
      <c r="F352" s="81"/>
      <c r="G352" s="81"/>
      <c r="H352" s="81"/>
      <c r="I352" s="81"/>
      <c r="J352" s="81"/>
      <c r="K352" s="81"/>
      <c r="L352" s="81"/>
      <c r="M352" s="81"/>
      <c r="N352" s="81"/>
      <c r="O352" s="81"/>
      <c r="P352" s="81"/>
      <c r="Q352" s="81"/>
      <c r="R352" s="81"/>
      <c r="S352" s="81"/>
      <c r="T352" s="81"/>
      <c r="U352" s="81"/>
      <c r="V352" s="81"/>
      <c r="W352" s="81"/>
      <c r="X352" s="81"/>
      <c r="Y352" s="81"/>
      <c r="Z352" s="81"/>
      <c r="AA352" s="81"/>
      <c r="AB352" s="81"/>
      <c r="AC352" s="81"/>
      <c r="AD352" s="4"/>
      <c r="AE352" s="4"/>
      <c r="AF352" s="81"/>
      <c r="AG352" s="81"/>
      <c r="AH352" s="81"/>
      <c r="AI352" s="81"/>
      <c r="AJ352" s="81"/>
      <c r="AK352" s="81"/>
      <c r="AL352" s="81"/>
      <c r="AM352" s="43">
        <v>336</v>
      </c>
      <c r="AN352">
        <v>248.8689655046488</v>
      </c>
      <c r="AO352">
        <v>75.110156632055421</v>
      </c>
      <c r="AP352">
        <v>553.60246853614103</v>
      </c>
      <c r="AQ352">
        <v>400.18395331686958</v>
      </c>
      <c r="AR352">
        <v>67.99434688715138</v>
      </c>
      <c r="AS352">
        <v>579.73069169044493</v>
      </c>
      <c r="AT352">
        <v>37.256859965134701</v>
      </c>
      <c r="AU352">
        <v>57.620961997134771</v>
      </c>
      <c r="AV352"/>
      <c r="AW352"/>
      <c r="FY352" s="211">
        <v>347</v>
      </c>
      <c r="FZ352">
        <v>25.377377840322772</v>
      </c>
      <c r="GA352">
        <v>70.332951056809492</v>
      </c>
      <c r="GB352">
        <v>74.331558483772639</v>
      </c>
      <c r="GC352">
        <v>42.342496879273853</v>
      </c>
      <c r="GD352">
        <v>19.126303803513235</v>
      </c>
      <c r="GE352">
        <v>46.369978247286198</v>
      </c>
      <c r="GF352">
        <v>62.022696952411586</v>
      </c>
      <c r="GG352">
        <v>29.458012025406951</v>
      </c>
      <c r="GH352">
        <v>21.65208439570155</v>
      </c>
      <c r="GI352">
        <v>50.669502497725063</v>
      </c>
      <c r="GJ352"/>
      <c r="GK352"/>
      <c r="GL352"/>
      <c r="GM352"/>
    </row>
    <row r="353" spans="1:195" s="7" customFormat="1">
      <c r="A353" s="4"/>
      <c r="B353" s="4"/>
      <c r="C353" s="81"/>
      <c r="D353" s="81"/>
      <c r="E353" s="81"/>
      <c r="F353" s="81"/>
      <c r="G353" s="81"/>
      <c r="H353" s="81"/>
      <c r="I353" s="81"/>
      <c r="J353" s="81"/>
      <c r="K353" s="81"/>
      <c r="L353" s="81"/>
      <c r="M353" s="81"/>
      <c r="N353" s="81"/>
      <c r="O353" s="81"/>
      <c r="P353" s="81"/>
      <c r="Q353" s="81"/>
      <c r="R353" s="81"/>
      <c r="S353" s="81"/>
      <c r="T353" s="81"/>
      <c r="U353" s="81"/>
      <c r="V353" s="81"/>
      <c r="W353" s="81"/>
      <c r="X353" s="81"/>
      <c r="Y353" s="81"/>
      <c r="Z353" s="81"/>
      <c r="AA353" s="81"/>
      <c r="AB353" s="81"/>
      <c r="AC353" s="81"/>
      <c r="AD353" s="4"/>
      <c r="AE353" s="4"/>
      <c r="AF353" s="81"/>
      <c r="AG353" s="81"/>
      <c r="AH353" s="81"/>
      <c r="AI353" s="81"/>
      <c r="AJ353" s="81"/>
      <c r="AK353" s="81"/>
      <c r="AL353" s="81"/>
      <c r="AM353" s="43">
        <v>337</v>
      </c>
      <c r="AN353">
        <v>243.83976993956009</v>
      </c>
      <c r="AO353">
        <v>80.569154444144147</v>
      </c>
      <c r="AP353">
        <v>615.44540024272669</v>
      </c>
      <c r="AQ353">
        <v>413.62376000756598</v>
      </c>
      <c r="AR353">
        <v>71.915458562858163</v>
      </c>
      <c r="AS353">
        <v>623.02215283237888</v>
      </c>
      <c r="AT353">
        <v>41.506358667704582</v>
      </c>
      <c r="AU353">
        <v>65.116059140384451</v>
      </c>
      <c r="AV353"/>
      <c r="AW353"/>
      <c r="FY353" s="211">
        <v>348</v>
      </c>
      <c r="FZ353">
        <v>7.5286098194525533</v>
      </c>
      <c r="GA353">
        <v>31.55588073176115</v>
      </c>
      <c r="GB353">
        <v>58.763307439334064</v>
      </c>
      <c r="GC353">
        <v>35.824541277958289</v>
      </c>
      <c r="GD353">
        <v>24.332294348667247</v>
      </c>
      <c r="GE353">
        <v>56.803613510053836</v>
      </c>
      <c r="GF353">
        <v>58.442015229318358</v>
      </c>
      <c r="GG353">
        <v>23.626591910256426</v>
      </c>
      <c r="GH353">
        <v>8.595199080647193</v>
      </c>
      <c r="GI353">
        <v>44.520833051088765</v>
      </c>
      <c r="GJ353"/>
      <c r="GK353"/>
      <c r="GL353"/>
      <c r="GM353"/>
    </row>
    <row r="354" spans="1:195" s="7" customFormat="1">
      <c r="A354" s="4"/>
      <c r="B354" s="4"/>
      <c r="C354" s="81"/>
      <c r="D354" s="81"/>
      <c r="E354" s="81"/>
      <c r="F354" s="81"/>
      <c r="G354" s="81"/>
      <c r="H354" s="81"/>
      <c r="I354" s="81"/>
      <c r="J354" s="81"/>
      <c r="K354" s="81"/>
      <c r="L354" s="81"/>
      <c r="M354" s="81"/>
      <c r="N354" s="81"/>
      <c r="O354" s="81"/>
      <c r="P354" s="81"/>
      <c r="Q354" s="81"/>
      <c r="R354" s="81"/>
      <c r="S354" s="81"/>
      <c r="T354" s="81"/>
      <c r="U354" s="81"/>
      <c r="V354" s="81"/>
      <c r="W354" s="81"/>
      <c r="X354" s="81"/>
      <c r="Y354" s="81"/>
      <c r="Z354" s="81"/>
      <c r="AA354" s="81"/>
      <c r="AB354" s="81"/>
      <c r="AC354" s="81"/>
      <c r="AD354" s="4"/>
      <c r="AE354" s="4"/>
      <c r="AF354" s="81"/>
      <c r="AG354" s="81"/>
      <c r="AH354" s="81"/>
      <c r="AI354" s="81"/>
      <c r="AJ354" s="81"/>
      <c r="AK354" s="81"/>
      <c r="AL354" s="81"/>
      <c r="AM354" s="43">
        <v>338</v>
      </c>
      <c r="AN354">
        <v>267.11370356536298</v>
      </c>
      <c r="AO354">
        <v>72.553320770784921</v>
      </c>
      <c r="AP354">
        <v>566.25076098020747</v>
      </c>
      <c r="AQ354">
        <v>413.60438358499533</v>
      </c>
      <c r="AR354">
        <v>65.097256695080731</v>
      </c>
      <c r="AS354">
        <v>558.26716151600522</v>
      </c>
      <c r="AT354">
        <v>34.37100879679668</v>
      </c>
      <c r="AU354">
        <v>34.088259388320616</v>
      </c>
      <c r="AV354"/>
      <c r="AW354"/>
      <c r="FY354" s="211">
        <v>349</v>
      </c>
      <c r="FZ354">
        <v>12.243339319825246</v>
      </c>
      <c r="GA354">
        <v>30.210615990639372</v>
      </c>
      <c r="GB354">
        <v>85.070641158942053</v>
      </c>
      <c r="GC354">
        <v>56.790916984393981</v>
      </c>
      <c r="GD354">
        <v>22.974514208548353</v>
      </c>
      <c r="GE354">
        <v>32.697511971870384</v>
      </c>
      <c r="GF354">
        <v>62.19273180605488</v>
      </c>
      <c r="GG354">
        <v>61.781297566581493</v>
      </c>
      <c r="GH354">
        <v>27.601348606134412</v>
      </c>
      <c r="GI354">
        <v>54.73677875679099</v>
      </c>
      <c r="GJ354"/>
      <c r="GK354"/>
      <c r="GL354"/>
      <c r="GM354"/>
    </row>
    <row r="355" spans="1:195" s="7" customFormat="1">
      <c r="A355" s="4"/>
      <c r="B355" s="4"/>
      <c r="C355" s="81"/>
      <c r="D355" s="81"/>
      <c r="E355" s="81"/>
      <c r="F355" s="81"/>
      <c r="G355" s="81"/>
      <c r="H355" s="81"/>
      <c r="I355" s="81"/>
      <c r="J355" s="81"/>
      <c r="K355" s="81"/>
      <c r="L355" s="81"/>
      <c r="M355" s="81"/>
      <c r="N355" s="81"/>
      <c r="O355" s="81"/>
      <c r="P355" s="81"/>
      <c r="Q355" s="81"/>
      <c r="R355" s="81"/>
      <c r="S355" s="81"/>
      <c r="T355" s="81"/>
      <c r="U355" s="81"/>
      <c r="V355" s="81"/>
      <c r="W355" s="81"/>
      <c r="X355" s="81"/>
      <c r="Y355" s="81"/>
      <c r="Z355" s="81"/>
      <c r="AA355" s="81"/>
      <c r="AB355" s="81"/>
      <c r="AC355" s="81"/>
      <c r="AD355" s="4"/>
      <c r="AE355" s="4"/>
      <c r="AF355" s="81"/>
      <c r="AG355" s="81"/>
      <c r="AH355" s="81"/>
      <c r="AI355" s="81"/>
      <c r="AJ355" s="81"/>
      <c r="AK355" s="81"/>
      <c r="AL355" s="81"/>
      <c r="AM355" s="43">
        <v>339</v>
      </c>
      <c r="AN355">
        <v>245.6503783741594</v>
      </c>
      <c r="AO355">
        <v>87.028241104787938</v>
      </c>
      <c r="AP355">
        <v>588.57236307367464</v>
      </c>
      <c r="AQ355">
        <v>461.53414689917764</v>
      </c>
      <c r="AR355">
        <v>79.490816378254948</v>
      </c>
      <c r="AS355">
        <v>631.40941956849656</v>
      </c>
      <c r="AT355">
        <v>42.030696288576216</v>
      </c>
      <c r="AU355">
        <v>57.422712733887231</v>
      </c>
      <c r="AV355"/>
      <c r="AW355"/>
      <c r="FY355" s="211">
        <v>350</v>
      </c>
      <c r="FZ355">
        <v>17.987316238257819</v>
      </c>
      <c r="GA355">
        <v>71.528012511636362</v>
      </c>
      <c r="GB355">
        <v>79.523182108045575</v>
      </c>
      <c r="GC355">
        <v>42.974830705177176</v>
      </c>
      <c r="GD355">
        <v>16.852525174627477</v>
      </c>
      <c r="GE355">
        <v>27.773316490701681</v>
      </c>
      <c r="GF355">
        <v>51.969074487994632</v>
      </c>
      <c r="GG355">
        <v>42.658648749199187</v>
      </c>
      <c r="GH355">
        <v>24.934367647129704</v>
      </c>
      <c r="GI355">
        <v>47.961049109071944</v>
      </c>
      <c r="GJ355"/>
      <c r="GK355"/>
      <c r="GL355"/>
      <c r="GM355"/>
    </row>
    <row r="356" spans="1:195" s="7" customFormat="1">
      <c r="A356" s="4"/>
      <c r="B356" s="4"/>
      <c r="C356" s="81"/>
      <c r="D356" s="81"/>
      <c r="E356" s="81"/>
      <c r="F356" s="81"/>
      <c r="G356" s="81"/>
      <c r="H356" s="81"/>
      <c r="I356" s="81"/>
      <c r="J356" s="81"/>
      <c r="K356" s="81"/>
      <c r="L356" s="81"/>
      <c r="M356" s="81"/>
      <c r="N356" s="81"/>
      <c r="O356" s="81"/>
      <c r="P356" s="81"/>
      <c r="Q356" s="81"/>
      <c r="R356" s="81"/>
      <c r="S356" s="81"/>
      <c r="T356" s="81"/>
      <c r="U356" s="81"/>
      <c r="V356" s="81"/>
      <c r="W356" s="81"/>
      <c r="X356" s="81"/>
      <c r="Y356" s="81"/>
      <c r="Z356" s="81"/>
      <c r="AA356" s="81"/>
      <c r="AB356" s="81"/>
      <c r="AC356" s="81"/>
      <c r="AD356" s="4"/>
      <c r="AE356" s="4"/>
      <c r="AF356" s="81"/>
      <c r="AG356" s="81"/>
      <c r="AH356" s="81"/>
      <c r="AI356" s="81"/>
      <c r="AJ356" s="81"/>
      <c r="AK356" s="81"/>
      <c r="AL356" s="81"/>
      <c r="AM356" s="43">
        <v>340</v>
      </c>
      <c r="AN356">
        <v>254.15961752851757</v>
      </c>
      <c r="AO356">
        <v>80.307184159239071</v>
      </c>
      <c r="AP356">
        <v>555.13261200888053</v>
      </c>
      <c r="AQ356">
        <v>431.94513112731664</v>
      </c>
      <c r="AR356">
        <v>72.968224144432369</v>
      </c>
      <c r="AS356">
        <v>601.13350710047325</v>
      </c>
      <c r="AT356">
        <v>38.876121196903568</v>
      </c>
      <c r="AU356">
        <v>55.597963397483106</v>
      </c>
      <c r="AV356"/>
      <c r="AW356"/>
      <c r="FY356" s="211">
        <v>351</v>
      </c>
      <c r="FZ356">
        <v>32.034183875827928</v>
      </c>
      <c r="GA356">
        <v>61.395842591619427</v>
      </c>
      <c r="GB356">
        <v>61.580582080190176</v>
      </c>
      <c r="GC356">
        <v>37.891544313102955</v>
      </c>
      <c r="GD356">
        <v>15.392074523688198</v>
      </c>
      <c r="GE356">
        <v>29.851361331493347</v>
      </c>
      <c r="GF356">
        <v>39.94760455905071</v>
      </c>
      <c r="GG356">
        <v>36.697943139014669</v>
      </c>
      <c r="GH356">
        <v>34.616770088248792</v>
      </c>
      <c r="GI356">
        <v>42.857163518763066</v>
      </c>
      <c r="GJ356"/>
      <c r="GK356"/>
      <c r="GL356"/>
      <c r="GM356"/>
    </row>
    <row r="357" spans="1:195" s="7" customFormat="1">
      <c r="A357" s="4"/>
      <c r="B357" s="4"/>
      <c r="C357" s="81"/>
      <c r="D357" s="81"/>
      <c r="E357" s="81"/>
      <c r="F357" s="81"/>
      <c r="G357" s="81"/>
      <c r="H357" s="81"/>
      <c r="I357" s="81"/>
      <c r="J357" s="81"/>
      <c r="K357" s="81"/>
      <c r="L357" s="81"/>
      <c r="M357" s="81"/>
      <c r="N357" s="81"/>
      <c r="O357" s="81"/>
      <c r="P357" s="81"/>
      <c r="Q357" s="81"/>
      <c r="R357" s="81"/>
      <c r="S357" s="81"/>
      <c r="T357" s="81"/>
      <c r="U357" s="81"/>
      <c r="V357" s="81"/>
      <c r="W357" s="81"/>
      <c r="X357" s="81"/>
      <c r="Y357" s="81"/>
      <c r="Z357" s="81"/>
      <c r="AA357" s="81"/>
      <c r="AB357" s="81"/>
      <c r="AC357" s="81"/>
      <c r="AD357" s="4"/>
      <c r="AE357" s="4"/>
      <c r="AF357" s="81"/>
      <c r="AG357" s="81"/>
      <c r="AH357" s="81"/>
      <c r="AI357" s="81"/>
      <c r="AJ357" s="81"/>
      <c r="AK357" s="81"/>
      <c r="AL357" s="81"/>
      <c r="AM357" s="43">
        <v>341</v>
      </c>
      <c r="AN357">
        <v>223.99579427756856</v>
      </c>
      <c r="AO357">
        <v>76.27877164027737</v>
      </c>
      <c r="AP357">
        <v>555.02207806861998</v>
      </c>
      <c r="AQ357">
        <v>419.30714080818694</v>
      </c>
      <c r="AR357">
        <v>68.750680675667383</v>
      </c>
      <c r="AS357">
        <v>583.11714324740899</v>
      </c>
      <c r="AT357">
        <v>38.528292982943519</v>
      </c>
      <c r="AU357">
        <v>63.18593901330744</v>
      </c>
      <c r="AV357"/>
      <c r="AW357"/>
      <c r="FY357" s="211">
        <v>352</v>
      </c>
      <c r="FZ357">
        <v>29.228310541593864</v>
      </c>
      <c r="GA357">
        <v>67.768806788763584</v>
      </c>
      <c r="GB357">
        <v>57.717552951935708</v>
      </c>
      <c r="GC357">
        <v>36.101477513570877</v>
      </c>
      <c r="GD357">
        <v>25.214729845690201</v>
      </c>
      <c r="GE357">
        <v>49.965323553977292</v>
      </c>
      <c r="GF357">
        <v>92.641375219833606</v>
      </c>
      <c r="GG357">
        <v>65.231482862685027</v>
      </c>
      <c r="GH357">
        <v>16.77596717398346</v>
      </c>
      <c r="GI357">
        <v>56.283472848609009</v>
      </c>
      <c r="GJ357"/>
      <c r="GK357"/>
      <c r="GL357"/>
      <c r="GM357"/>
    </row>
    <row r="358" spans="1:195" s="7" customFormat="1">
      <c r="A358" s="4"/>
      <c r="B358" s="4"/>
      <c r="C358" s="81"/>
      <c r="D358" s="81"/>
      <c r="E358" s="81"/>
      <c r="F358" s="81"/>
      <c r="G358" s="81"/>
      <c r="H358" s="81"/>
      <c r="I358" s="81"/>
      <c r="J358" s="81"/>
      <c r="K358" s="81"/>
      <c r="L358" s="81"/>
      <c r="M358" s="81"/>
      <c r="N358" s="81"/>
      <c r="O358" s="81"/>
      <c r="P358" s="81"/>
      <c r="Q358" s="81"/>
      <c r="R358" s="81"/>
      <c r="S358" s="81"/>
      <c r="T358" s="81"/>
      <c r="U358" s="81"/>
      <c r="V358" s="81"/>
      <c r="W358" s="81"/>
      <c r="X358" s="81"/>
      <c r="Y358" s="81"/>
      <c r="Z358" s="81"/>
      <c r="AA358" s="81"/>
      <c r="AB358" s="81"/>
      <c r="AC358" s="81"/>
      <c r="AD358" s="4"/>
      <c r="AE358" s="4"/>
      <c r="AF358" s="81"/>
      <c r="AG358" s="81"/>
      <c r="AH358" s="81"/>
      <c r="AI358" s="81"/>
      <c r="AJ358" s="81"/>
      <c r="AK358" s="81"/>
      <c r="AL358" s="81"/>
      <c r="AM358" s="43">
        <v>342</v>
      </c>
      <c r="AN358">
        <v>269.72528430683138</v>
      </c>
      <c r="AO358">
        <v>84.298724272149968</v>
      </c>
      <c r="AP358">
        <v>633.51449753017425</v>
      </c>
      <c r="AQ358">
        <v>458.18147916516676</v>
      </c>
      <c r="AR358">
        <v>77.504418012844184</v>
      </c>
      <c r="AS358">
        <v>663.67787991187788</v>
      </c>
      <c r="AT358">
        <v>40.852861097703432</v>
      </c>
      <c r="AU358">
        <v>18.226581467397789</v>
      </c>
      <c r="AV358"/>
      <c r="AW358"/>
      <c r="FY358" s="211">
        <v>353</v>
      </c>
      <c r="FZ358">
        <v>37.178182274646637</v>
      </c>
      <c r="GA358">
        <v>66.380771551388449</v>
      </c>
      <c r="GB358">
        <v>48.576754114352305</v>
      </c>
      <c r="GC358">
        <v>32.042277031164872</v>
      </c>
      <c r="GD358">
        <v>25.978787461808096</v>
      </c>
      <c r="GE358">
        <v>65.359518767498884</v>
      </c>
      <c r="GF358">
        <v>85.197812415833369</v>
      </c>
      <c r="GG358">
        <v>48.297960358324801</v>
      </c>
      <c r="GH358">
        <v>24.942613174199586</v>
      </c>
      <c r="GI358">
        <v>56.96519685366912</v>
      </c>
      <c r="GJ358"/>
      <c r="GK358"/>
      <c r="GL358"/>
      <c r="GM358"/>
    </row>
    <row r="359" spans="1:195" s="7" customFormat="1">
      <c r="A359" s="4"/>
      <c r="B359" s="4"/>
      <c r="C359" s="81"/>
      <c r="D359" s="81"/>
      <c r="E359" s="81"/>
      <c r="F359" s="81"/>
      <c r="G359" s="81"/>
      <c r="H359" s="81"/>
      <c r="I359" s="81"/>
      <c r="J359" s="81"/>
      <c r="K359" s="81"/>
      <c r="L359" s="81"/>
      <c r="M359" s="81"/>
      <c r="N359" s="81"/>
      <c r="O359" s="81"/>
      <c r="P359" s="81"/>
      <c r="Q359" s="81"/>
      <c r="R359" s="81"/>
      <c r="S359" s="81"/>
      <c r="T359" s="81"/>
      <c r="U359" s="81"/>
      <c r="V359" s="81"/>
      <c r="W359" s="81"/>
      <c r="X359" s="81"/>
      <c r="Y359" s="81"/>
      <c r="Z359" s="81"/>
      <c r="AA359" s="81"/>
      <c r="AB359" s="81"/>
      <c r="AC359" s="81"/>
      <c r="AD359" s="4"/>
      <c r="AE359" s="4"/>
      <c r="AF359" s="81"/>
      <c r="AG359" s="81"/>
      <c r="AH359" s="81"/>
      <c r="AI359" s="81"/>
      <c r="AJ359" s="81"/>
      <c r="AK359" s="81"/>
      <c r="AL359" s="81"/>
      <c r="AM359" s="43">
        <v>343</v>
      </c>
      <c r="AN359">
        <v>228.9438037998942</v>
      </c>
      <c r="AO359">
        <v>64.40555552654493</v>
      </c>
      <c r="AP359">
        <v>475.81768217586335</v>
      </c>
      <c r="AQ359">
        <v>358.24203669719543</v>
      </c>
      <c r="AR359">
        <v>57.510888416461178</v>
      </c>
      <c r="AS359">
        <v>526.23374266115752</v>
      </c>
      <c r="AT359" t="e">
        <v>#DIV/0!</v>
      </c>
      <c r="AU359" t="e">
        <v>#DIV/0!</v>
      </c>
      <c r="AV359"/>
      <c r="AW359"/>
      <c r="FY359" s="211">
        <v>354</v>
      </c>
      <c r="FZ359">
        <v>6.5841156674735117</v>
      </c>
      <c r="GA359">
        <v>46.007971474639945</v>
      </c>
      <c r="GB359">
        <v>86.405125907397661</v>
      </c>
      <c r="GC359">
        <v>47.022809166217584</v>
      </c>
      <c r="GD359">
        <v>19.245398225426833</v>
      </c>
      <c r="GE359">
        <v>41.100550846763923</v>
      </c>
      <c r="GF359">
        <v>61.093490687017272</v>
      </c>
      <c r="GG359">
        <v>34.618532837059199</v>
      </c>
      <c r="GH359">
        <v>9.4774177936294262</v>
      </c>
      <c r="GI359">
        <v>48.378622763820339</v>
      </c>
      <c r="GJ359"/>
      <c r="GK359"/>
      <c r="GL359"/>
      <c r="GM359"/>
    </row>
    <row r="360" spans="1:195" s="7" customFormat="1">
      <c r="A360" s="4"/>
      <c r="B360" s="4"/>
      <c r="C360" s="81"/>
      <c r="D360" s="81"/>
      <c r="E360" s="81"/>
      <c r="F360" s="81"/>
      <c r="G360" s="81"/>
      <c r="H360" s="81"/>
      <c r="I360" s="81"/>
      <c r="J360" s="81"/>
      <c r="K360" s="81"/>
      <c r="L360" s="81"/>
      <c r="M360" s="81"/>
      <c r="N360" s="81"/>
      <c r="O360" s="81"/>
      <c r="P360" s="81"/>
      <c r="Q360" s="81"/>
      <c r="R360" s="81"/>
      <c r="S360" s="81"/>
      <c r="T360" s="81"/>
      <c r="U360" s="81"/>
      <c r="V360" s="81"/>
      <c r="W360" s="81"/>
      <c r="X360" s="81"/>
      <c r="Y360" s="81"/>
      <c r="Z360" s="81"/>
      <c r="AA360" s="81"/>
      <c r="AB360" s="81"/>
      <c r="AC360" s="81"/>
      <c r="AD360" s="4"/>
      <c r="AE360" s="4"/>
      <c r="AF360" s="81"/>
      <c r="AG360" s="81"/>
      <c r="AH360" s="81"/>
      <c r="AI360" s="81"/>
      <c r="AJ360" s="81"/>
      <c r="AK360" s="81"/>
      <c r="AL360" s="81"/>
      <c r="AM360" s="43">
        <v>344</v>
      </c>
      <c r="AN360">
        <v>225.00999390041792</v>
      </c>
      <c r="AO360">
        <v>85.566780044151841</v>
      </c>
      <c r="AP360">
        <v>546.62499745563957</v>
      </c>
      <c r="AQ360">
        <v>431.24590378181313</v>
      </c>
      <c r="AR360">
        <v>78.212398307180862</v>
      </c>
      <c r="AS360">
        <v>637.07940231180146</v>
      </c>
      <c r="AT360" t="e">
        <v>#DIV/0!</v>
      </c>
      <c r="AU360" t="e">
        <v>#DIV/0!</v>
      </c>
      <c r="AV360"/>
      <c r="AW360"/>
      <c r="FY360" s="211">
        <v>355</v>
      </c>
      <c r="FZ360">
        <v>21.487293563937783</v>
      </c>
      <c r="GA360">
        <v>60.835125113750465</v>
      </c>
      <c r="GB360">
        <v>76.924107686724895</v>
      </c>
      <c r="GC360">
        <v>42.508802853529701</v>
      </c>
      <c r="GD360">
        <v>15.504769351906823</v>
      </c>
      <c r="GE360">
        <v>47.533743316856999</v>
      </c>
      <c r="GF360">
        <v>66.849311384734065</v>
      </c>
      <c r="GG360">
        <v>59.306608223898806</v>
      </c>
      <c r="GH360">
        <v>65.571009445262476</v>
      </c>
      <c r="GI360">
        <v>55.644686198471774</v>
      </c>
      <c r="GJ360"/>
      <c r="GK360"/>
      <c r="GL360"/>
      <c r="GM360"/>
    </row>
    <row r="361" spans="1:195" s="7" customFormat="1">
      <c r="A361" s="4"/>
      <c r="B361" s="4"/>
      <c r="C361" s="81"/>
      <c r="D361" s="81"/>
      <c r="E361" s="81"/>
      <c r="F361" s="81"/>
      <c r="G361" s="81"/>
      <c r="H361" s="81"/>
      <c r="I361" s="81"/>
      <c r="J361" s="81"/>
      <c r="K361" s="81"/>
      <c r="L361" s="81"/>
      <c r="M361" s="81"/>
      <c r="N361" s="81"/>
      <c r="O361" s="81"/>
      <c r="P361" s="81"/>
      <c r="Q361" s="81"/>
      <c r="R361" s="81"/>
      <c r="S361" s="81"/>
      <c r="T361" s="81"/>
      <c r="U361" s="81"/>
      <c r="V361" s="81"/>
      <c r="W361" s="81"/>
      <c r="X361" s="81"/>
      <c r="Y361" s="81"/>
      <c r="Z361" s="81"/>
      <c r="AA361" s="81"/>
      <c r="AB361" s="81"/>
      <c r="AC361" s="81"/>
      <c r="AD361" s="4"/>
      <c r="AE361" s="4"/>
      <c r="AF361" s="81"/>
      <c r="AG361" s="81"/>
      <c r="AH361" s="81"/>
      <c r="AI361" s="81"/>
      <c r="AJ361" s="81"/>
      <c r="AK361" s="81"/>
      <c r="AL361" s="81"/>
      <c r="AM361" s="43">
        <v>345</v>
      </c>
      <c r="AN361">
        <v>256.88248914548012</v>
      </c>
      <c r="AO361">
        <v>91.047438949980091</v>
      </c>
      <c r="AP361">
        <v>664.77840973417619</v>
      </c>
      <c r="AQ361">
        <v>510.13072578275853</v>
      </c>
      <c r="AR361">
        <v>80.357942004576927</v>
      </c>
      <c r="AS361">
        <v>672.78553372881629</v>
      </c>
      <c r="AT361">
        <v>45.532999053966783</v>
      </c>
      <c r="AU361">
        <v>83.23766814607815</v>
      </c>
      <c r="AV361"/>
      <c r="AW361"/>
      <c r="FY361" s="211">
        <v>356</v>
      </c>
      <c r="FZ361">
        <v>17.620524832308341</v>
      </c>
      <c r="GA361">
        <v>46.278970799611578</v>
      </c>
      <c r="GB361">
        <v>69.170320934055113</v>
      </c>
      <c r="GC361">
        <v>47.254493161773361</v>
      </c>
      <c r="GD361">
        <v>24.602936418980761</v>
      </c>
      <c r="GE361">
        <v>48.521452979642049</v>
      </c>
      <c r="GF361">
        <v>71.228636193097373</v>
      </c>
      <c r="GG361">
        <v>41.80205431211462</v>
      </c>
      <c r="GH361">
        <v>20.641551768850185</v>
      </c>
      <c r="GI361">
        <v>53.507649485626665</v>
      </c>
      <c r="GJ361"/>
      <c r="GK361"/>
      <c r="GL361"/>
      <c r="GM361"/>
    </row>
    <row r="362" spans="1:195" s="7" customFormat="1">
      <c r="A362" s="4"/>
      <c r="B362" s="4"/>
      <c r="C362" s="81"/>
      <c r="D362" s="81"/>
      <c r="E362" s="81"/>
      <c r="F362" s="81"/>
      <c r="G362" s="81"/>
      <c r="H362" s="81"/>
      <c r="I362" s="81"/>
      <c r="J362" s="81"/>
      <c r="K362" s="81"/>
      <c r="L362" s="81"/>
      <c r="M362" s="81"/>
      <c r="N362" s="81"/>
      <c r="O362" s="81"/>
      <c r="P362" s="81"/>
      <c r="Q362" s="81"/>
      <c r="R362" s="4"/>
      <c r="S362" s="4"/>
      <c r="T362" s="4"/>
      <c r="U362" s="4"/>
      <c r="V362" s="4"/>
      <c r="W362" s="4"/>
      <c r="X362" s="4"/>
      <c r="Y362" s="4"/>
      <c r="Z362" s="4"/>
      <c r="AA362" s="4"/>
      <c r="AB362" s="4"/>
      <c r="AC362" s="4"/>
      <c r="AD362" s="4"/>
      <c r="AE362" s="4"/>
      <c r="AF362" s="81"/>
      <c r="AG362" s="81"/>
      <c r="AH362" s="81"/>
      <c r="AI362" s="81"/>
      <c r="AJ362" s="81"/>
      <c r="AK362" s="81"/>
      <c r="AL362" s="81"/>
      <c r="AM362" s="43">
        <v>346</v>
      </c>
      <c r="AN362">
        <v>236.94148870300523</v>
      </c>
      <c r="AO362">
        <v>72.647500755924597</v>
      </c>
      <c r="AP362">
        <v>479.89001275127021</v>
      </c>
      <c r="AQ362">
        <v>382.64939323024595</v>
      </c>
      <c r="AR362">
        <v>64.989005578101526</v>
      </c>
      <c r="AS362">
        <v>580.87118532800741</v>
      </c>
      <c r="AT362" t="e">
        <v>#DIV/0!</v>
      </c>
      <c r="AU362" t="e">
        <v>#DIV/0!</v>
      </c>
      <c r="AV362"/>
      <c r="AW362"/>
      <c r="FY362" s="211">
        <v>357</v>
      </c>
      <c r="FZ362">
        <v>15.736386361608956</v>
      </c>
      <c r="GA362">
        <v>53.613391126567848</v>
      </c>
      <c r="GB362">
        <v>69.218739960838775</v>
      </c>
      <c r="GC362">
        <v>34.844133441952124</v>
      </c>
      <c r="GD362">
        <v>10.646159591087459</v>
      </c>
      <c r="GE362">
        <v>34.281524390646595</v>
      </c>
      <c r="GF362">
        <v>58.857740168882763</v>
      </c>
      <c r="GG362">
        <v>40.117489212054217</v>
      </c>
      <c r="GH362">
        <v>31.632663765683947</v>
      </c>
      <c r="GI362">
        <v>43.826533563598623</v>
      </c>
      <c r="GJ362"/>
      <c r="GK362"/>
      <c r="GL362"/>
      <c r="GM362"/>
    </row>
    <row r="363" spans="1:195" s="7" customFormat="1">
      <c r="A363" s="4"/>
      <c r="B363" s="4"/>
      <c r="C363" s="4"/>
      <c r="D363" s="4"/>
      <c r="E363" s="4"/>
      <c r="F363" s="4"/>
      <c r="G363" s="4"/>
      <c r="H363" s="4"/>
      <c r="I363" s="4"/>
      <c r="J363" s="4"/>
      <c r="K363" s="4"/>
      <c r="L363" s="4"/>
      <c r="M363" s="4"/>
      <c r="N363" s="4"/>
      <c r="O363" s="4"/>
      <c r="P363" s="4"/>
      <c r="Q363" s="4"/>
      <c r="R363" s="4"/>
      <c r="S363" s="4"/>
      <c r="T363" s="4"/>
      <c r="U363" s="4"/>
      <c r="V363" s="4"/>
      <c r="W363" s="4"/>
      <c r="X363" s="4"/>
      <c r="Y363" s="4"/>
      <c r="Z363" s="4"/>
      <c r="AA363" s="4"/>
      <c r="AB363" s="4"/>
      <c r="AC363" s="4"/>
      <c r="AD363" s="4"/>
      <c r="AE363" s="4"/>
      <c r="AF363" s="81"/>
      <c r="AG363" s="81"/>
      <c r="AH363" s="81"/>
      <c r="AI363" s="81"/>
      <c r="AJ363" s="81"/>
      <c r="AK363" s="81"/>
      <c r="AL363" s="81"/>
      <c r="AM363" s="43">
        <v>347</v>
      </c>
      <c r="AN363">
        <v>274.14548424278104</v>
      </c>
      <c r="AO363">
        <v>79.900995934870778</v>
      </c>
      <c r="AP363">
        <v>579.45950468760645</v>
      </c>
      <c r="AQ363">
        <v>441.68296218222326</v>
      </c>
      <c r="AR363">
        <v>71.099575796580737</v>
      </c>
      <c r="AS363">
        <v>623.99222112862083</v>
      </c>
      <c r="AT363">
        <v>39.208652156709711</v>
      </c>
      <c r="AU363">
        <v>36.955692875074497</v>
      </c>
      <c r="AV363"/>
      <c r="AW363"/>
      <c r="FY363" s="211">
        <v>358</v>
      </c>
      <c r="FZ363">
        <v>9.6221011157866947</v>
      </c>
      <c r="GA363">
        <v>41.489467736495371</v>
      </c>
      <c r="GB363">
        <v>79.564869090909056</v>
      </c>
      <c r="GC363">
        <v>48.050243790628507</v>
      </c>
      <c r="GD363">
        <v>17.41758503364813</v>
      </c>
      <c r="GE363">
        <v>56.912179563084628</v>
      </c>
      <c r="GF363">
        <v>126.77497743634093</v>
      </c>
      <c r="GG363">
        <v>61.00751328826437</v>
      </c>
      <c r="GH363">
        <v>12.952532683036772</v>
      </c>
      <c r="GI363">
        <v>60.315566747984001</v>
      </c>
      <c r="GJ363"/>
      <c r="GK363"/>
      <c r="GL363"/>
      <c r="GM363"/>
    </row>
    <row r="364" spans="1:195" s="7" customFormat="1">
      <c r="A364" s="4"/>
      <c r="B364" s="4"/>
      <c r="C364" s="4"/>
      <c r="D364" s="4"/>
      <c r="E364" s="4"/>
      <c r="F364" s="4"/>
      <c r="G364" s="4"/>
      <c r="H364" s="4"/>
      <c r="I364" s="4"/>
      <c r="J364" s="4"/>
      <c r="K364" s="4"/>
      <c r="L364" s="4"/>
      <c r="M364" s="4"/>
      <c r="N364" s="4"/>
      <c r="O364" s="4"/>
      <c r="P364" s="4"/>
      <c r="Q364" s="4"/>
      <c r="R364" s="4"/>
      <c r="S364" s="4"/>
      <c r="T364" s="4"/>
      <c r="U364" s="4"/>
      <c r="V364" s="4"/>
      <c r="W364" s="4"/>
      <c r="X364" s="4"/>
      <c r="Y364" s="4"/>
      <c r="Z364" s="4"/>
      <c r="AA364" s="4"/>
      <c r="AB364" s="4"/>
      <c r="AC364" s="4"/>
      <c r="AD364" s="4"/>
      <c r="AE364" s="4"/>
      <c r="AF364" s="81"/>
      <c r="AG364" s="81"/>
      <c r="AH364" s="81"/>
      <c r="AI364" s="81"/>
      <c r="AJ364" s="81"/>
      <c r="AK364" s="81"/>
      <c r="AL364" s="81"/>
      <c r="AM364" s="43">
        <v>348</v>
      </c>
      <c r="AN364">
        <v>237.65692002478977</v>
      </c>
      <c r="AO364">
        <v>69.66815015840038</v>
      </c>
      <c r="AP364">
        <v>436.03750729732252</v>
      </c>
      <c r="AQ364">
        <v>349.99288639853785</v>
      </c>
      <c r="AR364">
        <v>62.321739558305211</v>
      </c>
      <c r="AS364">
        <v>533.0904899177782</v>
      </c>
      <c r="AT364">
        <v>33.735561014672292</v>
      </c>
      <c r="AU364">
        <v>71.591067424021318</v>
      </c>
      <c r="AV364"/>
      <c r="AW364"/>
      <c r="FY364" s="211">
        <v>359</v>
      </c>
      <c r="FZ364">
        <v>33.52131353517791</v>
      </c>
      <c r="GA364">
        <v>69.238766569854448</v>
      </c>
      <c r="GB364">
        <v>81.946438807545491</v>
      </c>
      <c r="GC364">
        <v>41.46057852150215</v>
      </c>
      <c r="GD364">
        <v>24.787572527423759</v>
      </c>
      <c r="GE364">
        <v>87.298826581249898</v>
      </c>
      <c r="GF364">
        <v>142.75677142626887</v>
      </c>
      <c r="GG364">
        <v>61.899134186626071</v>
      </c>
      <c r="GH364">
        <v>1.3082142962100143</v>
      </c>
      <c r="GI364">
        <v>70.522093618824172</v>
      </c>
      <c r="GJ364"/>
      <c r="GK364"/>
      <c r="GL364"/>
      <c r="GM364"/>
    </row>
    <row r="365" spans="1:195" s="7" customFormat="1">
      <c r="A365" s="4"/>
      <c r="B365" s="4"/>
      <c r="C365" s="4"/>
      <c r="D365" s="4"/>
      <c r="E365" s="4"/>
      <c r="F365" s="4"/>
      <c r="G365" s="4"/>
      <c r="H365" s="4"/>
      <c r="I365" s="4"/>
      <c r="J365" s="4"/>
      <c r="K365" s="4"/>
      <c r="L365" s="4"/>
      <c r="M365" s="4"/>
      <c r="N365" s="4"/>
      <c r="O365" s="4"/>
      <c r="P365" s="4"/>
      <c r="Q365" s="4"/>
      <c r="R365" s="4"/>
      <c r="S365" s="4"/>
      <c r="T365" s="4"/>
      <c r="U365" s="4"/>
      <c r="V365" s="4"/>
      <c r="W365" s="4"/>
      <c r="X365" s="4"/>
      <c r="Y365" s="4"/>
      <c r="Z365" s="4"/>
      <c r="AA365" s="4"/>
      <c r="AB365" s="4"/>
      <c r="AC365" s="4"/>
      <c r="AD365" s="4"/>
      <c r="AE365" s="4"/>
      <c r="AF365" s="81"/>
      <c r="AG365" s="81"/>
      <c r="AH365" s="81"/>
      <c r="AI365" s="81"/>
      <c r="AJ365" s="81"/>
      <c r="AK365" s="81"/>
      <c r="AL365" s="81"/>
      <c r="AM365" s="43">
        <v>349</v>
      </c>
      <c r="AN365">
        <v>226.68700676688158</v>
      </c>
      <c r="AO365">
        <v>86.100698970423849</v>
      </c>
      <c r="AP365">
        <v>593.36181719592946</v>
      </c>
      <c r="AQ365">
        <v>446.2996963697812</v>
      </c>
      <c r="AR365">
        <v>79.12250576802407</v>
      </c>
      <c r="AS365">
        <v>632.30321866961299</v>
      </c>
      <c r="AT365">
        <v>43.258870707694967</v>
      </c>
      <c r="AU365">
        <v>34.526590486827381</v>
      </c>
      <c r="AV365"/>
      <c r="AW365"/>
      <c r="FY365" s="211">
        <v>360</v>
      </c>
      <c r="FZ365">
        <v>7.6729362411677595</v>
      </c>
      <c r="GA365">
        <v>38.550577150443047</v>
      </c>
      <c r="GB365">
        <v>55.311855807534116</v>
      </c>
      <c r="GC365">
        <v>31.081932925675218</v>
      </c>
      <c r="GD365">
        <v>16.080897483656809</v>
      </c>
      <c r="GE365">
        <v>40.843582656726561</v>
      </c>
      <c r="GF365">
        <v>72.904736707982181</v>
      </c>
      <c r="GG365">
        <v>38.038153304923839</v>
      </c>
      <c r="GH365">
        <v>7.8469185148303371</v>
      </c>
      <c r="GI365">
        <v>41.126738904180677</v>
      </c>
      <c r="GJ365"/>
      <c r="GK365"/>
      <c r="GL365"/>
      <c r="GM365"/>
    </row>
    <row r="366" spans="1:195" s="7" customFormat="1">
      <c r="A366" s="4"/>
      <c r="B366" s="4"/>
      <c r="C366" s="4"/>
      <c r="D366" s="4"/>
      <c r="E366" s="4"/>
      <c r="F366" s="4"/>
      <c r="G366" s="4"/>
      <c r="H366" s="4"/>
      <c r="I366" s="4"/>
      <c r="J366" s="4"/>
      <c r="K366" s="4"/>
      <c r="L366" s="4"/>
      <c r="M366" s="4"/>
      <c r="N366" s="4"/>
      <c r="O366" s="4"/>
      <c r="P366" s="4"/>
      <c r="Q366" s="4"/>
      <c r="R366" s="4"/>
      <c r="S366" s="4"/>
      <c r="T366" s="4"/>
      <c r="U366" s="4"/>
      <c r="V366" s="4"/>
      <c r="W366" s="4"/>
      <c r="X366" s="4"/>
      <c r="Y366" s="4"/>
      <c r="Z366" s="4"/>
      <c r="AA366" s="4"/>
      <c r="AB366" s="4"/>
      <c r="AC366" s="4"/>
      <c r="AD366" s="4"/>
      <c r="AE366" s="4"/>
      <c r="AF366" s="81"/>
      <c r="AG366" s="81"/>
      <c r="AH366" s="81"/>
      <c r="AI366" s="81"/>
      <c r="AJ366" s="81"/>
      <c r="AK366" s="81"/>
      <c r="AL366" s="81"/>
      <c r="AM366" s="43">
        <v>350</v>
      </c>
      <c r="AN366">
        <v>252.00976006873103</v>
      </c>
      <c r="AO366">
        <v>75.648500913632205</v>
      </c>
      <c r="AP366">
        <v>570.25612450855067</v>
      </c>
      <c r="AQ366">
        <v>424.16232322184158</v>
      </c>
      <c r="AR366">
        <v>68.295162035665498</v>
      </c>
      <c r="AS366">
        <v>583.99912460343967</v>
      </c>
      <c r="AT366" t="e">
        <v>#DIV/0!</v>
      </c>
      <c r="AU366" t="e">
        <v>#DIV/0!</v>
      </c>
      <c r="AV366"/>
      <c r="AW366"/>
      <c r="FY366" s="211">
        <v>361</v>
      </c>
      <c r="FZ366">
        <v>18.473632157839855</v>
      </c>
      <c r="GA366">
        <v>45.135985961596646</v>
      </c>
      <c r="GB366">
        <v>80.735754941014875</v>
      </c>
      <c r="GC366">
        <v>51.704163564091289</v>
      </c>
      <c r="GD366">
        <v>18.045732401173719</v>
      </c>
      <c r="GE366">
        <v>68.657237387657148</v>
      </c>
      <c r="GF366">
        <v>100.49197732260296</v>
      </c>
      <c r="GG366">
        <v>47.022530750493551</v>
      </c>
      <c r="GH366">
        <v>49.932100535032795</v>
      </c>
      <c r="GI366">
        <v>62.298478425650082</v>
      </c>
      <c r="GJ366"/>
      <c r="GK366"/>
      <c r="GL366"/>
      <c r="GM366"/>
    </row>
    <row r="367" spans="1:195" s="7" customFormat="1">
      <c r="A367" s="4"/>
      <c r="B367" s="4"/>
      <c r="C367" s="4"/>
      <c r="D367" s="4"/>
      <c r="E367" s="4"/>
      <c r="F367" s="4"/>
      <c r="G367" s="4"/>
      <c r="H367" s="4"/>
      <c r="I367" s="4"/>
      <c r="J367" s="4"/>
      <c r="K367" s="4"/>
      <c r="L367" s="4"/>
      <c r="M367" s="4"/>
      <c r="N367" s="4"/>
      <c r="O367" s="4"/>
      <c r="P367" s="4"/>
      <c r="Q367" s="4"/>
      <c r="R367" s="4"/>
      <c r="S367" s="4"/>
      <c r="T367" s="4"/>
      <c r="U367" s="4"/>
      <c r="V367" s="4"/>
      <c r="W367" s="4"/>
      <c r="X367" s="4"/>
      <c r="Y367" s="4"/>
      <c r="Z367" s="4"/>
      <c r="AA367" s="4"/>
      <c r="AB367" s="4"/>
      <c r="AC367" s="4"/>
      <c r="AD367" s="4"/>
      <c r="AE367" s="4"/>
      <c r="AF367" s="81"/>
      <c r="AG367" s="81"/>
      <c r="AH367" s="81"/>
      <c r="AI367" s="81"/>
      <c r="AJ367" s="81"/>
      <c r="AK367" s="81"/>
      <c r="AL367" s="81"/>
      <c r="AM367" s="43">
        <v>351</v>
      </c>
      <c r="AN367">
        <v>222.00004321670264</v>
      </c>
      <c r="AO367">
        <v>67.415351924815042</v>
      </c>
      <c r="AP367">
        <v>506.84264166057727</v>
      </c>
      <c r="AQ367">
        <v>392.2650700209993</v>
      </c>
      <c r="AR367">
        <v>61.081962062095435</v>
      </c>
      <c r="AS367">
        <v>488.26376196287737</v>
      </c>
      <c r="AT367">
        <v>31.808366504401274</v>
      </c>
      <c r="AU367">
        <v>6.1129172536298446</v>
      </c>
      <c r="AV367"/>
      <c r="AW367"/>
      <c r="FY367" s="211">
        <v>362</v>
      </c>
      <c r="FZ367">
        <v>11.654514192543722</v>
      </c>
      <c r="GA367">
        <v>51.859972489571248</v>
      </c>
      <c r="GB367">
        <v>94.357588198932746</v>
      </c>
      <c r="GC367">
        <v>52.199275628504992</v>
      </c>
      <c r="GD367">
        <v>15.188074623293607</v>
      </c>
      <c r="GE367">
        <v>33.702208217235821</v>
      </c>
      <c r="GF367">
        <v>69.827921294763769</v>
      </c>
      <c r="GG367">
        <v>48.22394792764436</v>
      </c>
      <c r="GH367">
        <v>23.249320245020414</v>
      </c>
      <c r="GI367">
        <v>53.486050789644459</v>
      </c>
      <c r="GJ367"/>
      <c r="GK367"/>
      <c r="GL367"/>
      <c r="GM367"/>
    </row>
    <row r="368" spans="1:195" s="7" customFormat="1">
      <c r="A368" s="4"/>
      <c r="B368" s="4"/>
      <c r="C368" s="4"/>
      <c r="D368" s="34"/>
      <c r="E368" s="4"/>
      <c r="F368" s="4"/>
      <c r="G368" s="4"/>
      <c r="H368" s="4" t="s">
        <v>129</v>
      </c>
      <c r="I368" s="4"/>
      <c r="J368" s="4"/>
      <c r="K368" s="4"/>
      <c r="L368" s="4"/>
      <c r="M368" s="4"/>
      <c r="N368" s="4"/>
      <c r="O368" s="4"/>
      <c r="P368" s="4"/>
      <c r="Q368" s="4"/>
      <c r="R368" s="4"/>
      <c r="S368" s="4"/>
      <c r="T368" s="4"/>
      <c r="U368" s="4"/>
      <c r="V368" s="4"/>
      <c r="W368" s="4"/>
      <c r="X368" s="4"/>
      <c r="Y368" s="4"/>
      <c r="Z368" s="4"/>
      <c r="AA368" s="4"/>
      <c r="AB368" s="4"/>
      <c r="AC368" s="4"/>
      <c r="AD368" s="4"/>
      <c r="AE368" s="4"/>
      <c r="AF368" s="81"/>
      <c r="AG368" s="81"/>
      <c r="AH368" s="81"/>
      <c r="AI368" s="81"/>
      <c r="AJ368" s="81"/>
      <c r="AK368" s="81"/>
      <c r="AL368" s="81"/>
      <c r="AM368" s="43">
        <v>352</v>
      </c>
      <c r="AN368">
        <v>260.47202383854869</v>
      </c>
      <c r="AO368">
        <v>89.903869040803244</v>
      </c>
      <c r="AP368">
        <v>659.01353182648597</v>
      </c>
      <c r="AQ368">
        <v>496.92849930064261</v>
      </c>
      <c r="AR368">
        <v>81.578570949762295</v>
      </c>
      <c r="AS368">
        <v>683.00020557516825</v>
      </c>
      <c r="AT368">
        <v>43.000170431315446</v>
      </c>
      <c r="AU368">
        <v>103.32903079522308</v>
      </c>
      <c r="AV368"/>
      <c r="AW368"/>
      <c r="FY368" s="211">
        <v>363</v>
      </c>
      <c r="FZ368">
        <v>15.54702322047639</v>
      </c>
      <c r="GA368">
        <v>58.473794403122639</v>
      </c>
      <c r="GB368">
        <v>65.994884821575482</v>
      </c>
      <c r="GC368">
        <v>41.38703990852359</v>
      </c>
      <c r="GD368">
        <v>19.992486398900805</v>
      </c>
      <c r="GE368">
        <v>37.149806504267644</v>
      </c>
      <c r="GF368">
        <v>96.908796997279879</v>
      </c>
      <c r="GG368">
        <v>70.958357764341272</v>
      </c>
      <c r="GH368">
        <v>22.360962601670664</v>
      </c>
      <c r="GI368">
        <v>54.946717553893173</v>
      </c>
      <c r="GJ368"/>
      <c r="GK368"/>
      <c r="GL368"/>
      <c r="GM368"/>
    </row>
    <row r="369" spans="1:195" s="7" customFormat="1">
      <c r="A369" s="36"/>
      <c r="B369" s="66"/>
      <c r="C369" s="66"/>
      <c r="D369" s="91"/>
      <c r="E369" s="66"/>
      <c r="F369" s="66"/>
      <c r="G369" s="66"/>
      <c r="H369" s="66"/>
      <c r="I369" s="66"/>
      <c r="J369" s="66"/>
      <c r="K369" s="66"/>
      <c r="L369" s="66"/>
      <c r="M369" s="66"/>
      <c r="N369" s="66"/>
      <c r="O369" s="66"/>
      <c r="P369" s="66"/>
      <c r="Q369" s="66"/>
      <c r="R369" s="92"/>
      <c r="S369" s="92"/>
      <c r="T369" s="57"/>
      <c r="U369" s="57"/>
      <c r="V369" s="57"/>
      <c r="W369" s="57"/>
      <c r="X369" s="57"/>
      <c r="Y369" s="57"/>
      <c r="Z369" s="57"/>
      <c r="AA369" s="57"/>
      <c r="AB369" s="57"/>
      <c r="AC369" s="57"/>
      <c r="AD369" s="57"/>
      <c r="AE369" s="57"/>
      <c r="AF369" s="93"/>
      <c r="AG369" s="93"/>
      <c r="AH369" s="93"/>
      <c r="AI369" s="93"/>
      <c r="AJ369" s="93"/>
      <c r="AK369" s="93"/>
      <c r="AL369" s="93"/>
      <c r="AM369" s="43">
        <v>353</v>
      </c>
      <c r="AN369">
        <v>240.28137245059261</v>
      </c>
      <c r="AO369">
        <v>92.90905882973621</v>
      </c>
      <c r="AP369">
        <v>661.60350351530815</v>
      </c>
      <c r="AQ369">
        <v>490.9198740028861</v>
      </c>
      <c r="AR369">
        <v>82.297458494127056</v>
      </c>
      <c r="AS369">
        <v>643.22246444255791</v>
      </c>
      <c r="AT369">
        <v>42.692916725096815</v>
      </c>
      <c r="AU369">
        <v>85.776809046530744</v>
      </c>
      <c r="AV369"/>
      <c r="AW369"/>
      <c r="FY369" s="211">
        <v>364</v>
      </c>
      <c r="FZ369">
        <v>19.347711680746038</v>
      </c>
      <c r="GA369">
        <v>53.432553549305254</v>
      </c>
      <c r="GB369">
        <v>54.837747511801389</v>
      </c>
      <c r="GC369">
        <v>35.761553869065317</v>
      </c>
      <c r="GD369">
        <v>17.752341610498544</v>
      </c>
      <c r="GE369">
        <v>45.171596425768008</v>
      </c>
      <c r="GF369">
        <v>77.629832721359293</v>
      </c>
      <c r="GG369">
        <v>42.994249956595517</v>
      </c>
      <c r="GH369">
        <v>27.490990087909122</v>
      </c>
      <c r="GI369">
        <v>46.990900346897838</v>
      </c>
      <c r="GJ369"/>
      <c r="GK369"/>
      <c r="GL369"/>
      <c r="GM369"/>
    </row>
    <row r="370" spans="1:195" s="7" customFormat="1">
      <c r="A370" s="9" t="s">
        <v>63</v>
      </c>
      <c r="B370" s="10" t="s">
        <v>64</v>
      </c>
      <c r="C370" s="10"/>
      <c r="D370" s="10"/>
      <c r="E370" s="10"/>
      <c r="F370" s="45"/>
      <c r="G370" s="45"/>
      <c r="H370" s="45"/>
      <c r="I370" s="45"/>
      <c r="J370" s="45"/>
      <c r="K370" s="45"/>
      <c r="L370" s="45"/>
      <c r="M370" s="46"/>
      <c r="N370" s="46"/>
      <c r="O370" s="47"/>
      <c r="P370" s="10"/>
      <c r="Q370" s="11"/>
      <c r="R370" s="10"/>
      <c r="S370" s="11"/>
      <c r="T370" s="11"/>
      <c r="U370" s="11"/>
      <c r="V370" s="10"/>
      <c r="W370" s="10"/>
      <c r="X370" s="10"/>
      <c r="Y370" s="10"/>
      <c r="Z370" s="10"/>
      <c r="AA370" s="10"/>
      <c r="AB370" s="10"/>
      <c r="AC370" s="10"/>
      <c r="AD370" s="10"/>
      <c r="AE370" s="10"/>
      <c r="AF370" s="94"/>
      <c r="AG370" s="94"/>
      <c r="AH370" s="94"/>
      <c r="AI370" s="94"/>
      <c r="AJ370" s="94"/>
      <c r="AK370" s="94"/>
      <c r="AL370" s="78"/>
      <c r="AM370" s="43">
        <v>354</v>
      </c>
      <c r="AN370">
        <v>242.14427647043559</v>
      </c>
      <c r="AO370">
        <v>74.945477996802808</v>
      </c>
      <c r="AP370">
        <v>520.23186848894341</v>
      </c>
      <c r="AQ370">
        <v>399.93403536944567</v>
      </c>
      <c r="AR370">
        <v>67.938200498929419</v>
      </c>
      <c r="AS370">
        <v>613.02495972961447</v>
      </c>
      <c r="AT370">
        <v>37.84063869932816</v>
      </c>
      <c r="AU370">
        <v>61.662969332373279</v>
      </c>
      <c r="AV370"/>
      <c r="AW370"/>
      <c r="FY370" s="211">
        <v>365</v>
      </c>
      <c r="FZ370">
        <v>31.007465226878793</v>
      </c>
      <c r="GA370">
        <v>78.690127080711164</v>
      </c>
      <c r="GB370">
        <v>66.715227192553996</v>
      </c>
      <c r="GC370">
        <v>30.9841231504559</v>
      </c>
      <c r="GD370">
        <v>24.837617883959819</v>
      </c>
      <c r="GE370">
        <v>70.109658068425546</v>
      </c>
      <c r="GF370">
        <v>93.802196064281887</v>
      </c>
      <c r="GG370">
        <v>66.52164799699284</v>
      </c>
      <c r="GH370">
        <v>35.985442333422917</v>
      </c>
      <c r="GI370">
        <v>62.289114923492058</v>
      </c>
      <c r="GJ370"/>
      <c r="GK370"/>
      <c r="GL370"/>
      <c r="GM370"/>
    </row>
    <row r="371" spans="1:195" s="7" customFormat="1">
      <c r="A371" s="9" t="s">
        <v>65</v>
      </c>
      <c r="B371" s="11" t="s">
        <v>66</v>
      </c>
      <c r="C371" s="10"/>
      <c r="D371" s="10"/>
      <c r="E371" s="10"/>
      <c r="F371" s="10"/>
      <c r="G371" s="10">
        <v>0.5</v>
      </c>
      <c r="H371" s="45">
        <v>1</v>
      </c>
      <c r="I371" s="45">
        <v>2</v>
      </c>
      <c r="J371" s="45">
        <v>3</v>
      </c>
      <c r="K371" s="45">
        <v>4</v>
      </c>
      <c r="L371" s="45">
        <v>5</v>
      </c>
      <c r="M371" s="45">
        <v>6</v>
      </c>
      <c r="N371" s="45">
        <v>7</v>
      </c>
      <c r="O371" s="46">
        <v>8</v>
      </c>
      <c r="P371" s="46">
        <v>9</v>
      </c>
      <c r="Q371" s="47">
        <v>10</v>
      </c>
      <c r="R371" s="46">
        <v>11</v>
      </c>
      <c r="S371" s="47">
        <v>12</v>
      </c>
      <c r="T371" s="46">
        <v>13</v>
      </c>
      <c r="U371" s="47">
        <v>14</v>
      </c>
      <c r="V371" s="46">
        <v>15</v>
      </c>
      <c r="W371" s="47">
        <v>16</v>
      </c>
      <c r="X371" s="46">
        <v>17</v>
      </c>
      <c r="Y371" s="47">
        <v>18</v>
      </c>
      <c r="Z371" s="46">
        <v>19</v>
      </c>
      <c r="AA371" s="47">
        <v>20</v>
      </c>
      <c r="AB371" s="46">
        <v>21</v>
      </c>
      <c r="AC371" s="47">
        <v>22</v>
      </c>
      <c r="AD371" s="46">
        <v>23</v>
      </c>
      <c r="AE371" s="47">
        <v>24</v>
      </c>
      <c r="AF371" s="46">
        <v>25</v>
      </c>
      <c r="AG371" s="47">
        <v>26</v>
      </c>
      <c r="AH371" s="46">
        <v>27</v>
      </c>
      <c r="AI371" s="47">
        <v>28</v>
      </c>
      <c r="AJ371" s="46">
        <v>29</v>
      </c>
      <c r="AK371" s="47">
        <v>30</v>
      </c>
      <c r="AL371" s="78"/>
      <c r="AM371" s="43">
        <v>355</v>
      </c>
      <c r="AN371">
        <v>284.13981638592867</v>
      </c>
      <c r="AO371">
        <v>87.214897150890948</v>
      </c>
      <c r="AP371">
        <v>673.63108637304356</v>
      </c>
      <c r="AQ371">
        <v>512.16545713907374</v>
      </c>
      <c r="AR371">
        <v>78.005528586543761</v>
      </c>
      <c r="AS371">
        <v>668.29065772808576</v>
      </c>
      <c r="AT371">
        <v>43.362878218305724</v>
      </c>
      <c r="AU371">
        <v>45.792635256116398</v>
      </c>
      <c r="AV371"/>
      <c r="AW371"/>
      <c r="FY371" s="211">
        <v>366</v>
      </c>
      <c r="FZ371">
        <v>6.6671121936305724</v>
      </c>
      <c r="GA371">
        <v>45.603547992263017</v>
      </c>
      <c r="GB371">
        <v>49.31717430075701</v>
      </c>
      <c r="GC371">
        <v>31.25292638504845</v>
      </c>
      <c r="GD371">
        <v>22.405588621718433</v>
      </c>
      <c r="GE371">
        <v>61.475901490649534</v>
      </c>
      <c r="GF371">
        <v>77.422965047929978</v>
      </c>
      <c r="GG371">
        <v>21.648868557068013</v>
      </c>
      <c r="GH371">
        <v>14.076995229714417</v>
      </c>
      <c r="GI371">
        <v>44.686773852542011</v>
      </c>
      <c r="GJ371"/>
      <c r="GK371"/>
      <c r="GL371"/>
      <c r="GM371"/>
    </row>
    <row r="372" spans="1:195" s="7" customFormat="1">
      <c r="A372" s="95"/>
      <c r="B372" s="13"/>
      <c r="C372" s="10" t="s">
        <v>35</v>
      </c>
      <c r="D372" s="10" t="s">
        <v>67</v>
      </c>
      <c r="E372" s="10" t="s">
        <v>68</v>
      </c>
      <c r="F372" s="10" t="s">
        <v>69</v>
      </c>
      <c r="G372" s="59">
        <f>+G36</f>
        <v>1.3192061168748582E-3</v>
      </c>
      <c r="H372" s="59">
        <f t="shared" ref="H372:AK372" si="355">+H36</f>
        <v>9.8674000000000001E-3</v>
      </c>
      <c r="I372" s="59">
        <f t="shared" si="355"/>
        <v>7.3806194130341674E-2</v>
      </c>
      <c r="J372" s="59">
        <f t="shared" si="355"/>
        <v>0.23948909135319835</v>
      </c>
      <c r="K372" s="59">
        <f t="shared" si="355"/>
        <v>0.55205568761838808</v>
      </c>
      <c r="L372" s="59">
        <f t="shared" si="355"/>
        <v>1.0551462416913167</v>
      </c>
      <c r="M372" s="59">
        <f t="shared" si="355"/>
        <v>1.7913308843781834</v>
      </c>
      <c r="N372" s="59">
        <f t="shared" si="355"/>
        <v>2.8023497955899321</v>
      </c>
      <c r="O372" s="59">
        <f t="shared" si="355"/>
        <v>4.1292670056065459</v>
      </c>
      <c r="P372" s="59">
        <f t="shared" si="355"/>
        <v>5.8125772622150294</v>
      </c>
      <c r="Q372" s="59">
        <f t="shared" si="355"/>
        <v>7.8922845278563596</v>
      </c>
      <c r="R372" s="59">
        <f t="shared" si="355"/>
        <v>10.407962020919701</v>
      </c>
      <c r="S372" s="59">
        <f t="shared" si="355"/>
        <v>13.398799582878256</v>
      </c>
      <c r="T372" s="59">
        <f t="shared" si="355"/>
        <v>16.903641970973688</v>
      </c>
      <c r="U372" s="59">
        <f t="shared" si="355"/>
        <v>20.961020434403583</v>
      </c>
      <c r="V372" s="59">
        <f t="shared" si="355"/>
        <v>25.609179182702185</v>
      </c>
      <c r="W372" s="59">
        <f t="shared" si="355"/>
        <v>30.886097881084297</v>
      </c>
      <c r="X372" s="59">
        <f t="shared" si="355"/>
        <v>36.829510995882423</v>
      </c>
      <c r="Y372" s="59">
        <f t="shared" si="355"/>
        <v>43.47692460148081</v>
      </c>
      <c r="Z372" s="59">
        <f t="shared" si="355"/>
        <v>50.86563111224924</v>
      </c>
      <c r="AA372" s="59">
        <f t="shared" si="355"/>
        <v>59.03272229714598</v>
      </c>
      <c r="AB372" s="59">
        <f t="shared" si="355"/>
        <v>68.015100857333607</v>
      </c>
      <c r="AC372" s="59">
        <f t="shared" si="355"/>
        <v>77.849490789592309</v>
      </c>
      <c r="AD372" s="59">
        <f t="shared" si="355"/>
        <v>88.572446714768745</v>
      </c>
      <c r="AE372" s="59">
        <f t="shared" si="355"/>
        <v>100.22036231706966</v>
      </c>
      <c r="AF372" s="59">
        <f t="shared" si="355"/>
        <v>112.82947801399668</v>
      </c>
      <c r="AG372" s="59">
        <f t="shared" si="355"/>
        <v>126.43588795624756</v>
      </c>
      <c r="AH372" s="59">
        <f t="shared" si="355"/>
        <v>141.07554644061625</v>
      </c>
      <c r="AI372" s="59">
        <f t="shared" si="355"/>
        <v>156.78427380583037</v>
      </c>
      <c r="AJ372" s="59">
        <f t="shared" si="355"/>
        <v>173.59776187064006</v>
      </c>
      <c r="AK372" s="59">
        <f t="shared" si="355"/>
        <v>191.55157896479565</v>
      </c>
      <c r="AL372" s="78"/>
      <c r="AM372" s="43">
        <v>356</v>
      </c>
      <c r="AN372">
        <v>252.86533549991867</v>
      </c>
      <c r="AO372">
        <v>84.319570053922646</v>
      </c>
      <c r="AP372">
        <v>570.73843148609433</v>
      </c>
      <c r="AQ372">
        <v>440.62859088606007</v>
      </c>
      <c r="AR372">
        <v>75.538926718661557</v>
      </c>
      <c r="AS372">
        <v>631.37838256697046</v>
      </c>
      <c r="AT372">
        <v>41.483084723769238</v>
      </c>
      <c r="AU372">
        <v>108.87679231810117</v>
      </c>
      <c r="AV372"/>
      <c r="AW372"/>
      <c r="FY372" s="211">
        <v>367</v>
      </c>
      <c r="FZ372">
        <v>7.2730579067668693</v>
      </c>
      <c r="GA372">
        <v>35.120309672833947</v>
      </c>
      <c r="GB372">
        <v>111.82298552979952</v>
      </c>
      <c r="GC372">
        <v>65.680094126555758</v>
      </c>
      <c r="GD372">
        <v>16.270629456720997</v>
      </c>
      <c r="GE372">
        <v>56.159424853421783</v>
      </c>
      <c r="GF372">
        <v>122.92864985056913</v>
      </c>
      <c r="GG372">
        <v>58.826778487545766</v>
      </c>
      <c r="GH372">
        <v>16.552380516543568</v>
      </c>
      <c r="GI372">
        <v>67.747877273282697</v>
      </c>
      <c r="GJ372"/>
      <c r="GK372"/>
      <c r="GL372"/>
      <c r="GM372"/>
    </row>
    <row r="373" spans="1:195" s="7" customFormat="1">
      <c r="A373" s="95"/>
      <c r="B373" s="71">
        <f t="shared" ref="B373:B378" si="356">+C4</f>
        <v>39646</v>
      </c>
      <c r="C373" s="18">
        <f t="shared" ref="C373:C382" si="357">+D70</f>
        <v>14.583333333333332</v>
      </c>
      <c r="D373" s="18">
        <f t="shared" ref="D373:D382" si="358">SUM(G373:AK373)</f>
        <v>1.3670682728480834</v>
      </c>
      <c r="E373" s="19">
        <f t="shared" ref="E373:E382" si="359">IF(C373&lt;1, 0.000001, D373/C373)</f>
        <v>9.374182442386858E-2</v>
      </c>
      <c r="F373" s="19"/>
      <c r="G373" s="18">
        <f>AVERAGE(E228:E237)*G$372</f>
        <v>0</v>
      </c>
      <c r="H373" s="18">
        <f t="shared" ref="H373:AK373" si="360">AVERAGE(F228:F237)*H$372</f>
        <v>6.1671250000000004E-2</v>
      </c>
      <c r="I373" s="18">
        <f t="shared" si="360"/>
        <v>0.30752580887642361</v>
      </c>
      <c r="J373" s="18">
        <f t="shared" si="360"/>
        <v>0.99787121397165968</v>
      </c>
      <c r="K373" s="18">
        <f t="shared" si="360"/>
        <v>0</v>
      </c>
      <c r="L373" s="18">
        <f t="shared" si="360"/>
        <v>0</v>
      </c>
      <c r="M373" s="18">
        <f t="shared" si="360"/>
        <v>0</v>
      </c>
      <c r="N373" s="18">
        <f t="shared" si="360"/>
        <v>0</v>
      </c>
      <c r="O373" s="18">
        <f t="shared" si="360"/>
        <v>0</v>
      </c>
      <c r="P373" s="18">
        <f t="shared" si="360"/>
        <v>0</v>
      </c>
      <c r="Q373" s="18">
        <f t="shared" si="360"/>
        <v>0</v>
      </c>
      <c r="R373" s="18">
        <f t="shared" si="360"/>
        <v>0</v>
      </c>
      <c r="S373" s="18">
        <f t="shared" si="360"/>
        <v>0</v>
      </c>
      <c r="T373" s="18">
        <f t="shared" si="360"/>
        <v>0</v>
      </c>
      <c r="U373" s="18">
        <f t="shared" si="360"/>
        <v>0</v>
      </c>
      <c r="V373" s="18">
        <f t="shared" si="360"/>
        <v>0</v>
      </c>
      <c r="W373" s="18">
        <f t="shared" si="360"/>
        <v>0</v>
      </c>
      <c r="X373" s="18">
        <f t="shared" si="360"/>
        <v>0</v>
      </c>
      <c r="Y373" s="18">
        <f t="shared" si="360"/>
        <v>0</v>
      </c>
      <c r="Z373" s="18">
        <f t="shared" si="360"/>
        <v>0</v>
      </c>
      <c r="AA373" s="18">
        <f t="shared" si="360"/>
        <v>0</v>
      </c>
      <c r="AB373" s="18">
        <f t="shared" si="360"/>
        <v>0</v>
      </c>
      <c r="AC373" s="18">
        <f t="shared" si="360"/>
        <v>0</v>
      </c>
      <c r="AD373" s="18">
        <f t="shared" si="360"/>
        <v>0</v>
      </c>
      <c r="AE373" s="18">
        <f t="shared" si="360"/>
        <v>0</v>
      </c>
      <c r="AF373" s="18">
        <f t="shared" si="360"/>
        <v>0</v>
      </c>
      <c r="AG373" s="18">
        <f t="shared" si="360"/>
        <v>0</v>
      </c>
      <c r="AH373" s="18">
        <f t="shared" si="360"/>
        <v>0</v>
      </c>
      <c r="AI373" s="18">
        <f t="shared" si="360"/>
        <v>0</v>
      </c>
      <c r="AJ373" s="18">
        <f t="shared" si="360"/>
        <v>0</v>
      </c>
      <c r="AK373" s="18">
        <f t="shared" si="360"/>
        <v>0</v>
      </c>
      <c r="AL373" s="78"/>
      <c r="AM373" s="43">
        <v>357</v>
      </c>
      <c r="AN373">
        <v>225.23139724348556</v>
      </c>
      <c r="AO373">
        <v>69.381956964331991</v>
      </c>
      <c r="AP373">
        <v>540.29433868510478</v>
      </c>
      <c r="AQ373">
        <v>392.77476158292131</v>
      </c>
      <c r="AR373">
        <v>61.791075905281666</v>
      </c>
      <c r="AS373">
        <v>520.70503047067416</v>
      </c>
      <c r="AT373">
        <v>33.987985783223472</v>
      </c>
      <c r="AU373">
        <v>57.343407569061434</v>
      </c>
      <c r="AV373"/>
      <c r="AW373"/>
      <c r="FY373" s="211">
        <v>368</v>
      </c>
      <c r="FZ373">
        <v>18.404176071643843</v>
      </c>
      <c r="GA373">
        <v>64.046457559196824</v>
      </c>
      <c r="GB373">
        <v>85.977238110337098</v>
      </c>
      <c r="GC373">
        <v>46.677177807541334</v>
      </c>
      <c r="GD373">
        <v>16.128900341190622</v>
      </c>
      <c r="GE373">
        <v>49.641244414507085</v>
      </c>
      <c r="GF373">
        <v>72.385639268989081</v>
      </c>
      <c r="GG373">
        <v>34.965243535640397</v>
      </c>
      <c r="GH373">
        <v>30.319811415750909</v>
      </c>
      <c r="GI373">
        <v>53.185204129557434</v>
      </c>
      <c r="GJ373"/>
      <c r="GK373"/>
      <c r="GL373"/>
      <c r="GM373"/>
    </row>
    <row r="374" spans="1:195" s="7" customFormat="1">
      <c r="A374" s="95"/>
      <c r="B374" s="71">
        <f t="shared" si="356"/>
        <v>39673</v>
      </c>
      <c r="C374" s="18">
        <f t="shared" si="357"/>
        <v>96.612394957983199</v>
      </c>
      <c r="D374" s="18">
        <f t="shared" si="358"/>
        <v>29.673625669356458</v>
      </c>
      <c r="E374" s="19">
        <f t="shared" si="359"/>
        <v>0.3071409800187806</v>
      </c>
      <c r="F374" s="19">
        <f>IF(F388&lt;0,0,F388)</f>
        <v>4.3954163169574713E-2</v>
      </c>
      <c r="G374" s="18">
        <f>AVERAGE(E238:E247)*G$372</f>
        <v>0</v>
      </c>
      <c r="H374" s="18">
        <f t="shared" ref="H374:AK374" si="361">AVERAGE(F238:F247)*H$372</f>
        <v>1.0278541666666665E-2</v>
      </c>
      <c r="I374" s="18">
        <f t="shared" si="361"/>
        <v>5.3065430367814805</v>
      </c>
      <c r="J374" s="18">
        <f t="shared" si="361"/>
        <v>3.9230034980650546</v>
      </c>
      <c r="K374" s="18">
        <f t="shared" si="361"/>
        <v>0</v>
      </c>
      <c r="L374" s="18">
        <f t="shared" si="361"/>
        <v>0</v>
      </c>
      <c r="M374" s="18">
        <f t="shared" si="361"/>
        <v>0</v>
      </c>
      <c r="N374" s="18">
        <f t="shared" si="361"/>
        <v>20.433800592843255</v>
      </c>
      <c r="O374" s="18">
        <f t="shared" si="361"/>
        <v>0</v>
      </c>
      <c r="P374" s="18">
        <f t="shared" si="361"/>
        <v>0</v>
      </c>
      <c r="Q374" s="18">
        <f t="shared" si="361"/>
        <v>0</v>
      </c>
      <c r="R374" s="18">
        <f t="shared" si="361"/>
        <v>0</v>
      </c>
      <c r="S374" s="18">
        <f t="shared" si="361"/>
        <v>0</v>
      </c>
      <c r="T374" s="18">
        <f t="shared" si="361"/>
        <v>0</v>
      </c>
      <c r="U374" s="18">
        <f t="shared" si="361"/>
        <v>0</v>
      </c>
      <c r="V374" s="18">
        <f t="shared" si="361"/>
        <v>0</v>
      </c>
      <c r="W374" s="18">
        <f t="shared" si="361"/>
        <v>0</v>
      </c>
      <c r="X374" s="18">
        <f t="shared" si="361"/>
        <v>0</v>
      </c>
      <c r="Y374" s="18">
        <f t="shared" si="361"/>
        <v>0</v>
      </c>
      <c r="Z374" s="18">
        <f t="shared" si="361"/>
        <v>0</v>
      </c>
      <c r="AA374" s="18">
        <f t="shared" si="361"/>
        <v>0</v>
      </c>
      <c r="AB374" s="18">
        <f t="shared" si="361"/>
        <v>0</v>
      </c>
      <c r="AC374" s="18">
        <f t="shared" si="361"/>
        <v>0</v>
      </c>
      <c r="AD374" s="18">
        <f t="shared" si="361"/>
        <v>0</v>
      </c>
      <c r="AE374" s="18">
        <f t="shared" si="361"/>
        <v>0</v>
      </c>
      <c r="AF374" s="18">
        <f t="shared" si="361"/>
        <v>0</v>
      </c>
      <c r="AG374" s="18">
        <f t="shared" si="361"/>
        <v>0</v>
      </c>
      <c r="AH374" s="18">
        <f t="shared" si="361"/>
        <v>0</v>
      </c>
      <c r="AI374" s="18">
        <f t="shared" si="361"/>
        <v>0</v>
      </c>
      <c r="AJ374" s="18">
        <f t="shared" si="361"/>
        <v>0</v>
      </c>
      <c r="AK374" s="18">
        <f t="shared" si="361"/>
        <v>0</v>
      </c>
      <c r="AL374" s="78"/>
      <c r="AM374" s="43">
        <v>358</v>
      </c>
      <c r="AN374">
        <v>289.80375591055287</v>
      </c>
      <c r="AO374">
        <v>95.861355285868598</v>
      </c>
      <c r="AP374">
        <v>712.40418464952745</v>
      </c>
      <c r="AQ374">
        <v>514.10703648617846</v>
      </c>
      <c r="AR374">
        <v>84.894691706258016</v>
      </c>
      <c r="AS374">
        <v>706.94790038188455</v>
      </c>
      <c r="AT374">
        <v>46.522022711046766</v>
      </c>
      <c r="AU374">
        <v>141.48577197382986</v>
      </c>
      <c r="AV374"/>
      <c r="AW374"/>
      <c r="FY374" s="211">
        <v>369</v>
      </c>
      <c r="FZ374">
        <v>18.510807590487964</v>
      </c>
      <c r="GA374">
        <v>50.327923807934781</v>
      </c>
      <c r="GB374">
        <v>62.860714423545325</v>
      </c>
      <c r="GC374">
        <v>40.495528278730113</v>
      </c>
      <c r="GD374">
        <v>16.912813529743122</v>
      </c>
      <c r="GE374">
        <v>35.091244450135889</v>
      </c>
      <c r="GF374">
        <v>70.113007157448891</v>
      </c>
      <c r="GG374">
        <v>40.607692940432386</v>
      </c>
      <c r="GH374">
        <v>15.800209754880981</v>
      </c>
      <c r="GI374">
        <v>44.975341868466849</v>
      </c>
      <c r="GJ374"/>
      <c r="GK374"/>
      <c r="GL374"/>
      <c r="GM374"/>
    </row>
    <row r="375" spans="1:195" s="7" customFormat="1">
      <c r="A375" s="95"/>
      <c r="B375" s="71">
        <f t="shared" si="356"/>
        <v>39714</v>
      </c>
      <c r="C375" s="18">
        <f t="shared" si="357"/>
        <v>184.07738095238093</v>
      </c>
      <c r="D375" s="18">
        <f t="shared" si="358"/>
        <v>35.183685053229439</v>
      </c>
      <c r="E375" s="19">
        <f t="shared" si="359"/>
        <v>0.19113529794478726</v>
      </c>
      <c r="F375" s="19">
        <f>IF(F389&lt;0,0,F389)</f>
        <v>0</v>
      </c>
      <c r="G375" s="18">
        <f>AVERAGE(E248:E257)*G$372</f>
        <v>0</v>
      </c>
      <c r="H375" s="18">
        <f t="shared" ref="H375:AK375" si="362">AVERAGE(F248:F257)*H$372</f>
        <v>0.1762035714285714</v>
      </c>
      <c r="I375" s="18">
        <f t="shared" si="362"/>
        <v>6.1944484359393899</v>
      </c>
      <c r="J375" s="18">
        <f t="shared" si="362"/>
        <v>13.720729192110321</v>
      </c>
      <c r="K375" s="18">
        <f t="shared" si="362"/>
        <v>13.226334182523882</v>
      </c>
      <c r="L375" s="18">
        <f t="shared" si="362"/>
        <v>0</v>
      </c>
      <c r="M375" s="18">
        <f t="shared" si="362"/>
        <v>1.8659696712272742</v>
      </c>
      <c r="N375" s="18">
        <f t="shared" si="362"/>
        <v>0</v>
      </c>
      <c r="O375" s="18">
        <f t="shared" si="362"/>
        <v>0</v>
      </c>
      <c r="P375" s="18">
        <f t="shared" si="362"/>
        <v>0</v>
      </c>
      <c r="Q375" s="18">
        <f t="shared" si="362"/>
        <v>0</v>
      </c>
      <c r="R375" s="18">
        <f t="shared" si="362"/>
        <v>0</v>
      </c>
      <c r="S375" s="18">
        <f t="shared" si="362"/>
        <v>0</v>
      </c>
      <c r="T375" s="18">
        <f t="shared" si="362"/>
        <v>0</v>
      </c>
      <c r="U375" s="18">
        <f t="shared" si="362"/>
        <v>0</v>
      </c>
      <c r="V375" s="18">
        <f t="shared" si="362"/>
        <v>0</v>
      </c>
      <c r="W375" s="18">
        <f t="shared" si="362"/>
        <v>0</v>
      </c>
      <c r="X375" s="18">
        <f t="shared" si="362"/>
        <v>0</v>
      </c>
      <c r="Y375" s="18">
        <f t="shared" si="362"/>
        <v>0</v>
      </c>
      <c r="Z375" s="18">
        <f t="shared" si="362"/>
        <v>0</v>
      </c>
      <c r="AA375" s="18">
        <f t="shared" si="362"/>
        <v>0</v>
      </c>
      <c r="AB375" s="18">
        <f t="shared" si="362"/>
        <v>0</v>
      </c>
      <c r="AC375" s="18">
        <f t="shared" si="362"/>
        <v>0</v>
      </c>
      <c r="AD375" s="18">
        <f t="shared" si="362"/>
        <v>0</v>
      </c>
      <c r="AE375" s="18">
        <f t="shared" si="362"/>
        <v>0</v>
      </c>
      <c r="AF375" s="18">
        <f t="shared" si="362"/>
        <v>0</v>
      </c>
      <c r="AG375" s="18">
        <f t="shared" si="362"/>
        <v>0</v>
      </c>
      <c r="AH375" s="18">
        <f t="shared" si="362"/>
        <v>0</v>
      </c>
      <c r="AI375" s="18">
        <f t="shared" si="362"/>
        <v>0</v>
      </c>
      <c r="AJ375" s="18">
        <f t="shared" si="362"/>
        <v>0</v>
      </c>
      <c r="AK375" s="18">
        <f t="shared" si="362"/>
        <v>0</v>
      </c>
      <c r="AL375" s="78"/>
      <c r="AM375" s="43">
        <v>359</v>
      </c>
      <c r="AN375">
        <v>313.34173084199148</v>
      </c>
      <c r="AO375">
        <v>112.41131423606116</v>
      </c>
      <c r="AP375">
        <v>821.64802620981038</v>
      </c>
      <c r="AQ375">
        <v>614.7397100706828</v>
      </c>
      <c r="AR375">
        <v>100.12238869865661</v>
      </c>
      <c r="AS375">
        <v>840.06796261106217</v>
      </c>
      <c r="AT375">
        <v>53.80335017022221</v>
      </c>
      <c r="AU375">
        <v>12.303562670232287</v>
      </c>
      <c r="AV375"/>
      <c r="AW375"/>
      <c r="FY375" s="211">
        <v>370</v>
      </c>
      <c r="FZ375">
        <v>6.9125844682405457</v>
      </c>
      <c r="GA375">
        <v>49.779355144360068</v>
      </c>
      <c r="GB375">
        <v>114.84004864376638</v>
      </c>
      <c r="GC375">
        <v>59.989563222039656</v>
      </c>
      <c r="GD375">
        <v>14.164219156779383</v>
      </c>
      <c r="GE375">
        <v>33.062219288571264</v>
      </c>
      <c r="GF375">
        <v>47.663072092920075</v>
      </c>
      <c r="GG375">
        <v>25.134105262434986</v>
      </c>
      <c r="GH375">
        <v>15.823991957106308</v>
      </c>
      <c r="GI375">
        <v>50.524095633480229</v>
      </c>
      <c r="GJ375"/>
      <c r="GK375"/>
      <c r="GL375"/>
      <c r="GM375"/>
    </row>
    <row r="376" spans="1:195" s="7" customFormat="1">
      <c r="A376" s="95"/>
      <c r="B376" s="71">
        <f t="shared" si="356"/>
        <v>39747</v>
      </c>
      <c r="C376" s="18">
        <f t="shared" si="357"/>
        <v>781.23211797780789</v>
      </c>
      <c r="D376" s="18">
        <f t="shared" si="358"/>
        <v>246.47241080755146</v>
      </c>
      <c r="E376" s="19">
        <f t="shared" si="359"/>
        <v>0.31549190712427017</v>
      </c>
      <c r="F376" s="19">
        <f>IF(F390&lt;0,0,F390)</f>
        <v>1.5186408703706272E-2</v>
      </c>
      <c r="G376" s="18">
        <f>AVERAGE(E258:E267)*G$372</f>
        <v>0</v>
      </c>
      <c r="H376" s="18">
        <f t="shared" ref="H376:AK376" si="363">AVERAGE(F258:F267)*H$372</f>
        <v>1.1308083607006021</v>
      </c>
      <c r="I376" s="18">
        <f t="shared" si="363"/>
        <v>17.721323931738855</v>
      </c>
      <c r="J376" s="18">
        <f t="shared" si="363"/>
        <v>42.574535078237567</v>
      </c>
      <c r="K376" s="18">
        <f t="shared" si="363"/>
        <v>102.90053142003099</v>
      </c>
      <c r="L376" s="18">
        <f t="shared" si="363"/>
        <v>52.107837598676298</v>
      </c>
      <c r="M376" s="18">
        <f t="shared" si="363"/>
        <v>11.195818027363645</v>
      </c>
      <c r="N376" s="18">
        <f t="shared" si="363"/>
        <v>18.841556390803515</v>
      </c>
      <c r="O376" s="18">
        <f t="shared" si="363"/>
        <v>0</v>
      </c>
      <c r="P376" s="18">
        <f t="shared" si="363"/>
        <v>0</v>
      </c>
      <c r="Q376" s="18">
        <f t="shared" si="363"/>
        <v>0</v>
      </c>
      <c r="R376" s="18">
        <f t="shared" si="363"/>
        <v>0</v>
      </c>
      <c r="S376" s="18">
        <f t="shared" si="363"/>
        <v>0</v>
      </c>
      <c r="T376" s="18">
        <f t="shared" si="363"/>
        <v>0</v>
      </c>
      <c r="U376" s="18">
        <f t="shared" si="363"/>
        <v>0</v>
      </c>
      <c r="V376" s="18">
        <f t="shared" si="363"/>
        <v>0</v>
      </c>
      <c r="W376" s="18">
        <f t="shared" si="363"/>
        <v>0</v>
      </c>
      <c r="X376" s="18">
        <f t="shared" si="363"/>
        <v>0</v>
      </c>
      <c r="Y376" s="18">
        <f t="shared" si="363"/>
        <v>0</v>
      </c>
      <c r="Z376" s="18">
        <f t="shared" si="363"/>
        <v>0</v>
      </c>
      <c r="AA376" s="18">
        <f t="shared" si="363"/>
        <v>0</v>
      </c>
      <c r="AB376" s="18">
        <f t="shared" si="363"/>
        <v>0</v>
      </c>
      <c r="AC376" s="18">
        <f t="shared" si="363"/>
        <v>0</v>
      </c>
      <c r="AD376" s="18">
        <f t="shared" si="363"/>
        <v>0</v>
      </c>
      <c r="AE376" s="18">
        <f t="shared" si="363"/>
        <v>0</v>
      </c>
      <c r="AF376" s="18">
        <f t="shared" si="363"/>
        <v>0</v>
      </c>
      <c r="AG376" s="18">
        <f t="shared" si="363"/>
        <v>0</v>
      </c>
      <c r="AH376" s="18">
        <f t="shared" si="363"/>
        <v>0</v>
      </c>
      <c r="AI376" s="18">
        <f t="shared" si="363"/>
        <v>0</v>
      </c>
      <c r="AJ376" s="18">
        <f t="shared" si="363"/>
        <v>0</v>
      </c>
      <c r="AK376" s="18">
        <f t="shared" si="363"/>
        <v>0</v>
      </c>
      <c r="AL376" s="78"/>
      <c r="AM376" s="43">
        <v>360</v>
      </c>
      <c r="AN376">
        <v>205.94392868532478</v>
      </c>
      <c r="AO376">
        <v>64.782997709467267</v>
      </c>
      <c r="AP376">
        <v>463.61924765613003</v>
      </c>
      <c r="AQ376">
        <v>349.45832969712058</v>
      </c>
      <c r="AR376">
        <v>58.043704581822574</v>
      </c>
      <c r="AS376">
        <v>473.50791815794986</v>
      </c>
      <c r="AT376">
        <v>30.570976179767499</v>
      </c>
      <c r="AU376">
        <v>30.689967965818632</v>
      </c>
      <c r="AV376"/>
      <c r="AW376"/>
      <c r="FY376" s="211">
        <v>371</v>
      </c>
      <c r="FZ376">
        <v>22.154738751937447</v>
      </c>
      <c r="GA376">
        <v>65.879649968444397</v>
      </c>
      <c r="GB376">
        <v>94.0367406542358</v>
      </c>
      <c r="GC376">
        <v>53.6266021012678</v>
      </c>
      <c r="GD376">
        <v>18.529211656281039</v>
      </c>
      <c r="GE376">
        <v>30.014640972703926</v>
      </c>
      <c r="GF376">
        <v>36.166791969410973</v>
      </c>
      <c r="GG376">
        <v>28.653611441755707</v>
      </c>
      <c r="GH376">
        <v>24.342107314027157</v>
      </c>
      <c r="GI376">
        <v>49.053465884515866</v>
      </c>
      <c r="GJ376"/>
      <c r="GK376"/>
      <c r="GL376"/>
      <c r="GM376"/>
    </row>
    <row r="377" spans="1:195" s="7" customFormat="1">
      <c r="A377" s="95"/>
      <c r="B377" s="71">
        <f t="shared" si="356"/>
        <v>39775</v>
      </c>
      <c r="C377" s="18">
        <f t="shared" si="357"/>
        <v>303.44429875679873</v>
      </c>
      <c r="D377" s="18">
        <f t="shared" si="358"/>
        <v>91.192631548135694</v>
      </c>
      <c r="E377" s="19">
        <f t="shared" si="359"/>
        <v>0.30052511094045559</v>
      </c>
      <c r="F377" s="19">
        <f>IF(F391&lt;0,0,F391)</f>
        <v>0</v>
      </c>
      <c r="G377" s="18">
        <f>AVERAGE(E268:E277)*G$372</f>
        <v>0</v>
      </c>
      <c r="H377" s="18">
        <f t="shared" ref="H377:AK377" si="364">AVERAGE(F268:F277)*H$372</f>
        <v>0.27752062500000002</v>
      </c>
      <c r="I377" s="18">
        <f t="shared" si="364"/>
        <v>10.238046720510937</v>
      </c>
      <c r="J377" s="18">
        <f t="shared" si="364"/>
        <v>6.0779428487364724</v>
      </c>
      <c r="K377" s="18">
        <f t="shared" si="364"/>
        <v>46.921516339826283</v>
      </c>
      <c r="L377" s="18">
        <f t="shared" si="364"/>
        <v>27.677605014061996</v>
      </c>
      <c r="M377" s="18">
        <f t="shared" si="364"/>
        <v>0</v>
      </c>
      <c r="N377" s="18">
        <f t="shared" si="364"/>
        <v>0</v>
      </c>
      <c r="O377" s="18">
        <f t="shared" si="364"/>
        <v>0</v>
      </c>
      <c r="P377" s="18">
        <f t="shared" si="364"/>
        <v>0</v>
      </c>
      <c r="Q377" s="18">
        <f t="shared" si="364"/>
        <v>0</v>
      </c>
      <c r="R377" s="18">
        <f t="shared" si="364"/>
        <v>0</v>
      </c>
      <c r="S377" s="18">
        <f t="shared" si="364"/>
        <v>0</v>
      </c>
      <c r="T377" s="18">
        <f t="shared" si="364"/>
        <v>0</v>
      </c>
      <c r="U377" s="18">
        <f t="shared" si="364"/>
        <v>0</v>
      </c>
      <c r="V377" s="18">
        <f t="shared" si="364"/>
        <v>0</v>
      </c>
      <c r="W377" s="18">
        <f t="shared" si="364"/>
        <v>0</v>
      </c>
      <c r="X377" s="18">
        <f t="shared" si="364"/>
        <v>0</v>
      </c>
      <c r="Y377" s="18">
        <f t="shared" si="364"/>
        <v>0</v>
      </c>
      <c r="Z377" s="18">
        <f t="shared" si="364"/>
        <v>0</v>
      </c>
      <c r="AA377" s="18">
        <f t="shared" si="364"/>
        <v>0</v>
      </c>
      <c r="AB377" s="18">
        <f t="shared" si="364"/>
        <v>0</v>
      </c>
      <c r="AC377" s="18">
        <f t="shared" si="364"/>
        <v>0</v>
      </c>
      <c r="AD377" s="18">
        <f t="shared" si="364"/>
        <v>0</v>
      </c>
      <c r="AE377" s="18">
        <f t="shared" si="364"/>
        <v>0</v>
      </c>
      <c r="AF377" s="18">
        <f t="shared" si="364"/>
        <v>0</v>
      </c>
      <c r="AG377" s="18">
        <f t="shared" si="364"/>
        <v>0</v>
      </c>
      <c r="AH377" s="18">
        <f t="shared" si="364"/>
        <v>0</v>
      </c>
      <c r="AI377" s="18">
        <f t="shared" si="364"/>
        <v>0</v>
      </c>
      <c r="AJ377" s="18">
        <f t="shared" si="364"/>
        <v>0</v>
      </c>
      <c r="AK377" s="18">
        <f t="shared" si="364"/>
        <v>0</v>
      </c>
      <c r="AL377" s="78"/>
      <c r="AM377" s="43">
        <v>361</v>
      </c>
      <c r="AN377">
        <v>287.92720645294912</v>
      </c>
      <c r="AO377">
        <v>97.923087161697467</v>
      </c>
      <c r="AP377">
        <v>710.2827955079166</v>
      </c>
      <c r="AQ377">
        <v>542.49759344715301</v>
      </c>
      <c r="AR377">
        <v>85.57895208289969</v>
      </c>
      <c r="AS377">
        <v>717.08857983295241</v>
      </c>
      <c r="AT377">
        <v>47.975116982041492</v>
      </c>
      <c r="AU377">
        <v>100.31707037727159</v>
      </c>
      <c r="AV377"/>
      <c r="AW377"/>
      <c r="FY377" s="211">
        <v>372</v>
      </c>
      <c r="FZ377">
        <v>19.016208655282604</v>
      </c>
      <c r="GA377">
        <v>48.973230697273976</v>
      </c>
      <c r="GB377">
        <v>60.959497794537008</v>
      </c>
      <c r="GC377">
        <v>33.643062682221078</v>
      </c>
      <c r="GD377">
        <v>22.42783602016776</v>
      </c>
      <c r="GE377">
        <v>63.750396304801562</v>
      </c>
      <c r="GF377">
        <v>84.968067847910888</v>
      </c>
      <c r="GG377">
        <v>51.582174076405806</v>
      </c>
      <c r="GH377">
        <v>28.704098605482294</v>
      </c>
      <c r="GI377">
        <v>54.827757569256299</v>
      </c>
      <c r="GJ377"/>
      <c r="GK377"/>
      <c r="GL377"/>
      <c r="GM377"/>
    </row>
    <row r="378" spans="1:195" s="7" customFormat="1">
      <c r="A378" s="95"/>
      <c r="B378" s="71">
        <f t="shared" si="356"/>
        <v>39799</v>
      </c>
      <c r="C378" s="18">
        <f t="shared" si="357"/>
        <v>459.12518853695326</v>
      </c>
      <c r="D378" s="18">
        <f t="shared" si="358"/>
        <v>105.40609140397501</v>
      </c>
      <c r="E378" s="19">
        <f t="shared" si="359"/>
        <v>0.22958028449683124</v>
      </c>
      <c r="F378" s="19">
        <f t="shared" ref="F378:F382" si="365">IF(F392&lt;0,0,F392)</f>
        <v>0</v>
      </c>
      <c r="G378" s="18">
        <f>AVERAGE(E278:E287)*G$372</f>
        <v>0</v>
      </c>
      <c r="H378" s="18">
        <f t="shared" ref="H378:AK378" si="366">AVERAGE(F278:F287)*H$372</f>
        <v>8.9739575320512813E-2</v>
      </c>
      <c r="I378" s="18">
        <f t="shared" si="366"/>
        <v>25.503943284222636</v>
      </c>
      <c r="J378" s="18">
        <f t="shared" si="366"/>
        <v>2.2260204003983182</v>
      </c>
      <c r="K378" s="18">
        <f t="shared" si="366"/>
        <v>34.248950481686506</v>
      </c>
      <c r="L378" s="18">
        <f t="shared" si="366"/>
        <v>22.981404885322235</v>
      </c>
      <c r="M378" s="18">
        <f t="shared" si="366"/>
        <v>20.356032777024812</v>
      </c>
      <c r="N378" s="18">
        <f t="shared" si="366"/>
        <v>0</v>
      </c>
      <c r="O378" s="18">
        <f t="shared" si="366"/>
        <v>0</v>
      </c>
      <c r="P378" s="18">
        <f t="shared" si="366"/>
        <v>0</v>
      </c>
      <c r="Q378" s="18">
        <f t="shared" si="366"/>
        <v>0</v>
      </c>
      <c r="R378" s="18">
        <f t="shared" si="366"/>
        <v>0</v>
      </c>
      <c r="S378" s="18">
        <f t="shared" si="366"/>
        <v>0</v>
      </c>
      <c r="T378" s="18">
        <f t="shared" si="366"/>
        <v>0</v>
      </c>
      <c r="U378" s="18">
        <f t="shared" si="366"/>
        <v>0</v>
      </c>
      <c r="V378" s="18">
        <f t="shared" si="366"/>
        <v>0</v>
      </c>
      <c r="W378" s="18">
        <f t="shared" si="366"/>
        <v>0</v>
      </c>
      <c r="X378" s="18">
        <f t="shared" si="366"/>
        <v>0</v>
      </c>
      <c r="Y378" s="18">
        <f t="shared" si="366"/>
        <v>0</v>
      </c>
      <c r="Z378" s="18">
        <f t="shared" si="366"/>
        <v>0</v>
      </c>
      <c r="AA378" s="18">
        <f t="shared" si="366"/>
        <v>0</v>
      </c>
      <c r="AB378" s="18">
        <f t="shared" si="366"/>
        <v>0</v>
      </c>
      <c r="AC378" s="18">
        <f t="shared" si="366"/>
        <v>0</v>
      </c>
      <c r="AD378" s="18">
        <f t="shared" si="366"/>
        <v>0</v>
      </c>
      <c r="AE378" s="18">
        <f t="shared" si="366"/>
        <v>0</v>
      </c>
      <c r="AF378" s="18">
        <f t="shared" si="366"/>
        <v>0</v>
      </c>
      <c r="AG378" s="18">
        <f t="shared" si="366"/>
        <v>0</v>
      </c>
      <c r="AH378" s="18">
        <f t="shared" si="366"/>
        <v>0</v>
      </c>
      <c r="AI378" s="18">
        <f t="shared" si="366"/>
        <v>0</v>
      </c>
      <c r="AJ378" s="18">
        <f t="shared" si="366"/>
        <v>0</v>
      </c>
      <c r="AK378" s="18">
        <f t="shared" si="366"/>
        <v>0</v>
      </c>
      <c r="AL378" s="78"/>
      <c r="AM378" s="43">
        <v>362</v>
      </c>
      <c r="AN378">
        <v>233.63984251488529</v>
      </c>
      <c r="AO378">
        <v>84.441879895556298</v>
      </c>
      <c r="AP378">
        <v>627.65373738372602</v>
      </c>
      <c r="AQ378">
        <v>453.74887360715519</v>
      </c>
      <c r="AR378">
        <v>75.954941067588095</v>
      </c>
      <c r="AS378">
        <v>628.08874710643943</v>
      </c>
      <c r="AT378">
        <v>43.650854122445395</v>
      </c>
      <c r="AU378">
        <v>73.658020432858947</v>
      </c>
      <c r="AV378"/>
      <c r="AW378"/>
      <c r="FY378" s="211">
        <v>373</v>
      </c>
      <c r="FZ378">
        <v>31.088531851189575</v>
      </c>
      <c r="GA378">
        <v>69.998904207585113</v>
      </c>
      <c r="GB378">
        <v>81.492718852382978</v>
      </c>
      <c r="GC378">
        <v>48.126608509514796</v>
      </c>
      <c r="GD378">
        <v>27.414224228410554</v>
      </c>
      <c r="GE378">
        <v>54.985027432695958</v>
      </c>
      <c r="GF378">
        <v>69.764075095883911</v>
      </c>
      <c r="GG378">
        <v>37.767207672423936</v>
      </c>
      <c r="GH378">
        <v>7.0071091067567943</v>
      </c>
      <c r="GI378">
        <v>58.077562255943043</v>
      </c>
      <c r="GJ378"/>
      <c r="GK378"/>
      <c r="GL378"/>
      <c r="GM378"/>
    </row>
    <row r="379" spans="1:195" s="7" customFormat="1">
      <c r="A379" s="77" t="s">
        <v>61</v>
      </c>
      <c r="B379" s="71">
        <f t="shared" ref="B379:B382" si="367">+C10</f>
        <v>39847</v>
      </c>
      <c r="C379" s="18">
        <f t="shared" si="357"/>
        <v>206.38020833333329</v>
      </c>
      <c r="D379" s="18">
        <f t="shared" si="358"/>
        <v>127.82639552852814</v>
      </c>
      <c r="E379" s="19">
        <f t="shared" si="359"/>
        <v>0.6193733234442248</v>
      </c>
      <c r="F379" s="19">
        <f t="shared" si="365"/>
        <v>2.0676154299738871E-2</v>
      </c>
      <c r="G379" s="18">
        <f>AVERAGE(E288:E297)*G$372</f>
        <v>0</v>
      </c>
      <c r="H379" s="18">
        <f t="shared" ref="H379:AK379" si="368">AVERAGE(F288:F297)*H$372</f>
        <v>0</v>
      </c>
      <c r="I379" s="18">
        <f t="shared" si="368"/>
        <v>7.5499988624543839</v>
      </c>
      <c r="J379" s="18">
        <f t="shared" si="368"/>
        <v>5.4895909883206544</v>
      </c>
      <c r="K379" s="18">
        <f t="shared" si="368"/>
        <v>7.1882250991977612</v>
      </c>
      <c r="L379" s="18">
        <f t="shared" si="368"/>
        <v>43.506463958626341</v>
      </c>
      <c r="M379" s="18">
        <f t="shared" si="368"/>
        <v>43.539292328636407</v>
      </c>
      <c r="N379" s="18">
        <f t="shared" si="368"/>
        <v>0</v>
      </c>
      <c r="O379" s="18">
        <f t="shared" si="368"/>
        <v>0</v>
      </c>
      <c r="P379" s="18">
        <f t="shared" si="368"/>
        <v>0</v>
      </c>
      <c r="Q379" s="18">
        <f t="shared" si="368"/>
        <v>20.552824291292602</v>
      </c>
      <c r="R379" s="18">
        <f t="shared" si="368"/>
        <v>0</v>
      </c>
      <c r="S379" s="18">
        <f t="shared" si="368"/>
        <v>0</v>
      </c>
      <c r="T379" s="18">
        <f t="shared" si="368"/>
        <v>0</v>
      </c>
      <c r="U379" s="18">
        <f t="shared" si="368"/>
        <v>0</v>
      </c>
      <c r="V379" s="18">
        <f t="shared" si="368"/>
        <v>0</v>
      </c>
      <c r="W379" s="18">
        <f t="shared" si="368"/>
        <v>0</v>
      </c>
      <c r="X379" s="18">
        <f t="shared" si="368"/>
        <v>0</v>
      </c>
      <c r="Y379" s="18">
        <f t="shared" si="368"/>
        <v>0</v>
      </c>
      <c r="Z379" s="18">
        <f t="shared" si="368"/>
        <v>0</v>
      </c>
      <c r="AA379" s="18">
        <f t="shared" si="368"/>
        <v>0</v>
      </c>
      <c r="AB379" s="18">
        <f t="shared" si="368"/>
        <v>0</v>
      </c>
      <c r="AC379" s="18">
        <f t="shared" si="368"/>
        <v>0</v>
      </c>
      <c r="AD379" s="18">
        <f t="shared" si="368"/>
        <v>0</v>
      </c>
      <c r="AE379" s="18">
        <f t="shared" si="368"/>
        <v>0</v>
      </c>
      <c r="AF379" s="18">
        <f t="shared" si="368"/>
        <v>0</v>
      </c>
      <c r="AG379" s="18">
        <f t="shared" si="368"/>
        <v>0</v>
      </c>
      <c r="AH379" s="18">
        <f t="shared" si="368"/>
        <v>0</v>
      </c>
      <c r="AI379" s="18">
        <f t="shared" si="368"/>
        <v>0</v>
      </c>
      <c r="AJ379" s="18">
        <f t="shared" si="368"/>
        <v>0</v>
      </c>
      <c r="AK379" s="18">
        <f t="shared" si="368"/>
        <v>0</v>
      </c>
      <c r="AL379" s="78"/>
      <c r="AM379" s="43">
        <v>363</v>
      </c>
      <c r="AN379">
        <v>264.52744802655303</v>
      </c>
      <c r="AO379">
        <v>87.917329314125809</v>
      </c>
      <c r="AP379">
        <v>669.01420990600445</v>
      </c>
      <c r="AQ379">
        <v>483.71987017405155</v>
      </c>
      <c r="AR379">
        <v>79.275247832935278</v>
      </c>
      <c r="AS379">
        <v>666.9565150596577</v>
      </c>
      <c r="AT379">
        <v>41.549129576956894</v>
      </c>
      <c r="AU379">
        <v>63.147366906814725</v>
      </c>
      <c r="AV379"/>
      <c r="AW379"/>
      <c r="FY379" s="211">
        <v>374</v>
      </c>
      <c r="FZ379">
        <v>31.709099932633386</v>
      </c>
      <c r="GA379">
        <v>63.687748139486196</v>
      </c>
      <c r="GB379">
        <v>91.453665438159618</v>
      </c>
      <c r="GC379">
        <v>51.674385878470169</v>
      </c>
      <c r="GD379">
        <v>18.4132742409443</v>
      </c>
      <c r="GE379">
        <v>45.088246153718238</v>
      </c>
      <c r="GF379">
        <v>68.172520343278023</v>
      </c>
      <c r="GG379">
        <v>46.902781412497916</v>
      </c>
      <c r="GH379">
        <v>26.653778479950184</v>
      </c>
      <c r="GI379">
        <v>57.130686163514483</v>
      </c>
      <c r="GJ379"/>
      <c r="GK379"/>
      <c r="GL379"/>
      <c r="GM379"/>
    </row>
    <row r="380" spans="1:195" s="7" customFormat="1">
      <c r="A380" s="77" t="s">
        <v>62</v>
      </c>
      <c r="B380" s="71">
        <f t="shared" si="367"/>
        <v>39910</v>
      </c>
      <c r="C380" s="18">
        <f t="shared" si="357"/>
        <v>167.62324330259111</v>
      </c>
      <c r="D380" s="18">
        <f t="shared" si="358"/>
        <v>103.29090734870377</v>
      </c>
      <c r="E380" s="19">
        <f t="shared" si="359"/>
        <v>0.61620873879790339</v>
      </c>
      <c r="F380" s="19">
        <f t="shared" si="365"/>
        <v>0</v>
      </c>
      <c r="G380" s="18">
        <f>AVERAGE(E298:E307)*G$372</f>
        <v>0</v>
      </c>
      <c r="H380" s="18">
        <f t="shared" ref="H380:AK380" si="369">AVERAGE(F298:F307)*H$372</f>
        <v>0.11440463768115941</v>
      </c>
      <c r="I380" s="18">
        <f t="shared" si="369"/>
        <v>2.3064435665731775</v>
      </c>
      <c r="J380" s="18">
        <f t="shared" si="369"/>
        <v>9.3966205982331292</v>
      </c>
      <c r="K380" s="18">
        <f t="shared" si="369"/>
        <v>23.960750330659206</v>
      </c>
      <c r="L380" s="18">
        <f t="shared" si="369"/>
        <v>31.274694474373302</v>
      </c>
      <c r="M380" s="18">
        <f t="shared" si="369"/>
        <v>16.793727041045472</v>
      </c>
      <c r="N380" s="18">
        <f t="shared" si="369"/>
        <v>0</v>
      </c>
      <c r="O380" s="18">
        <f t="shared" si="369"/>
        <v>8.6026395950136365</v>
      </c>
      <c r="P380" s="18">
        <f t="shared" si="369"/>
        <v>0</v>
      </c>
      <c r="Q380" s="18">
        <f t="shared" si="369"/>
        <v>0</v>
      </c>
      <c r="R380" s="18">
        <f t="shared" si="369"/>
        <v>10.841627105124687</v>
      </c>
      <c r="S380" s="18">
        <f t="shared" si="369"/>
        <v>0</v>
      </c>
      <c r="T380" s="18">
        <f t="shared" si="369"/>
        <v>0</v>
      </c>
      <c r="U380" s="18">
        <f t="shared" si="369"/>
        <v>0</v>
      </c>
      <c r="V380" s="18">
        <f t="shared" si="369"/>
        <v>0</v>
      </c>
      <c r="W380" s="18">
        <f t="shared" si="369"/>
        <v>0</v>
      </c>
      <c r="X380" s="18">
        <f t="shared" si="369"/>
        <v>0</v>
      </c>
      <c r="Y380" s="18">
        <f t="shared" si="369"/>
        <v>0</v>
      </c>
      <c r="Z380" s="18">
        <f t="shared" si="369"/>
        <v>0</v>
      </c>
      <c r="AA380" s="18">
        <f t="shared" si="369"/>
        <v>0</v>
      </c>
      <c r="AB380" s="18">
        <f t="shared" si="369"/>
        <v>0</v>
      </c>
      <c r="AC380" s="18">
        <f t="shared" si="369"/>
        <v>0</v>
      </c>
      <c r="AD380" s="18">
        <f t="shared" si="369"/>
        <v>0</v>
      </c>
      <c r="AE380" s="18">
        <f t="shared" si="369"/>
        <v>0</v>
      </c>
      <c r="AF380" s="18">
        <f t="shared" si="369"/>
        <v>0</v>
      </c>
      <c r="AG380" s="18">
        <f t="shared" si="369"/>
        <v>0</v>
      </c>
      <c r="AH380" s="18">
        <f t="shared" si="369"/>
        <v>0</v>
      </c>
      <c r="AI380" s="18">
        <f t="shared" si="369"/>
        <v>0</v>
      </c>
      <c r="AJ380" s="18">
        <f t="shared" si="369"/>
        <v>0</v>
      </c>
      <c r="AK380" s="18">
        <f t="shared" si="369"/>
        <v>0</v>
      </c>
      <c r="AL380" s="78"/>
      <c r="AM380" s="43">
        <v>364</v>
      </c>
      <c r="AN380">
        <v>262.66663079735065</v>
      </c>
      <c r="AO380">
        <v>73.140041857851458</v>
      </c>
      <c r="AP380">
        <v>537.95451426302736</v>
      </c>
      <c r="AQ380">
        <v>421.4094777599463</v>
      </c>
      <c r="AR380">
        <v>65.039084760127736</v>
      </c>
      <c r="AS380">
        <v>581.55412002678167</v>
      </c>
      <c r="AT380">
        <v>35.535332932325417</v>
      </c>
      <c r="AU380">
        <v>86.326594101869347</v>
      </c>
      <c r="AV380"/>
      <c r="AW380"/>
      <c r="FY380" s="211">
        <v>375</v>
      </c>
      <c r="FZ380">
        <v>20.315064993494858</v>
      </c>
      <c r="GA380">
        <v>51.838614510285893</v>
      </c>
      <c r="GB380">
        <v>94.954157231259472</v>
      </c>
      <c r="GC380">
        <v>53.988272711510596</v>
      </c>
      <c r="GD380">
        <v>18.518283095824088</v>
      </c>
      <c r="GE380">
        <v>53.052450812978364</v>
      </c>
      <c r="GF380">
        <v>92.029185089477565</v>
      </c>
      <c r="GG380">
        <v>55.812959845764858</v>
      </c>
      <c r="GH380">
        <v>27.400720425548453</v>
      </c>
      <c r="GI380">
        <v>62.539898535095794</v>
      </c>
      <c r="GJ380"/>
      <c r="GK380"/>
      <c r="GL380"/>
      <c r="GM380"/>
    </row>
    <row r="381" spans="1:195" s="7" customFormat="1">
      <c r="A381" s="1"/>
      <c r="B381" s="71">
        <f t="shared" si="367"/>
        <v>39949</v>
      </c>
      <c r="C381" s="18">
        <f t="shared" si="357"/>
        <v>65.393518518518519</v>
      </c>
      <c r="D381" s="18">
        <f t="shared" si="358"/>
        <v>51.615847475840845</v>
      </c>
      <c r="E381" s="19">
        <f t="shared" si="359"/>
        <v>0.7893113667102033</v>
      </c>
      <c r="F381" s="19">
        <f t="shared" si="365"/>
        <v>6.3480797383085596E-3</v>
      </c>
      <c r="G381" s="18">
        <f>AVERAGE(E308:E317)*G$372</f>
        <v>0</v>
      </c>
      <c r="H381" s="18">
        <f t="shared" ref="H381:AK381" si="370">AVERAGE(F308:F317)*H$372</f>
        <v>0</v>
      </c>
      <c r="I381" s="18">
        <f t="shared" si="370"/>
        <v>0.84569597441016497</v>
      </c>
      <c r="J381" s="18">
        <f t="shared" si="370"/>
        <v>4.1855153697144614</v>
      </c>
      <c r="K381" s="18">
        <f t="shared" si="370"/>
        <v>2.8752900396791046</v>
      </c>
      <c r="L381" s="18">
        <f t="shared" si="370"/>
        <v>17.585770694855277</v>
      </c>
      <c r="M381" s="18">
        <f t="shared" si="370"/>
        <v>26.123575397181838</v>
      </c>
      <c r="N381" s="18">
        <f t="shared" si="370"/>
        <v>0</v>
      </c>
      <c r="O381" s="18">
        <f t="shared" si="370"/>
        <v>0</v>
      </c>
      <c r="P381" s="18">
        <f t="shared" si="370"/>
        <v>0</v>
      </c>
      <c r="Q381" s="18">
        <f t="shared" si="370"/>
        <v>0</v>
      </c>
      <c r="R381" s="18">
        <f t="shared" si="370"/>
        <v>0</v>
      </c>
      <c r="S381" s="18">
        <f t="shared" si="370"/>
        <v>0</v>
      </c>
      <c r="T381" s="18">
        <f t="shared" si="370"/>
        <v>0</v>
      </c>
      <c r="U381" s="18">
        <f t="shared" si="370"/>
        <v>0</v>
      </c>
      <c r="V381" s="18">
        <f t="shared" si="370"/>
        <v>0</v>
      </c>
      <c r="W381" s="18">
        <f t="shared" si="370"/>
        <v>0</v>
      </c>
      <c r="X381" s="18">
        <f t="shared" si="370"/>
        <v>0</v>
      </c>
      <c r="Y381" s="18">
        <f t="shared" si="370"/>
        <v>0</v>
      </c>
      <c r="Z381" s="18">
        <f t="shared" si="370"/>
        <v>0</v>
      </c>
      <c r="AA381" s="18">
        <f t="shared" si="370"/>
        <v>0</v>
      </c>
      <c r="AB381" s="18">
        <f t="shared" si="370"/>
        <v>0</v>
      </c>
      <c r="AC381" s="18">
        <f t="shared" si="370"/>
        <v>0</v>
      </c>
      <c r="AD381" s="18">
        <f t="shared" si="370"/>
        <v>0</v>
      </c>
      <c r="AE381" s="18">
        <f t="shared" si="370"/>
        <v>0</v>
      </c>
      <c r="AF381" s="18">
        <f t="shared" si="370"/>
        <v>0</v>
      </c>
      <c r="AG381" s="18">
        <f t="shared" si="370"/>
        <v>0</v>
      </c>
      <c r="AH381" s="18">
        <f t="shared" si="370"/>
        <v>0</v>
      </c>
      <c r="AI381" s="18">
        <f t="shared" si="370"/>
        <v>0</v>
      </c>
      <c r="AJ381" s="18">
        <f t="shared" si="370"/>
        <v>0</v>
      </c>
      <c r="AK381" s="18">
        <f t="shared" si="370"/>
        <v>0</v>
      </c>
      <c r="AL381" s="78"/>
      <c r="AM381" s="43">
        <v>365</v>
      </c>
      <c r="AN381">
        <v>250.62575967005401</v>
      </c>
      <c r="AO381">
        <v>99.426971346607075</v>
      </c>
      <c r="AP381">
        <v>739.78926080403687</v>
      </c>
      <c r="AQ381">
        <v>560.94261992117481</v>
      </c>
      <c r="AR381">
        <v>89.257551479286278</v>
      </c>
      <c r="AS381">
        <v>701.30022959095174</v>
      </c>
      <c r="AT381">
        <v>50.451056515570912</v>
      </c>
      <c r="AU381">
        <v>12.639504902877123</v>
      </c>
      <c r="AV381"/>
      <c r="AW381"/>
      <c r="FY381" s="211">
        <v>376</v>
      </c>
      <c r="FZ381">
        <v>27.375151626546014</v>
      </c>
      <c r="GA381">
        <v>60.363737587133166</v>
      </c>
      <c r="GB381">
        <v>68.137631359790419</v>
      </c>
      <c r="GC381">
        <v>37.982531125974347</v>
      </c>
      <c r="GD381">
        <v>18.521620310594027</v>
      </c>
      <c r="GE381">
        <v>40.192755527350073</v>
      </c>
      <c r="GF381">
        <v>82.268420645605033</v>
      </c>
      <c r="GG381">
        <v>67.588583108327569</v>
      </c>
      <c r="GH381">
        <v>24.402003807614506</v>
      </c>
      <c r="GI381">
        <v>53.4983917003172</v>
      </c>
      <c r="GJ381"/>
      <c r="GK381"/>
      <c r="GL381"/>
      <c r="GM381"/>
    </row>
    <row r="382" spans="1:195" s="7" customFormat="1">
      <c r="A382" s="1"/>
      <c r="B382" s="71">
        <f t="shared" si="367"/>
        <v>39987</v>
      </c>
      <c r="C382" s="18">
        <f t="shared" si="357"/>
        <v>13.301282051282051</v>
      </c>
      <c r="D382" s="18">
        <f t="shared" si="358"/>
        <v>1.4798935609760675</v>
      </c>
      <c r="E382" s="19">
        <f t="shared" si="359"/>
        <v>0.11125946771675496</v>
      </c>
      <c r="F382" s="19">
        <f t="shared" si="365"/>
        <v>0</v>
      </c>
      <c r="G382" s="18">
        <f>AVERAGE(E318:E327)*G$372</f>
        <v>0</v>
      </c>
      <c r="H382" s="18">
        <f t="shared" ref="H382:AK382" si="371">AVERAGE(F318:F327)*H$372</f>
        <v>0</v>
      </c>
      <c r="I382" s="18">
        <f t="shared" si="371"/>
        <v>0.90483555304024654</v>
      </c>
      <c r="J382" s="18">
        <f t="shared" si="371"/>
        <v>0</v>
      </c>
      <c r="K382" s="18">
        <f t="shared" si="371"/>
        <v>0.57505800793582085</v>
      </c>
      <c r="L382" s="18">
        <f t="shared" si="371"/>
        <v>0</v>
      </c>
      <c r="M382" s="18">
        <f t="shared" si="371"/>
        <v>0</v>
      </c>
      <c r="N382" s="18">
        <f t="shared" si="371"/>
        <v>0</v>
      </c>
      <c r="O382" s="18">
        <f t="shared" si="371"/>
        <v>0</v>
      </c>
      <c r="P382" s="18">
        <f t="shared" si="371"/>
        <v>0</v>
      </c>
      <c r="Q382" s="18">
        <f t="shared" si="371"/>
        <v>0</v>
      </c>
      <c r="R382" s="18">
        <f t="shared" si="371"/>
        <v>0</v>
      </c>
      <c r="S382" s="18">
        <f t="shared" si="371"/>
        <v>0</v>
      </c>
      <c r="T382" s="18">
        <f t="shared" si="371"/>
        <v>0</v>
      </c>
      <c r="U382" s="18">
        <f t="shared" si="371"/>
        <v>0</v>
      </c>
      <c r="V382" s="18">
        <f t="shared" si="371"/>
        <v>0</v>
      </c>
      <c r="W382" s="18">
        <f t="shared" si="371"/>
        <v>0</v>
      </c>
      <c r="X382" s="18">
        <f t="shared" si="371"/>
        <v>0</v>
      </c>
      <c r="Y382" s="18">
        <f t="shared" si="371"/>
        <v>0</v>
      </c>
      <c r="Z382" s="18">
        <f t="shared" si="371"/>
        <v>0</v>
      </c>
      <c r="AA382" s="18">
        <f t="shared" si="371"/>
        <v>0</v>
      </c>
      <c r="AB382" s="18">
        <f t="shared" si="371"/>
        <v>0</v>
      </c>
      <c r="AC382" s="18">
        <f t="shared" si="371"/>
        <v>0</v>
      </c>
      <c r="AD382" s="18">
        <f t="shared" si="371"/>
        <v>0</v>
      </c>
      <c r="AE382" s="18">
        <f t="shared" si="371"/>
        <v>0</v>
      </c>
      <c r="AF382" s="18">
        <f t="shared" si="371"/>
        <v>0</v>
      </c>
      <c r="AG382" s="18">
        <f t="shared" si="371"/>
        <v>0</v>
      </c>
      <c r="AH382" s="18">
        <f t="shared" si="371"/>
        <v>0</v>
      </c>
      <c r="AI382" s="18">
        <f t="shared" si="371"/>
        <v>0</v>
      </c>
      <c r="AJ382" s="18">
        <f t="shared" si="371"/>
        <v>0</v>
      </c>
      <c r="AK382" s="18">
        <f t="shared" si="371"/>
        <v>0</v>
      </c>
      <c r="AL382" s="78"/>
      <c r="AM382" s="43">
        <v>366</v>
      </c>
      <c r="AN382">
        <v>265.18962426068424</v>
      </c>
      <c r="AO382">
        <v>68.949776669636236</v>
      </c>
      <c r="AP382">
        <v>456.34860316388432</v>
      </c>
      <c r="AQ382">
        <v>374.55785367132142</v>
      </c>
      <c r="AR382">
        <v>60.508883429431776</v>
      </c>
      <c r="AS382">
        <v>578.08242031146983</v>
      </c>
      <c r="AT382">
        <v>33.591383440761383</v>
      </c>
      <c r="AU382">
        <v>51.725208544955322</v>
      </c>
      <c r="AV382"/>
      <c r="AW382"/>
      <c r="FY382" s="211">
        <v>377</v>
      </c>
      <c r="FZ382">
        <v>7.3713304806637403</v>
      </c>
      <c r="GA382">
        <v>43.587315439311084</v>
      </c>
      <c r="GB382">
        <v>71.823742335880922</v>
      </c>
      <c r="GC382">
        <v>43.017266473473434</v>
      </c>
      <c r="GD382">
        <v>16.615151639129074</v>
      </c>
      <c r="GE382">
        <v>26.870883334395877</v>
      </c>
      <c r="GF382">
        <v>60.594297372421174</v>
      </c>
      <c r="GG382">
        <v>36.44682789158486</v>
      </c>
      <c r="GH382">
        <v>3.4398539224797968</v>
      </c>
      <c r="GI382">
        <v>42.15416584713131</v>
      </c>
      <c r="GJ382"/>
      <c r="GK382"/>
      <c r="GL382"/>
      <c r="GM382"/>
    </row>
    <row r="383" spans="1:195" s="7" customFormat="1">
      <c r="A383" s="1"/>
      <c r="B383" s="71"/>
      <c r="C383" s="18"/>
      <c r="D383" s="18"/>
      <c r="E383" s="19"/>
      <c r="F383" s="19"/>
      <c r="G383" s="18"/>
      <c r="H383" s="18"/>
      <c r="I383" s="18"/>
      <c r="J383" s="18"/>
      <c r="K383" s="18"/>
      <c r="L383" s="18"/>
      <c r="M383" s="18"/>
      <c r="N383" s="18"/>
      <c r="O383" s="18"/>
      <c r="P383" s="18"/>
      <c r="Q383" s="18"/>
      <c r="R383" s="18"/>
      <c r="S383" s="18"/>
      <c r="T383" s="18"/>
      <c r="U383" s="18"/>
      <c r="V383" s="18"/>
      <c r="W383" s="18"/>
      <c r="X383" s="18"/>
      <c r="Y383" s="18"/>
      <c r="Z383" s="18"/>
      <c r="AA383" s="18"/>
      <c r="AB383" s="18"/>
      <c r="AC383" s="18"/>
      <c r="AD383" s="18"/>
      <c r="AE383" s="18"/>
      <c r="AF383" s="18"/>
      <c r="AG383" s="18"/>
      <c r="AH383" s="18"/>
      <c r="AI383" s="18"/>
      <c r="AJ383" s="18"/>
      <c r="AK383" s="18"/>
      <c r="AL383" s="78"/>
      <c r="AM383" s="43">
        <v>367</v>
      </c>
      <c r="AN383">
        <v>270.28562638304021</v>
      </c>
      <c r="AO383">
        <v>107.93346006686008</v>
      </c>
      <c r="AP383">
        <v>791.66005670095649</v>
      </c>
      <c r="AQ383">
        <v>558.38218767403998</v>
      </c>
      <c r="AR383">
        <v>95.838003075347189</v>
      </c>
      <c r="AS383">
        <v>742.90725164072774</v>
      </c>
      <c r="AT383">
        <v>55.144982804223964</v>
      </c>
      <c r="AU383">
        <v>144.03516572557902</v>
      </c>
      <c r="AV383"/>
      <c r="AW383"/>
      <c r="FY383" s="211">
        <v>378</v>
      </c>
      <c r="FZ383">
        <v>13.266636384506619</v>
      </c>
      <c r="GA383">
        <v>44.848801853380927</v>
      </c>
      <c r="GB383">
        <v>75.506290836194552</v>
      </c>
      <c r="GC383">
        <v>44.212562185414477</v>
      </c>
      <c r="GD383">
        <v>15.712342232862518</v>
      </c>
      <c r="GE383">
        <v>45.508271136124719</v>
      </c>
      <c r="GF383">
        <v>87.460455997513861</v>
      </c>
      <c r="GG383">
        <v>40.929282746672207</v>
      </c>
      <c r="GH383">
        <v>10.612524280237803</v>
      </c>
      <c r="GI383">
        <v>50.227245758576288</v>
      </c>
      <c r="GJ383"/>
      <c r="GK383"/>
      <c r="GL383"/>
      <c r="GM383"/>
    </row>
    <row r="384" spans="1:195" s="7" customFormat="1">
      <c r="A384" s="1"/>
      <c r="B384" s="71"/>
      <c r="C384" s="18"/>
      <c r="D384" s="18"/>
      <c r="E384" s="19"/>
      <c r="F384" s="19"/>
      <c r="G384" s="18"/>
      <c r="H384" s="18"/>
      <c r="I384" s="18"/>
      <c r="J384" s="18"/>
      <c r="K384" s="18"/>
      <c r="L384" s="18"/>
      <c r="M384" s="18"/>
      <c r="N384" s="18"/>
      <c r="O384" s="18"/>
      <c r="P384" s="18"/>
      <c r="Q384" s="18"/>
      <c r="R384" s="18"/>
      <c r="S384" s="18"/>
      <c r="T384" s="18"/>
      <c r="U384" s="18"/>
      <c r="V384" s="18"/>
      <c r="W384" s="18"/>
      <c r="X384" s="18"/>
      <c r="Y384" s="18"/>
      <c r="Z384" s="18"/>
      <c r="AA384" s="18"/>
      <c r="AB384" s="18"/>
      <c r="AC384" s="18"/>
      <c r="AD384" s="18"/>
      <c r="AE384" s="18"/>
      <c r="AF384" s="18"/>
      <c r="AG384" s="18"/>
      <c r="AH384" s="18"/>
      <c r="AI384" s="18"/>
      <c r="AJ384" s="18"/>
      <c r="AK384" s="18"/>
      <c r="AL384" s="78"/>
      <c r="AM384" s="43">
        <v>368</v>
      </c>
      <c r="AN384">
        <v>276.29689476511908</v>
      </c>
      <c r="AO384">
        <v>82.761386615830972</v>
      </c>
      <c r="AP384">
        <v>612.93795354460417</v>
      </c>
      <c r="AQ384">
        <v>471.7310926543546</v>
      </c>
      <c r="AR384">
        <v>73.582171981925413</v>
      </c>
      <c r="AS384">
        <v>613.82492710371469</v>
      </c>
      <c r="AT384">
        <v>39.486494378142048</v>
      </c>
      <c r="AU384">
        <v>60.548850158410943</v>
      </c>
      <c r="AV384"/>
      <c r="AW384"/>
      <c r="FY384" s="211">
        <v>379</v>
      </c>
      <c r="FZ384">
        <v>14.310956705449536</v>
      </c>
      <c r="GA384">
        <v>67.548439546870142</v>
      </c>
      <c r="GB384">
        <v>67.403842184452657</v>
      </c>
      <c r="GC384">
        <v>36.400473867369243</v>
      </c>
      <c r="GD384">
        <v>22.079793161904128</v>
      </c>
      <c r="GE384">
        <v>43.961747679910864</v>
      </c>
      <c r="GF384">
        <v>54.526595353922794</v>
      </c>
      <c r="GG384">
        <v>31.622046288659213</v>
      </c>
      <c r="GH384">
        <v>17.364254964452872</v>
      </c>
      <c r="GI384">
        <v>46.58363919068416</v>
      </c>
      <c r="GJ384"/>
      <c r="GK384"/>
      <c r="GL384"/>
      <c r="GM384"/>
    </row>
    <row r="385" spans="1:195" s="7" customFormat="1">
      <c r="A385" s="1"/>
      <c r="B385" s="71"/>
      <c r="C385" s="14"/>
      <c r="D385" s="14"/>
      <c r="E385" s="13"/>
      <c r="F385" s="13"/>
      <c r="G385" s="14"/>
      <c r="H385" s="14"/>
      <c r="I385" s="14"/>
      <c r="J385" s="14"/>
      <c r="K385" s="14"/>
      <c r="L385" s="14"/>
      <c r="M385" s="14"/>
      <c r="N385" s="14"/>
      <c r="O385" s="14"/>
      <c r="P385" s="14"/>
      <c r="Q385" s="14"/>
      <c r="R385" s="13"/>
      <c r="S385" s="13"/>
      <c r="T385" s="13"/>
      <c r="U385" s="13"/>
      <c r="V385" s="13"/>
      <c r="W385" s="13"/>
      <c r="X385" s="13"/>
      <c r="Y385" s="13"/>
      <c r="Z385" s="13"/>
      <c r="AA385" s="13"/>
      <c r="AB385" s="13"/>
      <c r="AC385" s="13"/>
      <c r="AD385" s="13"/>
      <c r="AE385" s="13"/>
      <c r="AF385" s="94"/>
      <c r="AG385" s="94"/>
      <c r="AH385" s="94"/>
      <c r="AI385" s="94"/>
      <c r="AJ385" s="94"/>
      <c r="AK385" s="94"/>
      <c r="AL385" s="78"/>
      <c r="AM385" s="43">
        <v>369</v>
      </c>
      <c r="AN385">
        <v>248.23062114391928</v>
      </c>
      <c r="AO385">
        <v>69.735658872809353</v>
      </c>
      <c r="AP385">
        <v>508.62249986850134</v>
      </c>
      <c r="AQ385">
        <v>395.69528380180628</v>
      </c>
      <c r="AR385">
        <v>62.703382653819233</v>
      </c>
      <c r="AS385">
        <v>549.03129979898426</v>
      </c>
      <c r="AT385">
        <v>35.899861411021909</v>
      </c>
      <c r="AU385">
        <v>77.271381684874697</v>
      </c>
      <c r="AV385"/>
      <c r="AW385"/>
      <c r="FY385" s="211">
        <v>380</v>
      </c>
      <c r="FZ385">
        <v>22.050517069990704</v>
      </c>
      <c r="GA385">
        <v>60.678853312665311</v>
      </c>
      <c r="GB385">
        <v>72.869286328010759</v>
      </c>
      <c r="GC385">
        <v>37.404368140541898</v>
      </c>
      <c r="GD385">
        <v>12.081613873825145</v>
      </c>
      <c r="GE385">
        <v>50.596934090191539</v>
      </c>
      <c r="GF385">
        <v>101.15402044234084</v>
      </c>
      <c r="GG385">
        <v>61.017523863187975</v>
      </c>
      <c r="GH385">
        <v>33.776365596122929</v>
      </c>
      <c r="GI385">
        <v>55.164455089068269</v>
      </c>
      <c r="GJ385"/>
      <c r="GK385"/>
      <c r="GL385"/>
      <c r="GM385"/>
    </row>
    <row r="386" spans="1:195" s="7" customFormat="1">
      <c r="A386" s="1"/>
      <c r="B386" s="13"/>
      <c r="C386" s="13"/>
      <c r="D386" s="96"/>
      <c r="E386" s="1"/>
      <c r="F386" s="1"/>
      <c r="G386" s="1"/>
      <c r="H386" s="1"/>
      <c r="I386" s="1"/>
      <c r="J386" s="14"/>
      <c r="K386" s="14"/>
      <c r="L386" s="13"/>
      <c r="M386" s="13"/>
      <c r="N386" s="13"/>
      <c r="O386" s="13"/>
      <c r="P386" s="13"/>
      <c r="Q386" s="13"/>
      <c r="R386" s="13"/>
      <c r="S386" s="13"/>
      <c r="T386" s="13"/>
      <c r="U386" s="13"/>
      <c r="V386" s="13"/>
      <c r="W386" s="13"/>
      <c r="X386" s="13"/>
      <c r="Y386" s="13"/>
      <c r="Z386" s="13"/>
      <c r="AA386" s="13"/>
      <c r="AB386" s="13"/>
      <c r="AC386" s="13"/>
      <c r="AD386" s="13"/>
      <c r="AE386" s="13"/>
      <c r="AF386" s="94"/>
      <c r="AG386" s="94"/>
      <c r="AH386" s="94"/>
      <c r="AI386" s="94"/>
      <c r="AJ386" s="94"/>
      <c r="AK386" s="94"/>
      <c r="AL386" s="78"/>
      <c r="AM386" s="43">
        <v>370</v>
      </c>
      <c r="AN386">
        <v>235.45674782607574</v>
      </c>
      <c r="AO386">
        <v>78.081399674840085</v>
      </c>
      <c r="AP386">
        <v>557.60237200419726</v>
      </c>
      <c r="AQ386">
        <v>417.89325486969886</v>
      </c>
      <c r="AR386">
        <v>70.804986268795844</v>
      </c>
      <c r="AS386">
        <v>588.71115992712907</v>
      </c>
      <c r="AT386">
        <v>40.61579920732008</v>
      </c>
      <c r="AU386">
        <v>63.368031967750113</v>
      </c>
      <c r="AV386"/>
      <c r="AW386"/>
      <c r="FY386" s="211">
        <v>381</v>
      </c>
      <c r="FZ386">
        <v>13.36921571405429</v>
      </c>
      <c r="GA386">
        <v>34.763136584662647</v>
      </c>
      <c r="GB386">
        <v>54.895018655823201</v>
      </c>
      <c r="GC386">
        <v>37.991337072743484</v>
      </c>
      <c r="GD386">
        <v>26.532992572221904</v>
      </c>
      <c r="GE386">
        <v>54.033680468110603</v>
      </c>
      <c r="GF386">
        <v>101.16421129975049</v>
      </c>
      <c r="GG386">
        <v>83.049542823273924</v>
      </c>
      <c r="GH386">
        <v>31.073144624470707</v>
      </c>
      <c r="GI386">
        <v>59.148489280379039</v>
      </c>
      <c r="GJ386"/>
      <c r="GK386"/>
      <c r="GL386"/>
      <c r="GM386"/>
    </row>
    <row r="387" spans="1:195" s="7" customFormat="1">
      <c r="A387" s="1"/>
      <c r="B387" s="13"/>
      <c r="C387" s="21"/>
      <c r="D387" s="96"/>
      <c r="E387" s="3"/>
      <c r="F387" s="10" t="s">
        <v>70</v>
      </c>
      <c r="G387" s="13"/>
      <c r="H387" s="10" t="s">
        <v>71</v>
      </c>
      <c r="I387" s="1"/>
      <c r="J387" s="14"/>
      <c r="K387" s="14"/>
      <c r="L387" s="13"/>
      <c r="M387" s="13"/>
      <c r="N387" s="13"/>
      <c r="O387" s="13"/>
      <c r="P387" s="13"/>
      <c r="Q387" s="13"/>
      <c r="R387" s="13"/>
      <c r="S387" s="13"/>
      <c r="T387" s="13"/>
      <c r="U387" s="13"/>
      <c r="V387" s="13"/>
      <c r="W387" s="13"/>
      <c r="X387" s="13"/>
      <c r="Y387" s="13"/>
      <c r="Z387" s="13"/>
      <c r="AA387" s="13"/>
      <c r="AB387" s="13"/>
      <c r="AC387" s="13"/>
      <c r="AD387" s="13"/>
      <c r="AE387" s="13"/>
      <c r="AF387" s="94"/>
      <c r="AG387" s="94"/>
      <c r="AH387" s="94"/>
      <c r="AI387" s="94"/>
      <c r="AJ387" s="94"/>
      <c r="AK387" s="94"/>
      <c r="AL387" s="78"/>
      <c r="AM387" s="43">
        <v>371</v>
      </c>
      <c r="AN387">
        <v>261.07391446495728</v>
      </c>
      <c r="AO387">
        <v>76.118917264198259</v>
      </c>
      <c r="AP387">
        <v>545.86757626373048</v>
      </c>
      <c r="AQ387">
        <v>422.45756071458004</v>
      </c>
      <c r="AR387">
        <v>69.453609917347535</v>
      </c>
      <c r="AS387">
        <v>554.758682039473</v>
      </c>
      <c r="AT387">
        <v>36.448819174223118</v>
      </c>
      <c r="AU387">
        <v>62.602388750507274</v>
      </c>
      <c r="AV387"/>
      <c r="AW387"/>
      <c r="FY387" s="211">
        <v>382</v>
      </c>
      <c r="FZ387">
        <v>26.336005827064323</v>
      </c>
      <c r="GA387">
        <v>54.288071973384355</v>
      </c>
      <c r="GB387">
        <v>86.398527635754093</v>
      </c>
      <c r="GC387">
        <v>51.133709298885236</v>
      </c>
      <c r="GD387">
        <v>19.838757635154774</v>
      </c>
      <c r="GE387">
        <v>58.772036145246709</v>
      </c>
      <c r="GF387">
        <v>83.865699935829255</v>
      </c>
      <c r="GG387">
        <v>39.873671250436423</v>
      </c>
      <c r="GH387">
        <v>24.694579475729483</v>
      </c>
      <c r="GI387">
        <v>58.903128653835431</v>
      </c>
      <c r="GJ387"/>
      <c r="GK387"/>
      <c r="GL387"/>
      <c r="GM387"/>
    </row>
    <row r="388" spans="1:195" s="7" customFormat="1">
      <c r="A388" s="1"/>
      <c r="B388" s="13"/>
      <c r="C388" s="21"/>
      <c r="D388" s="96"/>
      <c r="E388" s="3"/>
      <c r="F388" s="19">
        <f t="shared" ref="F388:F398" si="372">IF(C374&lt;1,0,LN(E374/E373)/E21)</f>
        <v>4.3954163169574713E-2</v>
      </c>
      <c r="G388" s="13"/>
      <c r="H388" s="19">
        <f>IF(G406&lt;0,0,G406)</f>
        <v>4.4416366190946466E-2</v>
      </c>
      <c r="I388" s="1"/>
      <c r="J388" s="14"/>
      <c r="K388" s="14"/>
      <c r="L388" s="13"/>
      <c r="M388" s="13"/>
      <c r="N388" s="13"/>
      <c r="O388" s="13"/>
      <c r="P388" s="13"/>
      <c r="Q388" s="13"/>
      <c r="R388" s="13"/>
      <c r="S388" s="13"/>
      <c r="T388" s="13"/>
      <c r="U388" s="13"/>
      <c r="V388" s="13"/>
      <c r="W388" s="13"/>
      <c r="X388" s="13"/>
      <c r="Y388" s="13"/>
      <c r="Z388" s="13"/>
      <c r="AA388" s="13"/>
      <c r="AB388" s="13"/>
      <c r="AC388" s="13"/>
      <c r="AD388" s="13"/>
      <c r="AE388" s="13"/>
      <c r="AF388" s="94"/>
      <c r="AG388" s="94"/>
      <c r="AH388" s="94"/>
      <c r="AI388" s="94"/>
      <c r="AJ388" s="94"/>
      <c r="AK388" s="94"/>
      <c r="AL388" s="78"/>
      <c r="AM388" s="43">
        <v>372</v>
      </c>
      <c r="AN388">
        <v>229.13149305685474</v>
      </c>
      <c r="AO388">
        <v>87.702689864032749</v>
      </c>
      <c r="AP388">
        <v>624.98485276246674</v>
      </c>
      <c r="AQ388">
        <v>468.85233025333923</v>
      </c>
      <c r="AR388">
        <v>78.104940129819099</v>
      </c>
      <c r="AS388">
        <v>658.85937013044395</v>
      </c>
      <c r="AT388" t="e">
        <v>#DIV/0!</v>
      </c>
      <c r="AU388" t="e">
        <v>#DIV/0!</v>
      </c>
      <c r="AV388"/>
      <c r="AW388"/>
      <c r="FY388" s="211">
        <v>383</v>
      </c>
      <c r="FZ388">
        <v>6.9539709199160047</v>
      </c>
      <c r="GA388">
        <v>31.32765727569905</v>
      </c>
      <c r="GB388">
        <v>52.975644201763487</v>
      </c>
      <c r="GC388">
        <v>33.071783603957478</v>
      </c>
      <c r="GD388">
        <v>16.621815247990437</v>
      </c>
      <c r="GE388">
        <v>32.540341797416268</v>
      </c>
      <c r="GF388">
        <v>93.47064440984424</v>
      </c>
      <c r="GG388">
        <v>64.603129523830077</v>
      </c>
      <c r="GH388">
        <v>3.9166373818459586</v>
      </c>
      <c r="GI388">
        <v>45.379448453592708</v>
      </c>
      <c r="GJ388"/>
      <c r="GK388"/>
      <c r="GL388"/>
      <c r="GM388"/>
    </row>
    <row r="389" spans="1:195" s="7" customFormat="1">
      <c r="A389" s="1"/>
      <c r="B389" s="13"/>
      <c r="C389" s="21"/>
      <c r="D389" s="96"/>
      <c r="E389" s="3"/>
      <c r="F389" s="19">
        <f t="shared" si="372"/>
        <v>-1.156891017083351E-2</v>
      </c>
      <c r="G389" s="13"/>
      <c r="H389" s="19">
        <f t="shared" ref="H389:H398" si="373">IF(G407&lt;0,0,G407)</f>
        <v>1.2949234204225609E-2</v>
      </c>
      <c r="I389" s="1"/>
      <c r="J389" s="14"/>
      <c r="K389" s="14"/>
      <c r="L389" s="13"/>
      <c r="M389" s="13"/>
      <c r="N389" s="13"/>
      <c r="O389" s="13"/>
      <c r="P389" s="13"/>
      <c r="Q389" s="13"/>
      <c r="R389" s="13"/>
      <c r="S389" s="13"/>
      <c r="T389" s="13"/>
      <c r="U389" s="13"/>
      <c r="V389" s="13"/>
      <c r="W389" s="13"/>
      <c r="X389" s="13"/>
      <c r="Y389" s="13"/>
      <c r="Z389" s="13"/>
      <c r="AA389" s="13"/>
      <c r="AB389" s="13"/>
      <c r="AC389" s="13"/>
      <c r="AD389" s="13"/>
      <c r="AE389" s="13"/>
      <c r="AF389" s="94"/>
      <c r="AG389" s="94"/>
      <c r="AH389" s="94"/>
      <c r="AI389" s="94"/>
      <c r="AJ389" s="94"/>
      <c r="AK389" s="94"/>
      <c r="AL389" s="78"/>
      <c r="AM389" s="43">
        <v>373</v>
      </c>
      <c r="AN389">
        <v>283.56093817449624</v>
      </c>
      <c r="AO389">
        <v>92.591453424750569</v>
      </c>
      <c r="AP389">
        <v>640.1474688784624</v>
      </c>
      <c r="AQ389">
        <v>485.72196921278669</v>
      </c>
      <c r="AR389">
        <v>83.874674826749654</v>
      </c>
      <c r="AS389">
        <v>667.30401911222191</v>
      </c>
      <c r="AT389">
        <v>42.97068765719893</v>
      </c>
      <c r="AU389">
        <v>32.305332181886371</v>
      </c>
      <c r="AV389"/>
      <c r="AW389"/>
      <c r="FY389" s="211">
        <v>384</v>
      </c>
      <c r="FZ389">
        <v>23.63790250381809</v>
      </c>
      <c r="GA389">
        <v>66.723710865317187</v>
      </c>
      <c r="GB389">
        <v>98.811718994735287</v>
      </c>
      <c r="GC389">
        <v>53.347462798447381</v>
      </c>
      <c r="GD389">
        <v>25.230180890117715</v>
      </c>
      <c r="GE389">
        <v>48.211332399290669</v>
      </c>
      <c r="GF389">
        <v>92.013195252376633</v>
      </c>
      <c r="GG389">
        <v>82.258555655224256</v>
      </c>
      <c r="GH389">
        <v>27.929483609397362</v>
      </c>
      <c r="GI389">
        <v>67.987679182004996</v>
      </c>
      <c r="GJ389"/>
      <c r="GK389"/>
      <c r="GL389"/>
      <c r="GM389"/>
    </row>
    <row r="390" spans="1:195" s="7" customFormat="1">
      <c r="A390" s="1"/>
      <c r="B390" s="13"/>
      <c r="C390" s="21"/>
      <c r="D390" s="96"/>
      <c r="E390" s="3"/>
      <c r="F390" s="19">
        <f t="shared" si="372"/>
        <v>1.5186408703706272E-2</v>
      </c>
      <c r="G390" s="13"/>
      <c r="H390" s="19">
        <f t="shared" si="373"/>
        <v>0</v>
      </c>
      <c r="I390" s="1"/>
      <c r="J390" s="14"/>
      <c r="K390" s="14"/>
      <c r="L390" s="13"/>
      <c r="M390" s="13"/>
      <c r="N390" s="13"/>
      <c r="O390" s="13"/>
      <c r="P390" s="13"/>
      <c r="Q390" s="13"/>
      <c r="R390" s="13"/>
      <c r="S390" s="13"/>
      <c r="T390" s="13"/>
      <c r="U390" s="13"/>
      <c r="V390" s="13"/>
      <c r="W390" s="13"/>
      <c r="X390" s="13"/>
      <c r="Y390" s="13"/>
      <c r="Z390" s="13"/>
      <c r="AA390" s="13"/>
      <c r="AB390" s="13"/>
      <c r="AC390" s="13"/>
      <c r="AD390" s="13"/>
      <c r="AE390" s="13"/>
      <c r="AF390" s="94"/>
      <c r="AG390" s="94"/>
      <c r="AH390" s="94"/>
      <c r="AI390" s="94"/>
      <c r="AJ390" s="94"/>
      <c r="AK390" s="94"/>
      <c r="AL390" s="78"/>
      <c r="AM390" s="43">
        <v>374</v>
      </c>
      <c r="AN390">
        <v>250.9541302072052</v>
      </c>
      <c r="AO390">
        <v>90.119134599561932</v>
      </c>
      <c r="AP390">
        <v>665.14820318129455</v>
      </c>
      <c r="AQ390">
        <v>500.88618618265247</v>
      </c>
      <c r="AR390">
        <v>81.579829346122949</v>
      </c>
      <c r="AS390">
        <v>650.54220603838019</v>
      </c>
      <c r="AT390" t="e">
        <v>#DIV/0!</v>
      </c>
      <c r="AU390" t="e">
        <v>#DIV/0!</v>
      </c>
      <c r="AV390"/>
      <c r="AW390"/>
      <c r="FY390" s="211">
        <v>385</v>
      </c>
      <c r="FZ390">
        <v>10.273207296155624</v>
      </c>
      <c r="GA390">
        <v>44.663013823974971</v>
      </c>
      <c r="GB390">
        <v>75.909052716200534</v>
      </c>
      <c r="GC390">
        <v>46.228450924106298</v>
      </c>
      <c r="GD390">
        <v>17.846142446667994</v>
      </c>
      <c r="GE390">
        <v>30.969660891942805</v>
      </c>
      <c r="GF390">
        <v>48.409388584715956</v>
      </c>
      <c r="GG390">
        <v>39.574597318265972</v>
      </c>
      <c r="GH390">
        <v>29.733690013015874</v>
      </c>
      <c r="GI390">
        <v>46.525286003188263</v>
      </c>
      <c r="GJ390"/>
      <c r="GK390"/>
      <c r="GL390"/>
      <c r="GM390"/>
    </row>
    <row r="391" spans="1:195" s="7" customFormat="1">
      <c r="A391" s="1"/>
      <c r="B391" s="13"/>
      <c r="C391" s="21"/>
      <c r="D391" s="96"/>
      <c r="E391" s="3"/>
      <c r="F391" s="19">
        <f t="shared" si="372"/>
        <v>-1.7357755840480456E-3</v>
      </c>
      <c r="G391" s="13"/>
      <c r="H391" s="19">
        <f t="shared" si="373"/>
        <v>0</v>
      </c>
      <c r="I391" s="1"/>
      <c r="J391" s="14"/>
      <c r="K391" s="14"/>
      <c r="L391" s="13"/>
      <c r="M391" s="13"/>
      <c r="N391" s="13"/>
      <c r="O391" s="13"/>
      <c r="P391" s="13"/>
      <c r="Q391" s="13"/>
      <c r="R391" s="13"/>
      <c r="S391" s="13"/>
      <c r="T391" s="13"/>
      <c r="U391" s="13"/>
      <c r="V391" s="13"/>
      <c r="W391" s="13"/>
      <c r="X391" s="13"/>
      <c r="Y391" s="13"/>
      <c r="Z391" s="13"/>
      <c r="AA391" s="13"/>
      <c r="AB391" s="13"/>
      <c r="AC391" s="13"/>
      <c r="AD391" s="13"/>
      <c r="AE391" s="13"/>
      <c r="AF391" s="94"/>
      <c r="AG391" s="94"/>
      <c r="AH391" s="94"/>
      <c r="AI391" s="94"/>
      <c r="AJ391" s="94"/>
      <c r="AK391" s="94"/>
      <c r="AL391" s="78"/>
      <c r="AM391" s="43">
        <v>375</v>
      </c>
      <c r="AN391">
        <v>267.64379055150147</v>
      </c>
      <c r="AO391">
        <v>99.729672104700029</v>
      </c>
      <c r="AP391">
        <v>733.28957304995811</v>
      </c>
      <c r="AQ391">
        <v>530.44960725123985</v>
      </c>
      <c r="AR391">
        <v>89.216883353708155</v>
      </c>
      <c r="AS391">
        <v>711.50694611367544</v>
      </c>
      <c r="AT391">
        <v>46.98210625388927</v>
      </c>
      <c r="AU391">
        <v>87.480730082610009</v>
      </c>
      <c r="AV391"/>
      <c r="AW391"/>
      <c r="FY391" s="211">
        <v>386</v>
      </c>
      <c r="FZ391">
        <v>8.334968787783577</v>
      </c>
      <c r="GA391">
        <v>53.31038194426668</v>
      </c>
      <c r="GB391">
        <v>57.648060310445985</v>
      </c>
      <c r="GC391">
        <v>31.868899295196446</v>
      </c>
      <c r="GD391">
        <v>15.645502423391802</v>
      </c>
      <c r="GE391">
        <v>42.687011043865212</v>
      </c>
      <c r="GF391">
        <v>82.014925002405207</v>
      </c>
      <c r="GG391">
        <v>62.90888078662644</v>
      </c>
      <c r="GH391">
        <v>47.538059841674453</v>
      </c>
      <c r="GI391">
        <v>49.90741868210003</v>
      </c>
      <c r="GJ391"/>
      <c r="GK391"/>
      <c r="GL391"/>
      <c r="GM391"/>
    </row>
    <row r="392" spans="1:195" s="7" customFormat="1">
      <c r="A392" s="1"/>
      <c r="B392" s="13"/>
      <c r="C392" s="21"/>
      <c r="D392" s="96"/>
      <c r="E392" s="3"/>
      <c r="F392" s="19">
        <f t="shared" si="372"/>
        <v>-1.1219938437646735E-2</v>
      </c>
      <c r="G392" s="13"/>
      <c r="H392" s="19">
        <f t="shared" si="373"/>
        <v>0</v>
      </c>
      <c r="I392" s="1"/>
      <c r="J392" s="14"/>
      <c r="K392" s="14"/>
      <c r="L392" s="13"/>
      <c r="M392" s="13"/>
      <c r="N392" s="13"/>
      <c r="O392" s="13"/>
      <c r="P392" s="13"/>
      <c r="Q392" s="13"/>
      <c r="R392" s="13"/>
      <c r="S392" s="13"/>
      <c r="T392" s="13"/>
      <c r="U392" s="13"/>
      <c r="V392" s="13"/>
      <c r="W392" s="13"/>
      <c r="X392" s="13"/>
      <c r="Y392" s="13"/>
      <c r="Z392" s="13"/>
      <c r="AA392" s="13"/>
      <c r="AB392" s="13"/>
      <c r="AC392" s="13"/>
      <c r="AD392" s="13"/>
      <c r="AE392" s="13"/>
      <c r="AF392" s="94"/>
      <c r="AG392" s="94"/>
      <c r="AH392" s="94"/>
      <c r="AI392" s="94"/>
      <c r="AJ392" s="94"/>
      <c r="AK392" s="94"/>
      <c r="AL392" s="78"/>
      <c r="AM392" s="43">
        <v>376</v>
      </c>
      <c r="AN392">
        <v>252.20880660061002</v>
      </c>
      <c r="AO392">
        <v>85.569972661568286</v>
      </c>
      <c r="AP392">
        <v>653.96257621640234</v>
      </c>
      <c r="AQ392">
        <v>480.33082679925235</v>
      </c>
      <c r="AR392">
        <v>77.841698304920385</v>
      </c>
      <c r="AS392">
        <v>667.84562596605826</v>
      </c>
      <c r="AT392" t="e">
        <v>#DIV/0!</v>
      </c>
      <c r="AU392" t="e">
        <v>#DIV/0!</v>
      </c>
      <c r="AV392"/>
      <c r="AW392"/>
      <c r="FY392" s="211">
        <v>387</v>
      </c>
      <c r="FZ392">
        <v>5.0563711738400272</v>
      </c>
      <c r="GA392">
        <v>43.427284829783105</v>
      </c>
      <c r="GB392">
        <v>62.828032614364467</v>
      </c>
      <c r="GC392">
        <v>34.83444950354567</v>
      </c>
      <c r="GD392">
        <v>23.698165329925949</v>
      </c>
      <c r="GE392">
        <v>41.241305079190028</v>
      </c>
      <c r="GF392">
        <v>74.346892184180888</v>
      </c>
      <c r="GG392">
        <v>62.520447626070563</v>
      </c>
      <c r="GH392">
        <v>15.126612151181952</v>
      </c>
      <c r="GI392">
        <v>49.811208350673205</v>
      </c>
      <c r="GJ392"/>
      <c r="GK392"/>
      <c r="GL392"/>
      <c r="GM392"/>
    </row>
    <row r="393" spans="1:195" s="7" customFormat="1">
      <c r="A393" s="1"/>
      <c r="B393" s="13"/>
      <c r="C393" s="21"/>
      <c r="D393" s="96"/>
      <c r="E393" s="3"/>
      <c r="F393" s="19">
        <f t="shared" si="372"/>
        <v>2.0676154299738871E-2</v>
      </c>
      <c r="G393" s="13"/>
      <c r="H393" s="19">
        <f t="shared" si="373"/>
        <v>0</v>
      </c>
      <c r="I393" s="1"/>
      <c r="J393" s="14"/>
      <c r="K393" s="14"/>
      <c r="L393" s="13"/>
      <c r="M393" s="13"/>
      <c r="N393" s="13"/>
      <c r="O393" s="13"/>
      <c r="P393" s="13"/>
      <c r="Q393" s="13"/>
      <c r="R393" s="13"/>
      <c r="S393" s="13"/>
      <c r="T393" s="13"/>
      <c r="U393" s="13"/>
      <c r="V393" s="13"/>
      <c r="W393" s="13"/>
      <c r="X393" s="13"/>
      <c r="Y393" s="13"/>
      <c r="Z393" s="13"/>
      <c r="AA393" s="13"/>
      <c r="AB393" s="13"/>
      <c r="AC393" s="13"/>
      <c r="AD393" s="13"/>
      <c r="AE393" s="13"/>
      <c r="AF393" s="94"/>
      <c r="AG393" s="94"/>
      <c r="AH393" s="94"/>
      <c r="AI393" s="94"/>
      <c r="AJ393" s="94"/>
      <c r="AK393" s="94"/>
      <c r="AL393" s="78"/>
      <c r="AM393" s="43">
        <v>377</v>
      </c>
      <c r="AN393">
        <v>298.13405343641546</v>
      </c>
      <c r="AO393">
        <v>66.126646749534856</v>
      </c>
      <c r="AP393">
        <v>473.84565172253707</v>
      </c>
      <c r="AQ393">
        <v>351.92083473647125</v>
      </c>
      <c r="AR393">
        <v>59.989797190548401</v>
      </c>
      <c r="AS393">
        <v>583.62691747235442</v>
      </c>
      <c r="AT393" t="e">
        <v>#DIV/0!</v>
      </c>
      <c r="AU393" t="e">
        <v>#DIV/0!</v>
      </c>
      <c r="AV393"/>
      <c r="AW393"/>
      <c r="FY393" s="211">
        <v>388</v>
      </c>
      <c r="FZ393">
        <v>25.568733224772149</v>
      </c>
      <c r="GA393">
        <v>68.902455457789998</v>
      </c>
      <c r="GB393">
        <v>112.82208137050684</v>
      </c>
      <c r="GC393">
        <v>63.542751445849113</v>
      </c>
      <c r="GD393">
        <v>21.207183265754541</v>
      </c>
      <c r="GE393">
        <v>45.108638831877023</v>
      </c>
      <c r="GF393">
        <v>130.06096353097402</v>
      </c>
      <c r="GG393">
        <v>86.436703579675054</v>
      </c>
      <c r="GH393">
        <v>4.3536789160975502</v>
      </c>
      <c r="GI393">
        <v>73.723079482542403</v>
      </c>
      <c r="GJ393"/>
      <c r="GK393"/>
      <c r="GL393"/>
      <c r="GM393"/>
    </row>
    <row r="394" spans="1:195" s="7" customFormat="1">
      <c r="A394" s="1"/>
      <c r="B394" s="13"/>
      <c r="C394" s="21"/>
      <c r="D394" s="96"/>
      <c r="E394" s="3"/>
      <c r="F394" s="19">
        <f t="shared" si="372"/>
        <v>-8.1308419236770219E-5</v>
      </c>
      <c r="G394" s="13"/>
      <c r="H394" s="19">
        <f t="shared" si="373"/>
        <v>0</v>
      </c>
      <c r="I394" s="1"/>
      <c r="J394" s="14"/>
      <c r="K394" s="14"/>
      <c r="L394" s="13"/>
      <c r="M394" s="13"/>
      <c r="N394" s="13"/>
      <c r="O394" s="13"/>
      <c r="P394" s="13"/>
      <c r="Q394" s="13"/>
      <c r="R394" s="13"/>
      <c r="S394" s="13"/>
      <c r="T394" s="13"/>
      <c r="U394" s="13"/>
      <c r="V394" s="13"/>
      <c r="W394" s="13"/>
      <c r="X394" s="13"/>
      <c r="Y394" s="13"/>
      <c r="Z394" s="13"/>
      <c r="AA394" s="13"/>
      <c r="AB394" s="13"/>
      <c r="AC394" s="13"/>
      <c r="AD394" s="13"/>
      <c r="AE394" s="13"/>
      <c r="AF394" s="94"/>
      <c r="AG394" s="94"/>
      <c r="AH394" s="94"/>
      <c r="AI394" s="94"/>
      <c r="AJ394" s="94"/>
      <c r="AK394" s="94"/>
      <c r="AL394" s="78"/>
      <c r="AM394" s="43">
        <v>378</v>
      </c>
      <c r="AN394">
        <v>268.00393037198444</v>
      </c>
      <c r="AO394">
        <v>79.257628024179681</v>
      </c>
      <c r="AP394">
        <v>580.41346236729078</v>
      </c>
      <c r="AQ394">
        <v>428.28441341148391</v>
      </c>
      <c r="AR394">
        <v>70.533718991924857</v>
      </c>
      <c r="AS394">
        <v>613.21511355357291</v>
      </c>
      <c r="AT394">
        <v>37.009107403570198</v>
      </c>
      <c r="AU394">
        <v>38.633877348647729</v>
      </c>
      <c r="AV394"/>
      <c r="AW394"/>
      <c r="FY394" s="211">
        <v>389</v>
      </c>
      <c r="FZ394">
        <v>7.2072693993796051</v>
      </c>
      <c r="GA394">
        <v>37.495800036160752</v>
      </c>
      <c r="GB394">
        <v>85.455389287547845</v>
      </c>
      <c r="GC394">
        <v>50.606952229145804</v>
      </c>
      <c r="GD394">
        <v>21.877378851495273</v>
      </c>
      <c r="GE394">
        <v>46.097903749986656</v>
      </c>
      <c r="GF394">
        <v>75.23709354760787</v>
      </c>
      <c r="GG394">
        <v>41.062030365411907</v>
      </c>
      <c r="GH394">
        <v>5.9580073457550773</v>
      </c>
      <c r="GI394">
        <v>53.270461045966904</v>
      </c>
      <c r="GJ394"/>
      <c r="GK394"/>
      <c r="GL394"/>
      <c r="GM394"/>
    </row>
    <row r="395" spans="1:195" s="7" customFormat="1">
      <c r="A395" s="1"/>
      <c r="B395" s="13"/>
      <c r="C395" s="21"/>
      <c r="D395" s="96"/>
      <c r="E395" s="3"/>
      <c r="F395" s="19">
        <f t="shared" si="372"/>
        <v>6.3480797383085596E-3</v>
      </c>
      <c r="G395" s="13"/>
      <c r="H395" s="19">
        <f t="shared" si="373"/>
        <v>0</v>
      </c>
      <c r="I395" s="1"/>
      <c r="J395" s="14"/>
      <c r="K395" s="14"/>
      <c r="L395" s="13"/>
      <c r="M395" s="13"/>
      <c r="N395" s="13"/>
      <c r="O395" s="13"/>
      <c r="P395" s="13"/>
      <c r="Q395" s="13"/>
      <c r="R395" s="13"/>
      <c r="S395" s="13"/>
      <c r="T395" s="13"/>
      <c r="U395" s="13"/>
      <c r="V395" s="13"/>
      <c r="W395" s="13"/>
      <c r="X395" s="13"/>
      <c r="Y395" s="13"/>
      <c r="Z395" s="13"/>
      <c r="AA395" s="13"/>
      <c r="AB395" s="13"/>
      <c r="AC395" s="13"/>
      <c r="AD395" s="13"/>
      <c r="AE395" s="13"/>
      <c r="AF395" s="94"/>
      <c r="AG395" s="94"/>
      <c r="AH395" s="94"/>
      <c r="AI395" s="94"/>
      <c r="AJ395" s="94"/>
      <c r="AK395" s="94"/>
      <c r="AL395" s="78"/>
      <c r="AM395" s="43">
        <v>379</v>
      </c>
      <c r="AN395">
        <v>261.51566990214548</v>
      </c>
      <c r="AO395">
        <v>72.756548406819078</v>
      </c>
      <c r="AP395">
        <v>515.19545814343871</v>
      </c>
      <c r="AQ395">
        <v>401.80178894367555</v>
      </c>
      <c r="AR395">
        <v>65.669611631008408</v>
      </c>
      <c r="AS395">
        <v>619.24612333571429</v>
      </c>
      <c r="AT395">
        <v>35.350038387303137</v>
      </c>
      <c r="AU395">
        <v>71.334431208712587</v>
      </c>
      <c r="AV395"/>
      <c r="AW395"/>
      <c r="FY395" s="211">
        <v>390</v>
      </c>
      <c r="FZ395">
        <v>20.273317901327324</v>
      </c>
      <c r="GA395">
        <v>65.815817041167094</v>
      </c>
      <c r="GB395">
        <v>95.606427299646185</v>
      </c>
      <c r="GC395">
        <v>48.108034818119613</v>
      </c>
      <c r="GD395">
        <v>12.90150725404461</v>
      </c>
      <c r="GE395">
        <v>26.361469917091739</v>
      </c>
      <c r="GF395">
        <v>57.360347332032099</v>
      </c>
      <c r="GG395">
        <v>49.185980389023527</v>
      </c>
      <c r="GH395">
        <v>22.802399262894639</v>
      </c>
      <c r="GI395">
        <v>50.087963447073498</v>
      </c>
      <c r="GJ395"/>
      <c r="GK395"/>
      <c r="GL395"/>
      <c r="GM395"/>
    </row>
    <row r="396" spans="1:195" s="7" customFormat="1">
      <c r="A396" s="1"/>
      <c r="B396" s="13"/>
      <c r="C396" s="21"/>
      <c r="D396" s="96"/>
      <c r="E396" s="3"/>
      <c r="F396" s="19">
        <f t="shared" si="372"/>
        <v>-5.1560417292488538E-2</v>
      </c>
      <c r="G396" s="13"/>
      <c r="H396" s="19">
        <f t="shared" si="373"/>
        <v>6.1798926532997317E-2</v>
      </c>
      <c r="I396" s="1"/>
      <c r="J396" s="14"/>
      <c r="K396" s="14"/>
      <c r="L396" s="13"/>
      <c r="M396" s="13"/>
      <c r="N396" s="13"/>
      <c r="O396" s="13"/>
      <c r="P396" s="13"/>
      <c r="Q396" s="13"/>
      <c r="R396" s="13"/>
      <c r="S396" s="13"/>
      <c r="T396" s="13"/>
      <c r="U396" s="13"/>
      <c r="V396" s="13"/>
      <c r="W396" s="13"/>
      <c r="X396" s="13"/>
      <c r="Y396" s="13"/>
      <c r="Z396" s="13"/>
      <c r="AA396" s="13"/>
      <c r="AB396" s="13"/>
      <c r="AC396" s="13"/>
      <c r="AD396" s="13"/>
      <c r="AE396" s="13"/>
      <c r="AF396" s="94"/>
      <c r="AG396" s="94"/>
      <c r="AH396" s="94"/>
      <c r="AI396" s="94"/>
      <c r="AJ396" s="94"/>
      <c r="AK396" s="94"/>
      <c r="AL396" s="78"/>
      <c r="AM396" s="43">
        <v>380</v>
      </c>
      <c r="AN396">
        <v>255.67363560760387</v>
      </c>
      <c r="AO396">
        <v>87.909934051788738</v>
      </c>
      <c r="AP396">
        <v>699.05822551358938</v>
      </c>
      <c r="AQ396">
        <v>506.79393780594535</v>
      </c>
      <c r="AR396">
        <v>77.812653029937692</v>
      </c>
      <c r="AS396">
        <v>623.21186834051468</v>
      </c>
      <c r="AT396" t="e">
        <v>#DIV/0!</v>
      </c>
      <c r="AU396" t="e">
        <v>#DIV/0!</v>
      </c>
      <c r="AV396"/>
      <c r="AW396"/>
      <c r="FY396" s="211">
        <v>391</v>
      </c>
      <c r="FZ396">
        <v>22.556565579957962</v>
      </c>
      <c r="GA396">
        <v>50.009538517994862</v>
      </c>
      <c r="GB396">
        <v>46.494334635024629</v>
      </c>
      <c r="GC396">
        <v>25.82710047626064</v>
      </c>
      <c r="GD396">
        <v>11.163159815821471</v>
      </c>
      <c r="GE396">
        <v>37.820132716145281</v>
      </c>
      <c r="GF396">
        <v>70.425875027865473</v>
      </c>
      <c r="GG396">
        <v>32.511493658890281</v>
      </c>
      <c r="GH396">
        <v>10.423516444456313</v>
      </c>
      <c r="GI396">
        <v>37.613862920229984</v>
      </c>
      <c r="GJ396"/>
      <c r="GK396"/>
      <c r="GL396"/>
      <c r="GM396"/>
    </row>
    <row r="397" spans="1:195" s="7" customFormat="1">
      <c r="A397" s="1"/>
      <c r="B397" s="13"/>
      <c r="C397" s="21"/>
      <c r="D397" s="96"/>
      <c r="E397" s="3"/>
      <c r="F397" s="19">
        <f t="shared" si="372"/>
        <v>0</v>
      </c>
      <c r="G397" s="13"/>
      <c r="H397" s="19">
        <f t="shared" si="373"/>
        <v>0</v>
      </c>
      <c r="I397" s="1"/>
      <c r="J397" s="14"/>
      <c r="K397" s="14"/>
      <c r="L397" s="13"/>
      <c r="M397" s="13"/>
      <c r="N397" s="13"/>
      <c r="O397" s="13"/>
      <c r="P397" s="13"/>
      <c r="Q397" s="13"/>
      <c r="R397" s="13"/>
      <c r="S397" s="13"/>
      <c r="T397" s="13"/>
      <c r="U397" s="13"/>
      <c r="V397" s="13"/>
      <c r="W397" s="13"/>
      <c r="X397" s="13"/>
      <c r="Y397" s="13"/>
      <c r="Z397" s="13"/>
      <c r="AA397" s="13"/>
      <c r="AB397" s="13"/>
      <c r="AC397" s="13"/>
      <c r="AD397" s="13"/>
      <c r="AE397" s="13"/>
      <c r="AF397" s="94"/>
      <c r="AG397" s="94"/>
      <c r="AH397" s="94"/>
      <c r="AI397" s="94"/>
      <c r="AJ397" s="94"/>
      <c r="AK397" s="94"/>
      <c r="AL397" s="78"/>
      <c r="AM397" s="43">
        <v>381</v>
      </c>
      <c r="AN397">
        <v>231.00036191419417</v>
      </c>
      <c r="AO397">
        <v>94.975334440228153</v>
      </c>
      <c r="AP397">
        <v>670.35444782099307</v>
      </c>
      <c r="AQ397">
        <v>496.02076909549032</v>
      </c>
      <c r="AR397">
        <v>85.67123084458315</v>
      </c>
      <c r="AS397">
        <v>631.30906440089166</v>
      </c>
      <c r="AT397">
        <v>46.107620715093759</v>
      </c>
      <c r="AU397">
        <v>168.18961692319246</v>
      </c>
      <c r="AV397"/>
      <c r="AW397"/>
      <c r="FY397" s="211">
        <v>392</v>
      </c>
      <c r="FZ397">
        <v>32.8299738162358</v>
      </c>
      <c r="GA397">
        <v>82.006233691400013</v>
      </c>
      <c r="GB397">
        <v>67.39797682950109</v>
      </c>
      <c r="GC397">
        <v>39.415626230459218</v>
      </c>
      <c r="GD397">
        <v>22.118952093432675</v>
      </c>
      <c r="GE397">
        <v>43.873331579372632</v>
      </c>
      <c r="GF397">
        <v>93.870097999481132</v>
      </c>
      <c r="GG397">
        <v>58.120063384118239</v>
      </c>
      <c r="GH397">
        <v>8.1249937701670465</v>
      </c>
      <c r="GI397">
        <v>56.308499460791147</v>
      </c>
      <c r="GJ397"/>
      <c r="GK397"/>
      <c r="GL397"/>
      <c r="GM397"/>
    </row>
    <row r="398" spans="1:195" s="7" customFormat="1">
      <c r="A398" s="1"/>
      <c r="B398" s="13"/>
      <c r="C398" s="21"/>
      <c r="D398" s="96"/>
      <c r="E398" s="3"/>
      <c r="F398" s="19">
        <f t="shared" si="372"/>
        <v>0</v>
      </c>
      <c r="G398" s="13"/>
      <c r="H398" s="19">
        <f t="shared" si="373"/>
        <v>0</v>
      </c>
      <c r="I398" s="1"/>
      <c r="J398" s="14"/>
      <c r="K398" s="14"/>
      <c r="L398" s="13"/>
      <c r="M398" s="13"/>
      <c r="N398" s="13"/>
      <c r="O398" s="13"/>
      <c r="P398" s="13"/>
      <c r="Q398" s="13"/>
      <c r="R398" s="13"/>
      <c r="S398" s="13"/>
      <c r="T398" s="13"/>
      <c r="U398" s="13"/>
      <c r="V398" s="13"/>
      <c r="W398" s="13"/>
      <c r="X398" s="13"/>
      <c r="Y398" s="13"/>
      <c r="Z398" s="13"/>
      <c r="AA398" s="13"/>
      <c r="AB398" s="13"/>
      <c r="AC398" s="13"/>
      <c r="AD398" s="13"/>
      <c r="AE398" s="13"/>
      <c r="AF398" s="94"/>
      <c r="AG398" s="94"/>
      <c r="AH398" s="94"/>
      <c r="AI398" s="94"/>
      <c r="AJ398" s="94"/>
      <c r="AK398" s="94"/>
      <c r="AL398" s="78"/>
      <c r="AM398" s="43">
        <v>382</v>
      </c>
      <c r="AN398">
        <v>235.40388568725211</v>
      </c>
      <c r="AO398">
        <v>92.803004824077505</v>
      </c>
      <c r="AP398">
        <v>659.91592173602237</v>
      </c>
      <c r="AQ398">
        <v>504.10418783132002</v>
      </c>
      <c r="AR398">
        <v>82.617882026555563</v>
      </c>
      <c r="AS398">
        <v>652.83716851751115</v>
      </c>
      <c r="AT398">
        <v>44.980157065167752</v>
      </c>
      <c r="AU398">
        <v>67.84578586645398</v>
      </c>
      <c r="AV398"/>
      <c r="AW398"/>
      <c r="FY398" s="211">
        <v>393</v>
      </c>
      <c r="FZ398">
        <v>24.817661788569708</v>
      </c>
      <c r="GA398">
        <v>59.786592057364778</v>
      </c>
      <c r="GB398">
        <v>103.43804920614055</v>
      </c>
      <c r="GC398">
        <v>59.160079516895749</v>
      </c>
      <c r="GD398">
        <v>31.480295594861243</v>
      </c>
      <c r="GE398">
        <v>77.974025163809017</v>
      </c>
      <c r="GF398">
        <v>81.494711530934737</v>
      </c>
      <c r="GG398">
        <v>44.990817041673772</v>
      </c>
      <c r="GH398">
        <v>27.582240263759349</v>
      </c>
      <c r="GI398">
        <v>70.433731747439595</v>
      </c>
      <c r="GJ398"/>
      <c r="GK398"/>
      <c r="GL398"/>
      <c r="GM398"/>
    </row>
    <row r="399" spans="1:195" s="7" customFormat="1">
      <c r="A399" s="1"/>
      <c r="B399" s="1"/>
      <c r="C399" s="3"/>
      <c r="D399" s="3"/>
      <c r="E399" s="1"/>
      <c r="F399" s="1"/>
      <c r="G399" s="2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  <c r="AB399" s="1"/>
      <c r="AC399" s="1"/>
      <c r="AD399" s="1"/>
      <c r="AE399" s="1"/>
      <c r="AF399" s="78"/>
      <c r="AG399" s="78"/>
      <c r="AH399" s="78"/>
      <c r="AI399" s="78"/>
      <c r="AJ399" s="78"/>
      <c r="AK399" s="78"/>
      <c r="AL399" s="78"/>
      <c r="AM399" s="43">
        <v>383</v>
      </c>
      <c r="AN399">
        <v>237.55596873217308</v>
      </c>
      <c r="AO399">
        <v>73.191065550475244</v>
      </c>
      <c r="AP399">
        <v>546.55228311754922</v>
      </c>
      <c r="AQ399">
        <v>380.86107281585572</v>
      </c>
      <c r="AR399">
        <v>66.09597358266069</v>
      </c>
      <c r="AS399">
        <v>534.16666129070097</v>
      </c>
      <c r="AT399">
        <v>36.332926728700684</v>
      </c>
      <c r="AU399">
        <v>51.036558023332042</v>
      </c>
      <c r="AV399"/>
      <c r="AW399"/>
      <c r="FY399" s="211">
        <v>394</v>
      </c>
      <c r="FZ399">
        <v>26.409916798517052</v>
      </c>
      <c r="GA399">
        <v>55.862999490758931</v>
      </c>
      <c r="GB399">
        <v>70.788519953935733</v>
      </c>
      <c r="GC399">
        <v>44.107906717085939</v>
      </c>
      <c r="GD399">
        <v>20.379559555350639</v>
      </c>
      <c r="GE399">
        <v>33.17473548344465</v>
      </c>
      <c r="GF399">
        <v>46.648222231893477</v>
      </c>
      <c r="GG399">
        <v>64.566029149788406</v>
      </c>
      <c r="GH399">
        <v>55.069341291502305</v>
      </c>
      <c r="GI399">
        <v>52.686291988443543</v>
      </c>
      <c r="GJ399"/>
      <c r="GK399"/>
      <c r="GL399"/>
      <c r="GM399"/>
    </row>
    <row r="400" spans="1:195" s="7" customFormat="1">
      <c r="A400" s="1"/>
      <c r="B400" s="1"/>
      <c r="C400" s="3"/>
      <c r="D400" s="3"/>
      <c r="E400" s="1"/>
      <c r="F400" s="1"/>
      <c r="G400" s="2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  <c r="AB400" s="1"/>
      <c r="AC400" s="1"/>
      <c r="AD400" s="1"/>
      <c r="AE400" s="1"/>
      <c r="AF400" s="78"/>
      <c r="AG400" s="78"/>
      <c r="AH400" s="78"/>
      <c r="AI400" s="78"/>
      <c r="AJ400" s="78"/>
      <c r="AK400" s="78"/>
      <c r="AL400" s="78"/>
      <c r="AM400" s="43">
        <v>384</v>
      </c>
      <c r="AN400">
        <v>281.26717700665733</v>
      </c>
      <c r="AO400">
        <v>108.78442505871274</v>
      </c>
      <c r="AP400">
        <v>808.43891526662139</v>
      </c>
      <c r="AQ400">
        <v>586.1512221507295</v>
      </c>
      <c r="AR400">
        <v>99.781012287901504</v>
      </c>
      <c r="AS400">
        <v>776.61290929429015</v>
      </c>
      <c r="AT400">
        <v>52.755384555974224</v>
      </c>
      <c r="AU400">
        <v>67.968140932193208</v>
      </c>
      <c r="AV400"/>
      <c r="AW400"/>
      <c r="FY400" s="211">
        <v>395</v>
      </c>
      <c r="FZ400">
        <v>11.653800761224883</v>
      </c>
      <c r="GA400">
        <v>43.600256365848182</v>
      </c>
      <c r="GB400">
        <v>76.807038333109276</v>
      </c>
      <c r="GC400">
        <v>40.001467839473555</v>
      </c>
      <c r="GD400">
        <v>17.255055204972471</v>
      </c>
      <c r="GE400">
        <v>45.378364951635611</v>
      </c>
      <c r="GF400">
        <v>77.928350886719528</v>
      </c>
      <c r="GG400">
        <v>57.416218034104048</v>
      </c>
      <c r="GH400">
        <v>25.289275163499681</v>
      </c>
      <c r="GI400">
        <v>52.001565263410782</v>
      </c>
      <c r="GJ400"/>
      <c r="GK400"/>
      <c r="GL400"/>
      <c r="GM400"/>
    </row>
    <row r="401" spans="1:195" s="7" customFormat="1">
      <c r="A401" s="4"/>
      <c r="B401" s="4"/>
      <c r="C401" s="83"/>
      <c r="D401" s="83"/>
      <c r="E401" s="4"/>
      <c r="F401" s="4"/>
      <c r="G401" s="28"/>
      <c r="H401" s="4"/>
      <c r="I401" s="4"/>
      <c r="J401" s="4"/>
      <c r="K401" s="4"/>
      <c r="L401" s="4"/>
      <c r="M401" s="4"/>
      <c r="N401" s="4"/>
      <c r="O401" s="4"/>
      <c r="P401" s="4"/>
      <c r="Q401" s="4"/>
      <c r="R401" s="4"/>
      <c r="S401" s="4"/>
      <c r="T401" s="4"/>
      <c r="U401" s="4"/>
      <c r="V401" s="4"/>
      <c r="W401" s="4"/>
      <c r="X401" s="4"/>
      <c r="Y401" s="4"/>
      <c r="Z401" s="4"/>
      <c r="AA401" s="4"/>
      <c r="AB401" s="4"/>
      <c r="AC401" s="4"/>
      <c r="AD401" s="4"/>
      <c r="AE401" s="4"/>
      <c r="AF401" s="81"/>
      <c r="AG401" s="81"/>
      <c r="AH401" s="81"/>
      <c r="AI401" s="81"/>
      <c r="AJ401" s="81"/>
      <c r="AK401" s="81"/>
      <c r="AL401" s="81"/>
      <c r="AM401" s="43">
        <v>385</v>
      </c>
      <c r="AN401">
        <v>235.31087635271865</v>
      </c>
      <c r="AO401">
        <v>73.072605870970889</v>
      </c>
      <c r="AP401">
        <v>520.13327165752298</v>
      </c>
      <c r="AQ401">
        <v>390.13249001823425</v>
      </c>
      <c r="AR401">
        <v>66.058888466866833</v>
      </c>
      <c r="AS401">
        <v>568.0444399103302</v>
      </c>
      <c r="AT401">
        <v>37.186431071560904</v>
      </c>
      <c r="AU401">
        <v>82.17488552776625</v>
      </c>
      <c r="AV401"/>
      <c r="AW401"/>
      <c r="FY401" s="211">
        <v>396</v>
      </c>
      <c r="FZ401">
        <v>24.062226244176973</v>
      </c>
      <c r="GA401">
        <v>52.968867566720192</v>
      </c>
      <c r="GB401">
        <v>98.581468896271346</v>
      </c>
      <c r="GC401">
        <v>56.658983203040599</v>
      </c>
      <c r="GD401">
        <v>15.76695193214103</v>
      </c>
      <c r="GE401">
        <v>49.4546672358045</v>
      </c>
      <c r="GF401">
        <v>69.27246188732525</v>
      </c>
      <c r="GG401">
        <v>25.101926545876033</v>
      </c>
      <c r="GH401">
        <v>18.459778875907737</v>
      </c>
      <c r="GI401">
        <v>55.407094941123802</v>
      </c>
      <c r="GJ401"/>
      <c r="GK401"/>
      <c r="GL401"/>
      <c r="GM401"/>
    </row>
    <row r="402" spans="1:195" s="7" customFormat="1">
      <c r="A402" s="4"/>
      <c r="B402" s="4"/>
      <c r="C402" s="83"/>
      <c r="D402" s="83"/>
      <c r="E402" s="4"/>
      <c r="F402" s="4"/>
      <c r="G402" s="28"/>
      <c r="H402" s="4"/>
      <c r="I402" s="4"/>
      <c r="J402" s="4"/>
      <c r="K402" s="4"/>
      <c r="L402" s="4"/>
      <c r="M402" s="4"/>
      <c r="N402" s="4"/>
      <c r="O402" s="4"/>
      <c r="P402" s="4"/>
      <c r="Q402" s="4"/>
      <c r="R402" s="4"/>
      <c r="S402" s="4"/>
      <c r="T402" s="4"/>
      <c r="U402" s="4"/>
      <c r="V402" s="4"/>
      <c r="W402" s="4"/>
      <c r="X402" s="4"/>
      <c r="Y402" s="4"/>
      <c r="Z402" s="4"/>
      <c r="AA402" s="4"/>
      <c r="AB402" s="4"/>
      <c r="AC402" s="4"/>
      <c r="AD402" s="4"/>
      <c r="AE402" s="4"/>
      <c r="AF402" s="81"/>
      <c r="AG402" s="81"/>
      <c r="AH402" s="81"/>
      <c r="AI402" s="81"/>
      <c r="AJ402" s="81"/>
      <c r="AK402" s="81"/>
      <c r="AL402" s="81"/>
      <c r="AM402" s="43">
        <v>386</v>
      </c>
      <c r="AN402">
        <v>249.29812199196226</v>
      </c>
      <c r="AO402">
        <v>78.986340790677858</v>
      </c>
      <c r="AP402">
        <v>612.07499712172626</v>
      </c>
      <c r="AQ402">
        <v>451.86410811775579</v>
      </c>
      <c r="AR402">
        <v>70.272723433214523</v>
      </c>
      <c r="AS402">
        <v>605.36022850001928</v>
      </c>
      <c r="AT402" t="e">
        <v>#DIV/0!</v>
      </c>
      <c r="AU402" t="e">
        <v>#DIV/0!</v>
      </c>
      <c r="AV402"/>
      <c r="AW402"/>
      <c r="FY402" s="211">
        <v>397</v>
      </c>
      <c r="FZ402">
        <v>17.358165137947999</v>
      </c>
      <c r="GA402">
        <v>40.74108163784711</v>
      </c>
      <c r="GB402">
        <v>87.66640014144275</v>
      </c>
      <c r="GC402">
        <v>55.806487366836109</v>
      </c>
      <c r="GD402">
        <v>17.800148322429909</v>
      </c>
      <c r="GE402">
        <v>33.218654297986355</v>
      </c>
      <c r="GF402">
        <v>72.871387305478351</v>
      </c>
      <c r="GG402">
        <v>46.755290292775975</v>
      </c>
      <c r="GH402">
        <v>13.40686523752187</v>
      </c>
      <c r="GI402">
        <v>52.602011456562209</v>
      </c>
      <c r="GJ402"/>
      <c r="GK402"/>
      <c r="GL402"/>
      <c r="GM402"/>
    </row>
    <row r="403" spans="1:195" s="7" customFormat="1">
      <c r="A403" s="96"/>
      <c r="B403" s="13" t="s">
        <v>21</v>
      </c>
      <c r="C403" s="21" t="s">
        <v>72</v>
      </c>
      <c r="D403" s="21" t="s">
        <v>73</v>
      </c>
      <c r="E403" s="21" t="s">
        <v>74</v>
      </c>
      <c r="F403" s="10" t="s">
        <v>70</v>
      </c>
      <c r="G403" s="10" t="s">
        <v>71</v>
      </c>
      <c r="H403" s="10" t="s">
        <v>133</v>
      </c>
      <c r="I403" s="13"/>
      <c r="J403" s="4"/>
      <c r="K403" s="4"/>
      <c r="L403" s="4"/>
      <c r="M403" s="4"/>
      <c r="N403" s="4"/>
      <c r="O403" s="4"/>
      <c r="P403" s="4"/>
      <c r="Q403" s="4"/>
      <c r="R403" s="4"/>
      <c r="S403" s="4"/>
      <c r="T403" s="4"/>
      <c r="U403" s="4"/>
      <c r="V403" s="4"/>
      <c r="W403" s="4"/>
      <c r="X403" s="4"/>
      <c r="Y403" s="4"/>
      <c r="Z403" s="4"/>
      <c r="AA403" s="4"/>
      <c r="AB403" s="4"/>
      <c r="AC403" s="4"/>
      <c r="AD403" s="4"/>
      <c r="AE403" s="4"/>
      <c r="AF403" s="4"/>
      <c r="AG403" s="4"/>
      <c r="AH403" s="4"/>
      <c r="AI403" s="4"/>
      <c r="AJ403" s="4"/>
      <c r="AK403" s="4"/>
      <c r="AL403" s="4"/>
      <c r="AM403" s="43">
        <v>387</v>
      </c>
      <c r="AN403">
        <v>223.62889456991655</v>
      </c>
      <c r="AO403">
        <v>79.48421403361553</v>
      </c>
      <c r="AP403">
        <v>563.17324009607432</v>
      </c>
      <c r="AQ403">
        <v>412.8907688427559</v>
      </c>
      <c r="AR403">
        <v>72.672277633315815</v>
      </c>
      <c r="AS403">
        <v>574.9228231326623</v>
      </c>
      <c r="AT403">
        <v>40.974765138054785</v>
      </c>
      <c r="AU403">
        <v>110.73201930325685</v>
      </c>
      <c r="AV403"/>
      <c r="AW403"/>
      <c r="FY403" s="211">
        <v>398</v>
      </c>
      <c r="FZ403">
        <v>5.2853410635913969</v>
      </c>
      <c r="GA403">
        <v>42.177361483327147</v>
      </c>
      <c r="GB403">
        <v>82.818963542585806</v>
      </c>
      <c r="GC403">
        <v>50.419656578542451</v>
      </c>
      <c r="GD403">
        <v>23.670094678647349</v>
      </c>
      <c r="GE403">
        <v>37.351638918727076</v>
      </c>
      <c r="GF403">
        <v>46.643312016126664</v>
      </c>
      <c r="GG403">
        <v>43.901125446268637</v>
      </c>
      <c r="GH403">
        <v>30.037012275476535</v>
      </c>
      <c r="GI403">
        <v>51.367497971320546</v>
      </c>
      <c r="GJ403"/>
      <c r="GK403"/>
      <c r="GL403"/>
      <c r="GM403"/>
    </row>
    <row r="404" spans="1:195" s="7" customFormat="1">
      <c r="A404" s="9" t="s">
        <v>75</v>
      </c>
      <c r="B404" s="13"/>
      <c r="C404" s="21"/>
      <c r="D404" s="21"/>
      <c r="E404" s="21"/>
      <c r="F404" s="10"/>
      <c r="G404" s="10"/>
      <c r="H404" s="10" t="s">
        <v>132</v>
      </c>
      <c r="I404" s="13"/>
      <c r="J404" s="4"/>
      <c r="K404" s="4"/>
      <c r="L404" s="4"/>
      <c r="M404" s="4"/>
      <c r="N404" s="4"/>
      <c r="O404" s="4"/>
      <c r="P404" s="4"/>
      <c r="Q404" s="4"/>
      <c r="R404" s="4"/>
      <c r="S404" s="4"/>
      <c r="T404" s="4"/>
      <c r="U404" s="4"/>
      <c r="V404" s="4"/>
      <c r="W404" s="4"/>
      <c r="X404" s="4"/>
      <c r="Y404" s="4"/>
      <c r="Z404" s="4"/>
      <c r="AA404" s="4"/>
      <c r="AB404" s="4"/>
      <c r="AC404" s="4"/>
      <c r="AD404" s="4"/>
      <c r="AE404" s="4"/>
      <c r="AF404" s="4"/>
      <c r="AG404" s="4"/>
      <c r="AH404" s="4"/>
      <c r="AI404" s="4"/>
      <c r="AJ404" s="4"/>
      <c r="AK404" s="4"/>
      <c r="AL404" s="4"/>
      <c r="AM404" s="43">
        <v>388</v>
      </c>
      <c r="AN404">
        <v>338.08367544772159</v>
      </c>
      <c r="AO404">
        <v>118.98638376951283</v>
      </c>
      <c r="AP404">
        <v>912.25256783533848</v>
      </c>
      <c r="AQ404">
        <v>631.7262691058387</v>
      </c>
      <c r="AR404">
        <v>108.17121859082388</v>
      </c>
      <c r="AS404">
        <v>862.77527051290463</v>
      </c>
      <c r="AT404">
        <v>54.569083634876222</v>
      </c>
      <c r="AU404">
        <v>39.537946507886033</v>
      </c>
      <c r="AV404"/>
      <c r="AW404"/>
      <c r="FY404" s="211">
        <v>399</v>
      </c>
      <c r="FZ404">
        <v>14.285910094938433</v>
      </c>
      <c r="GA404">
        <v>51.16022173954903</v>
      </c>
      <c r="GB404">
        <v>57.574952282375882</v>
      </c>
      <c r="GC404">
        <v>31.674864179651859</v>
      </c>
      <c r="GD404">
        <v>19.78531241858424</v>
      </c>
      <c r="GE404">
        <v>67.146140401703661</v>
      </c>
      <c r="GF404">
        <v>114.7740431104158</v>
      </c>
      <c r="GG404">
        <v>48.036099749622693</v>
      </c>
      <c r="GH404">
        <v>10.130804398928191</v>
      </c>
      <c r="GI404">
        <v>53.843627472957706</v>
      </c>
      <c r="GJ404"/>
      <c r="GK404"/>
      <c r="GL404"/>
      <c r="GM404"/>
    </row>
    <row r="405" spans="1:195" s="7" customFormat="1">
      <c r="A405" s="189">
        <v>13.69</v>
      </c>
      <c r="B405" s="71">
        <f t="shared" ref="B405:B414" si="374">+C4</f>
        <v>39646</v>
      </c>
      <c r="C405" s="61">
        <v>0</v>
      </c>
      <c r="D405" s="61">
        <f t="shared" ref="D405:D414" si="375">IF(C373&lt;0.0001, 0, (G70*0.5)+(H70*1)+(I70*2)+(J70*3)+(K70*4)+(L70*5)+(M70*6)+(N70*7)+(O70*8)+(P70*9)+(Q70*10)+(R70*11)+(S70*12)+(T70*13)+(U70*14)+(V70*15)+(W70*16)+(X70*17)+(Y70*18)+(Z70*19)+(AA70*20)+(AB70*21)+(AC70*22)+(AD70*23)+(AE70*24)+(AF70*25)+(AG70*26)+(AH70*27)+(AI70*28)+(AJ70*29)+(AK70*30))/(SUM(G70:AI70))</f>
        <v>1.857142857142857</v>
      </c>
      <c r="E405" s="108">
        <f t="shared" ref="E405:E414" si="376">IF(D405=0,0.00000001,(1-$A$43/100)*($A$39*(D405^($A$41))))</f>
        <v>5.9519692026624077E-2</v>
      </c>
      <c r="F405" s="19"/>
      <c r="G405" s="19"/>
      <c r="H405" s="19"/>
      <c r="I405" s="13"/>
      <c r="J405" s="4"/>
      <c r="K405" s="4"/>
      <c r="L405" s="4"/>
      <c r="M405" s="4"/>
      <c r="N405" s="4"/>
      <c r="O405" s="4"/>
      <c r="P405" s="4"/>
      <c r="Q405" s="4"/>
      <c r="R405" s="4"/>
      <c r="S405" s="4"/>
      <c r="T405" s="4"/>
      <c r="U405" s="4"/>
      <c r="V405" s="4"/>
      <c r="W405" s="4"/>
      <c r="X405" s="4"/>
      <c r="Y405" s="4"/>
      <c r="Z405" s="4"/>
      <c r="AA405" s="4"/>
      <c r="AB405" s="4"/>
      <c r="AC405" s="4"/>
      <c r="AD405" s="4"/>
      <c r="AE405" s="4"/>
      <c r="AF405" s="4"/>
      <c r="AG405" s="4"/>
      <c r="AH405" s="4"/>
      <c r="AI405" s="4"/>
      <c r="AJ405" s="4"/>
      <c r="AK405" s="4"/>
      <c r="AL405" s="4"/>
      <c r="AM405" s="43">
        <v>389</v>
      </c>
      <c r="AN405">
        <v>227.53563282604415</v>
      </c>
      <c r="AO405">
        <v>84.592372763296638</v>
      </c>
      <c r="AP405">
        <v>578.21073594078587</v>
      </c>
      <c r="AQ405">
        <v>424.2682858584576</v>
      </c>
      <c r="AR405">
        <v>76.19455539953006</v>
      </c>
      <c r="AS405">
        <v>635.37896423806444</v>
      </c>
      <c r="AT405">
        <v>42.626234767401598</v>
      </c>
      <c r="AU405">
        <v>58.741045806820644</v>
      </c>
      <c r="AV405"/>
      <c r="AW405"/>
      <c r="FY405" s="211">
        <v>400</v>
      </c>
      <c r="FZ405">
        <v>15.051760332497693</v>
      </c>
      <c r="GA405">
        <v>42.873862282287931</v>
      </c>
      <c r="GB405">
        <v>79.6928665233701</v>
      </c>
      <c r="GC405">
        <v>46.297957431923813</v>
      </c>
      <c r="GD405">
        <v>13.484884100004535</v>
      </c>
      <c r="GE405">
        <v>58.823583844470434</v>
      </c>
      <c r="GF405">
        <v>124.79610156751906</v>
      </c>
      <c r="GG405">
        <v>57.45704735316022</v>
      </c>
      <c r="GH405">
        <v>20.026259440147278</v>
      </c>
      <c r="GI405">
        <v>58.896221341402551</v>
      </c>
      <c r="GJ405"/>
      <c r="GK405"/>
      <c r="GL405"/>
      <c r="GM405"/>
    </row>
    <row r="406" spans="1:195" s="7" customFormat="1">
      <c r="A406" s="189">
        <v>9.4499999999999993</v>
      </c>
      <c r="B406" s="71">
        <f t="shared" si="374"/>
        <v>39673</v>
      </c>
      <c r="C406" s="61">
        <f>B406-B405</f>
        <v>27</v>
      </c>
      <c r="D406" s="61">
        <f t="shared" si="375"/>
        <v>2.536136027302105</v>
      </c>
      <c r="E406" s="108">
        <f t="shared" si="376"/>
        <v>0.1470671334798711</v>
      </c>
      <c r="F406" s="19">
        <f t="shared" ref="F406:F414" si="377">IF(C374&lt;1,0,LN(E406/E405)/E21)</f>
        <v>3.3503035431078576E-2</v>
      </c>
      <c r="G406" s="19">
        <f t="shared" ref="G406:G414" si="378">IF(D406=0, 0, 0.051-(0.068*LN(D406))+(0.006*A406))</f>
        <v>4.4416366190946466E-2</v>
      </c>
      <c r="H406" s="19">
        <f t="shared" ref="H406:H414" si="379">+IF((G406&gt;0),G406,0)</f>
        <v>4.4416366190946466E-2</v>
      </c>
      <c r="I406" s="13"/>
      <c r="J406" s="4"/>
      <c r="K406" s="4"/>
      <c r="L406" s="4"/>
      <c r="M406" s="4"/>
      <c r="N406" s="4"/>
      <c r="O406" s="4"/>
      <c r="P406" s="4"/>
      <c r="Q406" s="4"/>
      <c r="R406" s="4"/>
      <c r="S406" s="4"/>
      <c r="T406" s="4"/>
      <c r="U406" s="4"/>
      <c r="V406" s="4"/>
      <c r="W406" s="4"/>
      <c r="X406" s="4"/>
      <c r="Y406" s="4"/>
      <c r="Z406" s="4"/>
      <c r="AA406" s="4"/>
      <c r="AB406" s="4"/>
      <c r="AC406" s="4"/>
      <c r="AD406" s="4"/>
      <c r="AE406" s="4"/>
      <c r="AF406" s="4"/>
      <c r="AG406" s="4"/>
      <c r="AH406" s="4"/>
      <c r="AI406" s="4"/>
      <c r="AJ406" s="4"/>
      <c r="AK406" s="4"/>
      <c r="AL406" s="4"/>
      <c r="AM406" s="43">
        <v>390</v>
      </c>
      <c r="AN406">
        <v>279.63169835624296</v>
      </c>
      <c r="AO406">
        <v>78.567323205433567</v>
      </c>
      <c r="AP406">
        <v>611.25757387308545</v>
      </c>
      <c r="AQ406">
        <v>448.50326466242035</v>
      </c>
      <c r="AR406">
        <v>71.831173877605423</v>
      </c>
      <c r="AS406">
        <v>611.63714506594908</v>
      </c>
      <c r="AT406">
        <v>36.879167846000477</v>
      </c>
      <c r="AU406">
        <v>76.501126889813008</v>
      </c>
      <c r="AV406"/>
      <c r="AW406"/>
      <c r="FY406" s="211">
        <v>401</v>
      </c>
      <c r="FZ406">
        <v>9.4866344680190142</v>
      </c>
      <c r="GA406">
        <v>45.771504854973927</v>
      </c>
      <c r="GB406">
        <v>73.545485315101345</v>
      </c>
      <c r="GC406">
        <v>42.028767303630204</v>
      </c>
      <c r="GD406">
        <v>19.338107106259365</v>
      </c>
      <c r="GE406">
        <v>51.089086756571461</v>
      </c>
      <c r="GF406">
        <v>68.998772612742016</v>
      </c>
      <c r="GG406">
        <v>36.927922717110818</v>
      </c>
      <c r="GH406">
        <v>26.122596575612885</v>
      </c>
      <c r="GI406">
        <v>50.098343625051186</v>
      </c>
      <c r="GJ406"/>
      <c r="GK406"/>
      <c r="GL406"/>
      <c r="GM406"/>
    </row>
    <row r="407" spans="1:195" s="7" customFormat="1">
      <c r="A407" s="189">
        <v>4.03</v>
      </c>
      <c r="B407" s="71">
        <f t="shared" si="374"/>
        <v>39714</v>
      </c>
      <c r="C407" s="61">
        <f>B407-$B$405</f>
        <v>68</v>
      </c>
      <c r="D407" s="61">
        <f t="shared" si="375"/>
        <v>2.4971705739692807</v>
      </c>
      <c r="E407" s="108">
        <f t="shared" si="376"/>
        <v>0.14060309595258624</v>
      </c>
      <c r="F407" s="19">
        <f t="shared" si="377"/>
        <v>-1.0962969306131075E-3</v>
      </c>
      <c r="G407" s="19">
        <f t="shared" si="378"/>
        <v>1.2949234204225609E-2</v>
      </c>
      <c r="H407" s="19">
        <f t="shared" si="379"/>
        <v>1.2949234204225609E-2</v>
      </c>
      <c r="I407" s="13"/>
      <c r="J407" s="4"/>
      <c r="K407" s="4"/>
      <c r="L407" s="4"/>
      <c r="M407" s="4"/>
      <c r="N407" s="4"/>
      <c r="O407" s="4"/>
      <c r="P407" s="4"/>
      <c r="Q407" s="4"/>
      <c r="R407" s="4"/>
      <c r="S407" s="4"/>
      <c r="T407" s="4"/>
      <c r="U407" s="4"/>
      <c r="V407" s="4"/>
      <c r="W407" s="4"/>
      <c r="X407" s="4"/>
      <c r="Y407" s="4"/>
      <c r="Z407" s="4"/>
      <c r="AA407" s="4"/>
      <c r="AB407" s="4"/>
      <c r="AC407" s="4"/>
      <c r="AD407" s="4"/>
      <c r="AE407" s="4"/>
      <c r="AF407" s="4"/>
      <c r="AG407" s="4"/>
      <c r="AH407" s="4"/>
      <c r="AI407" s="4"/>
      <c r="AJ407" s="4"/>
      <c r="AK407" s="4"/>
      <c r="AL407" s="4"/>
      <c r="AM407" s="43">
        <v>391</v>
      </c>
      <c r="AN407">
        <v>205.99578023648056</v>
      </c>
      <c r="AO407">
        <v>59.635292050923304</v>
      </c>
      <c r="AP407">
        <v>459.69598679272957</v>
      </c>
      <c r="AQ407">
        <v>344.8455797926469</v>
      </c>
      <c r="AR407">
        <v>52.874902991805676</v>
      </c>
      <c r="AS407">
        <v>459.2907509441759</v>
      </c>
      <c r="AT407" t="e">
        <v>#DIV/0!</v>
      </c>
      <c r="AU407" t="e">
        <v>#DIV/0!</v>
      </c>
      <c r="AV407"/>
      <c r="AW407"/>
      <c r="FY407" s="211">
        <v>402</v>
      </c>
      <c r="FZ407">
        <v>15.934679886490141</v>
      </c>
      <c r="GA407">
        <v>47.957643431427897</v>
      </c>
      <c r="GB407">
        <v>75.630645051649779</v>
      </c>
      <c r="GC407">
        <v>43.37316098001223</v>
      </c>
      <c r="GD407">
        <v>27.746003935329675</v>
      </c>
      <c r="GE407">
        <v>58.962126375836064</v>
      </c>
      <c r="GF407">
        <v>73.137310907753701</v>
      </c>
      <c r="GG407">
        <v>58.014581261743672</v>
      </c>
      <c r="GH407">
        <v>27.903837179503142</v>
      </c>
      <c r="GI407">
        <v>59.270214339568753</v>
      </c>
      <c r="GJ407"/>
      <c r="GK407"/>
      <c r="GL407"/>
      <c r="GM407"/>
    </row>
    <row r="408" spans="1:195" s="7" customFormat="1">
      <c r="A408" s="189">
        <v>0.78</v>
      </c>
      <c r="B408" s="71">
        <f t="shared" si="374"/>
        <v>39747</v>
      </c>
      <c r="C408" s="61">
        <f t="shared" ref="C408:C414" si="380">B408-$B$405</f>
        <v>101</v>
      </c>
      <c r="D408" s="61">
        <f t="shared" si="375"/>
        <v>2.822717243863869</v>
      </c>
      <c r="E408" s="108">
        <f t="shared" si="376"/>
        <v>0.20067354710141899</v>
      </c>
      <c r="F408" s="19">
        <f t="shared" si="377"/>
        <v>1.0779952885519901E-2</v>
      </c>
      <c r="G408" s="19">
        <f t="shared" si="378"/>
        <v>-1.4883598821990942E-2</v>
      </c>
      <c r="H408" s="19">
        <f t="shared" si="379"/>
        <v>0</v>
      </c>
      <c r="I408" s="13"/>
      <c r="J408" s="4"/>
      <c r="K408" s="4"/>
      <c r="L408" s="4"/>
      <c r="M408" s="4"/>
      <c r="N408" s="4"/>
      <c r="O408" s="4"/>
      <c r="P408" s="4"/>
      <c r="Q408" s="4"/>
      <c r="R408" s="4"/>
      <c r="S408" s="4"/>
      <c r="T408" s="4"/>
      <c r="U408" s="4"/>
      <c r="V408" s="4"/>
      <c r="W408" s="4"/>
      <c r="X408" s="4"/>
      <c r="Y408" s="4"/>
      <c r="Z408" s="4"/>
      <c r="AA408" s="4"/>
      <c r="AB408" s="4"/>
      <c r="AC408" s="4"/>
      <c r="AD408" s="4"/>
      <c r="AE408" s="4"/>
      <c r="AF408" s="4"/>
      <c r="AG408" s="4"/>
      <c r="AH408" s="4"/>
      <c r="AI408" s="4"/>
      <c r="AJ408" s="4"/>
      <c r="AK408" s="4"/>
      <c r="AL408" s="4"/>
      <c r="AM408" s="43">
        <v>392</v>
      </c>
      <c r="AN408">
        <v>256.82671967842958</v>
      </c>
      <c r="AO408">
        <v>90.090604898722447</v>
      </c>
      <c r="AP408">
        <v>682.87750667733303</v>
      </c>
      <c r="AQ408">
        <v>504.065748854959</v>
      </c>
      <c r="AR408">
        <v>81.436976861639607</v>
      </c>
      <c r="AS408">
        <v>662.85588556763264</v>
      </c>
      <c r="AT408">
        <v>43.708472552031019</v>
      </c>
      <c r="AU408">
        <v>26.851528249771086</v>
      </c>
      <c r="AV408"/>
      <c r="AW408"/>
      <c r="FY408" s="211">
        <v>403</v>
      </c>
      <c r="FZ408">
        <v>23.481411354460228</v>
      </c>
      <c r="GA408">
        <v>51.898269868582517</v>
      </c>
      <c r="GB408">
        <v>65.994624353500697</v>
      </c>
      <c r="GC408">
        <v>38.97894515024614</v>
      </c>
      <c r="GD408">
        <v>22.963337534998718</v>
      </c>
      <c r="GE408">
        <v>52.508659851422081</v>
      </c>
      <c r="GF408">
        <v>60.805964773639211</v>
      </c>
      <c r="GG408">
        <v>40.314764018277934</v>
      </c>
      <c r="GH408">
        <v>24.11012545117832</v>
      </c>
      <c r="GI408">
        <v>50.774797015093107</v>
      </c>
      <c r="GJ408"/>
      <c r="GK408"/>
      <c r="GL408"/>
      <c r="GM408"/>
    </row>
    <row r="409" spans="1:195" s="7" customFormat="1">
      <c r="A409" s="189">
        <v>0.14000000000000001</v>
      </c>
      <c r="B409" s="71">
        <f t="shared" si="374"/>
        <v>39775</v>
      </c>
      <c r="C409" s="61">
        <f t="shared" si="380"/>
        <v>129</v>
      </c>
      <c r="D409" s="61">
        <f t="shared" si="375"/>
        <v>2.8104792731084536</v>
      </c>
      <c r="E409" s="108">
        <f t="shared" si="376"/>
        <v>0.19815826752393118</v>
      </c>
      <c r="F409" s="19">
        <f t="shared" si="377"/>
        <v>-4.5047862875252073E-4</v>
      </c>
      <c r="G409" s="19">
        <f t="shared" si="378"/>
        <v>-1.8428141946639651E-2</v>
      </c>
      <c r="H409" s="19">
        <f t="shared" si="379"/>
        <v>0</v>
      </c>
      <c r="I409" s="13"/>
      <c r="J409" s="4"/>
      <c r="K409" s="4"/>
      <c r="L409" s="4"/>
      <c r="M409" s="4"/>
      <c r="N409" s="4"/>
      <c r="O409" s="4"/>
      <c r="P409" s="4"/>
      <c r="Q409" s="4"/>
      <c r="R409" s="4"/>
      <c r="S409" s="4"/>
      <c r="T409" s="4"/>
      <c r="U409" s="4"/>
      <c r="V409" s="4"/>
      <c r="W409" s="4"/>
      <c r="X409" s="4"/>
      <c r="Y409" s="4"/>
      <c r="Z409" s="4"/>
      <c r="AA409" s="4"/>
      <c r="AB409" s="4"/>
      <c r="AC409" s="4"/>
      <c r="AD409" s="4"/>
      <c r="AE409" s="4"/>
      <c r="AF409" s="4"/>
      <c r="AG409" s="4"/>
      <c r="AH409" s="4"/>
      <c r="AI409" s="4"/>
      <c r="AJ409" s="4"/>
      <c r="AK409" s="4"/>
      <c r="AL409" s="4"/>
      <c r="AM409" s="43">
        <v>393</v>
      </c>
      <c r="AN409">
        <v>317.95475538630041</v>
      </c>
      <c r="AO409">
        <v>110.58759673632922</v>
      </c>
      <c r="AP409">
        <v>740.01991278246805</v>
      </c>
      <c r="AQ409">
        <v>581.15820391144848</v>
      </c>
      <c r="AR409">
        <v>99.448788115997843</v>
      </c>
      <c r="AS409">
        <v>805.84408615117002</v>
      </c>
      <c r="AT409">
        <v>53.417206204440468</v>
      </c>
      <c r="AU409">
        <v>78.614461718513468</v>
      </c>
      <c r="AV409"/>
      <c r="AW409"/>
      <c r="FY409" s="211">
        <v>404</v>
      </c>
      <c r="FZ409">
        <v>5.637786856314869</v>
      </c>
      <c r="GA409">
        <v>40.602301543113626</v>
      </c>
      <c r="GB409">
        <v>62.474640311566937</v>
      </c>
      <c r="GC409">
        <v>37.584115300036899</v>
      </c>
      <c r="GD409">
        <v>26.596972887698627</v>
      </c>
      <c r="GE409">
        <v>60.719766755700441</v>
      </c>
      <c r="GF409">
        <v>68.579650940965792</v>
      </c>
      <c r="GG409">
        <v>26.521169294882608</v>
      </c>
      <c r="GH409">
        <v>7.2088997343999628</v>
      </c>
      <c r="GI409">
        <v>47.963581859257282</v>
      </c>
      <c r="GJ409"/>
      <c r="GK409"/>
      <c r="GL409"/>
      <c r="GM409"/>
    </row>
    <row r="410" spans="1:195" s="7" customFormat="1">
      <c r="A410" s="189">
        <v>0.21</v>
      </c>
      <c r="B410" s="71">
        <f t="shared" si="374"/>
        <v>39799</v>
      </c>
      <c r="C410" s="61">
        <f t="shared" si="380"/>
        <v>153</v>
      </c>
      <c r="D410" s="61">
        <f t="shared" si="375"/>
        <v>2.5120034008780316</v>
      </c>
      <c r="E410" s="108">
        <f t="shared" si="376"/>
        <v>0.14304129762671342</v>
      </c>
      <c r="F410" s="19">
        <f t="shared" si="377"/>
        <v>-1.3580527465394709E-2</v>
      </c>
      <c r="G410" s="19">
        <f t="shared" si="378"/>
        <v>-1.0373480967127372E-2</v>
      </c>
      <c r="H410" s="19">
        <f t="shared" si="379"/>
        <v>0</v>
      </c>
      <c r="I410" s="13"/>
      <c r="J410" s="4"/>
      <c r="K410" s="4"/>
      <c r="L410" s="4"/>
      <c r="M410" s="4"/>
      <c r="N410" s="4"/>
      <c r="O410" s="4"/>
      <c r="P410" s="4"/>
      <c r="Q410" s="4"/>
      <c r="R410" s="4"/>
      <c r="S410" s="4"/>
      <c r="T410" s="4"/>
      <c r="U410" s="4"/>
      <c r="V410" s="4"/>
      <c r="W410" s="4"/>
      <c r="X410" s="4"/>
      <c r="Y410" s="4"/>
      <c r="Z410" s="4"/>
      <c r="AA410" s="4"/>
      <c r="AB410" s="4"/>
      <c r="AC410" s="4"/>
      <c r="AD410" s="4"/>
      <c r="AE410" s="4"/>
      <c r="AF410" s="4"/>
      <c r="AG410" s="4"/>
      <c r="AH410" s="4"/>
      <c r="AI410" s="4"/>
      <c r="AJ410" s="4"/>
      <c r="AK410" s="4"/>
      <c r="AL410" s="4"/>
      <c r="AM410" s="43">
        <v>394</v>
      </c>
      <c r="AN410">
        <v>215.12958023567768</v>
      </c>
      <c r="AO410">
        <v>82.902787928028189</v>
      </c>
      <c r="AP410">
        <v>612.67543579502581</v>
      </c>
      <c r="AQ410">
        <v>469.6935226607207</v>
      </c>
      <c r="AR410">
        <v>76.001581839188901</v>
      </c>
      <c r="AS410">
        <v>595.89279211287646</v>
      </c>
      <c r="AT410">
        <v>40.361766664171832</v>
      </c>
      <c r="AU410">
        <v>15.573471523450902</v>
      </c>
      <c r="AV410"/>
      <c r="AW410"/>
      <c r="FY410" s="211">
        <v>405</v>
      </c>
      <c r="FZ410">
        <v>15.478285113096192</v>
      </c>
      <c r="GA410">
        <v>50.933005949742977</v>
      </c>
      <c r="GB410">
        <v>76.625657075930889</v>
      </c>
      <c r="GC410">
        <v>41.220688122135641</v>
      </c>
      <c r="GD410">
        <v>18.195180408645111</v>
      </c>
      <c r="GE410">
        <v>50.464859104840166</v>
      </c>
      <c r="GF410">
        <v>86.175191695952151</v>
      </c>
      <c r="GG410">
        <v>70.03175735071315</v>
      </c>
      <c r="GH410">
        <v>43.883411286484815</v>
      </c>
      <c r="GI410">
        <v>57.230526478486155</v>
      </c>
      <c r="GJ410"/>
      <c r="GK410"/>
      <c r="GL410"/>
      <c r="GM410"/>
    </row>
    <row r="411" spans="1:195" s="7" customFormat="1">
      <c r="A411" s="189">
        <v>1.28</v>
      </c>
      <c r="B411" s="71">
        <f>+C10</f>
        <v>39847</v>
      </c>
      <c r="C411" s="61">
        <f t="shared" si="380"/>
        <v>201</v>
      </c>
      <c r="D411" s="61">
        <f t="shared" si="375"/>
        <v>3.4086487907465828</v>
      </c>
      <c r="E411" s="108">
        <f t="shared" si="376"/>
        <v>0.34696768086922397</v>
      </c>
      <c r="F411" s="19">
        <f t="shared" si="377"/>
        <v>1.8460380286345765E-2</v>
      </c>
      <c r="G411" s="19">
        <f t="shared" si="378"/>
        <v>-2.4709485532967049E-2</v>
      </c>
      <c r="H411" s="19">
        <f t="shared" si="379"/>
        <v>0</v>
      </c>
      <c r="I411" s="13"/>
      <c r="J411" s="4"/>
      <c r="K411" s="4"/>
      <c r="L411" s="4"/>
      <c r="M411" s="4"/>
      <c r="N411" s="4"/>
      <c r="O411" s="4"/>
      <c r="P411" s="4"/>
      <c r="Q411" s="4"/>
      <c r="R411" s="4"/>
      <c r="S411" s="4"/>
      <c r="T411" s="4"/>
      <c r="U411" s="4"/>
      <c r="V411" s="4"/>
      <c r="W411" s="4"/>
      <c r="X411" s="4"/>
      <c r="Y411" s="4"/>
      <c r="Z411" s="4"/>
      <c r="AA411" s="4"/>
      <c r="AB411" s="4"/>
      <c r="AC411" s="4"/>
      <c r="AD411" s="4"/>
      <c r="AE411" s="4"/>
      <c r="AF411" s="4"/>
      <c r="AG411" s="4"/>
      <c r="AH411" s="4"/>
      <c r="AI411" s="4"/>
      <c r="AJ411" s="4"/>
      <c r="AK411" s="4"/>
      <c r="AL411" s="4"/>
      <c r="AM411" s="43">
        <v>395</v>
      </c>
      <c r="AN411">
        <v>249.25591326501072</v>
      </c>
      <c r="AO411">
        <v>82.426222588121647</v>
      </c>
      <c r="AP411">
        <v>608.72488729014788</v>
      </c>
      <c r="AQ411">
        <v>447.33139280399803</v>
      </c>
      <c r="AR411">
        <v>74.368569334052452</v>
      </c>
      <c r="AS411">
        <v>637.16284675382929</v>
      </c>
      <c r="AT411">
        <v>39.886347518072128</v>
      </c>
      <c r="AU411">
        <v>53.022535357081033</v>
      </c>
      <c r="AV411"/>
      <c r="AW411"/>
      <c r="FY411" s="211">
        <v>406</v>
      </c>
      <c r="FZ411">
        <v>10.998442699431386</v>
      </c>
      <c r="GA411">
        <v>51.513513124855614</v>
      </c>
      <c r="GB411">
        <v>88.376502054187355</v>
      </c>
      <c r="GC411">
        <v>48.858292186276032</v>
      </c>
      <c r="GD411">
        <v>16.647475368041771</v>
      </c>
      <c r="GE411">
        <v>26.701538114081917</v>
      </c>
      <c r="GF411">
        <v>65.933385729230551</v>
      </c>
      <c r="GG411">
        <v>53.885442787081459</v>
      </c>
      <c r="GH411">
        <v>16.152126960369262</v>
      </c>
      <c r="GI411">
        <v>50.855208881364483</v>
      </c>
      <c r="GJ411"/>
      <c r="GK411"/>
      <c r="GL411"/>
      <c r="GM411"/>
    </row>
    <row r="412" spans="1:195" s="7" customFormat="1">
      <c r="A412" s="189">
        <v>4</v>
      </c>
      <c r="B412" s="71">
        <f t="shared" si="374"/>
        <v>39910</v>
      </c>
      <c r="C412" s="61">
        <f t="shared" si="380"/>
        <v>264</v>
      </c>
      <c r="D412" s="61">
        <f t="shared" si="375"/>
        <v>3.5674611297149923</v>
      </c>
      <c r="E412" s="108">
        <f t="shared" si="376"/>
        <v>0.39600588142090748</v>
      </c>
      <c r="F412" s="19">
        <f t="shared" si="377"/>
        <v>2.0983718462446684E-3</v>
      </c>
      <c r="G412" s="19">
        <f t="shared" si="378"/>
        <v>-1.1486083875823463E-2</v>
      </c>
      <c r="H412" s="19">
        <f t="shared" si="379"/>
        <v>0</v>
      </c>
      <c r="I412" s="13"/>
      <c r="J412" s="4"/>
      <c r="K412" s="4"/>
      <c r="L412" s="4"/>
      <c r="M412" s="4"/>
      <c r="N412" s="4"/>
      <c r="O412" s="4"/>
      <c r="P412" s="4"/>
      <c r="Q412" s="4"/>
      <c r="R412" s="4"/>
      <c r="S412" s="4"/>
      <c r="T412" s="4"/>
      <c r="U412" s="4"/>
      <c r="V412" s="4"/>
      <c r="W412" s="4"/>
      <c r="X412" s="4"/>
      <c r="Y412" s="4"/>
      <c r="Z412" s="4"/>
      <c r="AA412" s="4"/>
      <c r="AB412" s="4"/>
      <c r="AC412" s="4"/>
      <c r="AD412" s="4"/>
      <c r="AE412" s="4"/>
      <c r="AF412" s="4"/>
      <c r="AG412" s="4"/>
      <c r="AH412" s="4"/>
      <c r="AI412" s="4"/>
      <c r="AJ412" s="4"/>
      <c r="AK412" s="4"/>
      <c r="AL412" s="4"/>
      <c r="AM412" s="43">
        <v>396</v>
      </c>
      <c r="AN412">
        <v>253.51270127980442</v>
      </c>
      <c r="AO412">
        <v>87.586743557496931</v>
      </c>
      <c r="AP412">
        <v>628.59606989699307</v>
      </c>
      <c r="AQ412">
        <v>465.73442732838748</v>
      </c>
      <c r="AR412">
        <v>77.77065227496</v>
      </c>
      <c r="AS412">
        <v>645.01723453543514</v>
      </c>
      <c r="AT412">
        <v>42.448074802251455</v>
      </c>
      <c r="AU412">
        <v>51.816686954044613</v>
      </c>
      <c r="AV412"/>
      <c r="AW412"/>
      <c r="FY412" s="211">
        <v>407</v>
      </c>
      <c r="FZ412">
        <v>28.669055421323545</v>
      </c>
      <c r="GA412">
        <v>68.630827177472611</v>
      </c>
      <c r="GB412">
        <v>83.323924494116113</v>
      </c>
      <c r="GC412">
        <v>46.37572741624394</v>
      </c>
      <c r="GD412">
        <v>25.790974919061291</v>
      </c>
      <c r="GE412">
        <v>38.990492271844666</v>
      </c>
      <c r="GF412">
        <v>79.483821612697881</v>
      </c>
      <c r="GG412">
        <v>83.10576205301733</v>
      </c>
      <c r="GH412">
        <v>24.082190491014078</v>
      </c>
      <c r="GI412">
        <v>62.107545295157919</v>
      </c>
      <c r="GJ412"/>
      <c r="GK412"/>
      <c r="GL412"/>
      <c r="GM412"/>
    </row>
    <row r="413" spans="1:195" s="7" customFormat="1">
      <c r="A413" s="190">
        <v>7.33</v>
      </c>
      <c r="B413" s="71">
        <f t="shared" si="374"/>
        <v>39949</v>
      </c>
      <c r="C413" s="61">
        <f t="shared" si="380"/>
        <v>303</v>
      </c>
      <c r="D413" s="61">
        <f t="shared" si="375"/>
        <v>4.0831858407079649</v>
      </c>
      <c r="E413" s="108">
        <f t="shared" si="376"/>
        <v>0.58604809241938749</v>
      </c>
      <c r="F413" s="19">
        <f t="shared" si="377"/>
        <v>1.0050584409420877E-2</v>
      </c>
      <c r="G413" s="19">
        <f t="shared" si="378"/>
        <v>-6.8767183785728436E-4</v>
      </c>
      <c r="H413" s="19">
        <f t="shared" si="379"/>
        <v>0</v>
      </c>
      <c r="I413" s="13"/>
      <c r="J413" s="4"/>
      <c r="K413" s="4"/>
      <c r="L413" s="4"/>
      <c r="M413" s="4"/>
      <c r="N413" s="4"/>
      <c r="O413" s="4"/>
      <c r="P413" s="4"/>
      <c r="Q413" s="4"/>
      <c r="R413" s="4"/>
      <c r="S413" s="4"/>
      <c r="T413" s="4"/>
      <c r="U413" s="4"/>
      <c r="V413" s="4"/>
      <c r="W413" s="4"/>
      <c r="X413" s="4"/>
      <c r="Y413" s="4"/>
      <c r="Z413" s="4"/>
      <c r="AA413" s="4"/>
      <c r="AB413" s="4"/>
      <c r="AC413" s="4"/>
      <c r="AD413" s="4"/>
      <c r="AE413" s="4"/>
      <c r="AF413" s="4"/>
      <c r="AG413" s="4"/>
      <c r="AH413" s="4"/>
      <c r="AI413" s="4"/>
      <c r="AJ413" s="4"/>
      <c r="AK413" s="4"/>
      <c r="AL413" s="4"/>
      <c r="AM413" s="43">
        <v>397</v>
      </c>
      <c r="AN413">
        <v>248.51696463127678</v>
      </c>
      <c r="AO413">
        <v>82.852326940855136</v>
      </c>
      <c r="AP413">
        <v>591.78204707422788</v>
      </c>
      <c r="AQ413">
        <v>438.22649119682859</v>
      </c>
      <c r="AR413">
        <v>75.202748531699484</v>
      </c>
      <c r="AS413">
        <v>623.96346392985049</v>
      </c>
      <c r="AT413">
        <v>39.426564668404247</v>
      </c>
      <c r="AU413">
        <v>56.943789617393961</v>
      </c>
      <c r="AV413"/>
      <c r="AW413"/>
      <c r="FY413" s="211">
        <v>408</v>
      </c>
      <c r="FZ413">
        <v>31.502877068318483</v>
      </c>
      <c r="GA413">
        <v>71.264195772341026</v>
      </c>
      <c r="GB413">
        <v>90.039569274189972</v>
      </c>
      <c r="GC413">
        <v>52.460919447732223</v>
      </c>
      <c r="GD413">
        <v>25.818443205802449</v>
      </c>
      <c r="GE413">
        <v>50.010484385301424</v>
      </c>
      <c r="GF413">
        <v>72.086132701493369</v>
      </c>
      <c r="GG413">
        <v>46.610594448026688</v>
      </c>
      <c r="GH413">
        <v>11.900430845208744</v>
      </c>
      <c r="GI413">
        <v>60.38805284321468</v>
      </c>
      <c r="GJ413"/>
      <c r="GK413"/>
      <c r="GL413"/>
      <c r="GM413"/>
    </row>
    <row r="414" spans="1:195" s="7" customFormat="1">
      <c r="A414" s="189">
        <v>10.51</v>
      </c>
      <c r="B414" s="71">
        <f t="shared" si="374"/>
        <v>39987</v>
      </c>
      <c r="C414" s="61">
        <f t="shared" si="380"/>
        <v>341</v>
      </c>
      <c r="D414" s="61">
        <f t="shared" si="375"/>
        <v>2.1566265060240966</v>
      </c>
      <c r="E414" s="108">
        <f t="shared" si="376"/>
        <v>9.1865275234824129E-2</v>
      </c>
      <c r="F414" s="19">
        <f t="shared" si="377"/>
        <v>-4.8765230290476344E-2</v>
      </c>
      <c r="G414" s="19">
        <f t="shared" si="378"/>
        <v>6.1798926532997317E-2</v>
      </c>
      <c r="H414" s="19">
        <f t="shared" si="379"/>
        <v>6.1798926532997317E-2</v>
      </c>
      <c r="I414" s="13"/>
      <c r="J414" s="4"/>
      <c r="K414" s="4"/>
      <c r="L414" s="4"/>
      <c r="M414" s="4"/>
      <c r="N414" s="4"/>
      <c r="O414" s="4"/>
      <c r="P414" s="4"/>
      <c r="Q414" s="4"/>
      <c r="R414" s="4"/>
      <c r="S414" s="4"/>
      <c r="T414" s="4"/>
      <c r="U414" s="4"/>
      <c r="V414" s="4"/>
      <c r="W414" s="4"/>
      <c r="X414" s="4"/>
      <c r="Y414" s="4"/>
      <c r="Z414" s="4"/>
      <c r="AA414" s="4"/>
      <c r="AB414" s="4"/>
      <c r="AC414" s="4"/>
      <c r="AD414" s="4"/>
      <c r="AE414" s="4"/>
      <c r="AF414" s="4"/>
      <c r="AG414" s="4"/>
      <c r="AH414" s="4"/>
      <c r="AI414" s="4"/>
      <c r="AJ414" s="4"/>
      <c r="AK414" s="4"/>
      <c r="AL414" s="4"/>
      <c r="AM414" s="43">
        <v>398</v>
      </c>
      <c r="AN414">
        <v>240.47975516358596</v>
      </c>
      <c r="AO414">
        <v>81.07670604968304</v>
      </c>
      <c r="AP414">
        <v>547.37930978080101</v>
      </c>
      <c r="AQ414">
        <v>413.67200397461363</v>
      </c>
      <c r="AR414">
        <v>73.47429403873717</v>
      </c>
      <c r="AS414">
        <v>637.01214676641212</v>
      </c>
      <c r="AT414" t="e">
        <v>#DIV/0!</v>
      </c>
      <c r="AU414" t="e">
        <v>#DIV/0!</v>
      </c>
      <c r="AV414"/>
      <c r="AW414"/>
      <c r="FY414" s="211">
        <v>409</v>
      </c>
      <c r="FZ414">
        <v>28.417507388131103</v>
      </c>
      <c r="GA414">
        <v>62.649204373792223</v>
      </c>
      <c r="GB414">
        <v>61.148112062441953</v>
      </c>
      <c r="GC414">
        <v>39.525934563798153</v>
      </c>
      <c r="GD414">
        <v>27.472846829824388</v>
      </c>
      <c r="GE414">
        <v>52.200967087132369</v>
      </c>
      <c r="GF414">
        <v>52.847103502274152</v>
      </c>
      <c r="GG414">
        <v>23.696800052563962</v>
      </c>
      <c r="GH414">
        <v>6.4125924986128142</v>
      </c>
      <c r="GI414">
        <v>48.77543395791173</v>
      </c>
      <c r="GJ414"/>
      <c r="GK414"/>
      <c r="GL414"/>
      <c r="GM414"/>
    </row>
    <row r="415" spans="1:195" s="7" customFormat="1">
      <c r="A415" s="189"/>
      <c r="B415" s="71"/>
      <c r="C415" s="61"/>
      <c r="D415" s="61"/>
      <c r="E415" s="108"/>
      <c r="F415" s="19"/>
      <c r="G415" s="19"/>
      <c r="H415" s="19"/>
      <c r="I415" s="13"/>
      <c r="J415" s="4"/>
      <c r="K415" s="4"/>
      <c r="L415" s="4"/>
      <c r="M415" s="4"/>
      <c r="N415" s="4"/>
      <c r="O415" s="4"/>
      <c r="P415" s="4"/>
      <c r="Q415" s="4"/>
      <c r="R415" s="4"/>
      <c r="S415" s="4"/>
      <c r="T415" s="4"/>
      <c r="U415" s="4"/>
      <c r="V415" s="4"/>
      <c r="W415" s="4"/>
      <c r="X415" s="4"/>
      <c r="Y415" s="4"/>
      <c r="Z415" s="4"/>
      <c r="AA415" s="4"/>
      <c r="AB415" s="4"/>
      <c r="AC415" s="4"/>
      <c r="AD415" s="4"/>
      <c r="AE415" s="4"/>
      <c r="AF415" s="4"/>
      <c r="AG415" s="4"/>
      <c r="AH415" s="4"/>
      <c r="AI415" s="4"/>
      <c r="AJ415" s="4"/>
      <c r="AK415" s="4"/>
      <c r="AL415" s="4"/>
      <c r="AM415" s="43">
        <v>399</v>
      </c>
      <c r="AN415">
        <v>268.94202057956153</v>
      </c>
      <c r="AO415">
        <v>85.087664224267996</v>
      </c>
      <c r="AP415">
        <v>619.66654629355742</v>
      </c>
      <c r="AQ415">
        <v>468.41197584872748</v>
      </c>
      <c r="AR415">
        <v>74.881123687143713</v>
      </c>
      <c r="AS415">
        <v>611.95805269958782</v>
      </c>
      <c r="AT415">
        <v>40.448322385668597</v>
      </c>
      <c r="AU415">
        <v>68.108498778266167</v>
      </c>
      <c r="AV415"/>
      <c r="AW415"/>
      <c r="FY415" s="211">
        <v>410</v>
      </c>
      <c r="FZ415">
        <v>14.865801523693948</v>
      </c>
      <c r="GA415">
        <v>43.487599017305051</v>
      </c>
      <c r="GB415">
        <v>82.645025987285337</v>
      </c>
      <c r="GC415">
        <v>48.356351605079681</v>
      </c>
      <c r="GD415">
        <v>19.677722165997327</v>
      </c>
      <c r="GE415">
        <v>39.411644953718593</v>
      </c>
      <c r="GF415">
        <v>40.354834028314698</v>
      </c>
      <c r="GG415">
        <v>18.70077257237417</v>
      </c>
      <c r="GH415">
        <v>10.218785531018842</v>
      </c>
      <c r="GI415">
        <v>45.190824436117694</v>
      </c>
      <c r="GJ415"/>
      <c r="GK415"/>
      <c r="GL415"/>
      <c r="GM415"/>
    </row>
    <row r="416" spans="1:195" s="7" customFormat="1">
      <c r="A416" s="189"/>
      <c r="B416" s="71"/>
      <c r="C416" s="61"/>
      <c r="D416" s="61"/>
      <c r="E416" s="108"/>
      <c r="F416" s="19"/>
      <c r="G416" s="19"/>
      <c r="H416" s="19"/>
      <c r="I416" s="13"/>
      <c r="J416" s="4"/>
      <c r="K416" s="4"/>
      <c r="L416" s="4"/>
      <c r="M416" s="4"/>
      <c r="N416" s="4"/>
      <c r="O416" s="4"/>
      <c r="P416" s="4"/>
      <c r="Q416" s="4"/>
      <c r="R416" s="4"/>
      <c r="S416" s="4"/>
      <c r="T416" s="4"/>
      <c r="U416" s="4"/>
      <c r="V416" s="4"/>
      <c r="W416" s="4"/>
      <c r="X416" s="4"/>
      <c r="Y416" s="4"/>
      <c r="Z416" s="4"/>
      <c r="AA416" s="4"/>
      <c r="AB416" s="4"/>
      <c r="AC416" s="4"/>
      <c r="AD416" s="4"/>
      <c r="AE416" s="4"/>
      <c r="AF416" s="4"/>
      <c r="AG416" s="4"/>
      <c r="AH416" s="4"/>
      <c r="AI416" s="4"/>
      <c r="AJ416" s="4"/>
      <c r="AK416" s="4"/>
      <c r="AL416" s="4"/>
      <c r="AM416" s="43">
        <v>400</v>
      </c>
      <c r="AN416">
        <v>284.72227593159761</v>
      </c>
      <c r="AO416">
        <v>92.935100170095652</v>
      </c>
      <c r="AP416">
        <v>705.16562077578817</v>
      </c>
      <c r="AQ416">
        <v>517.40054421678349</v>
      </c>
      <c r="AR416">
        <v>81.912449914448104</v>
      </c>
      <c r="AS416">
        <v>674.42833726341757</v>
      </c>
      <c r="AT416">
        <v>43.348153274462611</v>
      </c>
      <c r="AU416">
        <v>146.6712101117715</v>
      </c>
      <c r="AV416"/>
      <c r="AW416"/>
      <c r="FY416" s="211">
        <v>411</v>
      </c>
      <c r="FZ416">
        <v>4.8587919012022551</v>
      </c>
      <c r="GA416">
        <v>46.35058000301342</v>
      </c>
      <c r="GB416">
        <v>76.660593320092929</v>
      </c>
      <c r="GC416">
        <v>41.161029704973977</v>
      </c>
      <c r="GD416">
        <v>28.154436525766993</v>
      </c>
      <c r="GE416">
        <v>57.631306335763774</v>
      </c>
      <c r="GF416">
        <v>61.584625977531395</v>
      </c>
      <c r="GG416">
        <v>34.707467710512567</v>
      </c>
      <c r="GH416">
        <v>6.2572268753642231</v>
      </c>
      <c r="GI416">
        <v>51.855780673373133</v>
      </c>
      <c r="GJ416"/>
      <c r="GK416"/>
      <c r="GL416"/>
      <c r="GM416"/>
    </row>
    <row r="417" spans="1:195" s="7" customFormat="1">
      <c r="A417" s="4"/>
      <c r="B417" s="4"/>
      <c r="C417" s="4"/>
      <c r="D417" s="4"/>
      <c r="E417" s="4"/>
      <c r="F417" s="4"/>
      <c r="G417" s="4"/>
      <c r="H417" s="4"/>
      <c r="I417" s="4"/>
      <c r="J417" s="4"/>
      <c r="K417" s="4"/>
      <c r="L417" s="4"/>
      <c r="M417" s="4"/>
      <c r="N417" s="4"/>
      <c r="O417" s="4"/>
      <c r="P417" s="4"/>
      <c r="Q417" s="4"/>
      <c r="R417" s="4"/>
      <c r="S417" s="4"/>
      <c r="T417" s="4"/>
      <c r="U417" s="4"/>
      <c r="V417" s="4"/>
      <c r="W417" s="4"/>
      <c r="X417" s="4"/>
      <c r="Y417" s="4"/>
      <c r="Z417" s="4"/>
      <c r="AA417" s="4"/>
      <c r="AB417" s="4"/>
      <c r="AC417" s="4"/>
      <c r="AD417" s="4"/>
      <c r="AE417" s="4"/>
      <c r="AF417" s="4"/>
      <c r="AG417" s="4"/>
      <c r="AH417" s="4"/>
      <c r="AI417" s="4"/>
      <c r="AJ417" s="4"/>
      <c r="AK417" s="4"/>
      <c r="AL417" s="4"/>
      <c r="AM417" s="43">
        <v>401</v>
      </c>
      <c r="AN417">
        <v>267.13574484678111</v>
      </c>
      <c r="AO417">
        <v>78.053576722733865</v>
      </c>
      <c r="AP417">
        <v>546.65796836288462</v>
      </c>
      <c r="AQ417">
        <v>423.40722133507228</v>
      </c>
      <c r="AR417">
        <v>69.510037400474587</v>
      </c>
      <c r="AS417">
        <v>609.52716079861682</v>
      </c>
      <c r="AT417">
        <v>38.374065884726228</v>
      </c>
      <c r="AU417">
        <v>81.793569879210281</v>
      </c>
      <c r="AV417"/>
      <c r="AW417"/>
      <c r="FY417" s="211">
        <v>412</v>
      </c>
      <c r="FZ417">
        <v>9.3875052402317039</v>
      </c>
      <c r="GA417">
        <v>39.472772973816795</v>
      </c>
      <c r="GB417">
        <v>72.796197796202847</v>
      </c>
      <c r="GC417">
        <v>47.063609376332771</v>
      </c>
      <c r="GD417">
        <v>19.419207848768281</v>
      </c>
      <c r="GE417">
        <v>26.499147651657047</v>
      </c>
      <c r="GF417">
        <v>65.056068095138556</v>
      </c>
      <c r="GG417">
        <v>45.476349831955169</v>
      </c>
      <c r="GH417">
        <v>4.6652467056280944</v>
      </c>
      <c r="GI417">
        <v>45.548395397210953</v>
      </c>
      <c r="GJ417"/>
      <c r="GK417"/>
      <c r="GL417"/>
      <c r="GM417"/>
    </row>
    <row r="418" spans="1:195" s="7" customFormat="1">
      <c r="A418" s="4"/>
      <c r="B418" s="128" t="s">
        <v>141</v>
      </c>
      <c r="C418" s="4"/>
      <c r="D418" s="4"/>
      <c r="E418" s="4"/>
      <c r="F418" s="4"/>
      <c r="G418" s="4"/>
      <c r="H418" s="4"/>
      <c r="I418" s="4"/>
      <c r="J418" s="4"/>
      <c r="K418" s="4"/>
      <c r="L418" s="4"/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4"/>
      <c r="X418" s="4"/>
      <c r="Y418" s="4"/>
      <c r="Z418" s="4"/>
      <c r="AA418" s="4"/>
      <c r="AB418" s="4"/>
      <c r="AC418" s="4"/>
      <c r="AD418" s="4"/>
      <c r="AE418" s="4"/>
      <c r="AF418" s="4"/>
      <c r="AG418" s="4"/>
      <c r="AH418" s="4"/>
      <c r="AI418" s="4"/>
      <c r="AJ418" s="4"/>
      <c r="AK418" s="4"/>
      <c r="AL418" s="4"/>
      <c r="AM418" s="43">
        <v>402</v>
      </c>
      <c r="AN418">
        <v>204.6088581080075</v>
      </c>
      <c r="AO418">
        <v>94.769619953647492</v>
      </c>
      <c r="AP418">
        <v>647.949264397805</v>
      </c>
      <c r="AQ418">
        <v>487.93020334931509</v>
      </c>
      <c r="AR418">
        <v>85.743577753331763</v>
      </c>
      <c r="AS418">
        <v>647.14967255457407</v>
      </c>
      <c r="AT418">
        <v>51.144217379571728</v>
      </c>
      <c r="AU418">
        <v>87.312569373607133</v>
      </c>
      <c r="AV418"/>
      <c r="AW418"/>
      <c r="FY418" s="211">
        <v>413</v>
      </c>
      <c r="FZ418">
        <v>15.856800529254807</v>
      </c>
      <c r="GA418">
        <v>55.042468422311657</v>
      </c>
      <c r="GB418">
        <v>99.878373364314953</v>
      </c>
      <c r="GC418">
        <v>58.702132279834579</v>
      </c>
      <c r="GD418">
        <v>21.673328155485304</v>
      </c>
      <c r="GE418">
        <v>53.400797918638645</v>
      </c>
      <c r="GF418">
        <v>91.684240469763509</v>
      </c>
      <c r="GG418">
        <v>47.716198537709992</v>
      </c>
      <c r="GH418">
        <v>17.239209630948775</v>
      </c>
      <c r="GI418">
        <v>62.104720095056081</v>
      </c>
      <c r="GJ418"/>
      <c r="GK418"/>
      <c r="GL418"/>
      <c r="GM418"/>
    </row>
    <row r="419" spans="1:195" s="7" customFormat="1">
      <c r="A419" s="4"/>
      <c r="B419" s="10" t="s">
        <v>76</v>
      </c>
      <c r="C419" s="21"/>
      <c r="D419" s="13"/>
      <c r="E419" s="21"/>
      <c r="F419" s="13"/>
      <c r="G419" s="13"/>
      <c r="H419" s="94"/>
      <c r="I419" s="94"/>
      <c r="J419" s="94"/>
      <c r="K419" s="94"/>
      <c r="L419" s="94"/>
      <c r="M419" s="94"/>
      <c r="N419" s="94"/>
      <c r="O419" s="94"/>
      <c r="P419" s="94"/>
      <c r="Q419" s="94"/>
      <c r="R419" s="13"/>
      <c r="S419" s="13"/>
      <c r="T419" s="13"/>
      <c r="U419" s="13"/>
      <c r="V419" s="13"/>
      <c r="W419" s="13"/>
      <c r="X419" s="13"/>
      <c r="Y419" s="13"/>
      <c r="Z419" s="13"/>
      <c r="AA419" s="13"/>
      <c r="AB419" s="13"/>
      <c r="AC419" s="13"/>
      <c r="AD419" s="13"/>
      <c r="AE419" s="13"/>
      <c r="AF419" s="13"/>
      <c r="AG419" s="13"/>
      <c r="AH419" s="13"/>
      <c r="AI419" s="13"/>
      <c r="AJ419" s="13"/>
      <c r="AK419" s="13"/>
      <c r="AL419" s="4"/>
      <c r="AM419" s="43">
        <v>403</v>
      </c>
      <c r="AN419">
        <v>214.79842963105608</v>
      </c>
      <c r="AO419">
        <v>80.040098533738885</v>
      </c>
      <c r="AP419">
        <v>552.91736231193499</v>
      </c>
      <c r="AQ419">
        <v>431.83089937139897</v>
      </c>
      <c r="AR419">
        <v>72.058467968063283</v>
      </c>
      <c r="AS419">
        <v>594.06346605887256</v>
      </c>
      <c r="AT419" t="e">
        <v>#DIV/0!</v>
      </c>
      <c r="AU419" t="e">
        <v>#DIV/0!</v>
      </c>
      <c r="AV419"/>
      <c r="AW419"/>
      <c r="FY419" s="211">
        <v>414</v>
      </c>
      <c r="FZ419">
        <v>30.388925259409678</v>
      </c>
      <c r="GA419">
        <v>55.117384438632627</v>
      </c>
      <c r="GB419">
        <v>70.074707143588668</v>
      </c>
      <c r="GC419">
        <v>48.459347263130354</v>
      </c>
      <c r="GD419">
        <v>19.30315973748559</v>
      </c>
      <c r="GE419">
        <v>53.279637278372419</v>
      </c>
      <c r="GF419">
        <v>116.52046492784517</v>
      </c>
      <c r="GG419">
        <v>84.13671515501801</v>
      </c>
      <c r="GH419">
        <v>50.959207698490886</v>
      </c>
      <c r="GI419">
        <v>65.577108437159481</v>
      </c>
      <c r="GJ419"/>
      <c r="GK419"/>
      <c r="GL419"/>
      <c r="GM419"/>
    </row>
    <row r="420" spans="1:195" s="7" customFormat="1">
      <c r="A420" s="4"/>
      <c r="B420" s="13"/>
      <c r="C420" s="13"/>
      <c r="D420" s="13"/>
      <c r="E420" s="13"/>
      <c r="F420" s="13"/>
      <c r="G420" s="13"/>
      <c r="H420" s="14"/>
      <c r="I420" s="175"/>
      <c r="J420" s="21"/>
      <c r="K420" s="94"/>
      <c r="L420" s="94"/>
      <c r="M420" s="94"/>
      <c r="N420" s="94"/>
      <c r="O420" s="94"/>
      <c r="P420" s="94"/>
      <c r="Q420" s="94"/>
      <c r="R420" s="13"/>
      <c r="S420" s="13"/>
      <c r="T420" s="13"/>
      <c r="U420" s="13"/>
      <c r="V420" s="13"/>
      <c r="W420" s="13"/>
      <c r="X420" s="13"/>
      <c r="Y420" s="13"/>
      <c r="Z420" s="13"/>
      <c r="AA420" s="13"/>
      <c r="AB420" s="13"/>
      <c r="AC420" s="13"/>
      <c r="AD420" s="13"/>
      <c r="AE420" s="13"/>
      <c r="AF420" s="13"/>
      <c r="AG420" s="13"/>
      <c r="AH420" s="13"/>
      <c r="AI420" s="13"/>
      <c r="AJ420" s="13"/>
      <c r="AK420" s="13"/>
      <c r="AL420" s="4"/>
      <c r="AM420" s="43">
        <v>404</v>
      </c>
      <c r="AN420">
        <v>263.38867483207895</v>
      </c>
      <c r="AO420">
        <v>74.397369718477705</v>
      </c>
      <c r="AP420">
        <v>471.2018409180294</v>
      </c>
      <c r="AQ420">
        <v>383.88888548393703</v>
      </c>
      <c r="AR420">
        <v>66.633748960050909</v>
      </c>
      <c r="AS420">
        <v>575.51140528733617</v>
      </c>
      <c r="AT420">
        <v>35.448249201530174</v>
      </c>
      <c r="AU420">
        <v>67.113321486572815</v>
      </c>
      <c r="AV420"/>
      <c r="AW420"/>
      <c r="FY420" s="211">
        <v>415</v>
      </c>
      <c r="FZ420">
        <v>18.178273421986241</v>
      </c>
      <c r="GA420">
        <v>54.912883316531634</v>
      </c>
      <c r="GB420">
        <v>76.195356212300055</v>
      </c>
      <c r="GC420">
        <v>44.452749591205269</v>
      </c>
      <c r="GD420">
        <v>18.023951567179132</v>
      </c>
      <c r="GE420">
        <v>27.746403811640196</v>
      </c>
      <c r="GF420">
        <v>39.924886664836897</v>
      </c>
      <c r="GG420">
        <v>20.811790681570798</v>
      </c>
      <c r="GH420">
        <v>3.8887024216817205</v>
      </c>
      <c r="GI420">
        <v>41.68994189041819</v>
      </c>
      <c r="GJ420"/>
      <c r="GK420"/>
      <c r="GL420"/>
      <c r="GM420"/>
    </row>
    <row r="421" spans="1:195" s="7" customFormat="1">
      <c r="A421" s="4"/>
      <c r="B421" s="10" t="s">
        <v>51</v>
      </c>
      <c r="C421" s="13"/>
      <c r="D421" s="13"/>
      <c r="E421" s="13"/>
      <c r="F421" s="134"/>
      <c r="G421" s="11" t="s">
        <v>33</v>
      </c>
      <c r="H421" s="13"/>
      <c r="I421" s="14"/>
      <c r="J421" s="13"/>
      <c r="K421" s="21"/>
      <c r="L421" s="13"/>
      <c r="M421" s="14"/>
      <c r="N421" s="13"/>
      <c r="O421" s="13"/>
      <c r="P421" s="13"/>
      <c r="Q421" s="14"/>
      <c r="R421" s="10"/>
      <c r="S421" s="10"/>
      <c r="T421" s="10"/>
      <c r="U421" s="10"/>
      <c r="V421" s="10"/>
      <c r="W421" s="10"/>
      <c r="X421" s="10"/>
      <c r="Y421" s="10"/>
      <c r="Z421" s="10"/>
      <c r="AA421" s="10"/>
      <c r="AB421" s="10"/>
      <c r="AC421" s="10"/>
      <c r="AD421" s="10"/>
      <c r="AE421" s="10"/>
      <c r="AF421" s="10"/>
      <c r="AG421" s="10"/>
      <c r="AH421" s="10"/>
      <c r="AI421" s="10"/>
      <c r="AJ421" s="10"/>
      <c r="AK421" s="10"/>
      <c r="AL421" s="4"/>
      <c r="AM421" s="43">
        <v>405</v>
      </c>
      <c r="AN421">
        <v>267.8088299358738</v>
      </c>
      <c r="AO421">
        <v>90.226179973790948</v>
      </c>
      <c r="AP421">
        <v>681.06950310587126</v>
      </c>
      <c r="AQ421">
        <v>510.23856258602723</v>
      </c>
      <c r="AR421">
        <v>81.267939615803314</v>
      </c>
      <c r="AS421">
        <v>702.82731894494157</v>
      </c>
      <c r="AT421">
        <v>42.580664537134076</v>
      </c>
      <c r="AU421">
        <v>53.46501563409074</v>
      </c>
      <c r="AV421"/>
      <c r="AW421"/>
      <c r="FY421" s="211">
        <v>416</v>
      </c>
      <c r="FZ421">
        <v>19.274620165300515</v>
      </c>
      <c r="GA421">
        <v>63.760694699342025</v>
      </c>
      <c r="GB421">
        <v>109.91493854212075</v>
      </c>
      <c r="GC421">
        <v>62.620443916202561</v>
      </c>
      <c r="GD421">
        <v>28.612039525591591</v>
      </c>
      <c r="GE421">
        <v>64.392702993088406</v>
      </c>
      <c r="GF421">
        <v>87.725779424909732</v>
      </c>
      <c r="GG421">
        <v>37.522829903206031</v>
      </c>
      <c r="GH421">
        <v>3.0352523579556596</v>
      </c>
      <c r="GI421">
        <v>67.268979318904215</v>
      </c>
      <c r="GJ421"/>
      <c r="GK421"/>
      <c r="GL421"/>
      <c r="GM421"/>
    </row>
    <row r="422" spans="1:195" s="7" customFormat="1">
      <c r="A422" s="4"/>
      <c r="B422" s="12" t="s">
        <v>34</v>
      </c>
      <c r="C422" s="10"/>
      <c r="D422" s="10" t="s">
        <v>115</v>
      </c>
      <c r="E422" s="13"/>
      <c r="F422" s="134"/>
      <c r="G422" s="44">
        <f>G372</f>
        <v>1.3192061168748582E-3</v>
      </c>
      <c r="H422" s="44">
        <f t="shared" ref="H422:AK422" si="381">H372</f>
        <v>9.8674000000000001E-3</v>
      </c>
      <c r="I422" s="44">
        <f t="shared" si="381"/>
        <v>7.3806194130341674E-2</v>
      </c>
      <c r="J422" s="44">
        <f t="shared" si="381"/>
        <v>0.23948909135319835</v>
      </c>
      <c r="K422" s="44">
        <f t="shared" si="381"/>
        <v>0.55205568761838808</v>
      </c>
      <c r="L422" s="44">
        <f t="shared" si="381"/>
        <v>1.0551462416913167</v>
      </c>
      <c r="M422" s="44">
        <f t="shared" si="381"/>
        <v>1.7913308843781834</v>
      </c>
      <c r="N422" s="44">
        <f t="shared" si="381"/>
        <v>2.8023497955899321</v>
      </c>
      <c r="O422" s="44">
        <f t="shared" si="381"/>
        <v>4.1292670056065459</v>
      </c>
      <c r="P422" s="44">
        <f t="shared" si="381"/>
        <v>5.8125772622150294</v>
      </c>
      <c r="Q422" s="44">
        <f t="shared" si="381"/>
        <v>7.8922845278563596</v>
      </c>
      <c r="R422" s="44">
        <f t="shared" si="381"/>
        <v>10.407962020919701</v>
      </c>
      <c r="S422" s="44">
        <f t="shared" si="381"/>
        <v>13.398799582878256</v>
      </c>
      <c r="T422" s="44">
        <f t="shared" si="381"/>
        <v>16.903641970973688</v>
      </c>
      <c r="U422" s="44">
        <f t="shared" si="381"/>
        <v>20.961020434403583</v>
      </c>
      <c r="V422" s="44">
        <f t="shared" si="381"/>
        <v>25.609179182702185</v>
      </c>
      <c r="W422" s="44">
        <f t="shared" si="381"/>
        <v>30.886097881084297</v>
      </c>
      <c r="X422" s="44">
        <f t="shared" si="381"/>
        <v>36.829510995882423</v>
      </c>
      <c r="Y422" s="44">
        <f t="shared" si="381"/>
        <v>43.47692460148081</v>
      </c>
      <c r="Z422" s="44">
        <f t="shared" si="381"/>
        <v>50.86563111224924</v>
      </c>
      <c r="AA422" s="44">
        <f t="shared" si="381"/>
        <v>59.03272229714598</v>
      </c>
      <c r="AB422" s="44">
        <f t="shared" si="381"/>
        <v>68.015100857333607</v>
      </c>
      <c r="AC422" s="44">
        <f t="shared" si="381"/>
        <v>77.849490789592309</v>
      </c>
      <c r="AD422" s="44">
        <f t="shared" si="381"/>
        <v>88.572446714768745</v>
      </c>
      <c r="AE422" s="44">
        <f t="shared" si="381"/>
        <v>100.22036231706966</v>
      </c>
      <c r="AF422" s="44">
        <f t="shared" si="381"/>
        <v>112.82947801399668</v>
      </c>
      <c r="AG422" s="44">
        <f t="shared" si="381"/>
        <v>126.43588795624756</v>
      </c>
      <c r="AH422" s="44">
        <f t="shared" si="381"/>
        <v>141.07554644061625</v>
      </c>
      <c r="AI422" s="44">
        <f t="shared" si="381"/>
        <v>156.78427380583037</v>
      </c>
      <c r="AJ422" s="44">
        <f t="shared" si="381"/>
        <v>173.59776187064006</v>
      </c>
      <c r="AK422" s="44">
        <f t="shared" si="381"/>
        <v>191.55157896479565</v>
      </c>
      <c r="AL422" s="4"/>
      <c r="AM422" s="43">
        <v>406</v>
      </c>
      <c r="AN422">
        <v>276.8637874483432</v>
      </c>
      <c r="AO422">
        <v>80.705471632734046</v>
      </c>
      <c r="AP422">
        <v>606.95903266111895</v>
      </c>
      <c r="AQ422">
        <v>429.92192790491987</v>
      </c>
      <c r="AR422">
        <v>73.836243829976098</v>
      </c>
      <c r="AS422">
        <v>660.03426271435876</v>
      </c>
      <c r="AT422">
        <v>39.797204286442472</v>
      </c>
      <c r="AU422">
        <v>39.143757875811531</v>
      </c>
      <c r="AV422"/>
      <c r="AW422"/>
      <c r="FY422" s="211">
        <v>417</v>
      </c>
      <c r="FZ422">
        <v>20.778972758070594</v>
      </c>
      <c r="GA422">
        <v>77.061895039762504</v>
      </c>
      <c r="GB422">
        <v>75.597871236290061</v>
      </c>
      <c r="GC422">
        <v>37.604033979821743</v>
      </c>
      <c r="GD422">
        <v>15.260576188571417</v>
      </c>
      <c r="GE422">
        <v>40.369578942919851</v>
      </c>
      <c r="GF422">
        <v>139.06326189258849</v>
      </c>
      <c r="GG422">
        <v>95.427305615237515</v>
      </c>
      <c r="GH422">
        <v>12.853688735640944</v>
      </c>
      <c r="GI422">
        <v>62.810669269560385</v>
      </c>
      <c r="GJ422"/>
      <c r="GK422"/>
      <c r="GL422"/>
      <c r="GM422"/>
    </row>
    <row r="423" spans="1:195" s="7" customFormat="1">
      <c r="A423" s="4"/>
      <c r="B423" s="48" t="s">
        <v>38</v>
      </c>
      <c r="C423" s="107">
        <f t="shared" ref="C423:C432" si="382">SUM(G423:AK423)</f>
        <v>14.094891422968558</v>
      </c>
      <c r="D423" s="191">
        <f>$A$405</f>
        <v>13.69</v>
      </c>
      <c r="E423" s="8"/>
      <c r="F423" s="124"/>
      <c r="G423" s="107">
        <f>(($A$453+$A$455*(G$422)+($A$457*$D423))*($E21*G37))</f>
        <v>0</v>
      </c>
      <c r="H423" s="107">
        <f>(($A$453+$A$455*(H$422)+($A$457*$D423))*($E21*H37))</f>
        <v>3.6132265067799943E-2</v>
      </c>
      <c r="I423" s="107">
        <f t="shared" ref="I423:AK423" si="383">(($A$453+$A$455*(I$422)+($A$457*$D423))*($E21*I37))</f>
        <v>2.810158174526332</v>
      </c>
      <c r="J423" s="107">
        <f t="shared" si="383"/>
        <v>2.4423806073435315</v>
      </c>
      <c r="K423" s="107">
        <f t="shared" si="383"/>
        <v>0</v>
      </c>
      <c r="L423" s="107">
        <f t="shared" si="383"/>
        <v>0</v>
      </c>
      <c r="M423" s="107">
        <f t="shared" si="383"/>
        <v>0</v>
      </c>
      <c r="N423" s="107">
        <f t="shared" si="383"/>
        <v>8.806220376030895</v>
      </c>
      <c r="O423" s="107">
        <f t="shared" si="383"/>
        <v>0</v>
      </c>
      <c r="P423" s="107">
        <f t="shared" si="383"/>
        <v>0</v>
      </c>
      <c r="Q423" s="107">
        <f t="shared" si="383"/>
        <v>0</v>
      </c>
      <c r="R423" s="107">
        <f t="shared" si="383"/>
        <v>0</v>
      </c>
      <c r="S423" s="107">
        <f t="shared" si="383"/>
        <v>0</v>
      </c>
      <c r="T423" s="107">
        <f t="shared" si="383"/>
        <v>0</v>
      </c>
      <c r="U423" s="107">
        <f t="shared" si="383"/>
        <v>0</v>
      </c>
      <c r="V423" s="107">
        <f t="shared" si="383"/>
        <v>0</v>
      </c>
      <c r="W423" s="107">
        <f t="shared" si="383"/>
        <v>0</v>
      </c>
      <c r="X423" s="107">
        <f t="shared" si="383"/>
        <v>0</v>
      </c>
      <c r="Y423" s="107">
        <f t="shared" si="383"/>
        <v>0</v>
      </c>
      <c r="Z423" s="107">
        <f t="shared" si="383"/>
        <v>0</v>
      </c>
      <c r="AA423" s="107">
        <f t="shared" si="383"/>
        <v>0</v>
      </c>
      <c r="AB423" s="107">
        <f t="shared" si="383"/>
        <v>0</v>
      </c>
      <c r="AC423" s="107">
        <f t="shared" si="383"/>
        <v>0</v>
      </c>
      <c r="AD423" s="107">
        <f t="shared" si="383"/>
        <v>0</v>
      </c>
      <c r="AE423" s="107">
        <f t="shared" si="383"/>
        <v>0</v>
      </c>
      <c r="AF423" s="107">
        <f t="shared" si="383"/>
        <v>0</v>
      </c>
      <c r="AG423" s="107">
        <f t="shared" si="383"/>
        <v>0</v>
      </c>
      <c r="AH423" s="107">
        <f t="shared" si="383"/>
        <v>0</v>
      </c>
      <c r="AI423" s="107">
        <f t="shared" si="383"/>
        <v>0</v>
      </c>
      <c r="AJ423" s="107">
        <f t="shared" si="383"/>
        <v>0</v>
      </c>
      <c r="AK423" s="107">
        <f t="shared" si="383"/>
        <v>0</v>
      </c>
      <c r="AL423" s="4"/>
      <c r="AM423" s="43">
        <v>407</v>
      </c>
      <c r="AN423">
        <v>261.73976398009052</v>
      </c>
      <c r="AO423">
        <v>99.917352486965768</v>
      </c>
      <c r="AP423">
        <v>743.86417124718048</v>
      </c>
      <c r="AQ423">
        <v>540.56032115194944</v>
      </c>
      <c r="AR423">
        <v>92.330870009479483</v>
      </c>
      <c r="AS423">
        <v>744.64108684213761</v>
      </c>
      <c r="AT423" t="e">
        <v>#DIV/0!</v>
      </c>
      <c r="AU423" t="e">
        <v>#DIV/0!</v>
      </c>
      <c r="AV423"/>
      <c r="AW423"/>
      <c r="FY423" s="211">
        <v>418</v>
      </c>
      <c r="FZ423">
        <v>20.17350243248843</v>
      </c>
      <c r="GA423">
        <v>55.81523034656766</v>
      </c>
      <c r="GB423">
        <v>96.43687789761681</v>
      </c>
      <c r="GC423">
        <v>56.763693672685072</v>
      </c>
      <c r="GD423">
        <v>31.651320378248126</v>
      </c>
      <c r="GE423">
        <v>61.754108131972792</v>
      </c>
      <c r="GF423">
        <v>62.984825973511747</v>
      </c>
      <c r="GG423">
        <v>41.447944407011086</v>
      </c>
      <c r="GH423">
        <v>17.943985104066378</v>
      </c>
      <c r="GI423">
        <v>63.084551595208474</v>
      </c>
      <c r="GJ423"/>
      <c r="GK423"/>
      <c r="GL423"/>
      <c r="GM423"/>
    </row>
    <row r="424" spans="1:195" s="7" customFormat="1">
      <c r="A424" s="4"/>
      <c r="B424" s="48" t="s">
        <v>39</v>
      </c>
      <c r="C424" s="107">
        <f t="shared" si="382"/>
        <v>35.745847675731028</v>
      </c>
      <c r="D424" s="191">
        <f>$A$406</f>
        <v>9.4499999999999993</v>
      </c>
      <c r="E424" s="8"/>
      <c r="F424" s="124"/>
      <c r="G424" s="107">
        <f t="shared" ref="G424:H432" si="384">(($A$453+$A$455*(G$422)+($A$457*$D424))*($E22*G38))</f>
        <v>0</v>
      </c>
      <c r="H424" s="107">
        <f t="shared" si="384"/>
        <v>0.11083506893490715</v>
      </c>
      <c r="I424" s="107">
        <f t="shared" ref="I424:AK424" si="385">(($A$453+$A$455*(I$422)+($A$457*$D424))*($E22*I38))</f>
        <v>6.8070978681944609</v>
      </c>
      <c r="J424" s="107">
        <f t="shared" si="385"/>
        <v>10.329585397474746</v>
      </c>
      <c r="K424" s="107">
        <f t="shared" si="385"/>
        <v>7.583287117507866</v>
      </c>
      <c r="L424" s="107">
        <f t="shared" si="385"/>
        <v>0</v>
      </c>
      <c r="M424" s="107">
        <f t="shared" si="385"/>
        <v>0.98028656590521446</v>
      </c>
      <c r="N424" s="107">
        <f t="shared" si="385"/>
        <v>9.934755657713831</v>
      </c>
      <c r="O424" s="107">
        <f t="shared" si="385"/>
        <v>0</v>
      </c>
      <c r="P424" s="107">
        <f t="shared" si="385"/>
        <v>0</v>
      </c>
      <c r="Q424" s="107">
        <f t="shared" si="385"/>
        <v>0</v>
      </c>
      <c r="R424" s="107">
        <f t="shared" si="385"/>
        <v>0</v>
      </c>
      <c r="S424" s="107">
        <f t="shared" si="385"/>
        <v>0</v>
      </c>
      <c r="T424" s="107">
        <f t="shared" si="385"/>
        <v>0</v>
      </c>
      <c r="U424" s="107">
        <f t="shared" si="385"/>
        <v>0</v>
      </c>
      <c r="V424" s="107">
        <f t="shared" si="385"/>
        <v>0</v>
      </c>
      <c r="W424" s="107">
        <f t="shared" si="385"/>
        <v>0</v>
      </c>
      <c r="X424" s="107">
        <f t="shared" si="385"/>
        <v>0</v>
      </c>
      <c r="Y424" s="107">
        <f t="shared" si="385"/>
        <v>0</v>
      </c>
      <c r="Z424" s="107">
        <f t="shared" si="385"/>
        <v>0</v>
      </c>
      <c r="AA424" s="107">
        <f t="shared" si="385"/>
        <v>0</v>
      </c>
      <c r="AB424" s="107">
        <f t="shared" si="385"/>
        <v>0</v>
      </c>
      <c r="AC424" s="107">
        <f t="shared" si="385"/>
        <v>0</v>
      </c>
      <c r="AD424" s="107">
        <f t="shared" si="385"/>
        <v>0</v>
      </c>
      <c r="AE424" s="107">
        <f t="shared" si="385"/>
        <v>0</v>
      </c>
      <c r="AF424" s="107">
        <f t="shared" si="385"/>
        <v>0</v>
      </c>
      <c r="AG424" s="107">
        <f t="shared" si="385"/>
        <v>0</v>
      </c>
      <c r="AH424" s="107">
        <f t="shared" si="385"/>
        <v>0</v>
      </c>
      <c r="AI424" s="107">
        <f t="shared" si="385"/>
        <v>0</v>
      </c>
      <c r="AJ424" s="107">
        <f t="shared" si="385"/>
        <v>0</v>
      </c>
      <c r="AK424" s="107">
        <f t="shared" si="385"/>
        <v>0</v>
      </c>
      <c r="AL424" s="4"/>
      <c r="AM424" s="43">
        <v>408</v>
      </c>
      <c r="AN424">
        <v>269.11969155713768</v>
      </c>
      <c r="AO424">
        <v>95.821239843625179</v>
      </c>
      <c r="AP424">
        <v>676.33204705463368</v>
      </c>
      <c r="AQ424">
        <v>512.08169999162908</v>
      </c>
      <c r="AR424">
        <v>87.05150068747281</v>
      </c>
      <c r="AS424">
        <v>715.87856039720998</v>
      </c>
      <c r="AT424">
        <v>48.248129887129465</v>
      </c>
      <c r="AU424">
        <v>104.25659946851033</v>
      </c>
      <c r="AV424"/>
      <c r="AW424"/>
      <c r="FY424" s="211">
        <v>419</v>
      </c>
      <c r="FZ424">
        <v>12.949103404517771</v>
      </c>
      <c r="GA424">
        <v>35.149758116435798</v>
      </c>
      <c r="GB424">
        <v>69.422984812094143</v>
      </c>
      <c r="GC424">
        <v>47.331855774443106</v>
      </c>
      <c r="GD424">
        <v>22.893836215662624</v>
      </c>
      <c r="GE424">
        <v>45.3557911276</v>
      </c>
      <c r="GF424">
        <v>59.302362615445091</v>
      </c>
      <c r="GG424">
        <v>27.609470614144264</v>
      </c>
      <c r="GH424">
        <v>10.093640544263074</v>
      </c>
      <c r="GI424">
        <v>48.783903553209861</v>
      </c>
      <c r="GJ424"/>
      <c r="GK424"/>
      <c r="GL424"/>
      <c r="GM424"/>
    </row>
    <row r="425" spans="1:195" s="7" customFormat="1">
      <c r="A425" s="4"/>
      <c r="B425" s="48" t="s">
        <v>40</v>
      </c>
      <c r="C425" s="107">
        <f t="shared" si="382"/>
        <v>79.508497734606806</v>
      </c>
      <c r="D425" s="191">
        <f>A$407</f>
        <v>4.03</v>
      </c>
      <c r="E425" s="8"/>
      <c r="F425" s="124"/>
      <c r="G425" s="107">
        <f t="shared" si="384"/>
        <v>0</v>
      </c>
      <c r="H425" s="107">
        <f t="shared" si="384"/>
        <v>0.3990111659308197</v>
      </c>
      <c r="I425" s="107">
        <f t="shared" ref="I425:AK425" si="386">(($A$453+$A$455*(I$422)+($A$457*$D425))*($E23*I39))</f>
        <v>7.253458338499942</v>
      </c>
      <c r="J425" s="107">
        <f t="shared" si="386"/>
        <v>16.783133819853038</v>
      </c>
      <c r="K425" s="107">
        <f t="shared" si="386"/>
        <v>33.489030387570587</v>
      </c>
      <c r="L425" s="107">
        <f t="shared" si="386"/>
        <v>14.209811163508641</v>
      </c>
      <c r="M425" s="107">
        <f t="shared" si="386"/>
        <v>3.2621900820762098</v>
      </c>
      <c r="N425" s="107">
        <f t="shared" si="386"/>
        <v>4.1118627771675564</v>
      </c>
      <c r="O425" s="107">
        <f t="shared" si="386"/>
        <v>0</v>
      </c>
      <c r="P425" s="107">
        <f t="shared" si="386"/>
        <v>0</v>
      </c>
      <c r="Q425" s="107">
        <f t="shared" si="386"/>
        <v>0</v>
      </c>
      <c r="R425" s="107">
        <f t="shared" si="386"/>
        <v>0</v>
      </c>
      <c r="S425" s="107">
        <f t="shared" si="386"/>
        <v>0</v>
      </c>
      <c r="T425" s="107">
        <f t="shared" si="386"/>
        <v>0</v>
      </c>
      <c r="U425" s="107">
        <f t="shared" si="386"/>
        <v>0</v>
      </c>
      <c r="V425" s="107">
        <f t="shared" si="386"/>
        <v>0</v>
      </c>
      <c r="W425" s="107">
        <f t="shared" si="386"/>
        <v>0</v>
      </c>
      <c r="X425" s="107">
        <f t="shared" si="386"/>
        <v>0</v>
      </c>
      <c r="Y425" s="107">
        <f t="shared" si="386"/>
        <v>0</v>
      </c>
      <c r="Z425" s="107">
        <f t="shared" si="386"/>
        <v>0</v>
      </c>
      <c r="AA425" s="107">
        <f t="shared" si="386"/>
        <v>0</v>
      </c>
      <c r="AB425" s="107">
        <f t="shared" si="386"/>
        <v>0</v>
      </c>
      <c r="AC425" s="107">
        <f t="shared" si="386"/>
        <v>0</v>
      </c>
      <c r="AD425" s="107">
        <f t="shared" si="386"/>
        <v>0</v>
      </c>
      <c r="AE425" s="107">
        <f t="shared" si="386"/>
        <v>0</v>
      </c>
      <c r="AF425" s="107">
        <f t="shared" si="386"/>
        <v>0</v>
      </c>
      <c r="AG425" s="107">
        <f t="shared" si="386"/>
        <v>0</v>
      </c>
      <c r="AH425" s="107">
        <f t="shared" si="386"/>
        <v>0</v>
      </c>
      <c r="AI425" s="107">
        <f t="shared" si="386"/>
        <v>0</v>
      </c>
      <c r="AJ425" s="107">
        <f t="shared" si="386"/>
        <v>0</v>
      </c>
      <c r="AK425" s="107">
        <f t="shared" si="386"/>
        <v>0</v>
      </c>
      <c r="AL425" s="4"/>
      <c r="AM425" s="43">
        <v>409</v>
      </c>
      <c r="AN425">
        <v>213.99888564429497</v>
      </c>
      <c r="AO425">
        <v>76.998049637628668</v>
      </c>
      <c r="AP425">
        <v>503.09574357149836</v>
      </c>
      <c r="AQ425">
        <v>403.14650231648284</v>
      </c>
      <c r="AR425">
        <v>69.569585433371742</v>
      </c>
      <c r="AS425">
        <v>587.31541195715965</v>
      </c>
      <c r="AT425">
        <v>36.401938038969739</v>
      </c>
      <c r="AU425">
        <v>62.44656979563802</v>
      </c>
      <c r="AV425"/>
      <c r="AW425"/>
      <c r="FY425" s="211">
        <v>420</v>
      </c>
      <c r="FZ425">
        <v>32.022072365022808</v>
      </c>
      <c r="GA425">
        <v>65.598818148246806</v>
      </c>
      <c r="GB425">
        <v>70.222841837729348</v>
      </c>
      <c r="GC425">
        <v>41.520780738022907</v>
      </c>
      <c r="GD425">
        <v>24.719221853713961</v>
      </c>
      <c r="GE425">
        <v>49.777215793762707</v>
      </c>
      <c r="GF425">
        <v>83.951978354946775</v>
      </c>
      <c r="GG425">
        <v>76.593491221234572</v>
      </c>
      <c r="GH425">
        <v>36.945991835335228</v>
      </c>
      <c r="GI425">
        <v>61.761121455123437</v>
      </c>
      <c r="GJ425"/>
      <c r="GK425"/>
      <c r="GL425"/>
      <c r="GM425"/>
    </row>
    <row r="426" spans="1:195" s="7" customFormat="1">
      <c r="A426" s="128" t="s">
        <v>92</v>
      </c>
      <c r="B426" s="48" t="s">
        <v>41</v>
      </c>
      <c r="C426" s="107">
        <f t="shared" si="382"/>
        <v>51.112237551976968</v>
      </c>
      <c r="D426" s="191">
        <f>A$408</f>
        <v>0.78</v>
      </c>
      <c r="E426" s="8"/>
      <c r="F426" s="124"/>
      <c r="G426" s="107">
        <f t="shared" si="384"/>
        <v>0</v>
      </c>
      <c r="H426" s="107">
        <f t="shared" si="384"/>
        <v>0.24077421200189375</v>
      </c>
      <c r="I426" s="107">
        <f t="shared" ref="I426:AK426" si="387">(($A$453+$A$455*(I$422)+($A$457*$D426))*($E24*I40))</f>
        <v>4.7327741367036928</v>
      </c>
      <c r="J426" s="107">
        <f t="shared" si="387"/>
        <v>8.0223521198584393</v>
      </c>
      <c r="K426" s="107">
        <f t="shared" si="387"/>
        <v>23.46564999917436</v>
      </c>
      <c r="L426" s="107">
        <f t="shared" si="387"/>
        <v>11.434580828368968</v>
      </c>
      <c r="M426" s="107">
        <f t="shared" si="387"/>
        <v>1.3865393643393207</v>
      </c>
      <c r="N426" s="107">
        <f t="shared" si="387"/>
        <v>1.8295668915302929</v>
      </c>
      <c r="O426" s="107">
        <f t="shared" si="387"/>
        <v>0</v>
      </c>
      <c r="P426" s="107">
        <f t="shared" si="387"/>
        <v>0</v>
      </c>
      <c r="Q426" s="107">
        <f t="shared" si="387"/>
        <v>0</v>
      </c>
      <c r="R426" s="107">
        <f t="shared" si="387"/>
        <v>0</v>
      </c>
      <c r="S426" s="107">
        <f t="shared" si="387"/>
        <v>0</v>
      </c>
      <c r="T426" s="107">
        <f t="shared" si="387"/>
        <v>0</v>
      </c>
      <c r="U426" s="107">
        <f t="shared" si="387"/>
        <v>0</v>
      </c>
      <c r="V426" s="107">
        <f t="shared" si="387"/>
        <v>0</v>
      </c>
      <c r="W426" s="107">
        <f t="shared" si="387"/>
        <v>0</v>
      </c>
      <c r="X426" s="107">
        <f t="shared" si="387"/>
        <v>0</v>
      </c>
      <c r="Y426" s="107">
        <f t="shared" si="387"/>
        <v>0</v>
      </c>
      <c r="Z426" s="107">
        <f t="shared" si="387"/>
        <v>0</v>
      </c>
      <c r="AA426" s="107">
        <f t="shared" si="387"/>
        <v>0</v>
      </c>
      <c r="AB426" s="107">
        <f t="shared" si="387"/>
        <v>0</v>
      </c>
      <c r="AC426" s="107">
        <f t="shared" si="387"/>
        <v>0</v>
      </c>
      <c r="AD426" s="107">
        <f t="shared" si="387"/>
        <v>0</v>
      </c>
      <c r="AE426" s="107">
        <f t="shared" si="387"/>
        <v>0</v>
      </c>
      <c r="AF426" s="107">
        <f t="shared" si="387"/>
        <v>0</v>
      </c>
      <c r="AG426" s="107">
        <f t="shared" si="387"/>
        <v>0</v>
      </c>
      <c r="AH426" s="107">
        <f t="shared" si="387"/>
        <v>0</v>
      </c>
      <c r="AI426" s="107">
        <f t="shared" si="387"/>
        <v>0</v>
      </c>
      <c r="AJ426" s="107">
        <f t="shared" si="387"/>
        <v>0</v>
      </c>
      <c r="AK426" s="107">
        <f t="shared" si="387"/>
        <v>0</v>
      </c>
      <c r="AL426" s="4"/>
      <c r="AM426" s="43">
        <v>410</v>
      </c>
      <c r="AN426">
        <v>200.4731335086432</v>
      </c>
      <c r="AO426">
        <v>70.812207778848432</v>
      </c>
      <c r="AP426">
        <v>468.0752228468229</v>
      </c>
      <c r="AQ426">
        <v>362.9093618209053</v>
      </c>
      <c r="AR426">
        <v>64.013842411943955</v>
      </c>
      <c r="AS426">
        <v>525.55123403683262</v>
      </c>
      <c r="AT426">
        <v>34.854834058524141</v>
      </c>
      <c r="AU426">
        <v>50.929723784732992</v>
      </c>
      <c r="AV426"/>
      <c r="AW426"/>
      <c r="FY426" s="211">
        <v>421</v>
      </c>
      <c r="FZ426">
        <v>9.7229213681219502</v>
      </c>
      <c r="GA426">
        <v>29.785730448401662</v>
      </c>
      <c r="GB426">
        <v>57.17711960967857</v>
      </c>
      <c r="GC426">
        <v>40.290441696361221</v>
      </c>
      <c r="GD426">
        <v>16.420437574387453</v>
      </c>
      <c r="GE426">
        <v>30.385066298940291</v>
      </c>
      <c r="GF426">
        <v>55.407134389703494</v>
      </c>
      <c r="GG426">
        <v>26.423702908597214</v>
      </c>
      <c r="GH426">
        <v>6.1365868981716716</v>
      </c>
      <c r="GI426">
        <v>37.90793142096549</v>
      </c>
      <c r="GJ426"/>
      <c r="GK426"/>
      <c r="GL426"/>
      <c r="GM426"/>
    </row>
    <row r="427" spans="1:195" s="7" customFormat="1">
      <c r="A427" s="128" t="s">
        <v>93</v>
      </c>
      <c r="B427" s="48" t="s">
        <v>42</v>
      </c>
      <c r="C427" s="107">
        <f t="shared" si="382"/>
        <v>22.771910934390895</v>
      </c>
      <c r="D427" s="191">
        <f>A$409</f>
        <v>0.14000000000000001</v>
      </c>
      <c r="E427" s="8"/>
      <c r="F427" s="124"/>
      <c r="G427" s="107">
        <f t="shared" si="384"/>
        <v>0</v>
      </c>
      <c r="H427" s="107">
        <f t="shared" si="384"/>
        <v>4.8359475426612807E-2</v>
      </c>
      <c r="I427" s="107">
        <f t="shared" ref="I427:AK427" si="388">(($A$453+$A$455*(I$422)+($A$457*$D427))*($E25*I41))</f>
        <v>4.6545626782024456</v>
      </c>
      <c r="J427" s="107">
        <f t="shared" si="388"/>
        <v>1.0502058785251627</v>
      </c>
      <c r="K427" s="107">
        <f t="shared" si="388"/>
        <v>9.6904594163510271</v>
      </c>
      <c r="L427" s="107">
        <f t="shared" si="388"/>
        <v>5.4700680171427818</v>
      </c>
      <c r="M427" s="107">
        <f t="shared" si="388"/>
        <v>1.858255468742865</v>
      </c>
      <c r="N427" s="107">
        <f t="shared" si="388"/>
        <v>0</v>
      </c>
      <c r="O427" s="107">
        <f t="shared" si="388"/>
        <v>0</v>
      </c>
      <c r="P427" s="107">
        <f t="shared" si="388"/>
        <v>0</v>
      </c>
      <c r="Q427" s="107">
        <f t="shared" si="388"/>
        <v>0</v>
      </c>
      <c r="R427" s="107">
        <f t="shared" si="388"/>
        <v>0</v>
      </c>
      <c r="S427" s="107">
        <f t="shared" si="388"/>
        <v>0</v>
      </c>
      <c r="T427" s="107">
        <f t="shared" si="388"/>
        <v>0</v>
      </c>
      <c r="U427" s="107">
        <f t="shared" si="388"/>
        <v>0</v>
      </c>
      <c r="V427" s="107">
        <f t="shared" si="388"/>
        <v>0</v>
      </c>
      <c r="W427" s="107">
        <f t="shared" si="388"/>
        <v>0</v>
      </c>
      <c r="X427" s="107">
        <f t="shared" si="388"/>
        <v>0</v>
      </c>
      <c r="Y427" s="107">
        <f t="shared" si="388"/>
        <v>0</v>
      </c>
      <c r="Z427" s="107">
        <f t="shared" si="388"/>
        <v>0</v>
      </c>
      <c r="AA427" s="107">
        <f t="shared" si="388"/>
        <v>0</v>
      </c>
      <c r="AB427" s="107">
        <f t="shared" si="388"/>
        <v>0</v>
      </c>
      <c r="AC427" s="107">
        <f t="shared" si="388"/>
        <v>0</v>
      </c>
      <c r="AD427" s="107">
        <f t="shared" si="388"/>
        <v>0</v>
      </c>
      <c r="AE427" s="107">
        <f t="shared" si="388"/>
        <v>0</v>
      </c>
      <c r="AF427" s="107">
        <f t="shared" si="388"/>
        <v>0</v>
      </c>
      <c r="AG427" s="107">
        <f t="shared" si="388"/>
        <v>0</v>
      </c>
      <c r="AH427" s="107">
        <f t="shared" si="388"/>
        <v>0</v>
      </c>
      <c r="AI427" s="107">
        <f t="shared" si="388"/>
        <v>0</v>
      </c>
      <c r="AJ427" s="107">
        <f t="shared" si="388"/>
        <v>0</v>
      </c>
      <c r="AK427" s="107">
        <f t="shared" si="388"/>
        <v>0</v>
      </c>
      <c r="AL427" s="4"/>
      <c r="AM427" s="43">
        <v>411</v>
      </c>
      <c r="AN427">
        <v>226.02352046572938</v>
      </c>
      <c r="AO427">
        <v>81.887378727229759</v>
      </c>
      <c r="AP427">
        <v>528.64881669428962</v>
      </c>
      <c r="AQ427">
        <v>409.22183902759463</v>
      </c>
      <c r="AR427">
        <v>74.23386198684436</v>
      </c>
      <c r="AS427">
        <v>601.98593089266194</v>
      </c>
      <c r="AT427">
        <v>41.394667284710422</v>
      </c>
      <c r="AU427">
        <v>81.474149494715164</v>
      </c>
      <c r="AV427"/>
      <c r="AW427"/>
      <c r="FY427" s="211">
        <v>422</v>
      </c>
      <c r="FZ427">
        <v>10.800204869701005</v>
      </c>
      <c r="GA427">
        <v>45.182978505241074</v>
      </c>
      <c r="GB427">
        <v>67.320827614999544</v>
      </c>
      <c r="GC427">
        <v>39.199291253903034</v>
      </c>
      <c r="GD427">
        <v>30.131954441213434</v>
      </c>
      <c r="GE427">
        <v>73.827944238205788</v>
      </c>
      <c r="GF427">
        <v>90.808586272271867</v>
      </c>
      <c r="GG427">
        <v>49.675687087624077</v>
      </c>
      <c r="GH427">
        <v>19.404462481304776</v>
      </c>
      <c r="GI427">
        <v>59.346646790755166</v>
      </c>
      <c r="GJ427"/>
      <c r="GK427"/>
      <c r="GL427"/>
      <c r="GM427"/>
    </row>
    <row r="428" spans="1:195" s="7" customFormat="1">
      <c r="A428" s="138" t="s">
        <v>95</v>
      </c>
      <c r="B428" s="48" t="s">
        <v>118</v>
      </c>
      <c r="C428" s="107">
        <f t="shared" si="382"/>
        <v>45.327472127321556</v>
      </c>
      <c r="D428" s="191">
        <f>A$410</f>
        <v>0.21</v>
      </c>
      <c r="E428" s="8"/>
      <c r="F428" s="124"/>
      <c r="G428" s="107">
        <f t="shared" si="384"/>
        <v>0</v>
      </c>
      <c r="H428" s="107">
        <f t="shared" si="384"/>
        <v>2.3924956706239016E-2</v>
      </c>
      <c r="I428" s="107">
        <f t="shared" ref="I428:AK428" si="389">(($A$453+$A$455*(I$422)+($A$457*$D428))*($E26*I42))</f>
        <v>8.7164934820600717</v>
      </c>
      <c r="J428" s="107">
        <f t="shared" si="389"/>
        <v>1.9766819113827698</v>
      </c>
      <c r="K428" s="107">
        <f t="shared" si="389"/>
        <v>10.028614814508162</v>
      </c>
      <c r="L428" s="107">
        <f t="shared" si="389"/>
        <v>14.57467361348124</v>
      </c>
      <c r="M428" s="107">
        <f t="shared" si="389"/>
        <v>11.873479482034556</v>
      </c>
      <c r="N428" s="107">
        <f t="shared" si="389"/>
        <v>0</v>
      </c>
      <c r="O428" s="107">
        <f t="shared" si="389"/>
        <v>0</v>
      </c>
      <c r="P428" s="107">
        <f t="shared" si="389"/>
        <v>0</v>
      </c>
      <c r="Q428" s="107">
        <f t="shared" si="389"/>
        <v>-1.86639613285148</v>
      </c>
      <c r="R428" s="107">
        <f t="shared" si="389"/>
        <v>0</v>
      </c>
      <c r="S428" s="107">
        <f t="shared" si="389"/>
        <v>0</v>
      </c>
      <c r="T428" s="107">
        <f t="shared" si="389"/>
        <v>0</v>
      </c>
      <c r="U428" s="107">
        <f t="shared" si="389"/>
        <v>0</v>
      </c>
      <c r="V428" s="107">
        <f t="shared" si="389"/>
        <v>0</v>
      </c>
      <c r="W428" s="107">
        <f t="shared" si="389"/>
        <v>0</v>
      </c>
      <c r="X428" s="107">
        <f t="shared" si="389"/>
        <v>0</v>
      </c>
      <c r="Y428" s="107">
        <f t="shared" si="389"/>
        <v>0</v>
      </c>
      <c r="Z428" s="107">
        <f t="shared" si="389"/>
        <v>0</v>
      </c>
      <c r="AA428" s="107">
        <f t="shared" si="389"/>
        <v>0</v>
      </c>
      <c r="AB428" s="107">
        <f t="shared" si="389"/>
        <v>0</v>
      </c>
      <c r="AC428" s="107">
        <f t="shared" si="389"/>
        <v>0</v>
      </c>
      <c r="AD428" s="107">
        <f t="shared" si="389"/>
        <v>0</v>
      </c>
      <c r="AE428" s="107">
        <f t="shared" si="389"/>
        <v>0</v>
      </c>
      <c r="AF428" s="107">
        <f t="shared" si="389"/>
        <v>0</v>
      </c>
      <c r="AG428" s="107">
        <f t="shared" si="389"/>
        <v>0</v>
      </c>
      <c r="AH428" s="107">
        <f t="shared" si="389"/>
        <v>0</v>
      </c>
      <c r="AI428" s="107">
        <f t="shared" si="389"/>
        <v>0</v>
      </c>
      <c r="AJ428" s="107">
        <f t="shared" si="389"/>
        <v>0</v>
      </c>
      <c r="AK428" s="107">
        <f t="shared" si="389"/>
        <v>0</v>
      </c>
      <c r="AL428" s="4"/>
      <c r="AM428" s="43">
        <v>412</v>
      </c>
      <c r="AN428">
        <v>255.48654065235345</v>
      </c>
      <c r="AO428">
        <v>71.280957546700918</v>
      </c>
      <c r="AP428">
        <v>502.3276529136009</v>
      </c>
      <c r="AQ428">
        <v>375.38450091694222</v>
      </c>
      <c r="AR428">
        <v>65.25051565431616</v>
      </c>
      <c r="AS428">
        <v>571.95900680336194</v>
      </c>
      <c r="AT428">
        <v>35.614203525540098</v>
      </c>
      <c r="AU428">
        <v>68.484354236129334</v>
      </c>
      <c r="AV428"/>
      <c r="AW428"/>
      <c r="FY428" s="211">
        <v>423</v>
      </c>
      <c r="FZ428">
        <v>15.556700936997553</v>
      </c>
      <c r="GA428">
        <v>43.648339417939262</v>
      </c>
      <c r="GB428">
        <v>95.376854031894908</v>
      </c>
      <c r="GC428">
        <v>56.395825636180014</v>
      </c>
      <c r="GD428">
        <v>16.680141469326603</v>
      </c>
      <c r="GE428">
        <v>46.440393481413153</v>
      </c>
      <c r="GF428">
        <v>112.01695930143757</v>
      </c>
      <c r="GG428">
        <v>56.837125421905405</v>
      </c>
      <c r="GH428">
        <v>4.0937620930844725</v>
      </c>
      <c r="GI428">
        <v>60.469814932143763</v>
      </c>
      <c r="GJ428"/>
      <c r="GK428"/>
      <c r="GL428"/>
      <c r="GM428"/>
    </row>
    <row r="429" spans="1:195" s="7" customFormat="1">
      <c r="A429" s="138" t="s">
        <v>94</v>
      </c>
      <c r="B429" s="48" t="s">
        <v>119</v>
      </c>
      <c r="C429" s="107">
        <f t="shared" si="382"/>
        <v>65.195331521245024</v>
      </c>
      <c r="D429" s="191">
        <f>A$411</f>
        <v>1.28</v>
      </c>
      <c r="E429" s="8"/>
      <c r="F429" s="124"/>
      <c r="G429" s="107">
        <f t="shared" si="384"/>
        <v>0</v>
      </c>
      <c r="H429" s="107">
        <f t="shared" si="384"/>
        <v>4.7495562620005594E-2</v>
      </c>
      <c r="I429" s="107">
        <f t="shared" ref="I429:AK429" si="390">(($A$453+$A$455*(I$422)+($A$457*$D429))*($E27*I43))</f>
        <v>4.054437595387121</v>
      </c>
      <c r="J429" s="107">
        <f t="shared" si="390"/>
        <v>5.9766458521477102</v>
      </c>
      <c r="K429" s="107">
        <f t="shared" si="390"/>
        <v>11.926536119017392</v>
      </c>
      <c r="L429" s="107">
        <f t="shared" si="390"/>
        <v>26.393751460804875</v>
      </c>
      <c r="M429" s="107">
        <f t="shared" si="390"/>
        <v>18.650989096707072</v>
      </c>
      <c r="N429" s="107">
        <f t="shared" si="390"/>
        <v>0</v>
      </c>
      <c r="O429" s="107">
        <f t="shared" si="390"/>
        <v>1.4624190448082106</v>
      </c>
      <c r="P429" s="107">
        <f t="shared" si="390"/>
        <v>0</v>
      </c>
      <c r="Q429" s="107">
        <f t="shared" si="390"/>
        <v>-1.1088603136981354</v>
      </c>
      <c r="R429" s="107">
        <f t="shared" si="390"/>
        <v>-2.2080828965492278</v>
      </c>
      <c r="S429" s="107">
        <f t="shared" si="390"/>
        <v>0</v>
      </c>
      <c r="T429" s="107">
        <f t="shared" si="390"/>
        <v>0</v>
      </c>
      <c r="U429" s="107">
        <f t="shared" si="390"/>
        <v>0</v>
      </c>
      <c r="V429" s="107">
        <f t="shared" si="390"/>
        <v>0</v>
      </c>
      <c r="W429" s="107">
        <f t="shared" si="390"/>
        <v>0</v>
      </c>
      <c r="X429" s="107">
        <f t="shared" si="390"/>
        <v>0</v>
      </c>
      <c r="Y429" s="107">
        <f t="shared" si="390"/>
        <v>0</v>
      </c>
      <c r="Z429" s="107">
        <f t="shared" si="390"/>
        <v>0</v>
      </c>
      <c r="AA429" s="107">
        <f t="shared" si="390"/>
        <v>0</v>
      </c>
      <c r="AB429" s="107">
        <f t="shared" si="390"/>
        <v>0</v>
      </c>
      <c r="AC429" s="107">
        <f t="shared" si="390"/>
        <v>0</v>
      </c>
      <c r="AD429" s="107">
        <f t="shared" si="390"/>
        <v>0</v>
      </c>
      <c r="AE429" s="107">
        <f t="shared" si="390"/>
        <v>0</v>
      </c>
      <c r="AF429" s="107">
        <f t="shared" si="390"/>
        <v>0</v>
      </c>
      <c r="AG429" s="107">
        <f t="shared" si="390"/>
        <v>0</v>
      </c>
      <c r="AH429" s="107">
        <f t="shared" si="390"/>
        <v>0</v>
      </c>
      <c r="AI429" s="107">
        <f t="shared" si="390"/>
        <v>0</v>
      </c>
      <c r="AJ429" s="107">
        <f t="shared" si="390"/>
        <v>0</v>
      </c>
      <c r="AK429" s="107">
        <f t="shared" si="390"/>
        <v>0</v>
      </c>
      <c r="AL429" s="4"/>
      <c r="AM429" s="43">
        <v>413</v>
      </c>
      <c r="AN429">
        <v>304.55395954093109</v>
      </c>
      <c r="AO429">
        <v>97.622731825899891</v>
      </c>
      <c r="AP429">
        <v>694.87379648440287</v>
      </c>
      <c r="AQ429">
        <v>523.29826940331827</v>
      </c>
      <c r="AR429">
        <v>87.579736137636033</v>
      </c>
      <c r="AS429">
        <v>740.8765135183196</v>
      </c>
      <c r="AT429">
        <v>46.612075825106039</v>
      </c>
      <c r="AU429">
        <v>43.135867457607375</v>
      </c>
      <c r="AV429"/>
      <c r="AW429"/>
      <c r="FY429" s="211">
        <v>424</v>
      </c>
      <c r="FZ429">
        <v>25.952410393083305</v>
      </c>
      <c r="GA429">
        <v>72.104228408674444</v>
      </c>
      <c r="GB429">
        <v>66.692566878036999</v>
      </c>
      <c r="GC429">
        <v>38.430271593092961</v>
      </c>
      <c r="GD429">
        <v>21.783533337365874</v>
      </c>
      <c r="GE429">
        <v>33.434896368511801</v>
      </c>
      <c r="GF429">
        <v>61.492074277318423</v>
      </c>
      <c r="GG429">
        <v>46.782000612913926</v>
      </c>
      <c r="GH429">
        <v>10.778573639165353</v>
      </c>
      <c r="GI429">
        <v>48.041351822064513</v>
      </c>
      <c r="GJ429"/>
      <c r="GK429"/>
      <c r="GL429"/>
      <c r="GM429"/>
    </row>
    <row r="430" spans="1:195" s="7" customFormat="1">
      <c r="A430" s="128" t="s">
        <v>18</v>
      </c>
      <c r="B430" s="48" t="s">
        <v>120</v>
      </c>
      <c r="C430" s="107">
        <f t="shared" si="382"/>
        <v>44.898153669075938</v>
      </c>
      <c r="D430" s="191">
        <f>A$412</f>
        <v>4</v>
      </c>
      <c r="E430" s="8"/>
      <c r="F430" s="124"/>
      <c r="G430" s="107">
        <f t="shared" si="384"/>
        <v>0</v>
      </c>
      <c r="H430" s="107">
        <f t="shared" si="384"/>
        <v>4.1146671502580688E-2</v>
      </c>
      <c r="I430" s="107">
        <f t="shared" ref="I430:AK430" si="391">(($A$453+$A$455*(I$422)+($A$457*$D430))*($E28*I44))</f>
        <v>1.126270585581401</v>
      </c>
      <c r="J430" s="107">
        <f t="shared" si="391"/>
        <v>4.7700400204817939</v>
      </c>
      <c r="K430" s="107">
        <f t="shared" si="391"/>
        <v>9.1157781849712727</v>
      </c>
      <c r="L430" s="107">
        <f t="shared" si="391"/>
        <v>15.691520702032772</v>
      </c>
      <c r="M430" s="107">
        <f t="shared" si="391"/>
        <v>12.618871516908106</v>
      </c>
      <c r="N430" s="107">
        <f t="shared" si="391"/>
        <v>0</v>
      </c>
      <c r="O430" s="107">
        <f t="shared" si="391"/>
        <v>1.7884447177117535</v>
      </c>
      <c r="P430" s="107">
        <f t="shared" si="391"/>
        <v>0</v>
      </c>
      <c r="Q430" s="107">
        <f t="shared" si="391"/>
        <v>0</v>
      </c>
      <c r="R430" s="107">
        <f t="shared" si="391"/>
        <v>-0.25391873011374283</v>
      </c>
      <c r="S430" s="107">
        <f t="shared" si="391"/>
        <v>0</v>
      </c>
      <c r="T430" s="107">
        <f t="shared" si="391"/>
        <v>0</v>
      </c>
      <c r="U430" s="107">
        <f t="shared" si="391"/>
        <v>0</v>
      </c>
      <c r="V430" s="107">
        <f t="shared" si="391"/>
        <v>0</v>
      </c>
      <c r="W430" s="107">
        <f t="shared" si="391"/>
        <v>0</v>
      </c>
      <c r="X430" s="107">
        <f t="shared" si="391"/>
        <v>0</v>
      </c>
      <c r="Y430" s="107">
        <f t="shared" si="391"/>
        <v>0</v>
      </c>
      <c r="Z430" s="107">
        <f t="shared" si="391"/>
        <v>0</v>
      </c>
      <c r="AA430" s="107">
        <f t="shared" si="391"/>
        <v>0</v>
      </c>
      <c r="AB430" s="107">
        <f t="shared" si="391"/>
        <v>0</v>
      </c>
      <c r="AC430" s="107">
        <f t="shared" si="391"/>
        <v>0</v>
      </c>
      <c r="AD430" s="107">
        <f t="shared" si="391"/>
        <v>0</v>
      </c>
      <c r="AE430" s="107">
        <f t="shared" si="391"/>
        <v>0</v>
      </c>
      <c r="AF430" s="107">
        <f t="shared" si="391"/>
        <v>0</v>
      </c>
      <c r="AG430" s="107">
        <f t="shared" si="391"/>
        <v>0</v>
      </c>
      <c r="AH430" s="107">
        <f t="shared" si="391"/>
        <v>0</v>
      </c>
      <c r="AI430" s="107">
        <f t="shared" si="391"/>
        <v>0</v>
      </c>
      <c r="AJ430" s="107">
        <f t="shared" si="391"/>
        <v>0</v>
      </c>
      <c r="AK430" s="107">
        <f t="shared" si="391"/>
        <v>0</v>
      </c>
      <c r="AL430" s="4"/>
      <c r="AM430" s="43">
        <v>414</v>
      </c>
      <c r="AN430">
        <v>293.97621407174302</v>
      </c>
      <c r="AO430">
        <v>104.39406298365618</v>
      </c>
      <c r="AP430">
        <v>801.34649685746012</v>
      </c>
      <c r="AQ430">
        <v>593.81665733913292</v>
      </c>
      <c r="AR430">
        <v>93.327264984654875</v>
      </c>
      <c r="AS430">
        <v>729.0617108851917</v>
      </c>
      <c r="AT430">
        <v>51.931696144833893</v>
      </c>
      <c r="AU430">
        <v>153.57589650193387</v>
      </c>
      <c r="AV430"/>
      <c r="AW430"/>
      <c r="FY430" s="211">
        <v>425</v>
      </c>
      <c r="FZ430">
        <v>22.057428856619381</v>
      </c>
      <c r="GA430">
        <v>59.245847826865116</v>
      </c>
      <c r="GB430">
        <v>97.842290487920295</v>
      </c>
      <c r="GC430">
        <v>55.563980726676</v>
      </c>
      <c r="GD430">
        <v>20.396642313062809</v>
      </c>
      <c r="GE430">
        <v>39.25303889295671</v>
      </c>
      <c r="GF430">
        <v>62.110911870640258</v>
      </c>
      <c r="GG430">
        <v>57.123148680429644</v>
      </c>
      <c r="GH430">
        <v>36.388310323891083</v>
      </c>
      <c r="GI430">
        <v>59.098458256693384</v>
      </c>
      <c r="GJ430"/>
      <c r="GK430"/>
      <c r="GL430"/>
      <c r="GM430"/>
    </row>
    <row r="431" spans="1:195" s="7" customFormat="1">
      <c r="A431" s="128" t="s">
        <v>17</v>
      </c>
      <c r="B431" s="48" t="s">
        <v>121</v>
      </c>
      <c r="C431" s="107">
        <f t="shared" si="382"/>
        <v>22.672680069540274</v>
      </c>
      <c r="D431" s="191">
        <f>A$413</f>
        <v>7.33</v>
      </c>
      <c r="E431" s="8"/>
      <c r="F431" s="124"/>
      <c r="G431" s="107">
        <f t="shared" si="384"/>
        <v>0</v>
      </c>
      <c r="H431" s="107">
        <f t="shared" si="384"/>
        <v>0</v>
      </c>
      <c r="I431" s="107">
        <f t="shared" ref="I431:AK431" si="392">(($A$453+$A$455*(I$422)+($A$457*$D431))*($E29*I45))</f>
        <v>0.82380186317688353</v>
      </c>
      <c r="J431" s="107">
        <f t="shared" si="392"/>
        <v>1.9448144367209004</v>
      </c>
      <c r="K431" s="107">
        <f t="shared" si="392"/>
        <v>1.5645030726300699</v>
      </c>
      <c r="L431" s="107">
        <f t="shared" si="392"/>
        <v>7.6563893863819086</v>
      </c>
      <c r="M431" s="107">
        <f t="shared" si="392"/>
        <v>10.683171310630511</v>
      </c>
      <c r="N431" s="107">
        <f t="shared" si="392"/>
        <v>0</v>
      </c>
      <c r="O431" s="107">
        <f t="shared" si="392"/>
        <v>0</v>
      </c>
      <c r="P431" s="107">
        <f t="shared" si="392"/>
        <v>0</v>
      </c>
      <c r="Q431" s="107">
        <f t="shared" si="392"/>
        <v>0</v>
      </c>
      <c r="R431" s="107">
        <f t="shared" si="392"/>
        <v>0</v>
      </c>
      <c r="S431" s="107">
        <f t="shared" si="392"/>
        <v>0</v>
      </c>
      <c r="T431" s="107">
        <f t="shared" si="392"/>
        <v>0</v>
      </c>
      <c r="U431" s="107">
        <f t="shared" si="392"/>
        <v>0</v>
      </c>
      <c r="V431" s="107">
        <f t="shared" si="392"/>
        <v>0</v>
      </c>
      <c r="W431" s="107">
        <f t="shared" si="392"/>
        <v>0</v>
      </c>
      <c r="X431" s="107">
        <f t="shared" si="392"/>
        <v>0</v>
      </c>
      <c r="Y431" s="107">
        <f t="shared" si="392"/>
        <v>0</v>
      </c>
      <c r="Z431" s="107">
        <f t="shared" si="392"/>
        <v>0</v>
      </c>
      <c r="AA431" s="107">
        <f t="shared" si="392"/>
        <v>0</v>
      </c>
      <c r="AB431" s="107">
        <f t="shared" si="392"/>
        <v>0</v>
      </c>
      <c r="AC431" s="107">
        <f t="shared" si="392"/>
        <v>0</v>
      </c>
      <c r="AD431" s="107">
        <f t="shared" si="392"/>
        <v>0</v>
      </c>
      <c r="AE431" s="107">
        <f t="shared" si="392"/>
        <v>0</v>
      </c>
      <c r="AF431" s="107">
        <f t="shared" si="392"/>
        <v>0</v>
      </c>
      <c r="AG431" s="107">
        <f t="shared" si="392"/>
        <v>0</v>
      </c>
      <c r="AH431" s="107">
        <f t="shared" si="392"/>
        <v>0</v>
      </c>
      <c r="AI431" s="107">
        <f t="shared" si="392"/>
        <v>0</v>
      </c>
      <c r="AJ431" s="107">
        <f t="shared" si="392"/>
        <v>0</v>
      </c>
      <c r="AK431" s="107">
        <f t="shared" si="392"/>
        <v>0</v>
      </c>
      <c r="AL431" s="4"/>
      <c r="AM431" s="43">
        <v>415</v>
      </c>
      <c r="AN431">
        <v>265.79511299971966</v>
      </c>
      <c r="AO431">
        <v>64.822495804896263</v>
      </c>
      <c r="AP431">
        <v>448.77679127359562</v>
      </c>
      <c r="AQ431">
        <v>345.82493957935014</v>
      </c>
      <c r="AR431">
        <v>59.071619345346988</v>
      </c>
      <c r="AS431">
        <v>540.22091501728016</v>
      </c>
      <c r="AT431">
        <v>32.687357593161614</v>
      </c>
      <c r="AU431">
        <v>134.11044303407166</v>
      </c>
      <c r="AV431"/>
      <c r="AW431"/>
      <c r="FY431" s="211">
        <v>426</v>
      </c>
      <c r="FZ431">
        <v>5.926897001826843</v>
      </c>
      <c r="GA431">
        <v>44.173090241350721</v>
      </c>
      <c r="GB431">
        <v>55.331946674946366</v>
      </c>
      <c r="GC431">
        <v>29.834779243087606</v>
      </c>
      <c r="GD431">
        <v>20.410753529745708</v>
      </c>
      <c r="GE431">
        <v>47.606781418424937</v>
      </c>
      <c r="GF431">
        <v>69.995628525215949</v>
      </c>
      <c r="GG431">
        <v>47.273577570629357</v>
      </c>
      <c r="GH431">
        <v>21.976050470240885</v>
      </c>
      <c r="GI431">
        <v>45.789503373873416</v>
      </c>
      <c r="GJ431"/>
      <c r="GK431"/>
      <c r="GL431"/>
      <c r="GM431"/>
    </row>
    <row r="432" spans="1:195" s="7" customFormat="1">
      <c r="A432" s="4"/>
      <c r="B432" s="48" t="s">
        <v>122</v>
      </c>
      <c r="C432" s="107">
        <f t="shared" si="382"/>
        <v>54.639588560653287</v>
      </c>
      <c r="D432" s="191">
        <f>A$414</f>
        <v>10.51</v>
      </c>
      <c r="E432" s="8"/>
      <c r="F432" s="124"/>
      <c r="G432" s="107">
        <f t="shared" si="384"/>
        <v>0</v>
      </c>
      <c r="H432" s="107">
        <f t="shared" si="384"/>
        <v>0.13862782410159918</v>
      </c>
      <c r="I432" s="107">
        <f t="shared" ref="I432:AK432" si="393">(($A$453+$A$455*(I$422)+($A$457*$D432))*($E30*I46))</f>
        <v>5.7056428707505225</v>
      </c>
      <c r="J432" s="107">
        <f t="shared" si="393"/>
        <v>6.5083820603623446</v>
      </c>
      <c r="K432" s="107">
        <f t="shared" si="393"/>
        <v>16.707582398712379</v>
      </c>
      <c r="L432" s="107">
        <f t="shared" si="393"/>
        <v>13.613773560624198</v>
      </c>
      <c r="M432" s="107">
        <f t="shared" si="393"/>
        <v>7.9630493678262457</v>
      </c>
      <c r="N432" s="107">
        <f t="shared" si="393"/>
        <v>2.4289444418601187</v>
      </c>
      <c r="O432" s="107">
        <f t="shared" si="393"/>
        <v>0.48026226216752921</v>
      </c>
      <c r="P432" s="107">
        <f t="shared" si="393"/>
        <v>0</v>
      </c>
      <c r="Q432" s="107">
        <f t="shared" si="393"/>
        <v>0.79672177451334958</v>
      </c>
      <c r="R432" s="107">
        <f t="shared" si="393"/>
        <v>0.2966019997350019</v>
      </c>
      <c r="S432" s="107">
        <f t="shared" si="393"/>
        <v>0</v>
      </c>
      <c r="T432" s="107">
        <f t="shared" si="393"/>
        <v>0</v>
      </c>
      <c r="U432" s="107">
        <f t="shared" si="393"/>
        <v>0</v>
      </c>
      <c r="V432" s="107">
        <f t="shared" si="393"/>
        <v>0</v>
      </c>
      <c r="W432" s="107">
        <f t="shared" si="393"/>
        <v>0</v>
      </c>
      <c r="X432" s="107">
        <f t="shared" si="393"/>
        <v>0</v>
      </c>
      <c r="Y432" s="107">
        <f t="shared" si="393"/>
        <v>0</v>
      </c>
      <c r="Z432" s="107">
        <f t="shared" si="393"/>
        <v>0</v>
      </c>
      <c r="AA432" s="107">
        <f t="shared" si="393"/>
        <v>0</v>
      </c>
      <c r="AB432" s="107">
        <f t="shared" si="393"/>
        <v>0</v>
      </c>
      <c r="AC432" s="107">
        <f t="shared" si="393"/>
        <v>0</v>
      </c>
      <c r="AD432" s="107">
        <f t="shared" si="393"/>
        <v>0</v>
      </c>
      <c r="AE432" s="107">
        <f t="shared" si="393"/>
        <v>0</v>
      </c>
      <c r="AF432" s="107">
        <f t="shared" si="393"/>
        <v>0</v>
      </c>
      <c r="AG432" s="107">
        <f t="shared" si="393"/>
        <v>0</v>
      </c>
      <c r="AH432" s="107">
        <f t="shared" si="393"/>
        <v>0</v>
      </c>
      <c r="AI432" s="107">
        <f t="shared" si="393"/>
        <v>0</v>
      </c>
      <c r="AJ432" s="107">
        <f t="shared" si="393"/>
        <v>0</v>
      </c>
      <c r="AK432" s="107">
        <f t="shared" si="393"/>
        <v>0</v>
      </c>
      <c r="AL432" s="4"/>
      <c r="AM432" s="43">
        <v>416</v>
      </c>
      <c r="AN432">
        <v>298.81955516245847</v>
      </c>
      <c r="AO432">
        <v>106.3361945935815</v>
      </c>
      <c r="AP432">
        <v>722.26552565033342</v>
      </c>
      <c r="AQ432">
        <v>544.12828084662146</v>
      </c>
      <c r="AR432">
        <v>95.78994355282498</v>
      </c>
      <c r="AS432">
        <v>835.6653154775222</v>
      </c>
      <c r="AT432" t="e">
        <v>#DIV/0!</v>
      </c>
      <c r="AU432" t="e">
        <v>#DIV/0!</v>
      </c>
      <c r="AV432"/>
      <c r="AW432"/>
      <c r="FY432" s="211">
        <v>427</v>
      </c>
      <c r="FZ432">
        <v>16.700589133977591</v>
      </c>
      <c r="GA432">
        <v>57.044381980890677</v>
      </c>
      <c r="GB432">
        <v>94.138707468169358</v>
      </c>
      <c r="GC432">
        <v>54.8361545575858</v>
      </c>
      <c r="GD432">
        <v>17.052923402647835</v>
      </c>
      <c r="GE432">
        <v>60.724755250382017</v>
      </c>
      <c r="GF432">
        <v>95.009290069337567</v>
      </c>
      <c r="GG432">
        <v>37.210294439486987</v>
      </c>
      <c r="GH432">
        <v>32.519785443230063</v>
      </c>
      <c r="GI432">
        <v>61.431821961793872</v>
      </c>
      <c r="GJ432"/>
      <c r="GK432"/>
      <c r="GL432"/>
      <c r="GM432"/>
    </row>
    <row r="433" spans="1:195" s="7" customFormat="1">
      <c r="A433" s="4"/>
      <c r="B433" s="48"/>
      <c r="C433" s="107"/>
      <c r="D433" s="19"/>
      <c r="E433" s="8"/>
      <c r="F433" s="124"/>
      <c r="G433" s="107"/>
      <c r="H433" s="107"/>
      <c r="I433" s="107"/>
      <c r="J433" s="107"/>
      <c r="K433" s="107"/>
      <c r="L433" s="107"/>
      <c r="M433" s="107"/>
      <c r="N433" s="107"/>
      <c r="O433" s="107"/>
      <c r="P433" s="107"/>
      <c r="Q433" s="107"/>
      <c r="R433" s="107"/>
      <c r="S433" s="107"/>
      <c r="T433" s="107"/>
      <c r="U433" s="107"/>
      <c r="V433" s="107"/>
      <c r="W433" s="107"/>
      <c r="X433" s="107"/>
      <c r="Y433" s="107"/>
      <c r="Z433" s="107"/>
      <c r="AA433" s="107"/>
      <c r="AB433" s="107"/>
      <c r="AC433" s="107"/>
      <c r="AD433" s="107"/>
      <c r="AE433" s="107"/>
      <c r="AF433" s="107"/>
      <c r="AG433" s="107"/>
      <c r="AH433" s="107"/>
      <c r="AI433" s="107"/>
      <c r="AJ433" s="107"/>
      <c r="AK433" s="107"/>
      <c r="AL433" s="4"/>
      <c r="AM433" s="43">
        <v>417</v>
      </c>
      <c r="AN433">
        <v>302.86651706262626</v>
      </c>
      <c r="AO433">
        <v>101.63420777550667</v>
      </c>
      <c r="AP433">
        <v>839.42844683383066</v>
      </c>
      <c r="AQ433">
        <v>576.8278536584636</v>
      </c>
      <c r="AR433">
        <v>91.697846292845824</v>
      </c>
      <c r="AS433">
        <v>792.66596683439479</v>
      </c>
      <c r="AT433">
        <v>49.160063549663313</v>
      </c>
      <c r="AU433">
        <v>67.249816475174441</v>
      </c>
      <c r="AV433"/>
      <c r="AW433"/>
      <c r="FY433" s="211">
        <v>428</v>
      </c>
      <c r="FZ433">
        <v>26.563501286333153</v>
      </c>
      <c r="GA433">
        <v>82.211070308600938</v>
      </c>
      <c r="GB433">
        <v>61.281804838756408</v>
      </c>
      <c r="GC433">
        <v>28.609027657302274</v>
      </c>
      <c r="GD433">
        <v>20.430423032699426</v>
      </c>
      <c r="GE433">
        <v>59.180788126225693</v>
      </c>
      <c r="GF433">
        <v>122.12689831181937</v>
      </c>
      <c r="GG433">
        <v>91.975712869763555</v>
      </c>
      <c r="GH433">
        <v>39.569380469127864</v>
      </c>
      <c r="GI433">
        <v>63.77837403502528</v>
      </c>
      <c r="GJ433"/>
      <c r="GK433"/>
      <c r="GL433"/>
      <c r="GM433"/>
    </row>
    <row r="434" spans="1:195" s="7" customFormat="1">
      <c r="A434" s="4"/>
      <c r="B434" s="48"/>
      <c r="C434" s="107"/>
      <c r="D434" s="18"/>
      <c r="E434" s="8"/>
      <c r="F434" s="174"/>
      <c r="G434" s="107"/>
      <c r="H434" s="107"/>
      <c r="I434" s="107"/>
      <c r="J434" s="107"/>
      <c r="K434" s="107"/>
      <c r="L434" s="107"/>
      <c r="M434" s="107"/>
      <c r="N434" s="107"/>
      <c r="O434" s="107"/>
      <c r="P434" s="107"/>
      <c r="Q434" s="107"/>
      <c r="R434" s="107"/>
      <c r="S434" s="107"/>
      <c r="T434" s="107"/>
      <c r="U434" s="107"/>
      <c r="V434" s="107"/>
      <c r="W434" s="107"/>
      <c r="X434" s="107"/>
      <c r="Y434" s="107"/>
      <c r="Z434" s="107"/>
      <c r="AA434" s="107"/>
      <c r="AB434" s="107"/>
      <c r="AC434" s="107"/>
      <c r="AD434" s="107"/>
      <c r="AE434" s="107"/>
      <c r="AF434" s="107"/>
      <c r="AG434" s="107"/>
      <c r="AH434" s="107"/>
      <c r="AI434" s="107"/>
      <c r="AJ434" s="107"/>
      <c r="AK434" s="107"/>
      <c r="AL434" s="4"/>
      <c r="AM434" s="43">
        <v>418</v>
      </c>
      <c r="AN434">
        <v>275.87608929068847</v>
      </c>
      <c r="AO434">
        <v>99.387379931314427</v>
      </c>
      <c r="AP434">
        <v>652.4495935480461</v>
      </c>
      <c r="AQ434">
        <v>508.0560399393766</v>
      </c>
      <c r="AR434">
        <v>90.595412725091961</v>
      </c>
      <c r="AS434">
        <v>727.38800949495749</v>
      </c>
      <c r="AT434">
        <v>49.443537658146646</v>
      </c>
      <c r="AU434">
        <v>92.081382007582306</v>
      </c>
      <c r="AV434"/>
      <c r="AW434"/>
      <c r="FY434" s="211">
        <v>429</v>
      </c>
      <c r="FZ434">
        <v>11.51038544322228</v>
      </c>
      <c r="GA434">
        <v>51.571180882240476</v>
      </c>
      <c r="GB434">
        <v>64.050389607917111</v>
      </c>
      <c r="GC434">
        <v>34.395953267120035</v>
      </c>
      <c r="GD434">
        <v>24.321867127513677</v>
      </c>
      <c r="GE434">
        <v>62.950611499184554</v>
      </c>
      <c r="GF434">
        <v>79.847264962624806</v>
      </c>
      <c r="GG434">
        <v>41.388753218893108</v>
      </c>
      <c r="GH434">
        <v>16.24248010519689</v>
      </c>
      <c r="GI434">
        <v>52.611372413523796</v>
      </c>
      <c r="GJ434"/>
      <c r="GK434"/>
      <c r="GL434"/>
      <c r="GM434"/>
    </row>
    <row r="435" spans="1:195" s="7" customFormat="1">
      <c r="A435" s="4"/>
      <c r="B435" s="52" t="s">
        <v>53</v>
      </c>
      <c r="C435" s="53">
        <f>SUM(C423:C434)</f>
        <v>435.96661126751036</v>
      </c>
      <c r="D435" s="13"/>
      <c r="E435" s="13"/>
      <c r="F435" s="96"/>
      <c r="G435" s="13"/>
      <c r="H435" s="13"/>
      <c r="I435" s="14"/>
      <c r="J435" s="13"/>
      <c r="K435" s="21"/>
      <c r="L435" s="13"/>
      <c r="M435" s="14"/>
      <c r="N435" s="13"/>
      <c r="O435" s="13"/>
      <c r="P435" s="13"/>
      <c r="Q435" s="14"/>
      <c r="R435" s="14"/>
      <c r="S435" s="14"/>
      <c r="T435" s="14"/>
      <c r="U435" s="14"/>
      <c r="V435" s="13"/>
      <c r="W435" s="13"/>
      <c r="X435" s="13"/>
      <c r="Y435" s="13"/>
      <c r="Z435" s="13"/>
      <c r="AA435" s="13"/>
      <c r="AB435" s="13"/>
      <c r="AC435" s="13"/>
      <c r="AD435" s="13"/>
      <c r="AE435" s="13"/>
      <c r="AF435" s="13"/>
      <c r="AG435" s="94"/>
      <c r="AH435" s="94"/>
      <c r="AI435" s="94"/>
      <c r="AJ435" s="94"/>
      <c r="AK435" s="94"/>
      <c r="AL435" s="4"/>
      <c r="AM435" s="43">
        <v>419</v>
      </c>
      <c r="AN435">
        <v>251.80716932765478</v>
      </c>
      <c r="AO435">
        <v>78.26689307983969</v>
      </c>
      <c r="AP435">
        <v>511.61491971444565</v>
      </c>
      <c r="AQ435">
        <v>378.8927067778157</v>
      </c>
      <c r="AR435">
        <v>69.549828928561666</v>
      </c>
      <c r="AS435">
        <v>604.15283194385324</v>
      </c>
      <c r="AT435">
        <v>39.083290796654417</v>
      </c>
      <c r="AU435">
        <v>111.79494180810686</v>
      </c>
      <c r="AV435"/>
      <c r="AW435"/>
      <c r="FY435" s="211">
        <v>430</v>
      </c>
      <c r="FZ435">
        <v>17.37673081293763</v>
      </c>
      <c r="GA435">
        <v>44.96983270749206</v>
      </c>
      <c r="GB435">
        <v>58.4740895777867</v>
      </c>
      <c r="GC435">
        <v>38.620713029276082</v>
      </c>
      <c r="GD435">
        <v>17.471969470092368</v>
      </c>
      <c r="GE435">
        <v>49.442950091737416</v>
      </c>
      <c r="GF435">
        <v>92.477089181080956</v>
      </c>
      <c r="GG435">
        <v>68.891111973671087</v>
      </c>
      <c r="GH435">
        <v>51.274665683867163</v>
      </c>
      <c r="GI435">
        <v>55.321671939346146</v>
      </c>
      <c r="GJ435"/>
      <c r="GK435"/>
      <c r="GL435"/>
      <c r="GM435"/>
    </row>
    <row r="436" spans="1:195" s="7" customFormat="1">
      <c r="A436" s="4"/>
      <c r="B436" s="4"/>
      <c r="C436" s="4"/>
      <c r="D436" s="4"/>
      <c r="E436" s="4"/>
      <c r="F436" s="4"/>
      <c r="G436" s="4"/>
      <c r="H436" s="4"/>
      <c r="I436" s="83"/>
      <c r="J436" s="4"/>
      <c r="K436" s="4"/>
      <c r="L436" s="28"/>
      <c r="M436" s="4"/>
      <c r="N436" s="4"/>
      <c r="O436" s="4"/>
      <c r="P436" s="28"/>
      <c r="Q436" s="4"/>
      <c r="R436" s="28"/>
      <c r="S436" s="28"/>
      <c r="T436" s="28"/>
      <c r="U436" s="4"/>
      <c r="V436" s="4"/>
      <c r="W436" s="4"/>
      <c r="X436" s="4"/>
      <c r="Y436" s="4"/>
      <c r="Z436" s="4"/>
      <c r="AA436" s="4"/>
      <c r="AB436" s="4"/>
      <c r="AC436" s="4"/>
      <c r="AD436" s="4"/>
      <c r="AE436" s="4"/>
      <c r="AF436" s="81"/>
      <c r="AG436" s="81"/>
      <c r="AH436" s="81"/>
      <c r="AI436" s="81"/>
      <c r="AJ436" s="81"/>
      <c r="AK436" s="81"/>
      <c r="AL436" s="81"/>
      <c r="AM436" s="43">
        <v>420</v>
      </c>
      <c r="AN436">
        <v>264.96744587060607</v>
      </c>
      <c r="AO436">
        <v>99.351492728553396</v>
      </c>
      <c r="AP436">
        <v>737.09648942344529</v>
      </c>
      <c r="AQ436">
        <v>543.11353360313853</v>
      </c>
      <c r="AR436">
        <v>90.180800194002856</v>
      </c>
      <c r="AS436">
        <v>747.91559851098953</v>
      </c>
      <c r="AT436">
        <v>49.665196685309098</v>
      </c>
      <c r="AU436">
        <v>123.1052464450085</v>
      </c>
      <c r="AV436"/>
      <c r="AW436"/>
      <c r="FY436" s="211">
        <v>431</v>
      </c>
      <c r="FZ436">
        <v>25.1849590745089</v>
      </c>
      <c r="GA436">
        <v>66.477957407189749</v>
      </c>
      <c r="GB436">
        <v>67.791965947228917</v>
      </c>
      <c r="GC436">
        <v>40.688998565670289</v>
      </c>
      <c r="GD436">
        <v>22.253574998857751</v>
      </c>
      <c r="GE436">
        <v>48.889873804938269</v>
      </c>
      <c r="GF436">
        <v>63.320002278262045</v>
      </c>
      <c r="GG436">
        <v>22.460103284669586</v>
      </c>
      <c r="GH436">
        <v>5.8157902141402484</v>
      </c>
      <c r="GI436">
        <v>47.910889880514965</v>
      </c>
      <c r="GJ436"/>
      <c r="GK436"/>
      <c r="GL436"/>
      <c r="GM436"/>
    </row>
    <row r="437" spans="1:195" s="7" customFormat="1">
      <c r="A437" s="13" t="s">
        <v>77</v>
      </c>
      <c r="B437" s="10" t="s">
        <v>76</v>
      </c>
      <c r="C437" s="21"/>
      <c r="D437" s="13"/>
      <c r="E437" s="21"/>
      <c r="F437" s="13"/>
      <c r="G437" s="13"/>
      <c r="H437" s="94"/>
      <c r="I437" s="94"/>
      <c r="J437" s="94"/>
      <c r="K437" s="94"/>
      <c r="L437" s="94"/>
      <c r="M437" s="94"/>
      <c r="N437" s="94"/>
      <c r="O437" s="94"/>
      <c r="P437" s="94"/>
      <c r="Q437" s="94"/>
      <c r="R437" s="13"/>
      <c r="S437" s="13"/>
      <c r="T437" s="13"/>
      <c r="U437" s="13"/>
      <c r="V437" s="13"/>
      <c r="W437" s="13"/>
      <c r="X437" s="13"/>
      <c r="Y437" s="13"/>
      <c r="Z437" s="13"/>
      <c r="AA437" s="13"/>
      <c r="AB437" s="13"/>
      <c r="AC437" s="13"/>
      <c r="AD437" s="13"/>
      <c r="AE437" s="13"/>
      <c r="AF437" s="13"/>
      <c r="AG437" s="13"/>
      <c r="AH437" s="13"/>
      <c r="AI437" s="13"/>
      <c r="AJ437" s="13"/>
      <c r="AK437" s="13"/>
      <c r="AL437" s="81"/>
      <c r="AM437" s="43">
        <v>421</v>
      </c>
      <c r="AN437">
        <v>192.30948268842909</v>
      </c>
      <c r="AO437">
        <v>58.843546929414025</v>
      </c>
      <c r="AP437">
        <v>396.77527937872458</v>
      </c>
      <c r="AQ437">
        <v>309.65707261332903</v>
      </c>
      <c r="AR437">
        <v>52.899511409014394</v>
      </c>
      <c r="AS437">
        <v>456.6932581667171</v>
      </c>
      <c r="AT437">
        <v>28.190222357871779</v>
      </c>
      <c r="AU437">
        <v>51.604365026379604</v>
      </c>
      <c r="AV437"/>
      <c r="AW437"/>
      <c r="FY437" s="211">
        <v>432</v>
      </c>
      <c r="FZ437">
        <v>20.352436865552107</v>
      </c>
      <c r="GA437">
        <v>59.68885217508425</v>
      </c>
      <c r="GB437">
        <v>61.766297921053756</v>
      </c>
      <c r="GC437">
        <v>39.699934503358371</v>
      </c>
      <c r="GD437">
        <v>18.245561943097428</v>
      </c>
      <c r="GE437">
        <v>29.815935290985493</v>
      </c>
      <c r="GF437">
        <v>83.283272423939778</v>
      </c>
      <c r="GG437">
        <v>74.158518656479004</v>
      </c>
      <c r="GH437">
        <v>35.197662674919513</v>
      </c>
      <c r="GI437">
        <v>53.216722794460324</v>
      </c>
      <c r="GJ437"/>
      <c r="GK437"/>
      <c r="GL437"/>
      <c r="GM437"/>
    </row>
    <row r="438" spans="1:195" s="7" customFormat="1">
      <c r="A438" s="1">
        <f>SUM(E4:E15)</f>
        <v>98</v>
      </c>
      <c r="B438" s="13"/>
      <c r="C438" s="13"/>
      <c r="D438" s="13"/>
      <c r="E438" s="13"/>
      <c r="F438" s="13"/>
      <c r="G438" s="13"/>
      <c r="H438" s="14"/>
      <c r="I438" s="13"/>
      <c r="J438" s="21"/>
      <c r="K438" s="94"/>
      <c r="L438" s="94"/>
      <c r="M438" s="94"/>
      <c r="N438" s="94"/>
      <c r="O438" s="94"/>
      <c r="P438" s="94"/>
      <c r="Q438" s="94"/>
      <c r="R438" s="13"/>
      <c r="S438" s="13"/>
      <c r="T438" s="13"/>
      <c r="U438" s="13"/>
      <c r="V438" s="13"/>
      <c r="W438" s="13"/>
      <c r="X438" s="13"/>
      <c r="Y438" s="13"/>
      <c r="Z438" s="13"/>
      <c r="AA438" s="13"/>
      <c r="AB438" s="13"/>
      <c r="AC438" s="13"/>
      <c r="AD438" s="13"/>
      <c r="AE438" s="13"/>
      <c r="AF438" s="13"/>
      <c r="AG438" s="13"/>
      <c r="AH438" s="13"/>
      <c r="AI438" s="13"/>
      <c r="AJ438" s="13"/>
      <c r="AK438" s="13"/>
      <c r="AL438" s="81"/>
      <c r="AM438" s="43">
        <v>422</v>
      </c>
      <c r="AN438">
        <v>252.7423897019099</v>
      </c>
      <c r="AO438">
        <v>93.805812201692518</v>
      </c>
      <c r="AP438">
        <v>619.72078714828683</v>
      </c>
      <c r="AQ438">
        <v>485.69858355521973</v>
      </c>
      <c r="AR438">
        <v>83.994045818607319</v>
      </c>
      <c r="AS438">
        <v>663.43458732544946</v>
      </c>
      <c r="AT438">
        <v>46.766292163219767</v>
      </c>
      <c r="AU438">
        <v>90.273157522702533</v>
      </c>
      <c r="AV438"/>
      <c r="AW438"/>
      <c r="FY438" s="211">
        <v>433</v>
      </c>
      <c r="FZ438">
        <v>7.7539178289800628</v>
      </c>
      <c r="GA438">
        <v>30.870656741778763</v>
      </c>
      <c r="GB438">
        <v>45.426656365298371</v>
      </c>
      <c r="GC438">
        <v>29.135214148386332</v>
      </c>
      <c r="GD438">
        <v>14.693445196712602</v>
      </c>
      <c r="GE438">
        <v>48.097089295334882</v>
      </c>
      <c r="GF438">
        <v>150.53950713777888</v>
      </c>
      <c r="GG438">
        <v>99.355940243039456</v>
      </c>
      <c r="GH438">
        <v>17.750900669938623</v>
      </c>
      <c r="GI438">
        <v>56.257480482763988</v>
      </c>
      <c r="GJ438"/>
      <c r="GK438"/>
      <c r="GL438"/>
      <c r="GM438"/>
    </row>
    <row r="439" spans="1:195" s="7" customFormat="1">
      <c r="A439" s="13" t="s">
        <v>78</v>
      </c>
      <c r="B439" s="10" t="s">
        <v>51</v>
      </c>
      <c r="C439" s="13"/>
      <c r="D439" s="13"/>
      <c r="E439" s="13"/>
      <c r="F439" s="134"/>
      <c r="G439" s="11" t="s">
        <v>33</v>
      </c>
      <c r="H439" s="13"/>
      <c r="I439" s="14"/>
      <c r="J439" s="13"/>
      <c r="K439" s="21"/>
      <c r="L439" s="13"/>
      <c r="M439" s="14"/>
      <c r="N439" s="13"/>
      <c r="O439" s="13"/>
      <c r="P439" s="13"/>
      <c r="Q439" s="14"/>
      <c r="R439" s="10"/>
      <c r="S439" s="10"/>
      <c r="T439" s="10"/>
      <c r="U439" s="10"/>
      <c r="V439" s="10"/>
      <c r="W439" s="10"/>
      <c r="X439" s="10"/>
      <c r="Y439" s="10"/>
      <c r="Z439" s="10"/>
      <c r="AA439" s="10"/>
      <c r="AB439" s="10"/>
      <c r="AC439" s="10"/>
      <c r="AD439" s="10"/>
      <c r="AE439" s="10"/>
      <c r="AF439" s="10"/>
      <c r="AG439" s="10"/>
      <c r="AH439" s="10"/>
      <c r="AI439" s="10"/>
      <c r="AJ439" s="10"/>
      <c r="AK439" s="10"/>
      <c r="AL439" s="4"/>
      <c r="AM439" s="43">
        <v>423</v>
      </c>
      <c r="AN439">
        <v>259.6858022157553</v>
      </c>
      <c r="AO439">
        <v>96.24458245167628</v>
      </c>
      <c r="AP439">
        <v>712.0611892794318</v>
      </c>
      <c r="AQ439">
        <v>507.51591672232269</v>
      </c>
      <c r="AR439">
        <v>86.249719901539649</v>
      </c>
      <c r="AS439">
        <v>693.41960697079571</v>
      </c>
      <c r="AT439">
        <v>48.261554467455312</v>
      </c>
      <c r="AU439">
        <v>84.101451979765955</v>
      </c>
      <c r="AV439"/>
      <c r="AW439"/>
      <c r="FY439" s="211">
        <v>434</v>
      </c>
      <c r="FZ439">
        <v>10.171286523700561</v>
      </c>
      <c r="GA439">
        <v>42.219772611390695</v>
      </c>
      <c r="GB439">
        <v>86.893471607880414</v>
      </c>
      <c r="GC439">
        <v>52.218001447449282</v>
      </c>
      <c r="GD439">
        <v>15.876587555006052</v>
      </c>
      <c r="GE439">
        <v>25.933526393499513</v>
      </c>
      <c r="GF439">
        <v>76.754469891113104</v>
      </c>
      <c r="GG439">
        <v>48.552659490479527</v>
      </c>
      <c r="GH439">
        <v>1.3458830820017851</v>
      </c>
      <c r="GI439">
        <v>49.877821112613738</v>
      </c>
      <c r="GJ439"/>
      <c r="GK439"/>
      <c r="GL439"/>
      <c r="GM439"/>
    </row>
    <row r="440" spans="1:195" s="7" customFormat="1">
      <c r="A440" s="1">
        <v>11</v>
      </c>
      <c r="B440" s="12" t="s">
        <v>34</v>
      </c>
      <c r="C440" s="10"/>
      <c r="D440" s="10" t="s">
        <v>115</v>
      </c>
      <c r="E440" s="13"/>
      <c r="F440" s="134"/>
      <c r="G440" s="44">
        <v>0.5</v>
      </c>
      <c r="H440" s="45">
        <v>1</v>
      </c>
      <c r="I440" s="45">
        <v>2</v>
      </c>
      <c r="J440" s="45">
        <v>3</v>
      </c>
      <c r="K440" s="45">
        <v>4</v>
      </c>
      <c r="L440" s="45">
        <v>5</v>
      </c>
      <c r="M440" s="45">
        <v>6</v>
      </c>
      <c r="N440" s="45">
        <v>7</v>
      </c>
      <c r="O440" s="46">
        <v>8</v>
      </c>
      <c r="P440" s="46">
        <v>9</v>
      </c>
      <c r="Q440" s="47">
        <v>10</v>
      </c>
      <c r="R440" s="46">
        <v>11</v>
      </c>
      <c r="S440" s="47">
        <v>12</v>
      </c>
      <c r="T440" s="46">
        <v>13</v>
      </c>
      <c r="U440" s="47">
        <v>14</v>
      </c>
      <c r="V440" s="46">
        <v>15</v>
      </c>
      <c r="W440" s="47">
        <v>16</v>
      </c>
      <c r="X440" s="46">
        <v>17</v>
      </c>
      <c r="Y440" s="47">
        <v>18</v>
      </c>
      <c r="Z440" s="46">
        <v>19</v>
      </c>
      <c r="AA440" s="47">
        <v>20</v>
      </c>
      <c r="AB440" s="46">
        <v>21</v>
      </c>
      <c r="AC440" s="47">
        <v>22</v>
      </c>
      <c r="AD440" s="46">
        <v>23</v>
      </c>
      <c r="AE440" s="47">
        <v>24</v>
      </c>
      <c r="AF440" s="46">
        <v>25</v>
      </c>
      <c r="AG440" s="47">
        <v>26</v>
      </c>
      <c r="AH440" s="46">
        <v>27</v>
      </c>
      <c r="AI440" s="47">
        <v>28</v>
      </c>
      <c r="AJ440" s="46">
        <v>29</v>
      </c>
      <c r="AK440" s="47">
        <v>30</v>
      </c>
      <c r="AL440" s="4"/>
      <c r="AM440" s="43">
        <v>424</v>
      </c>
      <c r="AN440">
        <v>228.18749284790115</v>
      </c>
      <c r="AO440">
        <v>75.405933344933942</v>
      </c>
      <c r="AP440">
        <v>553.14031874670366</v>
      </c>
      <c r="AQ440">
        <v>425.4919073302276</v>
      </c>
      <c r="AR440">
        <v>69.153679169598448</v>
      </c>
      <c r="AS440">
        <v>589.45870118065864</v>
      </c>
      <c r="AT440">
        <v>37.773966998783123</v>
      </c>
      <c r="AU440">
        <v>44.396521913731597</v>
      </c>
      <c r="AV440"/>
      <c r="AW440"/>
      <c r="FY440" s="211">
        <v>435</v>
      </c>
      <c r="FZ440">
        <v>31.519473956815911</v>
      </c>
      <c r="GA440">
        <v>55.854346421174455</v>
      </c>
      <c r="GB440">
        <v>77.848545963244945</v>
      </c>
      <c r="GC440">
        <v>47.922971099438577</v>
      </c>
      <c r="GD440">
        <v>24.81237535554904</v>
      </c>
      <c r="GE440">
        <v>60.924620676577824</v>
      </c>
      <c r="GF440">
        <v>71.738314895199281</v>
      </c>
      <c r="GG440">
        <v>33.981988942026192</v>
      </c>
      <c r="GH440">
        <v>15.689851236655691</v>
      </c>
      <c r="GI440">
        <v>56.410485088089814</v>
      </c>
      <c r="GJ440"/>
      <c r="GK440"/>
      <c r="GL440"/>
      <c r="GM440"/>
    </row>
    <row r="441" spans="1:195" s="7" customFormat="1">
      <c r="A441" s="21" t="s">
        <v>97</v>
      </c>
      <c r="B441" s="48" t="s">
        <v>38</v>
      </c>
      <c r="C441" s="107">
        <f t="shared" ref="C441:C450" si="394">SUM(G441:AK441)</f>
        <v>14.094891422968558</v>
      </c>
      <c r="D441" s="191">
        <f>$A$405</f>
        <v>13.69</v>
      </c>
      <c r="E441" s="8"/>
      <c r="F441" s="124"/>
      <c r="G441" s="107" t="str">
        <f t="shared" ref="G441:G450" si="395">IF(G423&lt;=0, "0.000", G423)</f>
        <v>0.000</v>
      </c>
      <c r="H441" s="107">
        <f t="shared" ref="H441:AK441" si="396">IF(H423&lt;=0, "0.000", H423)</f>
        <v>3.6132265067799943E-2</v>
      </c>
      <c r="I441" s="107">
        <f t="shared" si="396"/>
        <v>2.810158174526332</v>
      </c>
      <c r="J441" s="107">
        <f t="shared" si="396"/>
        <v>2.4423806073435315</v>
      </c>
      <c r="K441" s="107" t="str">
        <f t="shared" si="396"/>
        <v>0.000</v>
      </c>
      <c r="L441" s="107" t="str">
        <f t="shared" si="396"/>
        <v>0.000</v>
      </c>
      <c r="M441" s="107" t="str">
        <f t="shared" si="396"/>
        <v>0.000</v>
      </c>
      <c r="N441" s="107">
        <f t="shared" si="396"/>
        <v>8.806220376030895</v>
      </c>
      <c r="O441" s="107" t="str">
        <f t="shared" si="396"/>
        <v>0.000</v>
      </c>
      <c r="P441" s="107" t="str">
        <f t="shared" si="396"/>
        <v>0.000</v>
      </c>
      <c r="Q441" s="107" t="str">
        <f t="shared" si="396"/>
        <v>0.000</v>
      </c>
      <c r="R441" s="107" t="str">
        <f t="shared" si="396"/>
        <v>0.000</v>
      </c>
      <c r="S441" s="107" t="str">
        <f t="shared" si="396"/>
        <v>0.000</v>
      </c>
      <c r="T441" s="107" t="str">
        <f t="shared" si="396"/>
        <v>0.000</v>
      </c>
      <c r="U441" s="107" t="str">
        <f t="shared" si="396"/>
        <v>0.000</v>
      </c>
      <c r="V441" s="107" t="str">
        <f t="shared" si="396"/>
        <v>0.000</v>
      </c>
      <c r="W441" s="107" t="str">
        <f t="shared" si="396"/>
        <v>0.000</v>
      </c>
      <c r="X441" s="107" t="str">
        <f t="shared" si="396"/>
        <v>0.000</v>
      </c>
      <c r="Y441" s="107" t="str">
        <f t="shared" si="396"/>
        <v>0.000</v>
      </c>
      <c r="Z441" s="107" t="str">
        <f t="shared" si="396"/>
        <v>0.000</v>
      </c>
      <c r="AA441" s="107" t="str">
        <f t="shared" si="396"/>
        <v>0.000</v>
      </c>
      <c r="AB441" s="107" t="str">
        <f t="shared" si="396"/>
        <v>0.000</v>
      </c>
      <c r="AC441" s="107" t="str">
        <f t="shared" si="396"/>
        <v>0.000</v>
      </c>
      <c r="AD441" s="107" t="str">
        <f t="shared" si="396"/>
        <v>0.000</v>
      </c>
      <c r="AE441" s="107" t="str">
        <f t="shared" si="396"/>
        <v>0.000</v>
      </c>
      <c r="AF441" s="107" t="str">
        <f t="shared" si="396"/>
        <v>0.000</v>
      </c>
      <c r="AG441" s="107" t="str">
        <f t="shared" si="396"/>
        <v>0.000</v>
      </c>
      <c r="AH441" s="107" t="str">
        <f t="shared" si="396"/>
        <v>0.000</v>
      </c>
      <c r="AI441" s="107" t="str">
        <f t="shared" si="396"/>
        <v>0.000</v>
      </c>
      <c r="AJ441" s="107" t="str">
        <f t="shared" si="396"/>
        <v>0.000</v>
      </c>
      <c r="AK441" s="107" t="str">
        <f t="shared" si="396"/>
        <v>0.000</v>
      </c>
      <c r="AL441" s="4"/>
      <c r="AM441" s="43">
        <v>425</v>
      </c>
      <c r="AN441">
        <v>230.07517606835253</v>
      </c>
      <c r="AO441">
        <v>93.102151833097864</v>
      </c>
      <c r="AP441">
        <v>680.64300024634701</v>
      </c>
      <c r="AQ441">
        <v>509.08005823575473</v>
      </c>
      <c r="AR441">
        <v>84.994885050044985</v>
      </c>
      <c r="AS441">
        <v>649.78088801288152</v>
      </c>
      <c r="AT441">
        <v>46.632557323647717</v>
      </c>
      <c r="AU441">
        <v>73.211869169220506</v>
      </c>
      <c r="AV441"/>
      <c r="AW441"/>
      <c r="FY441" s="211">
        <v>436</v>
      </c>
      <c r="FZ441">
        <v>7.7344179929042234</v>
      </c>
      <c r="GA441">
        <v>55.656652217598932</v>
      </c>
      <c r="GB441">
        <v>104.47191477122522</v>
      </c>
      <c r="GC441">
        <v>57.079676687200831</v>
      </c>
      <c r="GD441">
        <v>17.490504544128065</v>
      </c>
      <c r="GE441">
        <v>35.487845625328674</v>
      </c>
      <c r="GF441">
        <v>81.601710285506769</v>
      </c>
      <c r="GG441">
        <v>46.489593475881662</v>
      </c>
      <c r="GH441">
        <v>5.8049273988350718</v>
      </c>
      <c r="GI441">
        <v>56.332720882790795</v>
      </c>
      <c r="GJ441"/>
      <c r="GK441"/>
      <c r="GL441"/>
      <c r="GM441"/>
    </row>
    <row r="442" spans="1:195" s="7" customFormat="1">
      <c r="A442" s="1">
        <v>385</v>
      </c>
      <c r="B442" s="48" t="s">
        <v>39</v>
      </c>
      <c r="C442" s="107">
        <f t="shared" si="394"/>
        <v>35.745847675731028</v>
      </c>
      <c r="D442" s="191">
        <f>$A$406</f>
        <v>9.4499999999999993</v>
      </c>
      <c r="E442" s="8"/>
      <c r="F442" s="124"/>
      <c r="G442" s="173" t="str">
        <f t="shared" si="395"/>
        <v>0.000</v>
      </c>
      <c r="H442" s="173">
        <f t="shared" ref="H442:V442" si="397">IF(H424&lt;=0, "0.000", H424)</f>
        <v>0.11083506893490715</v>
      </c>
      <c r="I442" s="173">
        <f t="shared" si="397"/>
        <v>6.8070978681944609</v>
      </c>
      <c r="J442" s="173">
        <f t="shared" si="397"/>
        <v>10.329585397474746</v>
      </c>
      <c r="K442" s="173">
        <f t="shared" si="397"/>
        <v>7.583287117507866</v>
      </c>
      <c r="L442" s="173" t="str">
        <f t="shared" si="397"/>
        <v>0.000</v>
      </c>
      <c r="M442" s="173">
        <f t="shared" si="397"/>
        <v>0.98028656590521446</v>
      </c>
      <c r="N442" s="173">
        <f t="shared" si="397"/>
        <v>9.934755657713831</v>
      </c>
      <c r="O442" s="173" t="str">
        <f t="shared" si="397"/>
        <v>0.000</v>
      </c>
      <c r="P442" s="173" t="str">
        <f t="shared" si="397"/>
        <v>0.000</v>
      </c>
      <c r="Q442" s="173" t="str">
        <f t="shared" si="397"/>
        <v>0.000</v>
      </c>
      <c r="R442" s="173" t="str">
        <f t="shared" si="397"/>
        <v>0.000</v>
      </c>
      <c r="S442" s="173" t="str">
        <f t="shared" si="397"/>
        <v>0.000</v>
      </c>
      <c r="T442" s="173" t="str">
        <f t="shared" si="397"/>
        <v>0.000</v>
      </c>
      <c r="U442" s="173" t="str">
        <f t="shared" si="397"/>
        <v>0.000</v>
      </c>
      <c r="V442" s="173" t="str">
        <f t="shared" si="397"/>
        <v>0.000</v>
      </c>
      <c r="W442" s="173" t="str">
        <f t="shared" ref="W442:AK442" si="398">IF(W424&lt;=0, "0.000", W424)</f>
        <v>0.000</v>
      </c>
      <c r="X442" s="173" t="str">
        <f t="shared" si="398"/>
        <v>0.000</v>
      </c>
      <c r="Y442" s="173" t="str">
        <f t="shared" si="398"/>
        <v>0.000</v>
      </c>
      <c r="Z442" s="173" t="str">
        <f t="shared" si="398"/>
        <v>0.000</v>
      </c>
      <c r="AA442" s="173" t="str">
        <f t="shared" si="398"/>
        <v>0.000</v>
      </c>
      <c r="AB442" s="173" t="str">
        <f t="shared" si="398"/>
        <v>0.000</v>
      </c>
      <c r="AC442" s="173" t="str">
        <f t="shared" si="398"/>
        <v>0.000</v>
      </c>
      <c r="AD442" s="173" t="str">
        <f t="shared" si="398"/>
        <v>0.000</v>
      </c>
      <c r="AE442" s="173" t="str">
        <f t="shared" si="398"/>
        <v>0.000</v>
      </c>
      <c r="AF442" s="173" t="str">
        <f t="shared" si="398"/>
        <v>0.000</v>
      </c>
      <c r="AG442" s="173" t="str">
        <f t="shared" si="398"/>
        <v>0.000</v>
      </c>
      <c r="AH442" s="173" t="str">
        <f t="shared" si="398"/>
        <v>0.000</v>
      </c>
      <c r="AI442" s="173" t="str">
        <f t="shared" si="398"/>
        <v>0.000</v>
      </c>
      <c r="AJ442" s="173" t="str">
        <f t="shared" si="398"/>
        <v>0.000</v>
      </c>
      <c r="AK442" s="173" t="str">
        <f t="shared" si="398"/>
        <v>0.000</v>
      </c>
      <c r="AL442" s="4"/>
      <c r="AM442" s="43">
        <v>426</v>
      </c>
      <c r="AN442">
        <v>233.72118663900383</v>
      </c>
      <c r="AO442">
        <v>72.462705064037181</v>
      </c>
      <c r="AP442">
        <v>517.46483813339466</v>
      </c>
      <c r="AQ442">
        <v>388.31900804934173</v>
      </c>
      <c r="AR442">
        <v>65.095996198120432</v>
      </c>
      <c r="AS442">
        <v>559.31247330509689</v>
      </c>
      <c r="AT442">
        <v>35.261117992060292</v>
      </c>
      <c r="AU442">
        <v>78.692361460674903</v>
      </c>
      <c r="AV442"/>
      <c r="AW442"/>
      <c r="FY442" s="211">
        <v>437</v>
      </c>
      <c r="FZ442">
        <v>4.8069177441387705</v>
      </c>
      <c r="GA442">
        <v>37.705194980365825</v>
      </c>
      <c r="GB442">
        <v>71.733004641830931</v>
      </c>
      <c r="GC442">
        <v>40.322628615670425</v>
      </c>
      <c r="GD442">
        <v>24.210023099155556</v>
      </c>
      <c r="GE442">
        <v>77.347256368735131</v>
      </c>
      <c r="GF442">
        <v>86.161505288888662</v>
      </c>
      <c r="GG442">
        <v>16.483963747489348</v>
      </c>
      <c r="GH442">
        <v>5.9438754866903176</v>
      </c>
      <c r="GI442">
        <v>52.359580489837221</v>
      </c>
      <c r="GJ442"/>
      <c r="GK442"/>
      <c r="GL442"/>
      <c r="GM442"/>
    </row>
    <row r="443" spans="1:195" s="7" customFormat="1">
      <c r="A443" s="103" t="s">
        <v>98</v>
      </c>
      <c r="B443" s="48" t="s">
        <v>40</v>
      </c>
      <c r="C443" s="107">
        <f t="shared" si="394"/>
        <v>79.508497734606806</v>
      </c>
      <c r="D443" s="191">
        <f>A$407</f>
        <v>4.03</v>
      </c>
      <c r="E443" s="8"/>
      <c r="F443" s="124"/>
      <c r="G443" s="173" t="str">
        <f t="shared" si="395"/>
        <v>0.000</v>
      </c>
      <c r="H443" s="173">
        <f t="shared" ref="H443:V443" si="399">IF(H425&lt;=0, "0.000", H425)</f>
        <v>0.3990111659308197</v>
      </c>
      <c r="I443" s="173">
        <f t="shared" si="399"/>
        <v>7.253458338499942</v>
      </c>
      <c r="J443" s="173">
        <f t="shared" si="399"/>
        <v>16.783133819853038</v>
      </c>
      <c r="K443" s="173">
        <f t="shared" si="399"/>
        <v>33.489030387570587</v>
      </c>
      <c r="L443" s="173">
        <f t="shared" si="399"/>
        <v>14.209811163508641</v>
      </c>
      <c r="M443" s="173">
        <f t="shared" si="399"/>
        <v>3.2621900820762098</v>
      </c>
      <c r="N443" s="173">
        <f t="shared" si="399"/>
        <v>4.1118627771675564</v>
      </c>
      <c r="O443" s="173" t="str">
        <f t="shared" si="399"/>
        <v>0.000</v>
      </c>
      <c r="P443" s="173" t="str">
        <f t="shared" si="399"/>
        <v>0.000</v>
      </c>
      <c r="Q443" s="173" t="str">
        <f t="shared" si="399"/>
        <v>0.000</v>
      </c>
      <c r="R443" s="173" t="str">
        <f t="shared" si="399"/>
        <v>0.000</v>
      </c>
      <c r="S443" s="173" t="str">
        <f t="shared" si="399"/>
        <v>0.000</v>
      </c>
      <c r="T443" s="173" t="str">
        <f t="shared" si="399"/>
        <v>0.000</v>
      </c>
      <c r="U443" s="173" t="str">
        <f t="shared" si="399"/>
        <v>0.000</v>
      </c>
      <c r="V443" s="173" t="str">
        <f t="shared" si="399"/>
        <v>0.000</v>
      </c>
      <c r="W443" s="173" t="str">
        <f t="shared" ref="W443:AK443" si="400">IF(W425&lt;=0, "0.000", W425)</f>
        <v>0.000</v>
      </c>
      <c r="X443" s="173" t="str">
        <f t="shared" si="400"/>
        <v>0.000</v>
      </c>
      <c r="Y443" s="173" t="str">
        <f t="shared" si="400"/>
        <v>0.000</v>
      </c>
      <c r="Z443" s="173" t="str">
        <f t="shared" si="400"/>
        <v>0.000</v>
      </c>
      <c r="AA443" s="173" t="str">
        <f t="shared" si="400"/>
        <v>0.000</v>
      </c>
      <c r="AB443" s="173" t="str">
        <f t="shared" si="400"/>
        <v>0.000</v>
      </c>
      <c r="AC443" s="173" t="str">
        <f t="shared" si="400"/>
        <v>0.000</v>
      </c>
      <c r="AD443" s="173" t="str">
        <f t="shared" si="400"/>
        <v>0.000</v>
      </c>
      <c r="AE443" s="173" t="str">
        <f t="shared" si="400"/>
        <v>0.000</v>
      </c>
      <c r="AF443" s="173" t="str">
        <f t="shared" si="400"/>
        <v>0.000</v>
      </c>
      <c r="AG443" s="173" t="str">
        <f t="shared" si="400"/>
        <v>0.000</v>
      </c>
      <c r="AH443" s="173" t="str">
        <f t="shared" si="400"/>
        <v>0.000</v>
      </c>
      <c r="AI443" s="173" t="str">
        <f t="shared" si="400"/>
        <v>0.000</v>
      </c>
      <c r="AJ443" s="173" t="str">
        <f t="shared" si="400"/>
        <v>0.000</v>
      </c>
      <c r="AK443" s="173" t="str">
        <f t="shared" si="400"/>
        <v>0.000</v>
      </c>
      <c r="AL443" s="4"/>
      <c r="AM443" s="43">
        <v>427</v>
      </c>
      <c r="AN443">
        <v>292.1336485570838</v>
      </c>
      <c r="AO443">
        <v>97.07787534547704</v>
      </c>
      <c r="AP443">
        <v>709.63957494356373</v>
      </c>
      <c r="AQ443">
        <v>526.66870370750178</v>
      </c>
      <c r="AR443">
        <v>85.097491591314977</v>
      </c>
      <c r="AS443">
        <v>720.47665395832996</v>
      </c>
      <c r="AT443">
        <v>47.159531400931677</v>
      </c>
      <c r="AU443">
        <v>47.926578547455861</v>
      </c>
      <c r="AV443"/>
      <c r="AW443"/>
      <c r="FY443" s="211">
        <v>438</v>
      </c>
      <c r="FZ443">
        <v>17.971238819983363</v>
      </c>
      <c r="GA443">
        <v>37.915832590432231</v>
      </c>
      <c r="GB443">
        <v>81.07094300551077</v>
      </c>
      <c r="GC443">
        <v>49.921134776691254</v>
      </c>
      <c r="GD443">
        <v>14.882470989565785</v>
      </c>
      <c r="GE443">
        <v>37.537447203981323</v>
      </c>
      <c r="GF443">
        <v>60.762100341829665</v>
      </c>
      <c r="GG443">
        <v>26.779124816398998</v>
      </c>
      <c r="GH443">
        <v>10.883154240216992</v>
      </c>
      <c r="GI443">
        <v>45.909821276803385</v>
      </c>
      <c r="GJ443"/>
      <c r="GK443"/>
      <c r="GL443"/>
      <c r="GM443"/>
    </row>
    <row r="444" spans="1:195" s="7" customFormat="1">
      <c r="A444" s="1">
        <v>345</v>
      </c>
      <c r="B444" s="48" t="s">
        <v>41</v>
      </c>
      <c r="C444" s="107">
        <f t="shared" si="394"/>
        <v>51.112237551976968</v>
      </c>
      <c r="D444" s="191">
        <f>A$408</f>
        <v>0.78</v>
      </c>
      <c r="E444" s="8"/>
      <c r="F444" s="124"/>
      <c r="G444" s="173" t="str">
        <f t="shared" si="395"/>
        <v>0.000</v>
      </c>
      <c r="H444" s="173">
        <f t="shared" ref="H444:V444" si="401">IF(H426&lt;=0, "0.000", H426)</f>
        <v>0.24077421200189375</v>
      </c>
      <c r="I444" s="173">
        <f t="shared" si="401"/>
        <v>4.7327741367036928</v>
      </c>
      <c r="J444" s="173">
        <f t="shared" si="401"/>
        <v>8.0223521198584393</v>
      </c>
      <c r="K444" s="173">
        <f t="shared" si="401"/>
        <v>23.46564999917436</v>
      </c>
      <c r="L444" s="173">
        <f t="shared" si="401"/>
        <v>11.434580828368968</v>
      </c>
      <c r="M444" s="173">
        <f t="shared" si="401"/>
        <v>1.3865393643393207</v>
      </c>
      <c r="N444" s="173">
        <f t="shared" si="401"/>
        <v>1.8295668915302929</v>
      </c>
      <c r="O444" s="173" t="str">
        <f t="shared" si="401"/>
        <v>0.000</v>
      </c>
      <c r="P444" s="173" t="str">
        <f t="shared" si="401"/>
        <v>0.000</v>
      </c>
      <c r="Q444" s="173" t="str">
        <f t="shared" si="401"/>
        <v>0.000</v>
      </c>
      <c r="R444" s="173" t="str">
        <f t="shared" si="401"/>
        <v>0.000</v>
      </c>
      <c r="S444" s="173" t="str">
        <f t="shared" si="401"/>
        <v>0.000</v>
      </c>
      <c r="T444" s="173" t="str">
        <f t="shared" si="401"/>
        <v>0.000</v>
      </c>
      <c r="U444" s="173" t="str">
        <f t="shared" si="401"/>
        <v>0.000</v>
      </c>
      <c r="V444" s="173" t="str">
        <f t="shared" si="401"/>
        <v>0.000</v>
      </c>
      <c r="W444" s="173" t="str">
        <f t="shared" ref="W444:AK444" si="402">IF(W426&lt;=0, "0.000", W426)</f>
        <v>0.000</v>
      </c>
      <c r="X444" s="173" t="str">
        <f t="shared" si="402"/>
        <v>0.000</v>
      </c>
      <c r="Y444" s="173" t="str">
        <f t="shared" si="402"/>
        <v>0.000</v>
      </c>
      <c r="Z444" s="173" t="str">
        <f t="shared" si="402"/>
        <v>0.000</v>
      </c>
      <c r="AA444" s="173" t="str">
        <f t="shared" si="402"/>
        <v>0.000</v>
      </c>
      <c r="AB444" s="173" t="str">
        <f t="shared" si="402"/>
        <v>0.000</v>
      </c>
      <c r="AC444" s="173" t="str">
        <f t="shared" si="402"/>
        <v>0.000</v>
      </c>
      <c r="AD444" s="173" t="str">
        <f t="shared" si="402"/>
        <v>0.000</v>
      </c>
      <c r="AE444" s="173" t="str">
        <f t="shared" si="402"/>
        <v>0.000</v>
      </c>
      <c r="AF444" s="173" t="str">
        <f t="shared" si="402"/>
        <v>0.000</v>
      </c>
      <c r="AG444" s="173" t="str">
        <f t="shared" si="402"/>
        <v>0.000</v>
      </c>
      <c r="AH444" s="173" t="str">
        <f t="shared" si="402"/>
        <v>0.000</v>
      </c>
      <c r="AI444" s="173" t="str">
        <f t="shared" si="402"/>
        <v>0.000</v>
      </c>
      <c r="AJ444" s="173" t="str">
        <f t="shared" si="402"/>
        <v>0.000</v>
      </c>
      <c r="AK444" s="173" t="str">
        <f t="shared" si="402"/>
        <v>0.000</v>
      </c>
      <c r="AL444" s="4"/>
      <c r="AM444" s="43">
        <v>428</v>
      </c>
      <c r="AN444">
        <v>314.67011679504577</v>
      </c>
      <c r="AO444">
        <v>102.65896650226907</v>
      </c>
      <c r="AP444">
        <v>823.5323455691605</v>
      </c>
      <c r="AQ444">
        <v>595.72698093565396</v>
      </c>
      <c r="AR444">
        <v>92.056558549340195</v>
      </c>
      <c r="AS444">
        <v>781.12615055028357</v>
      </c>
      <c r="AT444">
        <v>48.866828568283587</v>
      </c>
      <c r="AU444">
        <v>131.55171420961054</v>
      </c>
      <c r="AV444"/>
      <c r="AW444"/>
      <c r="FY444" s="211">
        <v>439</v>
      </c>
      <c r="FZ444">
        <v>19.783912520477003</v>
      </c>
      <c r="GA444">
        <v>57.727294055716484</v>
      </c>
      <c r="GB444">
        <v>83.333173914402039</v>
      </c>
      <c r="GC444">
        <v>44.661200584668109</v>
      </c>
      <c r="GD444">
        <v>14.719485232338343</v>
      </c>
      <c r="GE444">
        <v>20.845041229254321</v>
      </c>
      <c r="GF444">
        <v>43.029565291371135</v>
      </c>
      <c r="GG444">
        <v>47.107409471107331</v>
      </c>
      <c r="GH444">
        <v>22.6934557900992</v>
      </c>
      <c r="GI444">
        <v>45.196555724377738</v>
      </c>
      <c r="GJ444"/>
      <c r="GK444"/>
      <c r="GL444"/>
      <c r="GM444"/>
    </row>
    <row r="445" spans="1:195" s="7" customFormat="1">
      <c r="A445" s="4"/>
      <c r="B445" s="48" t="s">
        <v>42</v>
      </c>
      <c r="C445" s="107">
        <f t="shared" si="394"/>
        <v>22.771910934390895</v>
      </c>
      <c r="D445" s="191">
        <f>A$409</f>
        <v>0.14000000000000001</v>
      </c>
      <c r="E445" s="8"/>
      <c r="F445" s="124"/>
      <c r="G445" s="173" t="str">
        <f t="shared" si="395"/>
        <v>0.000</v>
      </c>
      <c r="H445" s="173">
        <f t="shared" ref="H445:V445" si="403">IF(H427&lt;=0, "0.000", H427)</f>
        <v>4.8359475426612807E-2</v>
      </c>
      <c r="I445" s="173">
        <f t="shared" si="403"/>
        <v>4.6545626782024456</v>
      </c>
      <c r="J445" s="173">
        <f t="shared" si="403"/>
        <v>1.0502058785251627</v>
      </c>
      <c r="K445" s="173">
        <f t="shared" si="403"/>
        <v>9.6904594163510271</v>
      </c>
      <c r="L445" s="173">
        <f t="shared" si="403"/>
        <v>5.4700680171427818</v>
      </c>
      <c r="M445" s="173">
        <f t="shared" si="403"/>
        <v>1.858255468742865</v>
      </c>
      <c r="N445" s="173" t="str">
        <f t="shared" si="403"/>
        <v>0.000</v>
      </c>
      <c r="O445" s="173" t="str">
        <f t="shared" si="403"/>
        <v>0.000</v>
      </c>
      <c r="P445" s="173" t="str">
        <f t="shared" si="403"/>
        <v>0.000</v>
      </c>
      <c r="Q445" s="173" t="str">
        <f t="shared" si="403"/>
        <v>0.000</v>
      </c>
      <c r="R445" s="173" t="str">
        <f t="shared" si="403"/>
        <v>0.000</v>
      </c>
      <c r="S445" s="173" t="str">
        <f t="shared" si="403"/>
        <v>0.000</v>
      </c>
      <c r="T445" s="173" t="str">
        <f t="shared" si="403"/>
        <v>0.000</v>
      </c>
      <c r="U445" s="173" t="str">
        <f t="shared" si="403"/>
        <v>0.000</v>
      </c>
      <c r="V445" s="173" t="str">
        <f t="shared" si="403"/>
        <v>0.000</v>
      </c>
      <c r="W445" s="173" t="str">
        <f t="shared" ref="W445:AK445" si="404">IF(W427&lt;=0, "0.000", W427)</f>
        <v>0.000</v>
      </c>
      <c r="X445" s="173" t="str">
        <f t="shared" si="404"/>
        <v>0.000</v>
      </c>
      <c r="Y445" s="173" t="str">
        <f t="shared" si="404"/>
        <v>0.000</v>
      </c>
      <c r="Z445" s="173" t="str">
        <f t="shared" si="404"/>
        <v>0.000</v>
      </c>
      <c r="AA445" s="173" t="str">
        <f t="shared" si="404"/>
        <v>0.000</v>
      </c>
      <c r="AB445" s="173" t="str">
        <f t="shared" si="404"/>
        <v>0.000</v>
      </c>
      <c r="AC445" s="173" t="str">
        <f t="shared" si="404"/>
        <v>0.000</v>
      </c>
      <c r="AD445" s="173" t="str">
        <f t="shared" si="404"/>
        <v>0.000</v>
      </c>
      <c r="AE445" s="173" t="str">
        <f t="shared" si="404"/>
        <v>0.000</v>
      </c>
      <c r="AF445" s="173" t="str">
        <f t="shared" si="404"/>
        <v>0.000</v>
      </c>
      <c r="AG445" s="173" t="str">
        <f t="shared" si="404"/>
        <v>0.000</v>
      </c>
      <c r="AH445" s="173" t="str">
        <f t="shared" si="404"/>
        <v>0.000</v>
      </c>
      <c r="AI445" s="173" t="str">
        <f t="shared" si="404"/>
        <v>0.000</v>
      </c>
      <c r="AJ445" s="173" t="str">
        <f t="shared" si="404"/>
        <v>0.000</v>
      </c>
      <c r="AK445" s="173" t="str">
        <f t="shared" si="404"/>
        <v>0.000</v>
      </c>
      <c r="AL445" s="4"/>
      <c r="AM445" s="43">
        <v>429</v>
      </c>
      <c r="AN445">
        <v>248.71859626441068</v>
      </c>
      <c r="AO445">
        <v>83.832697354665953</v>
      </c>
      <c r="AP445">
        <v>579.28133261122025</v>
      </c>
      <c r="AQ445">
        <v>438.89025852743669</v>
      </c>
      <c r="AR445">
        <v>74.63507914243516</v>
      </c>
      <c r="AS445">
        <v>629.67862326263514</v>
      </c>
      <c r="AT445">
        <v>40.32968641033721</v>
      </c>
      <c r="AU445">
        <v>122.40518871012205</v>
      </c>
      <c r="AV445"/>
      <c r="AW445"/>
      <c r="FY445" s="211">
        <v>440</v>
      </c>
      <c r="FZ445">
        <v>15.944242897932307</v>
      </c>
      <c r="GA445">
        <v>50.072805801984344</v>
      </c>
      <c r="GB445">
        <v>81.525179160391303</v>
      </c>
      <c r="GC445">
        <v>55.449682505396055</v>
      </c>
      <c r="GD445">
        <v>27.141778820487716</v>
      </c>
      <c r="GE445">
        <v>50.258097826241439</v>
      </c>
      <c r="GF445">
        <v>110.33074297828115</v>
      </c>
      <c r="GG445">
        <v>71.963332981647682</v>
      </c>
      <c r="GH445">
        <v>16.594447335772564</v>
      </c>
      <c r="GI445">
        <v>65.743500355254127</v>
      </c>
      <c r="GJ445"/>
      <c r="GK445"/>
      <c r="GL445"/>
      <c r="GM445"/>
    </row>
    <row r="446" spans="1:195" s="7" customFormat="1">
      <c r="A446" s="4"/>
      <c r="B446" s="48" t="s">
        <v>118</v>
      </c>
      <c r="C446" s="107">
        <f t="shared" si="394"/>
        <v>47.193868260173033</v>
      </c>
      <c r="D446" s="191">
        <f>A$410</f>
        <v>0.21</v>
      </c>
      <c r="E446" s="8"/>
      <c r="F446" s="124"/>
      <c r="G446" s="173" t="str">
        <f t="shared" si="395"/>
        <v>0.000</v>
      </c>
      <c r="H446" s="173">
        <f t="shared" ref="H446:V446" si="405">IF(H428&lt;=0, "0.000", H428)</f>
        <v>2.3924956706239016E-2</v>
      </c>
      <c r="I446" s="173">
        <f t="shared" si="405"/>
        <v>8.7164934820600717</v>
      </c>
      <c r="J446" s="173">
        <f t="shared" si="405"/>
        <v>1.9766819113827698</v>
      </c>
      <c r="K446" s="173">
        <f t="shared" si="405"/>
        <v>10.028614814508162</v>
      </c>
      <c r="L446" s="173">
        <f t="shared" si="405"/>
        <v>14.57467361348124</v>
      </c>
      <c r="M446" s="173">
        <f t="shared" si="405"/>
        <v>11.873479482034556</v>
      </c>
      <c r="N446" s="173" t="str">
        <f t="shared" si="405"/>
        <v>0.000</v>
      </c>
      <c r="O446" s="173" t="str">
        <f t="shared" si="405"/>
        <v>0.000</v>
      </c>
      <c r="P446" s="173" t="str">
        <f t="shared" si="405"/>
        <v>0.000</v>
      </c>
      <c r="Q446" s="173" t="str">
        <f t="shared" si="405"/>
        <v>0.000</v>
      </c>
      <c r="R446" s="173" t="str">
        <f t="shared" si="405"/>
        <v>0.000</v>
      </c>
      <c r="S446" s="173" t="str">
        <f t="shared" si="405"/>
        <v>0.000</v>
      </c>
      <c r="T446" s="173" t="str">
        <f t="shared" si="405"/>
        <v>0.000</v>
      </c>
      <c r="U446" s="173" t="str">
        <f t="shared" si="405"/>
        <v>0.000</v>
      </c>
      <c r="V446" s="173" t="str">
        <f t="shared" si="405"/>
        <v>0.000</v>
      </c>
      <c r="W446" s="173" t="str">
        <f t="shared" ref="W446:AK446" si="406">IF(W428&lt;=0, "0.000", W428)</f>
        <v>0.000</v>
      </c>
      <c r="X446" s="173" t="str">
        <f t="shared" si="406"/>
        <v>0.000</v>
      </c>
      <c r="Y446" s="173" t="str">
        <f t="shared" si="406"/>
        <v>0.000</v>
      </c>
      <c r="Z446" s="173" t="str">
        <f t="shared" si="406"/>
        <v>0.000</v>
      </c>
      <c r="AA446" s="173" t="str">
        <f t="shared" si="406"/>
        <v>0.000</v>
      </c>
      <c r="AB446" s="173" t="str">
        <f t="shared" si="406"/>
        <v>0.000</v>
      </c>
      <c r="AC446" s="173" t="str">
        <f t="shared" si="406"/>
        <v>0.000</v>
      </c>
      <c r="AD446" s="173" t="str">
        <f t="shared" si="406"/>
        <v>0.000</v>
      </c>
      <c r="AE446" s="173" t="str">
        <f t="shared" si="406"/>
        <v>0.000</v>
      </c>
      <c r="AF446" s="173" t="str">
        <f t="shared" si="406"/>
        <v>0.000</v>
      </c>
      <c r="AG446" s="173" t="str">
        <f t="shared" si="406"/>
        <v>0.000</v>
      </c>
      <c r="AH446" s="173" t="str">
        <f t="shared" si="406"/>
        <v>0.000</v>
      </c>
      <c r="AI446" s="173" t="str">
        <f t="shared" si="406"/>
        <v>0.000</v>
      </c>
      <c r="AJ446" s="173" t="str">
        <f t="shared" si="406"/>
        <v>0.000</v>
      </c>
      <c r="AK446" s="173" t="str">
        <f t="shared" si="406"/>
        <v>0.000</v>
      </c>
      <c r="AL446" s="4"/>
      <c r="AM446" s="43">
        <v>430</v>
      </c>
      <c r="AN446">
        <v>272.97488530612594</v>
      </c>
      <c r="AO446">
        <v>88.074620117735705</v>
      </c>
      <c r="AP446">
        <v>665.79580097412463</v>
      </c>
      <c r="AQ446">
        <v>494.32082446728759</v>
      </c>
      <c r="AR446">
        <v>78.247314553029526</v>
      </c>
      <c r="AS446">
        <v>635.63033608175101</v>
      </c>
      <c r="AT446">
        <v>40.811383660516022</v>
      </c>
      <c r="AU446">
        <v>69.207520072061016</v>
      </c>
      <c r="AV446"/>
      <c r="AW446"/>
      <c r="FY446" s="211">
        <v>441</v>
      </c>
      <c r="FZ446">
        <v>19.341599195468298</v>
      </c>
      <c r="GA446">
        <v>50.080526896195181</v>
      </c>
      <c r="GB446">
        <v>68.074887152541336</v>
      </c>
      <c r="GC446">
        <v>40.757758166498633</v>
      </c>
      <c r="GD446">
        <v>20.942995580187944</v>
      </c>
      <c r="GE446">
        <v>40.726266673065972</v>
      </c>
      <c r="GF446">
        <v>36.690263864527957</v>
      </c>
      <c r="GG446">
        <v>22.135723698429032</v>
      </c>
      <c r="GH446">
        <v>19.353645203879246</v>
      </c>
      <c r="GI446">
        <v>43.320707752202544</v>
      </c>
      <c r="GJ446"/>
      <c r="GK446"/>
      <c r="GL446"/>
      <c r="GM446"/>
    </row>
    <row r="447" spans="1:195" s="7" customFormat="1">
      <c r="A447" s="4"/>
      <c r="B447" s="48" t="s">
        <v>119</v>
      </c>
      <c r="C447" s="107">
        <f t="shared" si="394"/>
        <v>68.512274731492383</v>
      </c>
      <c r="D447" s="191">
        <f>A$411</f>
        <v>1.28</v>
      </c>
      <c r="E447" s="8"/>
      <c r="F447" s="124"/>
      <c r="G447" s="173" t="str">
        <f t="shared" si="395"/>
        <v>0.000</v>
      </c>
      <c r="H447" s="173">
        <f t="shared" ref="H447:V447" si="407">IF(H429&lt;=0, "0.000", H429)</f>
        <v>4.7495562620005594E-2</v>
      </c>
      <c r="I447" s="173">
        <f t="shared" si="407"/>
        <v>4.054437595387121</v>
      </c>
      <c r="J447" s="173">
        <f t="shared" si="407"/>
        <v>5.9766458521477102</v>
      </c>
      <c r="K447" s="173">
        <f t="shared" si="407"/>
        <v>11.926536119017392</v>
      </c>
      <c r="L447" s="173">
        <f t="shared" si="407"/>
        <v>26.393751460804875</v>
      </c>
      <c r="M447" s="173">
        <f t="shared" si="407"/>
        <v>18.650989096707072</v>
      </c>
      <c r="N447" s="173" t="str">
        <f t="shared" si="407"/>
        <v>0.000</v>
      </c>
      <c r="O447" s="173">
        <f t="shared" si="407"/>
        <v>1.4624190448082106</v>
      </c>
      <c r="P447" s="173" t="str">
        <f t="shared" si="407"/>
        <v>0.000</v>
      </c>
      <c r="Q447" s="173" t="str">
        <f t="shared" si="407"/>
        <v>0.000</v>
      </c>
      <c r="R447" s="173" t="str">
        <f t="shared" si="407"/>
        <v>0.000</v>
      </c>
      <c r="S447" s="173" t="str">
        <f t="shared" si="407"/>
        <v>0.000</v>
      </c>
      <c r="T447" s="173" t="str">
        <f t="shared" si="407"/>
        <v>0.000</v>
      </c>
      <c r="U447" s="173" t="str">
        <f t="shared" si="407"/>
        <v>0.000</v>
      </c>
      <c r="V447" s="173" t="str">
        <f t="shared" si="407"/>
        <v>0.000</v>
      </c>
      <c r="W447" s="173" t="str">
        <f t="shared" ref="W447:AK447" si="408">IF(W429&lt;=0, "0.000", W429)</f>
        <v>0.000</v>
      </c>
      <c r="X447" s="173" t="str">
        <f t="shared" si="408"/>
        <v>0.000</v>
      </c>
      <c r="Y447" s="173" t="str">
        <f t="shared" si="408"/>
        <v>0.000</v>
      </c>
      <c r="Z447" s="173" t="str">
        <f t="shared" si="408"/>
        <v>0.000</v>
      </c>
      <c r="AA447" s="173" t="str">
        <f t="shared" si="408"/>
        <v>0.000</v>
      </c>
      <c r="AB447" s="173" t="str">
        <f t="shared" si="408"/>
        <v>0.000</v>
      </c>
      <c r="AC447" s="173" t="str">
        <f t="shared" si="408"/>
        <v>0.000</v>
      </c>
      <c r="AD447" s="173" t="str">
        <f t="shared" si="408"/>
        <v>0.000</v>
      </c>
      <c r="AE447" s="173" t="str">
        <f t="shared" si="408"/>
        <v>0.000</v>
      </c>
      <c r="AF447" s="173" t="str">
        <f t="shared" si="408"/>
        <v>0.000</v>
      </c>
      <c r="AG447" s="173" t="str">
        <f t="shared" si="408"/>
        <v>0.000</v>
      </c>
      <c r="AH447" s="173" t="str">
        <f t="shared" si="408"/>
        <v>0.000</v>
      </c>
      <c r="AI447" s="173" t="str">
        <f t="shared" si="408"/>
        <v>0.000</v>
      </c>
      <c r="AJ447" s="173" t="str">
        <f t="shared" si="408"/>
        <v>0.000</v>
      </c>
      <c r="AK447" s="173" t="str">
        <f t="shared" si="408"/>
        <v>0.000</v>
      </c>
      <c r="AL447" s="4"/>
      <c r="AM447" s="43">
        <v>431</v>
      </c>
      <c r="AN447">
        <v>262.12806990848901</v>
      </c>
      <c r="AO447">
        <v>74.690424972440326</v>
      </c>
      <c r="AP447">
        <v>514.88289286528379</v>
      </c>
      <c r="AQ447">
        <v>410.79411545598066</v>
      </c>
      <c r="AR447">
        <v>66.936713921820271</v>
      </c>
      <c r="AS447">
        <v>592.53014559391295</v>
      </c>
      <c r="AT447">
        <v>36.506458797583264</v>
      </c>
      <c r="AU447">
        <v>88.622959089406876</v>
      </c>
      <c r="AV447"/>
      <c r="AW447"/>
      <c r="FY447" s="211">
        <v>442</v>
      </c>
      <c r="FZ447">
        <v>14.826727515168766</v>
      </c>
      <c r="GA447">
        <v>41.758938344794359</v>
      </c>
      <c r="GB447">
        <v>79.817550093425311</v>
      </c>
      <c r="GC447">
        <v>46.744401355724314</v>
      </c>
      <c r="GD447">
        <v>20.159974375793066</v>
      </c>
      <c r="GE447">
        <v>54.472105783804672</v>
      </c>
      <c r="GF447">
        <v>102.08521258802053</v>
      </c>
      <c r="GG447">
        <v>57.689906428054819</v>
      </c>
      <c r="GH447">
        <v>13.956355252521865</v>
      </c>
      <c r="GI447">
        <v>58.7159305870655</v>
      </c>
      <c r="GJ447"/>
      <c r="GK447"/>
      <c r="GL447"/>
      <c r="GM447"/>
    </row>
    <row r="448" spans="1:195" s="7" customFormat="1">
      <c r="A448" s="4"/>
      <c r="B448" s="48" t="s">
        <v>120</v>
      </c>
      <c r="C448" s="107">
        <f t="shared" si="394"/>
        <v>45.152072399189684</v>
      </c>
      <c r="D448" s="191">
        <f>A$412</f>
        <v>4</v>
      </c>
      <c r="E448" s="8"/>
      <c r="F448" s="124"/>
      <c r="G448" s="173" t="str">
        <f t="shared" si="395"/>
        <v>0.000</v>
      </c>
      <c r="H448" s="173">
        <f t="shared" ref="H448:V448" si="409">IF(H430&lt;=0, "0.000", H430)</f>
        <v>4.1146671502580688E-2</v>
      </c>
      <c r="I448" s="173">
        <f t="shared" si="409"/>
        <v>1.126270585581401</v>
      </c>
      <c r="J448" s="173">
        <f t="shared" si="409"/>
        <v>4.7700400204817939</v>
      </c>
      <c r="K448" s="173">
        <f t="shared" si="409"/>
        <v>9.1157781849712727</v>
      </c>
      <c r="L448" s="173">
        <f t="shared" si="409"/>
        <v>15.691520702032772</v>
      </c>
      <c r="M448" s="173">
        <f t="shared" si="409"/>
        <v>12.618871516908106</v>
      </c>
      <c r="N448" s="173" t="str">
        <f t="shared" si="409"/>
        <v>0.000</v>
      </c>
      <c r="O448" s="173">
        <f t="shared" si="409"/>
        <v>1.7884447177117535</v>
      </c>
      <c r="P448" s="173" t="str">
        <f t="shared" si="409"/>
        <v>0.000</v>
      </c>
      <c r="Q448" s="173" t="str">
        <f t="shared" si="409"/>
        <v>0.000</v>
      </c>
      <c r="R448" s="173" t="str">
        <f t="shared" si="409"/>
        <v>0.000</v>
      </c>
      <c r="S448" s="173" t="str">
        <f t="shared" si="409"/>
        <v>0.000</v>
      </c>
      <c r="T448" s="173" t="str">
        <f t="shared" si="409"/>
        <v>0.000</v>
      </c>
      <c r="U448" s="173" t="str">
        <f t="shared" si="409"/>
        <v>0.000</v>
      </c>
      <c r="V448" s="173" t="str">
        <f t="shared" si="409"/>
        <v>0.000</v>
      </c>
      <c r="W448" s="173" t="str">
        <f t="shared" ref="W448:AK448" si="410">IF(W430&lt;=0, "0.000", W430)</f>
        <v>0.000</v>
      </c>
      <c r="X448" s="173" t="str">
        <f t="shared" si="410"/>
        <v>0.000</v>
      </c>
      <c r="Y448" s="173" t="str">
        <f t="shared" si="410"/>
        <v>0.000</v>
      </c>
      <c r="Z448" s="173" t="str">
        <f t="shared" si="410"/>
        <v>0.000</v>
      </c>
      <c r="AA448" s="173" t="str">
        <f t="shared" si="410"/>
        <v>0.000</v>
      </c>
      <c r="AB448" s="173" t="str">
        <f t="shared" si="410"/>
        <v>0.000</v>
      </c>
      <c r="AC448" s="173" t="str">
        <f t="shared" si="410"/>
        <v>0.000</v>
      </c>
      <c r="AD448" s="173" t="str">
        <f t="shared" si="410"/>
        <v>0.000</v>
      </c>
      <c r="AE448" s="173" t="str">
        <f t="shared" si="410"/>
        <v>0.000</v>
      </c>
      <c r="AF448" s="173" t="str">
        <f t="shared" si="410"/>
        <v>0.000</v>
      </c>
      <c r="AG448" s="173" t="str">
        <f t="shared" si="410"/>
        <v>0.000</v>
      </c>
      <c r="AH448" s="173" t="str">
        <f t="shared" si="410"/>
        <v>0.000</v>
      </c>
      <c r="AI448" s="173" t="str">
        <f t="shared" si="410"/>
        <v>0.000</v>
      </c>
      <c r="AJ448" s="173" t="str">
        <f t="shared" si="410"/>
        <v>0.000</v>
      </c>
      <c r="AK448" s="173" t="str">
        <f t="shared" si="410"/>
        <v>0.000</v>
      </c>
      <c r="AL448" s="4"/>
      <c r="AM448" s="43">
        <v>432</v>
      </c>
      <c r="AN448">
        <v>228.10044269650825</v>
      </c>
      <c r="AO448">
        <v>85.548445183824796</v>
      </c>
      <c r="AP448">
        <v>663.5490378851739</v>
      </c>
      <c r="AQ448">
        <v>475.42519524893004</v>
      </c>
      <c r="AR448">
        <v>77.372876623115573</v>
      </c>
      <c r="AS448">
        <v>618.92886978325714</v>
      </c>
      <c r="AT448">
        <v>44.946474796331159</v>
      </c>
      <c r="AU448">
        <v>106.50629696273283</v>
      </c>
      <c r="AV448"/>
      <c r="AW448"/>
      <c r="FY448" s="211">
        <v>443</v>
      </c>
      <c r="FZ448">
        <v>14.15577197015191</v>
      </c>
      <c r="GA448">
        <v>48.803102495551961</v>
      </c>
      <c r="GB448">
        <v>91.381665079672075</v>
      </c>
      <c r="GC448">
        <v>53.444594898131015</v>
      </c>
      <c r="GD448">
        <v>26.365296462177739</v>
      </c>
      <c r="GE448">
        <v>55.718357694130198</v>
      </c>
      <c r="GF448">
        <v>85.118015587023351</v>
      </c>
      <c r="GG448">
        <v>79.737029976462779</v>
      </c>
      <c r="GH448">
        <v>49.238813498239409</v>
      </c>
      <c r="GI448">
        <v>66.819983789577279</v>
      </c>
      <c r="GJ448"/>
      <c r="GK448"/>
      <c r="GL448"/>
      <c r="GM448"/>
    </row>
    <row r="449" spans="1:195" s="7" customFormat="1">
      <c r="A449" s="4"/>
      <c r="B449" s="48" t="s">
        <v>121</v>
      </c>
      <c r="C449" s="107">
        <f t="shared" si="394"/>
        <v>22.672680069540274</v>
      </c>
      <c r="D449" s="191">
        <f>A$413</f>
        <v>7.33</v>
      </c>
      <c r="E449" s="8"/>
      <c r="F449" s="124"/>
      <c r="G449" s="173" t="str">
        <f t="shared" si="395"/>
        <v>0.000</v>
      </c>
      <c r="H449" s="173" t="str">
        <f t="shared" ref="H449:V449" si="411">IF(H431&lt;=0, "0.000", H431)</f>
        <v>0.000</v>
      </c>
      <c r="I449" s="173">
        <f t="shared" si="411"/>
        <v>0.82380186317688353</v>
      </c>
      <c r="J449" s="173">
        <f t="shared" si="411"/>
        <v>1.9448144367209004</v>
      </c>
      <c r="K449" s="173">
        <f t="shared" si="411"/>
        <v>1.5645030726300699</v>
      </c>
      <c r="L449" s="173">
        <f t="shared" si="411"/>
        <v>7.6563893863819086</v>
      </c>
      <c r="M449" s="173">
        <f t="shared" si="411"/>
        <v>10.683171310630511</v>
      </c>
      <c r="N449" s="173" t="str">
        <f t="shared" si="411"/>
        <v>0.000</v>
      </c>
      <c r="O449" s="173" t="str">
        <f t="shared" si="411"/>
        <v>0.000</v>
      </c>
      <c r="P449" s="173" t="str">
        <f t="shared" si="411"/>
        <v>0.000</v>
      </c>
      <c r="Q449" s="173" t="str">
        <f t="shared" si="411"/>
        <v>0.000</v>
      </c>
      <c r="R449" s="173" t="str">
        <f t="shared" si="411"/>
        <v>0.000</v>
      </c>
      <c r="S449" s="173" t="str">
        <f t="shared" si="411"/>
        <v>0.000</v>
      </c>
      <c r="T449" s="173" t="str">
        <f t="shared" si="411"/>
        <v>0.000</v>
      </c>
      <c r="U449" s="173" t="str">
        <f t="shared" si="411"/>
        <v>0.000</v>
      </c>
      <c r="V449" s="173" t="str">
        <f t="shared" si="411"/>
        <v>0.000</v>
      </c>
      <c r="W449" s="173" t="str">
        <f t="shared" ref="W449:AK449" si="412">IF(W431&lt;=0, "0.000", W431)</f>
        <v>0.000</v>
      </c>
      <c r="X449" s="173" t="str">
        <f t="shared" si="412"/>
        <v>0.000</v>
      </c>
      <c r="Y449" s="173" t="str">
        <f t="shared" si="412"/>
        <v>0.000</v>
      </c>
      <c r="Z449" s="173" t="str">
        <f t="shared" si="412"/>
        <v>0.000</v>
      </c>
      <c r="AA449" s="173" t="str">
        <f t="shared" si="412"/>
        <v>0.000</v>
      </c>
      <c r="AB449" s="173" t="str">
        <f t="shared" si="412"/>
        <v>0.000</v>
      </c>
      <c r="AC449" s="173" t="str">
        <f t="shared" si="412"/>
        <v>0.000</v>
      </c>
      <c r="AD449" s="173" t="str">
        <f t="shared" si="412"/>
        <v>0.000</v>
      </c>
      <c r="AE449" s="173" t="str">
        <f t="shared" si="412"/>
        <v>0.000</v>
      </c>
      <c r="AF449" s="173" t="str">
        <f t="shared" si="412"/>
        <v>0.000</v>
      </c>
      <c r="AG449" s="173" t="str">
        <f t="shared" si="412"/>
        <v>0.000</v>
      </c>
      <c r="AH449" s="173" t="str">
        <f t="shared" si="412"/>
        <v>0.000</v>
      </c>
      <c r="AI449" s="173" t="str">
        <f t="shared" si="412"/>
        <v>0.000</v>
      </c>
      <c r="AJ449" s="173" t="str">
        <f t="shared" si="412"/>
        <v>0.000</v>
      </c>
      <c r="AK449" s="173" t="str">
        <f t="shared" si="412"/>
        <v>0.000</v>
      </c>
      <c r="AL449" s="4"/>
      <c r="AM449" s="43">
        <v>433</v>
      </c>
      <c r="AN449">
        <v>270.42381806634978</v>
      </c>
      <c r="AO449">
        <v>91.508110749055604</v>
      </c>
      <c r="AP449">
        <v>729.75538412604965</v>
      </c>
      <c r="AQ449">
        <v>499.88080811001203</v>
      </c>
      <c r="AR449">
        <v>81.563440118134423</v>
      </c>
      <c r="AS449">
        <v>699.44606312361464</v>
      </c>
      <c r="AT449">
        <v>42.985330393197863</v>
      </c>
      <c r="AU449">
        <v>58.427296919194362</v>
      </c>
      <c r="AV449"/>
      <c r="AW449"/>
      <c r="FY449" s="211">
        <v>444</v>
      </c>
      <c r="FZ449">
        <v>18.604950879687632</v>
      </c>
      <c r="GA449">
        <v>53.828441860886727</v>
      </c>
      <c r="GB449">
        <v>79.459033370436003</v>
      </c>
      <c r="GC449">
        <v>49.407817796567826</v>
      </c>
      <c r="GD449">
        <v>32.375030797834462</v>
      </c>
      <c r="GE449">
        <v>52.596225335627842</v>
      </c>
      <c r="GF449">
        <v>31.324722456821451</v>
      </c>
      <c r="GG449">
        <v>38.942031911700859</v>
      </c>
      <c r="GH449">
        <v>36.764976928250988</v>
      </c>
      <c r="GI449">
        <v>55.863994529460157</v>
      </c>
      <c r="GJ449"/>
      <c r="GK449"/>
      <c r="GL449"/>
      <c r="GM449"/>
    </row>
    <row r="450" spans="1:195" s="7" customFormat="1">
      <c r="A450" s="13" t="s">
        <v>12</v>
      </c>
      <c r="B450" s="48" t="s">
        <v>122</v>
      </c>
      <c r="C450" s="107">
        <f t="shared" si="394"/>
        <v>54.639588560653287</v>
      </c>
      <c r="D450" s="191">
        <f>A$414</f>
        <v>10.51</v>
      </c>
      <c r="E450" s="8"/>
      <c r="F450" s="124"/>
      <c r="G450" s="173" t="str">
        <f t="shared" si="395"/>
        <v>0.000</v>
      </c>
      <c r="H450" s="173">
        <f t="shared" ref="H450:V450" si="413">IF(H432&lt;=0, "0.000", H432)</f>
        <v>0.13862782410159918</v>
      </c>
      <c r="I450" s="173">
        <f t="shared" si="413"/>
        <v>5.7056428707505225</v>
      </c>
      <c r="J450" s="173">
        <f t="shared" si="413"/>
        <v>6.5083820603623446</v>
      </c>
      <c r="K450" s="173">
        <f t="shared" si="413"/>
        <v>16.707582398712379</v>
      </c>
      <c r="L450" s="173">
        <f t="shared" si="413"/>
        <v>13.613773560624198</v>
      </c>
      <c r="M450" s="173">
        <f t="shared" si="413"/>
        <v>7.9630493678262457</v>
      </c>
      <c r="N450" s="173">
        <f t="shared" si="413"/>
        <v>2.4289444418601187</v>
      </c>
      <c r="O450" s="173">
        <f t="shared" si="413"/>
        <v>0.48026226216752921</v>
      </c>
      <c r="P450" s="173" t="str">
        <f t="shared" si="413"/>
        <v>0.000</v>
      </c>
      <c r="Q450" s="173">
        <f t="shared" si="413"/>
        <v>0.79672177451334958</v>
      </c>
      <c r="R450" s="173">
        <f t="shared" si="413"/>
        <v>0.2966019997350019</v>
      </c>
      <c r="S450" s="173" t="str">
        <f t="shared" si="413"/>
        <v>0.000</v>
      </c>
      <c r="T450" s="173" t="str">
        <f t="shared" si="413"/>
        <v>0.000</v>
      </c>
      <c r="U450" s="173" t="str">
        <f t="shared" si="413"/>
        <v>0.000</v>
      </c>
      <c r="V450" s="173" t="str">
        <f t="shared" si="413"/>
        <v>0.000</v>
      </c>
      <c r="W450" s="173" t="str">
        <f t="shared" ref="W450:AK450" si="414">IF(W432&lt;=0, "0.000", W432)</f>
        <v>0.000</v>
      </c>
      <c r="X450" s="173" t="str">
        <f t="shared" si="414"/>
        <v>0.000</v>
      </c>
      <c r="Y450" s="173" t="str">
        <f t="shared" si="414"/>
        <v>0.000</v>
      </c>
      <c r="Z450" s="173" t="str">
        <f t="shared" si="414"/>
        <v>0.000</v>
      </c>
      <c r="AA450" s="173" t="str">
        <f t="shared" si="414"/>
        <v>0.000</v>
      </c>
      <c r="AB450" s="173" t="str">
        <f t="shared" si="414"/>
        <v>0.000</v>
      </c>
      <c r="AC450" s="173" t="str">
        <f t="shared" si="414"/>
        <v>0.000</v>
      </c>
      <c r="AD450" s="173" t="str">
        <f t="shared" si="414"/>
        <v>0.000</v>
      </c>
      <c r="AE450" s="173" t="str">
        <f t="shared" si="414"/>
        <v>0.000</v>
      </c>
      <c r="AF450" s="173" t="str">
        <f t="shared" si="414"/>
        <v>0.000</v>
      </c>
      <c r="AG450" s="173" t="str">
        <f t="shared" si="414"/>
        <v>0.000</v>
      </c>
      <c r="AH450" s="173" t="str">
        <f t="shared" si="414"/>
        <v>0.000</v>
      </c>
      <c r="AI450" s="173" t="str">
        <f t="shared" si="414"/>
        <v>0.000</v>
      </c>
      <c r="AJ450" s="173" t="str">
        <f t="shared" si="414"/>
        <v>0.000</v>
      </c>
      <c r="AK450" s="173" t="str">
        <f t="shared" si="414"/>
        <v>0.000</v>
      </c>
      <c r="AL450" s="4"/>
      <c r="AM450" s="43">
        <v>434</v>
      </c>
      <c r="AN450">
        <v>219.41525219704107</v>
      </c>
      <c r="AO450">
        <v>79.411152929852591</v>
      </c>
      <c r="AP450">
        <v>580.51996895585046</v>
      </c>
      <c r="AQ450">
        <v>409.84347971513461</v>
      </c>
      <c r="AR450">
        <v>71.885855331813843</v>
      </c>
      <c r="AS450">
        <v>590.6303308130764</v>
      </c>
      <c r="AT450">
        <v>41.399127935538836</v>
      </c>
      <c r="AU450">
        <v>6.5440071006160689</v>
      </c>
      <c r="AV450"/>
      <c r="AW450"/>
      <c r="FY450" s="211">
        <v>445</v>
      </c>
      <c r="FZ450">
        <v>4.5084237155269165</v>
      </c>
      <c r="GA450">
        <v>44.443248209046288</v>
      </c>
      <c r="GB450">
        <v>69.900778670319369</v>
      </c>
      <c r="GC450">
        <v>43.911047255862371</v>
      </c>
      <c r="GD450">
        <v>28.98276420312596</v>
      </c>
      <c r="GE450">
        <v>57.196335368450889</v>
      </c>
      <c r="GF450">
        <v>111.55956204064044</v>
      </c>
      <c r="GG450">
        <v>71.746189988176582</v>
      </c>
      <c r="GH450">
        <v>8.3115662512808868</v>
      </c>
      <c r="GI450">
        <v>61.072646678138625</v>
      </c>
      <c r="GJ450"/>
      <c r="GK450"/>
      <c r="GL450"/>
      <c r="GM450"/>
    </row>
    <row r="451" spans="1:195" s="7" customFormat="1">
      <c r="A451" s="135"/>
      <c r="B451" s="48"/>
      <c r="C451" s="107"/>
      <c r="D451" s="19"/>
      <c r="E451" s="8"/>
      <c r="F451" s="124"/>
      <c r="G451" s="173"/>
      <c r="H451" s="173"/>
      <c r="I451" s="173"/>
      <c r="J451" s="173"/>
      <c r="K451" s="173"/>
      <c r="L451" s="173"/>
      <c r="M451" s="173"/>
      <c r="N451" s="173"/>
      <c r="O451" s="173"/>
      <c r="P451" s="173"/>
      <c r="Q451" s="173"/>
      <c r="R451" s="173"/>
      <c r="S451" s="173"/>
      <c r="T451" s="173"/>
      <c r="U451" s="173"/>
      <c r="V451" s="173"/>
      <c r="W451" s="173"/>
      <c r="X451" s="173"/>
      <c r="Y451" s="173"/>
      <c r="Z451" s="173"/>
      <c r="AA451" s="173"/>
      <c r="AB451" s="173"/>
      <c r="AC451" s="173"/>
      <c r="AD451" s="173"/>
      <c r="AE451" s="173"/>
      <c r="AF451" s="173"/>
      <c r="AG451" s="173"/>
      <c r="AH451" s="173"/>
      <c r="AI451" s="173"/>
      <c r="AJ451" s="173"/>
      <c r="AK451" s="173"/>
      <c r="AL451" s="4"/>
      <c r="AM451" s="43">
        <v>435</v>
      </c>
      <c r="AN451">
        <v>236.09534289337392</v>
      </c>
      <c r="AO451">
        <v>88.596034600497518</v>
      </c>
      <c r="AP451">
        <v>599.52188725579185</v>
      </c>
      <c r="AQ451">
        <v>476.70297363477175</v>
      </c>
      <c r="AR451">
        <v>79.608107797965914</v>
      </c>
      <c r="AS451">
        <v>613.56261571164873</v>
      </c>
      <c r="AT451">
        <v>42.276108822434558</v>
      </c>
      <c r="AU451">
        <v>70.445250705478415</v>
      </c>
      <c r="AV451"/>
      <c r="AW451"/>
      <c r="FY451" s="211">
        <v>446</v>
      </c>
      <c r="FZ451">
        <v>11.017378057649376</v>
      </c>
      <c r="GA451">
        <v>54.162291906496797</v>
      </c>
      <c r="GB451">
        <v>84.389271283480895</v>
      </c>
      <c r="GC451">
        <v>48.351198080142069</v>
      </c>
      <c r="GD451">
        <v>28.141585516318482</v>
      </c>
      <c r="GE451">
        <v>41.565816187533898</v>
      </c>
      <c r="GF451">
        <v>59.040986982823419</v>
      </c>
      <c r="GG451">
        <v>71.089974638258937</v>
      </c>
      <c r="GH451">
        <v>38.507419756671823</v>
      </c>
      <c r="GI451">
        <v>58.71552273268594</v>
      </c>
      <c r="GJ451"/>
      <c r="GK451"/>
      <c r="GL451"/>
      <c r="GM451"/>
    </row>
    <row r="452" spans="1:195" s="7" customFormat="1">
      <c r="A452" s="13" t="s">
        <v>47</v>
      </c>
      <c r="B452" s="48"/>
      <c r="C452" s="107"/>
      <c r="D452" s="18"/>
      <c r="E452" s="8"/>
      <c r="F452" s="124"/>
      <c r="G452" s="173"/>
      <c r="H452" s="173"/>
      <c r="I452" s="173"/>
      <c r="J452" s="173"/>
      <c r="K452" s="173"/>
      <c r="L452" s="173"/>
      <c r="M452" s="173"/>
      <c r="N452" s="173"/>
      <c r="O452" s="173"/>
      <c r="P452" s="173"/>
      <c r="Q452" s="173"/>
      <c r="R452" s="173"/>
      <c r="S452" s="173"/>
      <c r="T452" s="173"/>
      <c r="U452" s="173"/>
      <c r="V452" s="173"/>
      <c r="W452" s="173"/>
      <c r="X452" s="173"/>
      <c r="Y452" s="173"/>
      <c r="Z452" s="173"/>
      <c r="AA452" s="173"/>
      <c r="AB452" s="173"/>
      <c r="AC452" s="173"/>
      <c r="AD452" s="173"/>
      <c r="AE452" s="173"/>
      <c r="AF452" s="173"/>
      <c r="AG452" s="173"/>
      <c r="AH452" s="173"/>
      <c r="AI452" s="173"/>
      <c r="AJ452" s="173"/>
      <c r="AK452" s="173"/>
      <c r="AL452" s="4"/>
      <c r="AM452" s="43">
        <v>436</v>
      </c>
      <c r="AN452">
        <v>301.36391417414865</v>
      </c>
      <c r="AO452">
        <v>89.393435351008094</v>
      </c>
      <c r="AP452">
        <v>660.12798402988733</v>
      </c>
      <c r="AQ452">
        <v>468.14996388140025</v>
      </c>
      <c r="AR452">
        <v>80.810717987155684</v>
      </c>
      <c r="AS452">
        <v>701.64698230838394</v>
      </c>
      <c r="AT452">
        <v>43.675717687268218</v>
      </c>
      <c r="AU452">
        <v>66.892023077360534</v>
      </c>
      <c r="AV452"/>
      <c r="AW452"/>
      <c r="FY452" s="211">
        <v>447</v>
      </c>
      <c r="FZ452">
        <v>17.913612818134215</v>
      </c>
      <c r="GA452">
        <v>53.238333206633371</v>
      </c>
      <c r="GB452">
        <v>87.11615379125044</v>
      </c>
      <c r="GC452">
        <v>54.359394635174908</v>
      </c>
      <c r="GD452">
        <v>28.498286014422291</v>
      </c>
      <c r="GE452">
        <v>65.859255333479098</v>
      </c>
      <c r="GF452">
        <v>98.025424396729989</v>
      </c>
      <c r="GG452">
        <v>57.048533460368937</v>
      </c>
      <c r="GH452">
        <v>24.262371709006388</v>
      </c>
      <c r="GI452">
        <v>66.725017415081197</v>
      </c>
      <c r="GJ452"/>
      <c r="GK452"/>
      <c r="GL452"/>
      <c r="GM452"/>
    </row>
    <row r="453" spans="1:195" s="7" customFormat="1">
      <c r="A453" s="1">
        <v>1.07207E-2</v>
      </c>
      <c r="B453" s="52" t="s">
        <v>53</v>
      </c>
      <c r="C453" s="53">
        <f>SUM(C441:C452)</f>
        <v>441.40386934072291</v>
      </c>
      <c r="D453" s="13"/>
      <c r="E453" s="13"/>
      <c r="F453" s="96"/>
      <c r="G453" s="13"/>
      <c r="H453" s="13"/>
      <c r="I453" s="14"/>
      <c r="J453" s="13"/>
      <c r="K453" s="21"/>
      <c r="L453" s="13"/>
      <c r="M453" s="14"/>
      <c r="N453" s="13"/>
      <c r="O453" s="13"/>
      <c r="P453" s="13"/>
      <c r="Q453" s="14"/>
      <c r="R453" s="14"/>
      <c r="S453" s="14"/>
      <c r="T453" s="14"/>
      <c r="U453" s="14"/>
      <c r="V453" s="13"/>
      <c r="W453" s="13"/>
      <c r="X453" s="13"/>
      <c r="Y453" s="13"/>
      <c r="Z453" s="13"/>
      <c r="AA453" s="13"/>
      <c r="AB453" s="13"/>
      <c r="AC453" s="13"/>
      <c r="AD453" s="13"/>
      <c r="AE453" s="13"/>
      <c r="AF453" s="13"/>
      <c r="AG453" s="94"/>
      <c r="AH453" s="94"/>
      <c r="AI453" s="94"/>
      <c r="AJ453" s="94"/>
      <c r="AK453" s="94"/>
      <c r="AL453" s="4"/>
      <c r="AM453" s="43">
        <v>437</v>
      </c>
      <c r="AN453">
        <v>264.0980164474019</v>
      </c>
      <c r="AO453">
        <v>81.795056597957256</v>
      </c>
      <c r="AP453">
        <v>523.52197394830921</v>
      </c>
      <c r="AQ453">
        <v>417.07395046280226</v>
      </c>
      <c r="AR453">
        <v>71.632421586614342</v>
      </c>
      <c r="AS453">
        <v>611.1872428280144</v>
      </c>
      <c r="AT453">
        <v>38.631256324617055</v>
      </c>
      <c r="AU453">
        <v>81.472537574936794</v>
      </c>
      <c r="AV453"/>
      <c r="AW453"/>
      <c r="FY453" s="211">
        <v>448</v>
      </c>
      <c r="FZ453">
        <v>2.1721126023809179</v>
      </c>
      <c r="GA453">
        <v>32.272731347227747</v>
      </c>
      <c r="GB453">
        <v>63.866523737717685</v>
      </c>
      <c r="GC453">
        <v>41.868112727492367</v>
      </c>
      <c r="GD453">
        <v>18.115638206639868</v>
      </c>
      <c r="GE453">
        <v>49.874239464815673</v>
      </c>
      <c r="GF453">
        <v>78.616197159530344</v>
      </c>
      <c r="GG453">
        <v>22.642038348101821</v>
      </c>
      <c r="GH453">
        <v>9.5673127150818154</v>
      </c>
      <c r="GI453">
        <v>45.98794214558999</v>
      </c>
      <c r="GJ453"/>
      <c r="GK453"/>
      <c r="GL453"/>
      <c r="GM453"/>
    </row>
    <row r="454" spans="1:195" s="7" customFormat="1">
      <c r="A454" s="13" t="s">
        <v>48</v>
      </c>
      <c r="B454" s="4"/>
      <c r="C454" s="83"/>
      <c r="F454" s="28"/>
      <c r="G454" s="28"/>
      <c r="H454" s="83"/>
      <c r="I454" s="4"/>
      <c r="J454" s="98"/>
      <c r="K454" s="4"/>
      <c r="L454" s="4"/>
      <c r="M454" s="4"/>
      <c r="N454" s="4"/>
      <c r="O454" s="4"/>
      <c r="P454" s="4"/>
      <c r="Q454" s="4"/>
      <c r="R454" s="4"/>
      <c r="S454" s="4"/>
      <c r="T454" s="4"/>
      <c r="U454" s="4"/>
      <c r="V454" s="4"/>
      <c r="W454" s="4"/>
      <c r="X454" s="4"/>
      <c r="Y454" s="4"/>
      <c r="Z454" s="4"/>
      <c r="AA454" s="4"/>
      <c r="AB454" s="4"/>
      <c r="AC454" s="4"/>
      <c r="AD454" s="4"/>
      <c r="AE454" s="4"/>
      <c r="AF454" s="4"/>
      <c r="AG454" s="4"/>
      <c r="AH454" s="4"/>
      <c r="AI454" s="4"/>
      <c r="AJ454" s="4"/>
      <c r="AK454" s="4"/>
      <c r="AL454" s="4"/>
      <c r="AM454" s="43">
        <v>438</v>
      </c>
      <c r="AN454">
        <v>213.46881914202194</v>
      </c>
      <c r="AO454">
        <v>71.371981322552756</v>
      </c>
      <c r="AP454">
        <v>499.63939720361094</v>
      </c>
      <c r="AQ454">
        <v>383.63326806141373</v>
      </c>
      <c r="AR454">
        <v>64.108988176142901</v>
      </c>
      <c r="AS454">
        <v>533.28387924378023</v>
      </c>
      <c r="AT454">
        <v>34.560081001154828</v>
      </c>
      <c r="AU454">
        <v>36.541402131264462</v>
      </c>
      <c r="AV454"/>
      <c r="AW454"/>
      <c r="FY454" s="211">
        <v>449</v>
      </c>
      <c r="FZ454">
        <v>8.3042504094282616</v>
      </c>
      <c r="GA454">
        <v>51.486125149807449</v>
      </c>
      <c r="GB454">
        <v>70.591247452429329</v>
      </c>
      <c r="GC454">
        <v>40.665417133848855</v>
      </c>
      <c r="GD454">
        <v>19.808573340672268</v>
      </c>
      <c r="GE454">
        <v>45.946744265731539</v>
      </c>
      <c r="GF454">
        <v>70.66462811686732</v>
      </c>
      <c r="GG454">
        <v>27.723001848654924</v>
      </c>
      <c r="GH454">
        <v>7.3295397115925152</v>
      </c>
      <c r="GI454">
        <v>46.238943363771853</v>
      </c>
      <c r="GJ454"/>
      <c r="GK454"/>
      <c r="GL454"/>
      <c r="GM454"/>
    </row>
    <row r="455" spans="1:195" s="7" customFormat="1" ht="15.75">
      <c r="A455" s="1">
        <v>-1.8893E-3</v>
      </c>
      <c r="B455" s="4"/>
      <c r="C455" s="125" t="s">
        <v>137</v>
      </c>
      <c r="D455" s="126"/>
      <c r="E455" s="81"/>
      <c r="F455" s="81"/>
      <c r="G455" s="81"/>
      <c r="H455" s="81"/>
      <c r="I455" s="81"/>
      <c r="J455" s="81"/>
      <c r="K455" s="98"/>
      <c r="L455" s="4"/>
      <c r="M455" s="4"/>
      <c r="N455" s="4"/>
      <c r="O455" s="229"/>
      <c r="P455" s="229"/>
      <c r="Q455" s="229"/>
      <c r="R455" s="229"/>
      <c r="S455" s="201"/>
      <c r="T455" s="201"/>
      <c r="U455" s="201"/>
      <c r="V455" s="201"/>
      <c r="W455" s="202"/>
      <c r="X455" s="4"/>
      <c r="Y455" s="4"/>
      <c r="Z455" s="4"/>
      <c r="AA455" s="4"/>
      <c r="AB455" s="4"/>
      <c r="AC455" s="4"/>
      <c r="AD455" s="4"/>
      <c r="AE455" s="4"/>
      <c r="AF455" s="4"/>
      <c r="AG455" s="4"/>
      <c r="AH455" s="4"/>
      <c r="AI455" s="4"/>
      <c r="AJ455" s="4"/>
      <c r="AK455" s="4"/>
      <c r="AL455" s="4"/>
      <c r="AM455" s="43">
        <v>439</v>
      </c>
      <c r="AN455">
        <v>231.12728496296549</v>
      </c>
      <c r="AO455">
        <v>71.04612785217482</v>
      </c>
      <c r="AP455">
        <v>542.09632207238201</v>
      </c>
      <c r="AQ455">
        <v>399.09709381381168</v>
      </c>
      <c r="AR455">
        <v>65.493265823617449</v>
      </c>
      <c r="AS455">
        <v>548.98398194382185</v>
      </c>
      <c r="AT455" t="e">
        <v>#DIV/0!</v>
      </c>
      <c r="AU455" t="e">
        <v>#DIV/0!</v>
      </c>
      <c r="AV455"/>
      <c r="AW455"/>
      <c r="FY455" s="211">
        <v>450</v>
      </c>
      <c r="FZ455">
        <v>27.79600629668899</v>
      </c>
      <c r="GA455">
        <v>59.279401624836041</v>
      </c>
      <c r="GB455">
        <v>84.858444157211665</v>
      </c>
      <c r="GC455">
        <v>47.526525126742158</v>
      </c>
      <c r="GD455">
        <v>13.81954759616815</v>
      </c>
      <c r="GE455">
        <v>57.502261018214895</v>
      </c>
      <c r="GF455">
        <v>121.09770920645721</v>
      </c>
      <c r="GG455">
        <v>47.025949713367375</v>
      </c>
      <c r="GH455">
        <v>1.9685137299362205</v>
      </c>
      <c r="GI455">
        <v>58.528130340727131</v>
      </c>
      <c r="GJ455"/>
      <c r="GK455"/>
      <c r="GL455"/>
      <c r="GM455"/>
    </row>
    <row r="456" spans="1:195" s="7" customFormat="1">
      <c r="A456" s="13" t="s">
        <v>116</v>
      </c>
      <c r="B456" s="4"/>
      <c r="C456" s="99" t="s">
        <v>79</v>
      </c>
      <c r="D456" s="99" t="s">
        <v>23</v>
      </c>
      <c r="E456" s="99" t="s">
        <v>80</v>
      </c>
      <c r="F456" s="99" t="s">
        <v>81</v>
      </c>
      <c r="G456" s="99" t="s">
        <v>82</v>
      </c>
      <c r="H456" s="99" t="s">
        <v>96</v>
      </c>
      <c r="I456" s="99" t="s">
        <v>134</v>
      </c>
      <c r="J456" s="99" t="s">
        <v>135</v>
      </c>
      <c r="K456" s="203" t="s">
        <v>136</v>
      </c>
      <c r="L456" s="206"/>
      <c r="M456" s="206"/>
      <c r="N456" s="206"/>
      <c r="O456" s="206"/>
      <c r="P456" s="206"/>
      <c r="Q456" s="206"/>
      <c r="R456" s="206"/>
      <c r="S456" s="206"/>
      <c r="T456" s="206"/>
      <c r="U456" s="206"/>
      <c r="V456" s="206"/>
      <c r="W456" s="206"/>
      <c r="X456" s="206"/>
      <c r="Y456" s="206"/>
      <c r="Z456" s="206"/>
      <c r="AA456" s="4"/>
      <c r="AB456" s="4"/>
      <c r="AC456" s="4"/>
      <c r="AD456" s="4"/>
      <c r="AE456" s="4"/>
      <c r="AF456" s="4"/>
      <c r="AG456" s="4"/>
      <c r="AH456" s="4"/>
      <c r="AI456" s="4"/>
      <c r="AJ456" s="4"/>
      <c r="AK456" s="4"/>
      <c r="AL456" s="4"/>
      <c r="AM456" s="43">
        <v>440</v>
      </c>
      <c r="AN456">
        <v>288.92955108440208</v>
      </c>
      <c r="AO456">
        <v>104.99744630151145</v>
      </c>
      <c r="AP456">
        <v>746.62554786645251</v>
      </c>
      <c r="AQ456">
        <v>545.02381066338864</v>
      </c>
      <c r="AR456">
        <v>94.874436139610793</v>
      </c>
      <c r="AS456">
        <v>772.3708897335689</v>
      </c>
      <c r="AT456">
        <v>51.017905714894802</v>
      </c>
      <c r="AU456">
        <v>99.268452456920343</v>
      </c>
      <c r="AV456"/>
      <c r="AW456"/>
      <c r="FY456" s="211">
        <v>451</v>
      </c>
      <c r="FZ456">
        <v>16.91309865235549</v>
      </c>
      <c r="GA456">
        <v>57.042673252055714</v>
      </c>
      <c r="GB456">
        <v>76.456237818054873</v>
      </c>
      <c r="GC456">
        <v>44.852004952510185</v>
      </c>
      <c r="GD456">
        <v>21.00539274868348</v>
      </c>
      <c r="GE456">
        <v>42.002227478969182</v>
      </c>
      <c r="GF456">
        <v>92.847508653714343</v>
      </c>
      <c r="GG456">
        <v>56.377019465340886</v>
      </c>
      <c r="GH456">
        <v>3.4628859180801554</v>
      </c>
      <c r="GI456">
        <v>54.461157954602236</v>
      </c>
      <c r="GJ456"/>
      <c r="GK456"/>
      <c r="GL456"/>
      <c r="GM456"/>
    </row>
    <row r="457" spans="1:195" s="7" customFormat="1">
      <c r="A457" s="1">
        <v>1.9354999999999999E-3</v>
      </c>
      <c r="B457" s="4"/>
      <c r="C457" s="100">
        <v>0.5</v>
      </c>
      <c r="D457" s="101">
        <f>SUM($E$228:$E$347)/$A$438</f>
        <v>0</v>
      </c>
      <c r="E457" s="97">
        <f>+G36</f>
        <v>1.3192061168748582E-3</v>
      </c>
      <c r="F457" s="102">
        <f>+D457-D459</f>
        <v>-19.24112261027668</v>
      </c>
      <c r="G457" s="101">
        <f>+D457*E457</f>
        <v>0</v>
      </c>
      <c r="H457" s="101"/>
      <c r="I457" s="101"/>
      <c r="J457" s="101"/>
      <c r="K457" s="101"/>
      <c r="L457" s="206"/>
      <c r="M457" s="206"/>
      <c r="N457" s="206"/>
      <c r="O457" s="206"/>
      <c r="P457" s="206"/>
      <c r="Q457" s="206"/>
      <c r="R457" s="206"/>
      <c r="S457" s="206"/>
      <c r="T457" s="206"/>
      <c r="U457" s="206"/>
      <c r="V457" s="206"/>
      <c r="W457" s="206"/>
      <c r="X457" s="206"/>
      <c r="Y457" s="206"/>
      <c r="Z457" s="206"/>
      <c r="AA457" s="4"/>
      <c r="AB457" s="4"/>
      <c r="AC457" s="4"/>
      <c r="AD457" s="4"/>
      <c r="AE457" s="4"/>
      <c r="AF457" s="4"/>
      <c r="AG457" s="4"/>
      <c r="AH457" s="4"/>
      <c r="AI457" s="4"/>
      <c r="AJ457" s="4"/>
      <c r="AK457" s="4"/>
      <c r="AL457" s="4"/>
      <c r="AM457" s="43">
        <v>441</v>
      </c>
      <c r="AN457">
        <v>226.01903359374722</v>
      </c>
      <c r="AO457">
        <v>67.48015932818052</v>
      </c>
      <c r="AP457">
        <v>449.92911678170162</v>
      </c>
      <c r="AQ457">
        <v>361.42437418299619</v>
      </c>
      <c r="AR457">
        <v>61.167115623920076</v>
      </c>
      <c r="AS457">
        <v>516.54387025088215</v>
      </c>
      <c r="AT457">
        <v>33.782906704796666</v>
      </c>
      <c r="AU457">
        <v>80.779388193974782</v>
      </c>
      <c r="AV457"/>
      <c r="AW457"/>
      <c r="FY457" s="211">
        <v>452</v>
      </c>
      <c r="FZ457">
        <v>6.8603257006893585</v>
      </c>
      <c r="GA457">
        <v>35.590405804605453</v>
      </c>
      <c r="GB457">
        <v>52.061237559357828</v>
      </c>
      <c r="GC457">
        <v>31.651876281974417</v>
      </c>
      <c r="GD457">
        <v>25.576097880786467</v>
      </c>
      <c r="GE457">
        <v>53.612363570008384</v>
      </c>
      <c r="GF457">
        <v>60.272787206739224</v>
      </c>
      <c r="GG457">
        <v>51.253213422660629</v>
      </c>
      <c r="GH457">
        <v>34.416975596754774</v>
      </c>
      <c r="GI457">
        <v>48.991112854359045</v>
      </c>
      <c r="GJ457"/>
      <c r="GK457"/>
      <c r="GL457"/>
      <c r="GM457"/>
    </row>
    <row r="458" spans="1:195" s="7" customFormat="1">
      <c r="A458" s="4"/>
      <c r="B458" s="4"/>
      <c r="C458" s="63"/>
      <c r="D458" s="101"/>
      <c r="E458" s="63"/>
      <c r="F458" s="63"/>
      <c r="G458" s="101"/>
      <c r="H458" s="101">
        <f>+SQRT(E457*E459)</f>
        <v>3.6079266120101414E-3</v>
      </c>
      <c r="I458" s="101">
        <f>+H458*F457</f>
        <v>-6.9420558310567274E-2</v>
      </c>
      <c r="J458" s="101">
        <f>+I458*$A$440</f>
        <v>-0.76362614141623997</v>
      </c>
      <c r="K458" s="61">
        <f>IF(J458&lt;0,0,J458)</f>
        <v>0</v>
      </c>
      <c r="L458" s="206"/>
      <c r="M458" s="206"/>
      <c r="N458" s="206"/>
      <c r="O458" s="206"/>
      <c r="P458" s="206"/>
      <c r="Q458" s="206"/>
      <c r="R458" s="206"/>
      <c r="S458" s="206"/>
      <c r="T458" s="206"/>
      <c r="U458" s="206"/>
      <c r="V458" s="206"/>
      <c r="W458" s="206"/>
      <c r="X458" s="206"/>
      <c r="Y458" s="206"/>
      <c r="Z458" s="206"/>
      <c r="AA458" s="4"/>
      <c r="AB458" s="4"/>
      <c r="AC458" s="4"/>
      <c r="AD458" s="4"/>
      <c r="AE458" s="4"/>
      <c r="AF458" s="4"/>
      <c r="AG458" s="4"/>
      <c r="AH458" s="4"/>
      <c r="AI458" s="4"/>
      <c r="AJ458" s="4"/>
      <c r="AK458" s="4"/>
      <c r="AL458" s="4"/>
      <c r="AM458" s="43">
        <v>442</v>
      </c>
      <c r="AN458">
        <v>290.98285077350477</v>
      </c>
      <c r="AO458">
        <v>94.152710790416933</v>
      </c>
      <c r="AP458">
        <v>680.21603314189792</v>
      </c>
      <c r="AQ458">
        <v>490.22710232437316</v>
      </c>
      <c r="AR458">
        <v>84.17061222806646</v>
      </c>
      <c r="AS458">
        <v>717.39534867654379</v>
      </c>
      <c r="AT458">
        <v>42.816561631737045</v>
      </c>
      <c r="AU458">
        <v>68.00467281921388</v>
      </c>
      <c r="AV458"/>
      <c r="AW458"/>
      <c r="FY458" s="211">
        <v>453</v>
      </c>
      <c r="FZ458">
        <v>25.314036308588207</v>
      </c>
      <c r="GA458">
        <v>71.183666454794277</v>
      </c>
      <c r="GB458">
        <v>82.419599316602813</v>
      </c>
      <c r="GC458">
        <v>45.372238890315472</v>
      </c>
      <c r="GD458">
        <v>16.831662569216263</v>
      </c>
      <c r="GE458">
        <v>42.510162320122618</v>
      </c>
      <c r="GF458">
        <v>84.789721056102607</v>
      </c>
      <c r="GG458">
        <v>49.22765093587504</v>
      </c>
      <c r="GH458">
        <v>18.205569305263325</v>
      </c>
      <c r="GI458">
        <v>56.086165933229729</v>
      </c>
      <c r="GJ458"/>
      <c r="GK458"/>
      <c r="GL458"/>
      <c r="GM458"/>
    </row>
    <row r="459" spans="1:195" s="7" customFormat="1">
      <c r="A459" s="4"/>
      <c r="B459" s="4"/>
      <c r="C459" s="63">
        <v>1</v>
      </c>
      <c r="D459" s="101">
        <f>SUM($F$228:$F$347)/$A$438</f>
        <v>19.24112261027668</v>
      </c>
      <c r="E459" s="97">
        <f>+H36</f>
        <v>9.8674000000000001E-3</v>
      </c>
      <c r="F459" s="102">
        <f>+D459-D461</f>
        <v>-84.96008325598909</v>
      </c>
      <c r="G459" s="101">
        <f>+D459*E459</f>
        <v>0.18985985324464411</v>
      </c>
      <c r="H459" s="101"/>
      <c r="I459" s="101"/>
      <c r="J459" s="101"/>
      <c r="K459" s="101"/>
      <c r="L459" s="206"/>
      <c r="M459" s="206"/>
      <c r="N459" s="206"/>
      <c r="O459" s="206"/>
      <c r="P459" s="206"/>
      <c r="Q459" s="206"/>
      <c r="R459" s="206"/>
      <c r="S459" s="206"/>
      <c r="T459" s="206"/>
      <c r="U459" s="206"/>
      <c r="V459" s="206"/>
      <c r="W459" s="206"/>
      <c r="X459" s="206"/>
      <c r="Y459" s="206"/>
      <c r="Z459" s="206"/>
      <c r="AA459" s="4"/>
      <c r="AB459" s="4"/>
      <c r="AC459" s="4"/>
      <c r="AD459" s="4"/>
      <c r="AE459" s="4"/>
      <c r="AF459" s="4"/>
      <c r="AG459" s="4"/>
      <c r="AH459" s="4"/>
      <c r="AI459" s="4"/>
      <c r="AJ459" s="4"/>
      <c r="AK459" s="4"/>
      <c r="AL459" s="4"/>
      <c r="AM459" s="43">
        <v>443</v>
      </c>
      <c r="AN459">
        <v>272.47618515461716</v>
      </c>
      <c r="AO459">
        <v>105.31756887872504</v>
      </c>
      <c r="AP459">
        <v>752.29576877452655</v>
      </c>
      <c r="AQ459">
        <v>570.78263145111771</v>
      </c>
      <c r="AR459">
        <v>95.737699106217804</v>
      </c>
      <c r="AS459">
        <v>776.92951295999342</v>
      </c>
      <c r="AT459">
        <v>55.423777637189488</v>
      </c>
      <c r="AU459">
        <v>132.96799920252641</v>
      </c>
      <c r="AV459"/>
      <c r="AW459"/>
      <c r="FY459" s="211">
        <v>454</v>
      </c>
      <c r="FZ459">
        <v>28.45634616136817</v>
      </c>
      <c r="GA459">
        <v>66.24245032415709</v>
      </c>
      <c r="GB459">
        <v>81.537190201939666</v>
      </c>
      <c r="GC459">
        <v>41.160010320002087</v>
      </c>
      <c r="GD459">
        <v>11.530125966839806</v>
      </c>
      <c r="GE459">
        <v>30.586950647291957</v>
      </c>
      <c r="GF459">
        <v>62.313721242692147</v>
      </c>
      <c r="GG459">
        <v>44.739735218254154</v>
      </c>
      <c r="GH459">
        <v>18.590481436693103</v>
      </c>
      <c r="GI459">
        <v>47.19020345688795</v>
      </c>
      <c r="GJ459"/>
      <c r="GK459"/>
      <c r="GL459"/>
      <c r="GM459"/>
    </row>
    <row r="460" spans="1:195" s="7" customFormat="1">
      <c r="A460" s="4"/>
      <c r="B460" s="4"/>
      <c r="C460" s="63" t="s">
        <v>99</v>
      </c>
      <c r="D460" s="101"/>
      <c r="E460" s="63"/>
      <c r="F460" s="63"/>
      <c r="G460" s="101"/>
      <c r="H460" s="101">
        <f>+SQRT(E459*E461)</f>
        <v>2.6986575180295357E-2</v>
      </c>
      <c r="I460" s="101">
        <f>+H460*F459</f>
        <v>-2.2927816741119025</v>
      </c>
      <c r="J460" s="101">
        <f>+I460*$A$440</f>
        <v>-25.220598415230928</v>
      </c>
      <c r="K460" s="61">
        <f>IF(AND(J460&lt;0, J458&lt;0), 0, J460)</f>
        <v>0</v>
      </c>
      <c r="L460" s="206"/>
      <c r="M460" s="206"/>
      <c r="N460" s="206"/>
      <c r="O460" s="206"/>
      <c r="P460" s="206"/>
      <c r="Q460" s="206"/>
      <c r="R460" s="206"/>
      <c r="S460" s="206"/>
      <c r="T460" s="206"/>
      <c r="U460" s="206"/>
      <c r="V460" s="206"/>
      <c r="W460" s="206"/>
      <c r="X460" s="206"/>
      <c r="Y460" s="206"/>
      <c r="Z460" s="206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4"/>
      <c r="AM460" s="43">
        <v>444</v>
      </c>
      <c r="AN460">
        <v>232.32516845296746</v>
      </c>
      <c r="AO460">
        <v>88.258322522674945</v>
      </c>
      <c r="AP460">
        <v>561.25625566322856</v>
      </c>
      <c r="AQ460">
        <v>449.16722586727394</v>
      </c>
      <c r="AR460">
        <v>80.672945581958217</v>
      </c>
      <c r="AS460">
        <v>645.71147839514651</v>
      </c>
      <c r="AT460">
        <v>42.484472538026104</v>
      </c>
      <c r="AU460">
        <v>114.23010834639805</v>
      </c>
      <c r="AV460"/>
      <c r="AW460"/>
      <c r="FY460" s="211">
        <v>455</v>
      </c>
      <c r="FZ460">
        <v>5.2925841493644779</v>
      </c>
      <c r="GA460">
        <v>44.261930878100422</v>
      </c>
      <c r="GB460">
        <v>95.754978767812872</v>
      </c>
      <c r="GC460">
        <v>45.786051022269703</v>
      </c>
      <c r="GD460">
        <v>24.493119122109626</v>
      </c>
      <c r="GE460">
        <v>55.30103152874873</v>
      </c>
      <c r="GF460">
        <v>42.892922513459197</v>
      </c>
      <c r="GG460">
        <v>27.792366610051488</v>
      </c>
      <c r="GH460">
        <v>10.914358244140814</v>
      </c>
      <c r="GI460">
        <v>51.20639225414736</v>
      </c>
      <c r="GJ460"/>
      <c r="GK460"/>
      <c r="GL460"/>
      <c r="GM460"/>
    </row>
    <row r="461" spans="1:195" s="7" customFormat="1">
      <c r="A461" s="4"/>
      <c r="B461" s="4"/>
      <c r="C461" s="63">
        <v>2</v>
      </c>
      <c r="D461" s="101">
        <f>SUM($G$228:$G$347)/$A$438</f>
        <v>104.20120586626577</v>
      </c>
      <c r="E461" s="97">
        <f>+I36</f>
        <v>7.3806194130341674E-2</v>
      </c>
      <c r="F461" s="102">
        <f>+D461-D463</f>
        <v>66.922054441927713</v>
      </c>
      <c r="G461" s="101">
        <f>+D461*E461</f>
        <v>7.6906944287813088</v>
      </c>
      <c r="H461" s="101"/>
      <c r="I461" s="101"/>
      <c r="J461" s="101"/>
      <c r="K461" s="101"/>
      <c r="L461" s="206"/>
      <c r="M461" s="206"/>
      <c r="N461" s="206"/>
      <c r="O461" s="206"/>
      <c r="P461" s="206"/>
      <c r="Q461" s="206"/>
      <c r="R461" s="206"/>
      <c r="S461" s="206"/>
      <c r="T461" s="206"/>
      <c r="U461" s="206"/>
      <c r="V461" s="206"/>
      <c r="W461" s="206"/>
      <c r="X461" s="206"/>
      <c r="Y461" s="206"/>
      <c r="Z461" s="206"/>
      <c r="AA461" s="4"/>
      <c r="AB461" s="4"/>
      <c r="AC461" s="4"/>
      <c r="AD461" s="4"/>
      <c r="AE461" s="4"/>
      <c r="AF461" s="4"/>
      <c r="AG461" s="4"/>
      <c r="AH461" s="4"/>
      <c r="AI461" s="4"/>
      <c r="AJ461" s="4"/>
      <c r="AK461" s="4"/>
      <c r="AL461" s="4"/>
      <c r="AM461" s="43">
        <v>445</v>
      </c>
      <c r="AN461">
        <v>258.28226996807399</v>
      </c>
      <c r="AO461">
        <v>97.844845692050583</v>
      </c>
      <c r="AP461">
        <v>684.73959621902168</v>
      </c>
      <c r="AQ461">
        <v>501.6325623805684</v>
      </c>
      <c r="AR461">
        <v>88.558472598729068</v>
      </c>
      <c r="AS461">
        <v>752.42160925601343</v>
      </c>
      <c r="AT461">
        <v>49.105705044948017</v>
      </c>
      <c r="AU461">
        <v>55.355961106764326</v>
      </c>
      <c r="AV461"/>
      <c r="AW461"/>
      <c r="FY461" s="211">
        <v>456</v>
      </c>
      <c r="FZ461">
        <v>14.235887861337497</v>
      </c>
      <c r="GA461">
        <v>42.337026759768293</v>
      </c>
      <c r="GB461">
        <v>107.72532576717187</v>
      </c>
      <c r="GC461">
        <v>63.481796665971679</v>
      </c>
      <c r="GD461">
        <v>26.002098133640128</v>
      </c>
      <c r="GE461">
        <v>53.818122938018988</v>
      </c>
      <c r="GF461">
        <v>100.06059227697352</v>
      </c>
      <c r="GG461">
        <v>71.704381584713232</v>
      </c>
      <c r="GH461">
        <v>15.810188856006832</v>
      </c>
      <c r="GI461">
        <v>69.265953681786385</v>
      </c>
      <c r="GJ461"/>
      <c r="GK461"/>
      <c r="GL461"/>
      <c r="GM461"/>
    </row>
    <row r="462" spans="1:195" s="7" customFormat="1">
      <c r="A462" s="4"/>
      <c r="B462" s="4"/>
      <c r="C462" s="63"/>
      <c r="D462" s="101"/>
      <c r="E462" s="63"/>
      <c r="F462" s="63"/>
      <c r="G462" s="101"/>
      <c r="H462" s="101">
        <f>+SQRT(E461*E463)</f>
        <v>0.13295028532693448</v>
      </c>
      <c r="I462" s="101">
        <f>+H462*F461</f>
        <v>8.8973062327189325</v>
      </c>
      <c r="J462" s="101">
        <f>+I462*$A$440</f>
        <v>97.870368559908258</v>
      </c>
      <c r="K462" s="61">
        <f>IF(AND(J462&lt;0, J460&lt;0), 0, J462)</f>
        <v>97.870368559908258</v>
      </c>
      <c r="L462" s="206"/>
      <c r="M462" s="206"/>
      <c r="N462" s="206"/>
      <c r="O462" s="206"/>
      <c r="P462" s="206"/>
      <c r="Q462" s="206"/>
      <c r="R462" s="206"/>
      <c r="S462" s="206"/>
      <c r="T462" s="206"/>
      <c r="U462" s="206"/>
      <c r="V462" s="206"/>
      <c r="W462" s="206"/>
      <c r="X462" s="206"/>
      <c r="Y462" s="206"/>
      <c r="Z462" s="206"/>
      <c r="AA462" s="4"/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4"/>
      <c r="AM462" s="43">
        <v>446</v>
      </c>
      <c r="AN462">
        <v>273.55232090785307</v>
      </c>
      <c r="AO462">
        <v>92.367394567524741</v>
      </c>
      <c r="AP462">
        <v>645.88822626821923</v>
      </c>
      <c r="AQ462">
        <v>494.9814451420616</v>
      </c>
      <c r="AR462">
        <v>85.172638991148872</v>
      </c>
      <c r="AS462">
        <v>693.54636582280853</v>
      </c>
      <c r="AT462">
        <v>46.32278419451476</v>
      </c>
      <c r="AU462">
        <v>114.43409828534996</v>
      </c>
      <c r="AV462"/>
      <c r="AW462"/>
      <c r="FY462" s="211">
        <v>457</v>
      </c>
      <c r="FZ462">
        <v>11.684768795826875</v>
      </c>
      <c r="GA462">
        <v>48.244376475187416</v>
      </c>
      <c r="GB462">
        <v>74.808439938988272</v>
      </c>
      <c r="GC462">
        <v>43.524152913844134</v>
      </c>
      <c r="GD462">
        <v>25.050644574956362</v>
      </c>
      <c r="GE462">
        <v>72.75383983995971</v>
      </c>
      <c r="GF462">
        <v>101.7895837796423</v>
      </c>
      <c r="GG462">
        <v>58.188840794756779</v>
      </c>
      <c r="GH462">
        <v>36.003398192461304</v>
      </c>
      <c r="GI462">
        <v>63.041300754055598</v>
      </c>
      <c r="GJ462"/>
      <c r="GK462"/>
      <c r="GL462"/>
      <c r="GM462"/>
    </row>
    <row r="463" spans="1:195" s="7" customFormat="1">
      <c r="A463" s="4"/>
      <c r="B463" s="4"/>
      <c r="C463" s="63">
        <v>3</v>
      </c>
      <c r="D463" s="101">
        <f>SUM($H$228:$H$347)/$A$438</f>
        <v>37.279151424338046</v>
      </c>
      <c r="E463" s="97">
        <f>+J36</f>
        <v>0.23948909135319835</v>
      </c>
      <c r="F463" s="102">
        <f>+D463-D465</f>
        <v>-5.3184091616679225</v>
      </c>
      <c r="G463" s="101">
        <f>+D463*E463</f>
        <v>8.9279501010330087</v>
      </c>
      <c r="H463" s="101"/>
      <c r="I463" s="101"/>
      <c r="J463" s="101"/>
      <c r="K463" s="101"/>
      <c r="L463" s="206"/>
      <c r="M463" s="206"/>
      <c r="N463" s="206"/>
      <c r="O463" s="206"/>
      <c r="P463" s="206"/>
      <c r="Q463" s="206"/>
      <c r="R463" s="206"/>
      <c r="S463" s="206"/>
      <c r="T463" s="206"/>
      <c r="U463" s="206"/>
      <c r="V463" s="206"/>
      <c r="W463" s="206"/>
      <c r="X463" s="206"/>
      <c r="Y463" s="206"/>
      <c r="Z463" s="206"/>
      <c r="AA463" s="4"/>
      <c r="AB463" s="4"/>
      <c r="AC463" s="4"/>
      <c r="AD463" s="4"/>
      <c r="AE463" s="4"/>
      <c r="AF463" s="4"/>
      <c r="AG463" s="4"/>
      <c r="AH463" s="4"/>
      <c r="AI463" s="4"/>
      <c r="AJ463" s="4"/>
      <c r="AK463" s="4"/>
      <c r="AL463" s="4"/>
      <c r="AM463" s="43">
        <v>447</v>
      </c>
      <c r="AN463">
        <v>259.98767911952507</v>
      </c>
      <c r="AO463">
        <v>105.89055635979253</v>
      </c>
      <c r="AP463">
        <v>729.69450337995283</v>
      </c>
      <c r="AQ463">
        <v>553.04638278028096</v>
      </c>
      <c r="AR463">
        <v>94.999246513344616</v>
      </c>
      <c r="AS463">
        <v>696.38026025321756</v>
      </c>
      <c r="AT463">
        <v>51.826524842828377</v>
      </c>
      <c r="AU463">
        <v>51.326728652223139</v>
      </c>
      <c r="AV463"/>
      <c r="AW463"/>
      <c r="FY463" s="211">
        <v>458</v>
      </c>
      <c r="FZ463">
        <v>13.161922822055164</v>
      </c>
      <c r="GA463">
        <v>61.970841353759987</v>
      </c>
      <c r="GB463">
        <v>78.701902682158391</v>
      </c>
      <c r="GC463">
        <v>40.779091953103887</v>
      </c>
      <c r="GD463">
        <v>25.099796716956043</v>
      </c>
      <c r="GE463">
        <v>65.06746156916914</v>
      </c>
      <c r="GF463">
        <v>112.12499292583591</v>
      </c>
      <c r="GG463">
        <v>78.127737397017526</v>
      </c>
      <c r="GH463">
        <v>32.305278001951983</v>
      </c>
      <c r="GI463">
        <v>66.158675895192218</v>
      </c>
      <c r="GJ463"/>
      <c r="GK463"/>
      <c r="GL463"/>
      <c r="GM463"/>
    </row>
    <row r="464" spans="1:195" s="7" customFormat="1">
      <c r="A464" s="4"/>
      <c r="B464" s="4"/>
      <c r="C464" s="63"/>
      <c r="D464" s="101"/>
      <c r="E464" s="63"/>
      <c r="F464" s="63"/>
      <c r="G464" s="101"/>
      <c r="H464" s="101">
        <f>+SQRT(E463*E465)</f>
        <v>0.36360873889951112</v>
      </c>
      <c r="I464" s="101">
        <f>+H464*F463</f>
        <v>-1.9338200482256795</v>
      </c>
      <c r="J464" s="101">
        <f>+I464*$A$440</f>
        <v>-21.272020530482475</v>
      </c>
      <c r="K464" s="61">
        <f>IF(AND(J464&lt;0, J462&lt;0), 0, J464)</f>
        <v>-21.272020530482475</v>
      </c>
      <c r="L464" s="206"/>
      <c r="M464" s="206"/>
      <c r="N464" s="206"/>
      <c r="O464" s="206"/>
      <c r="P464" s="206"/>
      <c r="Q464" s="206"/>
      <c r="R464" s="206"/>
      <c r="S464" s="206"/>
      <c r="T464" s="206"/>
      <c r="U464" s="206"/>
      <c r="V464" s="206"/>
      <c r="W464" s="206"/>
      <c r="X464" s="206"/>
      <c r="Y464" s="206"/>
      <c r="Z464" s="206"/>
      <c r="AA464" s="4"/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L464" s="4"/>
      <c r="AM464" s="43">
        <v>448</v>
      </c>
      <c r="AN464">
        <v>240.49374209151588</v>
      </c>
      <c r="AO464">
        <v>73.066045771422154</v>
      </c>
      <c r="AP464">
        <v>494.08697510381154</v>
      </c>
      <c r="AQ464">
        <v>364.98284845457829</v>
      </c>
      <c r="AR464">
        <v>63.655652648042036</v>
      </c>
      <c r="AS464">
        <v>535.1898428492658</v>
      </c>
      <c r="AT464">
        <v>33.191229606585189</v>
      </c>
      <c r="AU464">
        <v>32.558816423945132</v>
      </c>
      <c r="AV464"/>
      <c r="AW464"/>
      <c r="FY464" s="211">
        <v>459</v>
      </c>
      <c r="FZ464">
        <v>17.575177851385831</v>
      </c>
      <c r="GA464">
        <v>63.50204893180161</v>
      </c>
      <c r="GB464">
        <v>82.709960232529056</v>
      </c>
      <c r="GC464">
        <v>48.270503452719105</v>
      </c>
      <c r="GD464">
        <v>33.025045943818519</v>
      </c>
      <c r="GE464">
        <v>68.173527555009684</v>
      </c>
      <c r="GF464">
        <v>84.227765953883349</v>
      </c>
      <c r="GG464">
        <v>45.638795735280723</v>
      </c>
      <c r="GH464">
        <v>9.013098815144156</v>
      </c>
      <c r="GI464">
        <v>62.706017442156636</v>
      </c>
      <c r="GJ464"/>
      <c r="GK464"/>
      <c r="GL464"/>
      <c r="GM464"/>
    </row>
    <row r="465" spans="1:195" s="7" customFormat="1">
      <c r="A465" s="4"/>
      <c r="B465" s="4"/>
      <c r="C465" s="63">
        <v>4</v>
      </c>
      <c r="D465" s="101">
        <f>SUM($I$228:$I$347)/$A$438</f>
        <v>42.597560586005969</v>
      </c>
      <c r="E465" s="97">
        <f>+K36</f>
        <v>0.55205568761838808</v>
      </c>
      <c r="F465" s="102">
        <f>+D465-D467</f>
        <v>24.568095011897533</v>
      </c>
      <c r="G465" s="101">
        <f>+D465*E465</f>
        <v>23.51622560017347</v>
      </c>
      <c r="H465" s="101"/>
      <c r="I465" s="101"/>
      <c r="J465" s="101"/>
      <c r="K465" s="101"/>
      <c r="L465" s="206"/>
      <c r="M465" s="206"/>
      <c r="N465" s="206"/>
      <c r="O465" s="206"/>
      <c r="P465" s="206"/>
      <c r="Q465" s="206"/>
      <c r="R465" s="206"/>
      <c r="S465" s="206"/>
      <c r="T465" s="206"/>
      <c r="U465" s="206"/>
      <c r="V465" s="206"/>
      <c r="W465" s="206"/>
      <c r="X465" s="206"/>
      <c r="Y465" s="206"/>
      <c r="Z465" s="206"/>
      <c r="AA465" s="4"/>
      <c r="AB465" s="4"/>
      <c r="AC465" s="4"/>
      <c r="AD465" s="4"/>
      <c r="AE465" s="4"/>
      <c r="AF465" s="4"/>
      <c r="AG465" s="4"/>
      <c r="AH465" s="4"/>
      <c r="AI465" s="4"/>
      <c r="AJ465" s="4"/>
      <c r="AK465" s="4"/>
      <c r="AL465" s="4"/>
      <c r="AM465" s="43">
        <v>449</v>
      </c>
      <c r="AN465">
        <v>243.60169874564016</v>
      </c>
      <c r="AO465">
        <v>71.44230962254295</v>
      </c>
      <c r="AP465">
        <v>491.61598847967736</v>
      </c>
      <c r="AQ465">
        <v>388.75847079280436</v>
      </c>
      <c r="AR465">
        <v>63.864114889772488</v>
      </c>
      <c r="AS465">
        <v>547.72618641852341</v>
      </c>
      <c r="AT465">
        <v>36.496826390052099</v>
      </c>
      <c r="AU465">
        <v>86.507759592851329</v>
      </c>
      <c r="AV465"/>
      <c r="AW465"/>
      <c r="FY465" s="211">
        <v>460</v>
      </c>
      <c r="FZ465">
        <v>13.382086896797759</v>
      </c>
      <c r="GA465">
        <v>46.855700077259243</v>
      </c>
      <c r="GB465">
        <v>71.040252398857618</v>
      </c>
      <c r="GC465">
        <v>45.501584706053777</v>
      </c>
      <c r="GD465">
        <v>23.80896079898567</v>
      </c>
      <c r="GE465">
        <v>50.105250230113988</v>
      </c>
      <c r="GF465">
        <v>87.831959987745194</v>
      </c>
      <c r="GG465">
        <v>76.65899239944244</v>
      </c>
      <c r="GH465">
        <v>48.13159308238744</v>
      </c>
      <c r="GI465">
        <v>61.095265633932492</v>
      </c>
      <c r="GJ465"/>
      <c r="GK465"/>
      <c r="GL465"/>
      <c r="GM465"/>
    </row>
    <row r="466" spans="1:195" s="7" customFormat="1">
      <c r="A466" s="4"/>
      <c r="B466" s="4"/>
      <c r="C466" s="63"/>
      <c r="D466" s="101"/>
      <c r="E466" s="63"/>
      <c r="F466" s="63"/>
      <c r="G466" s="101"/>
      <c r="H466" s="101">
        <f>+SQRT(E465*E467)</f>
        <v>0.76321653807740419</v>
      </c>
      <c r="I466" s="101">
        <f>+H466*F465</f>
        <v>18.750776422137179</v>
      </c>
      <c r="J466" s="101">
        <f>+I466*$A$440</f>
        <v>206.25854064350898</v>
      </c>
      <c r="K466" s="61">
        <f>IF(AND(J466&lt;0, J464&lt;0), 0, J466)</f>
        <v>206.25854064350898</v>
      </c>
      <c r="L466" s="206"/>
      <c r="M466" s="206"/>
      <c r="N466" s="206"/>
      <c r="O466" s="206"/>
      <c r="P466" s="206"/>
      <c r="Q466" s="206"/>
      <c r="R466" s="206"/>
      <c r="S466" s="206"/>
      <c r="T466" s="206"/>
      <c r="U466" s="206"/>
      <c r="V466" s="206"/>
      <c r="W466" s="206"/>
      <c r="X466" s="206"/>
      <c r="Y466" s="206"/>
      <c r="Z466" s="206"/>
      <c r="AA466" s="4"/>
      <c r="AB466" s="4"/>
      <c r="AC466" s="4"/>
      <c r="AD466" s="4"/>
      <c r="AE466" s="4"/>
      <c r="AF466" s="4"/>
      <c r="AG466" s="4"/>
      <c r="AH466" s="4"/>
      <c r="AI466" s="4"/>
      <c r="AJ466" s="4"/>
      <c r="AK466" s="4"/>
      <c r="AL466" s="4"/>
      <c r="AM466" s="43">
        <v>450</v>
      </c>
      <c r="AN466">
        <v>323.39744465878869</v>
      </c>
      <c r="AO466">
        <v>92.43432991124736</v>
      </c>
      <c r="AP466">
        <v>707.6373978526052</v>
      </c>
      <c r="AQ466">
        <v>519.40248881034984</v>
      </c>
      <c r="AR466">
        <v>81.820949301093094</v>
      </c>
      <c r="AS466">
        <v>663.9230002702667</v>
      </c>
      <c r="AT466">
        <v>41.721662752012072</v>
      </c>
      <c r="AU466">
        <v>88.017649505927992</v>
      </c>
      <c r="AV466"/>
      <c r="AW466"/>
      <c r="FY466" s="211">
        <v>461</v>
      </c>
      <c r="FZ466">
        <v>31.286411109611592</v>
      </c>
      <c r="GA466">
        <v>69.02299743096431</v>
      </c>
      <c r="GB466">
        <v>88.564303594545493</v>
      </c>
      <c r="GC466">
        <v>50.616173002226077</v>
      </c>
      <c r="GD466">
        <v>23.882558901962362</v>
      </c>
      <c r="GE466">
        <v>63.762253825992858</v>
      </c>
      <c r="GF466">
        <v>80.828856808721653</v>
      </c>
      <c r="GG466">
        <v>45.891131176663869</v>
      </c>
      <c r="GH466">
        <v>31.018776253071724</v>
      </c>
      <c r="GI466">
        <v>64.347142673244832</v>
      </c>
      <c r="GJ466"/>
      <c r="GK466"/>
      <c r="GL466"/>
      <c r="GM466"/>
    </row>
    <row r="467" spans="1:195" s="7" customFormat="1">
      <c r="A467" s="4"/>
      <c r="B467" s="4"/>
      <c r="C467" s="63">
        <v>5</v>
      </c>
      <c r="D467" s="101">
        <f>SUM($J$228:$J$347)/$A$438</f>
        <v>18.029465574108436</v>
      </c>
      <c r="E467" s="97">
        <f>L36</f>
        <v>1.0551462416913167</v>
      </c>
      <c r="F467" s="102">
        <f>+D467-D469</f>
        <v>11.697008348794068</v>
      </c>
      <c r="G467" s="101">
        <f>+D467*E467</f>
        <v>19.023722840223492</v>
      </c>
      <c r="H467" s="101"/>
      <c r="I467" s="101"/>
      <c r="J467" s="101"/>
      <c r="K467" s="101"/>
      <c r="L467" s="206"/>
      <c r="M467" s="206"/>
      <c r="N467" s="206"/>
      <c r="O467" s="206"/>
      <c r="P467" s="206"/>
      <c r="Q467" s="206"/>
      <c r="R467" s="206"/>
      <c r="S467" s="206"/>
      <c r="T467" s="206"/>
      <c r="U467" s="206"/>
      <c r="V467" s="206"/>
      <c r="W467" s="206"/>
      <c r="X467" s="206"/>
      <c r="Y467" s="206"/>
      <c r="Z467" s="206"/>
      <c r="AA467" s="4"/>
      <c r="AB467" s="4"/>
      <c r="AC467" s="4"/>
      <c r="AD467" s="4"/>
      <c r="AE467" s="4"/>
      <c r="AF467" s="4"/>
      <c r="AG467" s="4"/>
      <c r="AH467" s="4"/>
      <c r="AI467" s="4"/>
      <c r="AJ467" s="4"/>
      <c r="AK467" s="4"/>
      <c r="AL467" s="4"/>
      <c r="AM467" s="43">
        <v>451</v>
      </c>
      <c r="AN467">
        <v>263.71055199126448</v>
      </c>
      <c r="AO467">
        <v>86.534551278686109</v>
      </c>
      <c r="AP467">
        <v>634.53857096168599</v>
      </c>
      <c r="AQ467">
        <v>465.42020689436652</v>
      </c>
      <c r="AR467">
        <v>78.395014433117851</v>
      </c>
      <c r="AS467">
        <v>674.07540554054799</v>
      </c>
      <c r="AT467">
        <v>43.511036102842866</v>
      </c>
      <c r="AU467">
        <v>74.256169509268588</v>
      </c>
      <c r="AV467"/>
      <c r="AW467"/>
      <c r="FY467" s="211">
        <v>462</v>
      </c>
      <c r="FZ467">
        <v>32.675832248518489</v>
      </c>
      <c r="GA467">
        <v>56.421083544605779</v>
      </c>
      <c r="GB467">
        <v>62.285855990267095</v>
      </c>
      <c r="GC467">
        <v>41.034981283613604</v>
      </c>
      <c r="GD467">
        <v>15.86080424741653</v>
      </c>
      <c r="GE467">
        <v>32.860055143861231</v>
      </c>
      <c r="GF467">
        <v>77.544963451983165</v>
      </c>
      <c r="GG467">
        <v>67.415768654877013</v>
      </c>
      <c r="GH467">
        <v>38.832285716175193</v>
      </c>
      <c r="GI467">
        <v>52.482601543464639</v>
      </c>
      <c r="GJ467"/>
      <c r="GK467"/>
      <c r="GL467"/>
      <c r="GM467"/>
    </row>
    <row r="468" spans="1:195" s="7" customFormat="1">
      <c r="A468" s="4"/>
      <c r="B468" s="4"/>
      <c r="C468" s="63"/>
      <c r="D468" s="101"/>
      <c r="E468" s="63"/>
      <c r="F468" s="63"/>
      <c r="G468" s="101"/>
      <c r="H468" s="101">
        <f>+SQRT(E467*E469)</f>
        <v>1.3748149149166309</v>
      </c>
      <c r="I468" s="101">
        <f>+H468*F467</f>
        <v>16.081221537826437</v>
      </c>
      <c r="J468" s="101">
        <f>+I468*$A$440</f>
        <v>176.89343691609082</v>
      </c>
      <c r="K468" s="61">
        <f>IF(AND(J468&lt;0, J466&lt;0), 0, J468)</f>
        <v>176.89343691609082</v>
      </c>
      <c r="L468" s="206"/>
      <c r="M468" s="206"/>
      <c r="N468" s="206"/>
      <c r="O468" s="206"/>
      <c r="P468" s="206"/>
      <c r="Q468" s="206"/>
      <c r="R468" s="206"/>
      <c r="S468" s="206"/>
      <c r="T468" s="206"/>
      <c r="U468" s="206"/>
      <c r="V468" s="206"/>
      <c r="W468" s="206"/>
      <c r="X468" s="206"/>
      <c r="Y468" s="206"/>
      <c r="Z468" s="206"/>
      <c r="AA468" s="4"/>
      <c r="AB468" s="4"/>
      <c r="AC468" s="4"/>
      <c r="AD468" s="4"/>
      <c r="AE468" s="4"/>
      <c r="AF468" s="4"/>
      <c r="AG468" s="4"/>
      <c r="AH468" s="4"/>
      <c r="AI468" s="4"/>
      <c r="AJ468" s="4"/>
      <c r="AK468" s="4"/>
      <c r="AL468" s="4"/>
      <c r="AM468" s="43">
        <v>452</v>
      </c>
      <c r="AN468">
        <v>200.35339909561984</v>
      </c>
      <c r="AO468">
        <v>78.61264161553315</v>
      </c>
      <c r="AP468">
        <v>529.89185036570711</v>
      </c>
      <c r="AQ468">
        <v>400.28639587793555</v>
      </c>
      <c r="AR468">
        <v>70.712073762726149</v>
      </c>
      <c r="AS468">
        <v>553.80766434345503</v>
      </c>
      <c r="AT468" t="e">
        <v>#DIV/0!</v>
      </c>
      <c r="AU468" t="e">
        <v>#DIV/0!</v>
      </c>
      <c r="AV468"/>
      <c r="AW468"/>
      <c r="FY468" s="211">
        <v>463</v>
      </c>
      <c r="FZ468">
        <v>4.8389998890938264</v>
      </c>
      <c r="GA468">
        <v>33.625337147313346</v>
      </c>
      <c r="GB468">
        <v>65.504137312745826</v>
      </c>
      <c r="GC468">
        <v>40.253264713198732</v>
      </c>
      <c r="GD468">
        <v>19.839891237194216</v>
      </c>
      <c r="GE468">
        <v>49.046812947002849</v>
      </c>
      <c r="GF468">
        <v>98.654439384872674</v>
      </c>
      <c r="GG468">
        <v>79.855967603818598</v>
      </c>
      <c r="GH468">
        <v>43.779009765059385</v>
      </c>
      <c r="GI468">
        <v>57.653482883404862</v>
      </c>
      <c r="GJ468"/>
      <c r="GK468"/>
      <c r="GL468"/>
      <c r="GM468"/>
    </row>
    <row r="469" spans="1:195" s="7" customFormat="1">
      <c r="A469" s="4"/>
      <c r="B469" s="4"/>
      <c r="C469" s="63">
        <v>6</v>
      </c>
      <c r="D469" s="101">
        <f>SUM($K$228:$K$347)/$A$438</f>
        <v>6.3324572253143678</v>
      </c>
      <c r="E469" s="97">
        <f>M36</f>
        <v>1.7913308843781834</v>
      </c>
      <c r="F469" s="102">
        <f>+D469-D471</f>
        <v>4.9023397237682946</v>
      </c>
      <c r="G469" s="101">
        <f>+D469*E469</f>
        <v>11.343526201709404</v>
      </c>
      <c r="H469" s="101"/>
      <c r="I469" s="101"/>
      <c r="J469" s="101"/>
      <c r="K469" s="101"/>
      <c r="L469" s="206"/>
      <c r="M469" s="206"/>
      <c r="N469" s="206"/>
      <c r="O469" s="206"/>
      <c r="P469" s="206"/>
      <c r="Q469" s="206"/>
      <c r="R469" s="206"/>
      <c r="S469" s="206"/>
      <c r="T469" s="206"/>
      <c r="U469" s="206"/>
      <c r="V469" s="206"/>
      <c r="W469" s="206"/>
      <c r="X469" s="206"/>
      <c r="Y469" s="206"/>
      <c r="Z469" s="206"/>
      <c r="AA469" s="4"/>
      <c r="AB469" s="4"/>
      <c r="AC469" s="4"/>
      <c r="AD469" s="4"/>
      <c r="AE469" s="4"/>
      <c r="AF469" s="4"/>
      <c r="AG469" s="4"/>
      <c r="AH469" s="4"/>
      <c r="AI469" s="4"/>
      <c r="AJ469" s="4"/>
      <c r="AK469" s="4"/>
      <c r="AL469" s="4"/>
      <c r="AM469" s="43">
        <v>453</v>
      </c>
      <c r="AN469">
        <v>279.34716609519955</v>
      </c>
      <c r="AO469">
        <v>90.271226931481877</v>
      </c>
      <c r="AP469">
        <v>692.0222895752604</v>
      </c>
      <c r="AQ469">
        <v>491.9404730901104</v>
      </c>
      <c r="AR469">
        <v>80.46642597564346</v>
      </c>
      <c r="AS469">
        <v>646.27525218488154</v>
      </c>
      <c r="AT469">
        <v>42.369058169698903</v>
      </c>
      <c r="AU469">
        <v>74.770360020025294</v>
      </c>
      <c r="AV469"/>
      <c r="AW469"/>
      <c r="FY469" s="211">
        <v>464</v>
      </c>
      <c r="FZ469">
        <v>5.9890946631954129</v>
      </c>
      <c r="GA469">
        <v>43.197685353017803</v>
      </c>
      <c r="GB469">
        <v>86.452337076241747</v>
      </c>
      <c r="GC469">
        <v>44.756776505677436</v>
      </c>
      <c r="GD469">
        <v>12.873808784059131</v>
      </c>
      <c r="GE469">
        <v>31.68468668163236</v>
      </c>
      <c r="GF469">
        <v>60.208368130906592</v>
      </c>
      <c r="GG469">
        <v>35.526322123960568</v>
      </c>
      <c r="GH469">
        <v>13.746770263928351</v>
      </c>
      <c r="GI469">
        <v>45.540577520091503</v>
      </c>
      <c r="GJ469"/>
      <c r="GK469"/>
      <c r="GL469"/>
      <c r="GM469"/>
    </row>
    <row r="470" spans="1:195" s="7" customFormat="1">
      <c r="A470" s="4"/>
      <c r="B470" s="4"/>
      <c r="C470" s="63"/>
      <c r="D470" s="101"/>
      <c r="E470" s="63"/>
      <c r="F470" s="63"/>
      <c r="G470" s="101"/>
      <c r="H470" s="101">
        <f>+SQRT(E469*E471)</f>
        <v>2.2405213093543956</v>
      </c>
      <c r="I470" s="101">
        <f>+H470*F469</f>
        <v>10.983796616797406</v>
      </c>
      <c r="J470" s="101">
        <f>+I470*$A$440</f>
        <v>120.82176278477147</v>
      </c>
      <c r="K470" s="61">
        <f>IF(AND(J470&lt;0, J468&lt;0), 0, J470)</f>
        <v>120.82176278477147</v>
      </c>
      <c r="L470" s="206"/>
      <c r="M470" s="206"/>
      <c r="N470" s="206"/>
      <c r="O470" s="206"/>
      <c r="P470" s="206"/>
      <c r="Q470" s="206"/>
      <c r="R470" s="206"/>
      <c r="S470" s="206"/>
      <c r="T470" s="206"/>
      <c r="U470" s="206"/>
      <c r="V470" s="206"/>
      <c r="W470" s="206"/>
      <c r="X470" s="206"/>
      <c r="Y470" s="206"/>
      <c r="Z470" s="206"/>
      <c r="AA470" s="4"/>
      <c r="AB470" s="4"/>
      <c r="AC470" s="4"/>
      <c r="AD470" s="4"/>
      <c r="AE470" s="4"/>
      <c r="AF470" s="4"/>
      <c r="AG470" s="4"/>
      <c r="AH470" s="4"/>
      <c r="AI470" s="4"/>
      <c r="AJ470" s="4"/>
      <c r="AK470" s="4"/>
      <c r="AL470" s="4"/>
      <c r="AM470" s="43">
        <v>454</v>
      </c>
      <c r="AN470">
        <v>277.18374065987052</v>
      </c>
      <c r="AO470">
        <v>74.433776694868669</v>
      </c>
      <c r="AP470">
        <v>588.06392174011921</v>
      </c>
      <c r="AQ470">
        <v>432.34721497612617</v>
      </c>
      <c r="AR470">
        <v>67.549789250979728</v>
      </c>
      <c r="AS470">
        <v>609.18218127832938</v>
      </c>
      <c r="AT470">
        <v>34.781691716757059</v>
      </c>
      <c r="AU470">
        <v>70.790343807871821</v>
      </c>
      <c r="AV470"/>
      <c r="AW470"/>
      <c r="FY470" s="211">
        <v>465</v>
      </c>
      <c r="FZ470">
        <v>20.749241852144785</v>
      </c>
      <c r="GA470">
        <v>58.460821065502785</v>
      </c>
      <c r="GB470">
        <v>51.189040061374165</v>
      </c>
      <c r="GC470">
        <v>28.670830726225688</v>
      </c>
      <c r="GD470">
        <v>14.275319224900441</v>
      </c>
      <c r="GE470">
        <v>30.144680710016239</v>
      </c>
      <c r="GF470">
        <v>70.595038943676258</v>
      </c>
      <c r="GG470">
        <v>78.071179978019302</v>
      </c>
      <c r="GH470">
        <v>55.946836119546866</v>
      </c>
      <c r="GI470">
        <v>48.991565782391014</v>
      </c>
      <c r="GJ470"/>
      <c r="GK470"/>
      <c r="GL470"/>
      <c r="GM470"/>
    </row>
    <row r="471" spans="1:195" s="7" customFormat="1">
      <c r="A471" s="4"/>
      <c r="B471" s="4"/>
      <c r="C471" s="63">
        <v>7</v>
      </c>
      <c r="D471" s="101">
        <f>SUM($L$228:$L$347)/$A$438</f>
        <v>1.430117501546073</v>
      </c>
      <c r="E471" s="97">
        <f>+N36</f>
        <v>2.8023497955899321</v>
      </c>
      <c r="F471" s="102">
        <f>+D471-D473</f>
        <v>1.2175324675324675</v>
      </c>
      <c r="G471" s="101">
        <f>+D471*E471</f>
        <v>4.0076894881272223</v>
      </c>
      <c r="H471" s="101"/>
      <c r="I471" s="101"/>
      <c r="J471" s="101"/>
      <c r="K471" s="101"/>
      <c r="L471" s="206"/>
      <c r="M471" s="206"/>
      <c r="N471" s="206"/>
      <c r="O471" s="206"/>
      <c r="P471" s="206"/>
      <c r="Q471" s="206"/>
      <c r="R471" s="206"/>
      <c r="S471" s="206"/>
      <c r="T471" s="206"/>
      <c r="U471" s="206"/>
      <c r="V471" s="206"/>
      <c r="W471" s="206"/>
      <c r="X471" s="206"/>
      <c r="Y471" s="206"/>
      <c r="Z471" s="206"/>
      <c r="AA471" s="4"/>
      <c r="AB471" s="4"/>
      <c r="AC471" s="4"/>
      <c r="AD471" s="4"/>
      <c r="AE471" s="4"/>
      <c r="AF471" s="4"/>
      <c r="AG471" s="4"/>
      <c r="AH471" s="4"/>
      <c r="AI471" s="4"/>
      <c r="AJ471" s="4"/>
      <c r="AK471" s="4"/>
      <c r="AL471" s="4"/>
      <c r="AM471" s="43">
        <v>455</v>
      </c>
      <c r="AN471">
        <v>234.11520047083144</v>
      </c>
      <c r="AO471">
        <v>80.071877265118388</v>
      </c>
      <c r="AP471">
        <v>517.37181837586184</v>
      </c>
      <c r="AQ471">
        <v>403.69573509020472</v>
      </c>
      <c r="AR471">
        <v>72.945516116953726</v>
      </c>
      <c r="AS471">
        <v>613.19302941694286</v>
      </c>
      <c r="AT471">
        <v>41.779166339180584</v>
      </c>
      <c r="AU471">
        <v>105.77205429848411</v>
      </c>
      <c r="AV471"/>
      <c r="AW471"/>
      <c r="FY471" s="211">
        <v>466</v>
      </c>
      <c r="FZ471">
        <v>22.918289737393721</v>
      </c>
      <c r="GA471">
        <v>54.552852702024722</v>
      </c>
      <c r="GB471">
        <v>82.826572883190423</v>
      </c>
      <c r="GC471">
        <v>49.352343822700576</v>
      </c>
      <c r="GD471">
        <v>26.064610760743324</v>
      </c>
      <c r="GE471">
        <v>63.327320947959898</v>
      </c>
      <c r="GF471">
        <v>114.80683594002844</v>
      </c>
      <c r="GG471">
        <v>116.70222701295356</v>
      </c>
      <c r="GH471">
        <v>76.715951595641201</v>
      </c>
      <c r="GI471">
        <v>77.430336427018958</v>
      </c>
      <c r="GJ471"/>
      <c r="GK471"/>
      <c r="GL471"/>
      <c r="GM471"/>
    </row>
    <row r="472" spans="1:195" s="7" customFormat="1">
      <c r="A472" s="4"/>
      <c r="B472" s="4"/>
      <c r="C472" s="63"/>
      <c r="D472" s="101"/>
      <c r="E472" s="63"/>
      <c r="F472" s="63"/>
      <c r="G472" s="101"/>
      <c r="H472" s="101">
        <f>+SQRT(E471*E473)</f>
        <v>3.4017128845770856</v>
      </c>
      <c r="I472" s="101">
        <f>+H472*F471</f>
        <v>4.1416958821961272</v>
      </c>
      <c r="J472" s="101">
        <f>+I472*$A$440</f>
        <v>45.558654704157398</v>
      </c>
      <c r="K472" s="61">
        <f>IF(AND(J472&lt;0, J470&lt;0), 0, J472)</f>
        <v>45.558654704157398</v>
      </c>
      <c r="L472" s="206"/>
      <c r="M472" s="206"/>
      <c r="N472" s="206"/>
      <c r="O472" s="206"/>
      <c r="P472" s="206"/>
      <c r="Q472" s="206"/>
      <c r="R472" s="206"/>
      <c r="S472" s="206"/>
      <c r="T472" s="206"/>
      <c r="U472" s="206"/>
      <c r="V472" s="206"/>
      <c r="W472" s="206"/>
      <c r="X472" s="206"/>
      <c r="Y472" s="206"/>
      <c r="Z472" s="206"/>
      <c r="AA472" s="4"/>
      <c r="AB472" s="4"/>
      <c r="AC472" s="4"/>
      <c r="AD472" s="4"/>
      <c r="AE472" s="4"/>
      <c r="AF472" s="81"/>
      <c r="AG472" s="81"/>
      <c r="AH472" s="81"/>
      <c r="AI472" s="81"/>
      <c r="AJ472" s="81"/>
      <c r="AK472" s="81"/>
      <c r="AL472" s="81"/>
      <c r="AM472" s="43">
        <v>456</v>
      </c>
      <c r="AN472">
        <v>278.57185262259452</v>
      </c>
      <c r="AO472">
        <v>110.27660601110469</v>
      </c>
      <c r="AP472">
        <v>776.79260997914173</v>
      </c>
      <c r="AQ472">
        <v>564.44137452538848</v>
      </c>
      <c r="AR472">
        <v>100.29689116801561</v>
      </c>
      <c r="AS472">
        <v>814.14037339267486</v>
      </c>
      <c r="AT472">
        <v>55.271345357582305</v>
      </c>
      <c r="AU472">
        <v>43.910486476954752</v>
      </c>
      <c r="AV472"/>
      <c r="AW472"/>
      <c r="FY472" s="211">
        <v>467</v>
      </c>
      <c r="FZ472">
        <v>8.552987929497414</v>
      </c>
      <c r="GA472">
        <v>35.894949488804222</v>
      </c>
      <c r="GB472">
        <v>52.537509146739012</v>
      </c>
      <c r="GC472">
        <v>34.523901904463848</v>
      </c>
      <c r="GD472">
        <v>21.75398855113896</v>
      </c>
      <c r="GE472">
        <v>40.89560831452723</v>
      </c>
      <c r="GF472">
        <v>45.697795723557753</v>
      </c>
      <c r="GG472">
        <v>22.828863549408371</v>
      </c>
      <c r="GH472">
        <v>11.394045047494476</v>
      </c>
      <c r="GI472">
        <v>38.816917020786683</v>
      </c>
      <c r="GJ472"/>
      <c r="GK472"/>
      <c r="GL472"/>
      <c r="GM472"/>
    </row>
    <row r="473" spans="1:195" s="7" customFormat="1">
      <c r="A473" s="4"/>
      <c r="B473" s="16"/>
      <c r="C473" s="63">
        <v>8</v>
      </c>
      <c r="D473" s="101">
        <f>SUM($M$228:$M$347)/$A$438</f>
        <v>0.21258503401360543</v>
      </c>
      <c r="E473" s="97">
        <f>O36</f>
        <v>4.1292670056065459</v>
      </c>
      <c r="F473" s="102">
        <f>+D473-D475</f>
        <v>0.21258503401360543</v>
      </c>
      <c r="G473" s="101">
        <f>+D473*E473</f>
        <v>0.87782036683812625</v>
      </c>
      <c r="H473" s="101"/>
      <c r="I473" s="101"/>
      <c r="J473" s="101"/>
      <c r="K473" s="101"/>
      <c r="L473" s="206"/>
      <c r="M473" s="206"/>
      <c r="N473" s="206"/>
      <c r="O473" s="206"/>
      <c r="P473" s="206"/>
      <c r="Q473" s="206"/>
      <c r="R473" s="206"/>
      <c r="S473" s="206"/>
      <c r="T473" s="206"/>
      <c r="U473" s="206"/>
      <c r="V473" s="206"/>
      <c r="W473" s="206"/>
      <c r="X473" s="206"/>
      <c r="Y473" s="206"/>
      <c r="Z473" s="206"/>
      <c r="AA473" s="4"/>
      <c r="AB473" s="4"/>
      <c r="AC473" s="4"/>
      <c r="AD473" s="4"/>
      <c r="AE473" s="4"/>
      <c r="AF473" s="81"/>
      <c r="AG473" s="81"/>
      <c r="AH473" s="81"/>
      <c r="AI473" s="81"/>
      <c r="AJ473" s="81"/>
      <c r="AK473" s="81"/>
      <c r="AL473" s="81"/>
      <c r="AM473" s="43">
        <v>457</v>
      </c>
      <c r="AN473">
        <v>283.56976347498932</v>
      </c>
      <c r="AO473">
        <v>99.803291663876763</v>
      </c>
      <c r="AP473">
        <v>704.81199554192528</v>
      </c>
      <c r="AQ473">
        <v>535.08934605967875</v>
      </c>
      <c r="AR473">
        <v>88.532368492486682</v>
      </c>
      <c r="AS473">
        <v>784.3169030980016</v>
      </c>
      <c r="AT473" t="e">
        <v>#DIV/0!</v>
      </c>
      <c r="AU473" t="e">
        <v>#DIV/0!</v>
      </c>
      <c r="AV473"/>
      <c r="AW473"/>
      <c r="FY473" s="211">
        <v>468</v>
      </c>
      <c r="FZ473">
        <v>21.534349292535136</v>
      </c>
      <c r="GA473">
        <v>53.881645921159873</v>
      </c>
      <c r="GB473">
        <v>82.595786932424872</v>
      </c>
      <c r="GC473">
        <v>48.770302300444826</v>
      </c>
      <c r="GD473">
        <v>25.623551638987816</v>
      </c>
      <c r="GE473">
        <v>44.605566055467719</v>
      </c>
      <c r="GF473">
        <v>54.76112834885496</v>
      </c>
      <c r="GG473">
        <v>48.326603948653606</v>
      </c>
      <c r="GH473">
        <v>23.071724060034814</v>
      </c>
      <c r="GI473">
        <v>55.529731990445967</v>
      </c>
      <c r="GJ473"/>
      <c r="GK473"/>
      <c r="GL473"/>
      <c r="GM473"/>
    </row>
    <row r="474" spans="1:195" s="7" customFormat="1">
      <c r="A474" s="4"/>
      <c r="B474" s="16"/>
      <c r="C474" s="63"/>
      <c r="D474" s="101"/>
      <c r="E474" s="63"/>
      <c r="F474" s="63"/>
      <c r="G474" s="101"/>
      <c r="H474" s="101">
        <f>+SQRT(E473*E475)</f>
        <v>4.8991513047060868</v>
      </c>
      <c r="I474" s="101">
        <f>+H474*F473</f>
        <v>1.0414862467487429</v>
      </c>
      <c r="J474" s="101">
        <f>+I474*$A$440</f>
        <v>11.456348714236173</v>
      </c>
      <c r="K474" s="61">
        <f>IF(AND(J474&lt;0, J472&lt;0), 0, J474)</f>
        <v>11.456348714236173</v>
      </c>
      <c r="L474" s="206"/>
      <c r="M474" s="206"/>
      <c r="N474" s="206"/>
      <c r="O474" s="206"/>
      <c r="P474" s="206"/>
      <c r="Q474" s="206"/>
      <c r="R474" s="206"/>
      <c r="S474" s="206"/>
      <c r="T474" s="206"/>
      <c r="U474" s="206"/>
      <c r="V474" s="206"/>
      <c r="W474" s="206"/>
      <c r="X474" s="206"/>
      <c r="Y474" s="206"/>
      <c r="Z474" s="206"/>
      <c r="AA474" s="4"/>
      <c r="AB474" s="4"/>
      <c r="AC474" s="4"/>
      <c r="AD474" s="4"/>
      <c r="AE474" s="4"/>
      <c r="AF474" s="81"/>
      <c r="AG474" s="81"/>
      <c r="AH474" s="81"/>
      <c r="AI474" s="81"/>
      <c r="AJ474" s="81"/>
      <c r="AK474" s="81"/>
      <c r="AL474" s="81"/>
      <c r="AM474" s="43">
        <v>458</v>
      </c>
      <c r="AN474">
        <v>307.31173232247653</v>
      </c>
      <c r="AO474">
        <v>105.42395194974033</v>
      </c>
      <c r="AP474">
        <v>780.00864453532824</v>
      </c>
      <c r="AQ474">
        <v>573.49770131720027</v>
      </c>
      <c r="AR474">
        <v>94.795713744401425</v>
      </c>
      <c r="AS474">
        <v>758.69599932526887</v>
      </c>
      <c r="AT474">
        <v>51.121181694691295</v>
      </c>
      <c r="AU474">
        <v>175.12078348936166</v>
      </c>
      <c r="AV474"/>
      <c r="AW474"/>
      <c r="FY474" s="211">
        <v>469</v>
      </c>
      <c r="FZ474">
        <v>5.3892173526680134</v>
      </c>
      <c r="GA474">
        <v>22.028306785480169</v>
      </c>
      <c r="GB474">
        <v>75.604254546950571</v>
      </c>
      <c r="GC474">
        <v>51.074224665069615</v>
      </c>
      <c r="GD474">
        <v>17.969395647050078</v>
      </c>
      <c r="GE474">
        <v>43.192647735646496</v>
      </c>
      <c r="GF474">
        <v>69.534940942756378</v>
      </c>
      <c r="GG474">
        <v>31.401725502510466</v>
      </c>
      <c r="GH474">
        <v>16.306595552595248</v>
      </c>
      <c r="GI474">
        <v>48.327358408253787</v>
      </c>
      <c r="GJ474"/>
      <c r="GK474"/>
      <c r="GL474"/>
      <c r="GM474"/>
    </row>
    <row r="475" spans="1:195" s="7" customFormat="1">
      <c r="A475" s="4"/>
      <c r="B475" s="16"/>
      <c r="C475" s="63">
        <v>9</v>
      </c>
      <c r="D475" s="101">
        <f>SUM($N$228:$N$347)/$A$438</f>
        <v>0</v>
      </c>
      <c r="E475" s="97">
        <f>P36</f>
        <v>5.8125772622150294</v>
      </c>
      <c r="F475" s="102">
        <f>+D475-D477</f>
        <v>-0.21258503401360543</v>
      </c>
      <c r="G475" s="101">
        <f>+D475*E475</f>
        <v>0</v>
      </c>
      <c r="H475" s="101"/>
      <c r="I475" s="101"/>
      <c r="J475" s="101"/>
      <c r="K475" s="101"/>
      <c r="L475" s="206"/>
      <c r="M475" s="206"/>
      <c r="N475" s="206"/>
      <c r="O475" s="206"/>
      <c r="P475" s="206"/>
      <c r="Q475" s="206"/>
      <c r="R475" s="206"/>
      <c r="S475" s="206"/>
      <c r="T475" s="206"/>
      <c r="U475" s="206"/>
      <c r="V475" s="206"/>
      <c r="W475" s="206"/>
      <c r="X475" s="206"/>
      <c r="Y475" s="206"/>
      <c r="Z475" s="206"/>
      <c r="AA475" s="4"/>
      <c r="AB475" s="4"/>
      <c r="AC475" s="4"/>
      <c r="AD475" s="4"/>
      <c r="AE475" s="4"/>
      <c r="AF475" s="81"/>
      <c r="AG475" s="81"/>
      <c r="AH475" s="81"/>
      <c r="AI475" s="4"/>
      <c r="AJ475" s="81"/>
      <c r="AK475" s="81"/>
      <c r="AL475" s="81"/>
      <c r="AM475" s="43">
        <v>459</v>
      </c>
      <c r="AN475">
        <v>337.38990321464536</v>
      </c>
      <c r="AO475">
        <v>98.363221476709498</v>
      </c>
      <c r="AP475">
        <v>652.98231348239142</v>
      </c>
      <c r="AQ475">
        <v>514.84194191372865</v>
      </c>
      <c r="AR475">
        <v>89.095568149320457</v>
      </c>
      <c r="AS475">
        <v>794.23068199645741</v>
      </c>
      <c r="AT475">
        <v>46.526352547246553</v>
      </c>
      <c r="AU475">
        <v>69.920317809189768</v>
      </c>
      <c r="AV475"/>
      <c r="AW475"/>
      <c r="FY475" s="211">
        <v>470</v>
      </c>
      <c r="FZ475">
        <v>2.6643858488940326</v>
      </c>
      <c r="GA475">
        <v>35.979728133054941</v>
      </c>
      <c r="GB475">
        <v>67.763293187149529</v>
      </c>
      <c r="GC475">
        <v>36.20601111710144</v>
      </c>
      <c r="GD475">
        <v>17.910317919819981</v>
      </c>
      <c r="GE475">
        <v>35.222598405038504</v>
      </c>
      <c r="GF475">
        <v>72.347186690750604</v>
      </c>
      <c r="GG475">
        <v>76.737179604097875</v>
      </c>
      <c r="GH475">
        <v>41.608754296887838</v>
      </c>
      <c r="GI475">
        <v>50.809748301131528</v>
      </c>
      <c r="GJ475"/>
      <c r="GK475"/>
      <c r="GL475"/>
      <c r="GM475"/>
    </row>
    <row r="476" spans="1:195" s="7" customFormat="1">
      <c r="A476" s="4"/>
      <c r="B476" s="16"/>
      <c r="C476" s="63"/>
      <c r="D476" s="101"/>
      <c r="E476" s="63"/>
      <c r="F476" s="63"/>
      <c r="G476" s="101"/>
      <c r="H476" s="101">
        <f>+SQRT(E475*E477)</f>
        <v>6.7730726847974507</v>
      </c>
      <c r="I476" s="101">
        <f>+H476*F475</f>
        <v>-1.4398538870742879</v>
      </c>
      <c r="J476" s="101">
        <f>+I476*$A$440</f>
        <v>-15.838392757817166</v>
      </c>
      <c r="K476" s="61">
        <f>IF(AND(J476&lt;0, J474&lt;0), 0, J476)</f>
        <v>-15.838392757817166</v>
      </c>
      <c r="L476" s="206"/>
      <c r="M476" s="206"/>
      <c r="N476" s="206"/>
      <c r="O476" s="206"/>
      <c r="P476" s="206"/>
      <c r="Q476" s="206"/>
      <c r="R476" s="206"/>
      <c r="S476" s="206"/>
      <c r="T476" s="206"/>
      <c r="U476" s="206"/>
      <c r="V476" s="206"/>
      <c r="W476" s="206"/>
      <c r="X476" s="206"/>
      <c r="Y476" s="206"/>
      <c r="Z476" s="206"/>
      <c r="AA476" s="4"/>
      <c r="AB476" s="4"/>
      <c r="AC476" s="4"/>
      <c r="AD476" s="4"/>
      <c r="AE476" s="4"/>
      <c r="AF476" s="81"/>
      <c r="AG476" s="81"/>
      <c r="AH476" s="81"/>
      <c r="AI476" s="4"/>
      <c r="AJ476" s="81"/>
      <c r="AK476" s="81"/>
      <c r="AL476" s="81"/>
      <c r="AM476" s="43">
        <v>460</v>
      </c>
      <c r="AN476">
        <v>241.41229199340896</v>
      </c>
      <c r="AO476">
        <v>97.514181218600314</v>
      </c>
      <c r="AP476">
        <v>709.54287229587123</v>
      </c>
      <c r="AQ476">
        <v>524.41164621157566</v>
      </c>
      <c r="AR476">
        <v>87.64173923727455</v>
      </c>
      <c r="AS476">
        <v>728.80747522992635</v>
      </c>
      <c r="AT476">
        <v>49.948813893234139</v>
      </c>
      <c r="AU476">
        <v>110.86914320018464</v>
      </c>
      <c r="AV476"/>
      <c r="AW476"/>
      <c r="FY476" s="211">
        <v>471</v>
      </c>
      <c r="FZ476">
        <v>7.5900915711890189</v>
      </c>
      <c r="GA476">
        <v>54.234742177285945</v>
      </c>
      <c r="GB476">
        <v>89.306414559989236</v>
      </c>
      <c r="GC476">
        <v>55.480863015341775</v>
      </c>
      <c r="GD476">
        <v>26.108593244179886</v>
      </c>
      <c r="GE476">
        <v>49.038712603423257</v>
      </c>
      <c r="GF476">
        <v>66.933683995750755</v>
      </c>
      <c r="GG476">
        <v>44.605097843460094</v>
      </c>
      <c r="GH476">
        <v>32.492684172157759</v>
      </c>
      <c r="GI476">
        <v>59.157141479074816</v>
      </c>
      <c r="GJ476"/>
      <c r="GK476"/>
      <c r="GL476"/>
      <c r="GM476"/>
    </row>
    <row r="477" spans="1:195" s="7" customFormat="1">
      <c r="A477" s="4"/>
      <c r="B477" s="16"/>
      <c r="C477" s="63">
        <v>10</v>
      </c>
      <c r="D477" s="101">
        <f>SUM($O$228:$O$347)/$A$438</f>
        <v>0.21258503401360543</v>
      </c>
      <c r="E477" s="97">
        <f>Q36</f>
        <v>7.8922845278563596</v>
      </c>
      <c r="F477" s="102">
        <f>+D477-D479</f>
        <v>0.10629251700680271</v>
      </c>
      <c r="G477" s="101">
        <f>+D477*E477</f>
        <v>1.677781574799396</v>
      </c>
      <c r="H477" s="101"/>
      <c r="I477" s="101"/>
      <c r="J477" s="101"/>
      <c r="K477" s="101"/>
      <c r="L477" s="206"/>
      <c r="M477" s="206"/>
      <c r="N477" s="206"/>
      <c r="O477" s="206"/>
      <c r="P477" s="206"/>
      <c r="Q477" s="206"/>
      <c r="R477" s="206"/>
      <c r="S477" s="206"/>
      <c r="T477" s="206"/>
      <c r="U477" s="206"/>
      <c r="V477" s="206"/>
      <c r="W477" s="206"/>
      <c r="X477" s="206"/>
      <c r="Y477" s="206"/>
      <c r="Z477" s="206"/>
      <c r="AA477" s="4"/>
      <c r="AB477" s="4"/>
      <c r="AC477" s="4"/>
      <c r="AD477" s="4"/>
      <c r="AE477" s="4"/>
      <c r="AF477" s="81"/>
      <c r="AG477" s="81"/>
      <c r="AH477" s="81"/>
      <c r="AI477" s="4"/>
      <c r="AJ477" s="81"/>
      <c r="AK477" s="81"/>
      <c r="AL477" s="81"/>
      <c r="AM477" s="43">
        <v>461</v>
      </c>
      <c r="AN477">
        <v>275.44605078068287</v>
      </c>
      <c r="AO477">
        <v>103.25067139533704</v>
      </c>
      <c r="AP477">
        <v>739.96777033537501</v>
      </c>
      <c r="AQ477">
        <v>549.22060477700472</v>
      </c>
      <c r="AR477">
        <v>91.991576820440201</v>
      </c>
      <c r="AS477">
        <v>747.64841053832356</v>
      </c>
      <c r="AT477">
        <v>48.657319026621629</v>
      </c>
      <c r="AU477">
        <v>42.707957309348281</v>
      </c>
      <c r="AV477"/>
      <c r="AW477"/>
      <c r="FY477" s="211">
        <v>472</v>
      </c>
      <c r="FZ477">
        <v>8.216301339836475</v>
      </c>
      <c r="GA477">
        <v>42.698653467815227</v>
      </c>
      <c r="GB477">
        <v>50.790890636789108</v>
      </c>
      <c r="GC477">
        <v>32.256666931370702</v>
      </c>
      <c r="GD477">
        <v>21.890015336701179</v>
      </c>
      <c r="GE477">
        <v>30.252807175112508</v>
      </c>
      <c r="GF477">
        <v>52.830444835610258</v>
      </c>
      <c r="GG477">
        <v>76.094530767754776</v>
      </c>
      <c r="GH477">
        <v>53.142432578669982</v>
      </c>
      <c r="GI477">
        <v>46.939854410845676</v>
      </c>
      <c r="GJ477"/>
      <c r="GK477"/>
      <c r="GL477"/>
      <c r="GM477"/>
    </row>
    <row r="478" spans="1:195" s="7" customFormat="1">
      <c r="A478" s="4"/>
      <c r="B478" s="4"/>
      <c r="C478" s="63"/>
      <c r="D478" s="101"/>
      <c r="E478" s="63"/>
      <c r="F478" s="63"/>
      <c r="G478" s="101"/>
      <c r="H478" s="101">
        <f>+SQRT(E477*E479)</f>
        <v>9.0632553546847152</v>
      </c>
      <c r="I478" s="101">
        <f>+H478*F477</f>
        <v>0.9633562239248209</v>
      </c>
      <c r="J478" s="101">
        <f>+I478*$A$440</f>
        <v>10.596918463173029</v>
      </c>
      <c r="K478" s="61">
        <f>IF(AND(J478&lt;0, J476&lt;0), 0, J478)</f>
        <v>10.596918463173029</v>
      </c>
      <c r="L478" s="206"/>
      <c r="M478" s="206"/>
      <c r="N478" s="206"/>
      <c r="O478" s="206"/>
      <c r="P478" s="206"/>
      <c r="Q478" s="206"/>
      <c r="R478" s="206"/>
      <c r="S478" s="206"/>
      <c r="T478" s="206"/>
      <c r="U478" s="206"/>
      <c r="V478" s="206"/>
      <c r="W478" s="206"/>
      <c r="X478" s="206"/>
      <c r="Y478" s="206"/>
      <c r="Z478" s="206"/>
      <c r="AA478" s="4"/>
      <c r="AB478" s="4"/>
      <c r="AC478" s="4"/>
      <c r="AD478" s="4"/>
      <c r="AE478" s="4"/>
      <c r="AF478" s="81"/>
      <c r="AG478" s="81"/>
      <c r="AH478" s="81"/>
      <c r="AI478" s="4"/>
      <c r="AJ478" s="81"/>
      <c r="AK478" s="81"/>
      <c r="AL478" s="81"/>
      <c r="AM478" s="43">
        <v>462</v>
      </c>
      <c r="AN478">
        <v>223.93395350290743</v>
      </c>
      <c r="AO478">
        <v>83.774519894473116</v>
      </c>
      <c r="AP478">
        <v>650.88251915613648</v>
      </c>
      <c r="AQ478">
        <v>477.41423182478275</v>
      </c>
      <c r="AR478">
        <v>75.740727979053958</v>
      </c>
      <c r="AS478">
        <v>597.27729030811633</v>
      </c>
      <c r="AT478">
        <v>40.274532306812226</v>
      </c>
      <c r="AU478">
        <v>22.321529477652263</v>
      </c>
      <c r="AV478"/>
      <c r="AW478"/>
      <c r="FY478" s="211">
        <v>473</v>
      </c>
      <c r="FZ478">
        <v>15.042744487846527</v>
      </c>
      <c r="GA478">
        <v>50.846713835357384</v>
      </c>
      <c r="GB478">
        <v>90.462029282807904</v>
      </c>
      <c r="GC478">
        <v>50.038757236562702</v>
      </c>
      <c r="GD478">
        <v>23.103386039033577</v>
      </c>
      <c r="GE478">
        <v>61.111419735084446</v>
      </c>
      <c r="GF478">
        <v>88.99902249396898</v>
      </c>
      <c r="GG478">
        <v>53.579424666018951</v>
      </c>
      <c r="GH478">
        <v>25.261340203335443</v>
      </c>
      <c r="GI478">
        <v>62.386863917619323</v>
      </c>
      <c r="GJ478"/>
      <c r="GK478"/>
      <c r="GL478"/>
      <c r="GM478"/>
    </row>
    <row r="479" spans="1:195" s="7" customFormat="1">
      <c r="A479" s="4"/>
      <c r="B479" s="4"/>
      <c r="C479" s="100">
        <v>11</v>
      </c>
      <c r="D479" s="101">
        <f>SUM($P$228:$P$347)/$A$438</f>
        <v>0.10629251700680271</v>
      </c>
      <c r="E479" s="97">
        <f>R36</f>
        <v>10.407962020919701</v>
      </c>
      <c r="F479" s="102">
        <f>+D479-D481</f>
        <v>0.10629251700680271</v>
      </c>
      <c r="G479" s="101">
        <f>+D479*E479</f>
        <v>1.1062884801147641</v>
      </c>
      <c r="H479" s="101"/>
      <c r="I479" s="101"/>
      <c r="J479" s="101"/>
      <c r="K479" s="101"/>
      <c r="L479" s="206"/>
      <c r="M479" s="206"/>
      <c r="N479" s="206"/>
      <c r="O479" s="206"/>
      <c r="P479" s="206"/>
      <c r="Q479" s="206"/>
      <c r="R479" s="206"/>
      <c r="S479" s="206"/>
      <c r="T479" s="206"/>
      <c r="U479" s="206"/>
      <c r="V479" s="206"/>
      <c r="W479" s="206"/>
      <c r="X479" s="206"/>
      <c r="Y479" s="206"/>
      <c r="Z479" s="206"/>
      <c r="AA479" s="4"/>
      <c r="AB479" s="4"/>
      <c r="AC479" s="4"/>
      <c r="AD479" s="4"/>
      <c r="AE479" s="4"/>
      <c r="AF479" s="81"/>
      <c r="AG479" s="81"/>
      <c r="AH479" s="81"/>
      <c r="AI479" s="4"/>
      <c r="AJ479" s="81"/>
      <c r="AK479" s="81"/>
      <c r="AL479" s="81"/>
      <c r="AM479" s="43">
        <v>463</v>
      </c>
      <c r="AN479">
        <v>255.8324909338051</v>
      </c>
      <c r="AO479">
        <v>92.515988155607033</v>
      </c>
      <c r="AP479">
        <v>686.10188336994793</v>
      </c>
      <c r="AQ479">
        <v>493.05134288370436</v>
      </c>
      <c r="AR479">
        <v>82.85902053866613</v>
      </c>
      <c r="AS479">
        <v>672.06948473939633</v>
      </c>
      <c r="AT479">
        <v>44.474341964832483</v>
      </c>
      <c r="AU479">
        <v>87.020877987308467</v>
      </c>
      <c r="AV479"/>
      <c r="AW479"/>
      <c r="FY479" s="211">
        <v>474</v>
      </c>
      <c r="FZ479">
        <v>15.642830674120091</v>
      </c>
      <c r="GA479">
        <v>63.196809813164506</v>
      </c>
      <c r="GB479">
        <v>52.728245491800024</v>
      </c>
      <c r="GC479">
        <v>26.925298341420643</v>
      </c>
      <c r="GD479">
        <v>13.924181958061174</v>
      </c>
      <c r="GE479">
        <v>36.246757236784674</v>
      </c>
      <c r="GF479">
        <v>96.780239539491802</v>
      </c>
      <c r="GG479">
        <v>59.864336772557969</v>
      </c>
      <c r="GH479">
        <v>12.365829923963819</v>
      </c>
      <c r="GI479">
        <v>46.174914946972116</v>
      </c>
      <c r="GJ479"/>
      <c r="GK479"/>
      <c r="GL479"/>
      <c r="GM479"/>
    </row>
    <row r="480" spans="1:195" s="7" customFormat="1">
      <c r="A480" s="4"/>
      <c r="B480" s="4"/>
      <c r="C480" s="104"/>
      <c r="D480" s="101"/>
      <c r="E480" s="63"/>
      <c r="F480" s="63"/>
      <c r="G480" s="101"/>
      <c r="H480" s="101">
        <f>+SQRT(E479*E481)</f>
        <v>11.809072664037242</v>
      </c>
      <c r="I480" s="101">
        <f>+H480*F479</f>
        <v>1.2552160569767477</v>
      </c>
      <c r="J480" s="101">
        <f>+I480*$A$440</f>
        <v>13.807376626744224</v>
      </c>
      <c r="K480" s="61">
        <f>IF(AND(J480&lt;0, J478&lt;0), 0, J480)</f>
        <v>13.807376626744224</v>
      </c>
      <c r="L480" s="206"/>
      <c r="M480" s="206"/>
      <c r="N480" s="206"/>
      <c r="O480" s="206"/>
      <c r="P480" s="206"/>
      <c r="Q480" s="206"/>
      <c r="R480" s="206"/>
      <c r="S480" s="206"/>
      <c r="T480" s="206"/>
      <c r="U480" s="206"/>
      <c r="V480" s="206"/>
      <c r="W480" s="206"/>
      <c r="X480" s="206"/>
      <c r="Y480" s="206"/>
      <c r="Z480" s="206"/>
      <c r="AA480" s="4"/>
      <c r="AB480" s="4"/>
      <c r="AC480" s="4"/>
      <c r="AD480" s="4"/>
      <c r="AE480" s="4"/>
      <c r="AF480" s="81"/>
      <c r="AG480" s="81"/>
      <c r="AH480" s="81"/>
      <c r="AI480" s="4"/>
      <c r="AJ480" s="81"/>
      <c r="AK480" s="81"/>
      <c r="AL480" s="81"/>
      <c r="AM480" s="43">
        <v>464</v>
      </c>
      <c r="AN480">
        <v>221.7448247677267</v>
      </c>
      <c r="AO480">
        <v>72.021065077101497</v>
      </c>
      <c r="AP480">
        <v>533.07897610612315</v>
      </c>
      <c r="AQ480">
        <v>379.97642710271089</v>
      </c>
      <c r="AR480">
        <v>64.974327059555989</v>
      </c>
      <c r="AS480">
        <v>558.86775192269795</v>
      </c>
      <c r="AT480">
        <v>37.114944496909395</v>
      </c>
      <c r="AU480">
        <v>57.163548255760233</v>
      </c>
      <c r="AV480"/>
      <c r="AW480"/>
      <c r="FY480" s="211">
        <v>475</v>
      </c>
      <c r="FZ480">
        <v>12.971557800143575</v>
      </c>
      <c r="GA480">
        <v>42.167019922145506</v>
      </c>
      <c r="GB480">
        <v>74.242806726565021</v>
      </c>
      <c r="GC480">
        <v>48.707574900467684</v>
      </c>
      <c r="GD480">
        <v>18.356829321963666</v>
      </c>
      <c r="GE480">
        <v>33.561142371980196</v>
      </c>
      <c r="GF480">
        <v>78.625006578640594</v>
      </c>
      <c r="GG480">
        <v>55.919610953031473</v>
      </c>
      <c r="GH480">
        <v>23.513339800885007</v>
      </c>
      <c r="GI480">
        <v>52.767481636831711</v>
      </c>
      <c r="GJ480"/>
      <c r="GK480"/>
      <c r="GL480"/>
      <c r="GM480"/>
    </row>
    <row r="481" spans="1:195" s="7" customFormat="1">
      <c r="A481" s="4"/>
      <c r="B481" s="4"/>
      <c r="C481" s="63">
        <v>12</v>
      </c>
      <c r="D481" s="101">
        <f>SUM($Q$228:$Q$347)/$A$438</f>
        <v>0</v>
      </c>
      <c r="E481" s="97">
        <f>+S36</f>
        <v>13.398799582878256</v>
      </c>
      <c r="F481" s="102">
        <f>+D481-D483</f>
        <v>0</v>
      </c>
      <c r="G481" s="101">
        <f>+D481*E481</f>
        <v>0</v>
      </c>
      <c r="H481" s="101"/>
      <c r="I481" s="101"/>
      <c r="J481" s="101"/>
      <c r="K481" s="101"/>
      <c r="L481" s="206"/>
      <c r="M481" s="206"/>
      <c r="N481" s="206"/>
      <c r="O481" s="206"/>
      <c r="P481" s="206"/>
      <c r="Q481" s="206"/>
      <c r="R481" s="206"/>
      <c r="S481" s="206"/>
      <c r="T481" s="206"/>
      <c r="U481" s="206"/>
      <c r="V481" s="206"/>
      <c r="W481" s="206"/>
      <c r="X481" s="206"/>
      <c r="Y481" s="206"/>
      <c r="Z481" s="206"/>
      <c r="AA481" s="4"/>
      <c r="AB481" s="4"/>
      <c r="AC481" s="4"/>
      <c r="AD481" s="4"/>
      <c r="AE481" s="4"/>
      <c r="AF481" s="81"/>
      <c r="AG481" s="81"/>
      <c r="AH481" s="81"/>
      <c r="AI481" s="4"/>
      <c r="AJ481" s="81"/>
      <c r="AK481" s="81"/>
      <c r="AL481" s="81"/>
      <c r="AM481" s="43">
        <v>465</v>
      </c>
      <c r="AN481">
        <v>203.69768173931919</v>
      </c>
      <c r="AO481">
        <v>78.492668047736714</v>
      </c>
      <c r="AP481">
        <v>633.51561205945313</v>
      </c>
      <c r="AQ481">
        <v>457.09455446379752</v>
      </c>
      <c r="AR481">
        <v>70.613687458301484</v>
      </c>
      <c r="AS481">
        <v>555.00937153569396</v>
      </c>
      <c r="AT481">
        <v>41.714681727329982</v>
      </c>
      <c r="AU481">
        <v>94.419253124638729</v>
      </c>
      <c r="AV481"/>
      <c r="AW481"/>
      <c r="FY481" s="211">
        <v>476</v>
      </c>
      <c r="FZ481">
        <v>30.540846406636806</v>
      </c>
      <c r="GA481">
        <v>74.287072217221521</v>
      </c>
      <c r="GB481">
        <v>57.235542135912361</v>
      </c>
      <c r="GC481">
        <v>33.798518381658219</v>
      </c>
      <c r="GD481">
        <v>16.814459754376557</v>
      </c>
      <c r="GE481">
        <v>36.310597225444461</v>
      </c>
      <c r="GF481">
        <v>91.799026190362284</v>
      </c>
      <c r="GG481">
        <v>63.01314654168177</v>
      </c>
      <c r="GH481">
        <v>18.154602349498724</v>
      </c>
      <c r="GI481">
        <v>50.755768078077978</v>
      </c>
      <c r="GJ481"/>
      <c r="GK481"/>
      <c r="GL481"/>
      <c r="GM481"/>
    </row>
    <row r="482" spans="1:195" s="7" customFormat="1">
      <c r="A482" s="4"/>
      <c r="B482" s="4"/>
      <c r="C482" s="63" t="s">
        <v>99</v>
      </c>
      <c r="D482" s="101"/>
      <c r="E482" s="63"/>
      <c r="F482" s="63"/>
      <c r="G482" s="101"/>
      <c r="H482" s="101">
        <f>+SQRT(E481*E483)</f>
        <v>15.049535241654661</v>
      </c>
      <c r="I482" s="101">
        <f>+H482*F481</f>
        <v>0</v>
      </c>
      <c r="J482" s="101">
        <f>+I482*$A$440</f>
        <v>0</v>
      </c>
      <c r="K482" s="61">
        <f>IF(AND(J482&lt;0, J480&lt;0), 0, J482)</f>
        <v>0</v>
      </c>
      <c r="L482" s="206"/>
      <c r="M482" s="206"/>
      <c r="N482" s="206"/>
      <c r="O482" s="206"/>
      <c r="P482" s="206"/>
      <c r="Q482" s="206"/>
      <c r="R482" s="206"/>
      <c r="S482" s="206"/>
      <c r="T482" s="206"/>
      <c r="U482" s="206"/>
      <c r="V482" s="206"/>
      <c r="W482" s="206"/>
      <c r="X482" s="206"/>
      <c r="Y482" s="206"/>
      <c r="Z482" s="206"/>
      <c r="AA482" s="4"/>
      <c r="AB482" s="4"/>
      <c r="AC482" s="4"/>
      <c r="AD482" s="4"/>
      <c r="AE482" s="4"/>
      <c r="AF482" s="81"/>
      <c r="AG482" s="81"/>
      <c r="AH482" s="81"/>
      <c r="AI482" s="4"/>
      <c r="AJ482" s="81"/>
      <c r="AK482" s="81"/>
      <c r="AL482" s="81"/>
      <c r="AM482" s="43">
        <v>466</v>
      </c>
      <c r="AN482">
        <v>301.07233693196639</v>
      </c>
      <c r="AO482">
        <v>124.44421770539444</v>
      </c>
      <c r="AP482">
        <v>940.52534971675254</v>
      </c>
      <c r="AQ482">
        <v>684.69734182965476</v>
      </c>
      <c r="AR482">
        <v>112.3493684696905</v>
      </c>
      <c r="AS482">
        <v>856.98420228033808</v>
      </c>
      <c r="AT482">
        <v>60.865032107551365</v>
      </c>
      <c r="AU482">
        <v>103.65791695606906</v>
      </c>
      <c r="AV482"/>
      <c r="AW482"/>
      <c r="FY482" s="211">
        <v>477</v>
      </c>
      <c r="FZ482">
        <v>13.649967326414028</v>
      </c>
      <c r="GA482">
        <v>40.534257589261664</v>
      </c>
      <c r="GB482">
        <v>68.303957536864516</v>
      </c>
      <c r="GC482">
        <v>40.608832414614824</v>
      </c>
      <c r="GD482">
        <v>27.609460843289678</v>
      </c>
      <c r="GE482">
        <v>84.364734038466082</v>
      </c>
      <c r="GF482">
        <v>91.88015484938056</v>
      </c>
      <c r="GG482">
        <v>42.465748551123156</v>
      </c>
      <c r="GH482">
        <v>35.16064849859346</v>
      </c>
      <c r="GI482">
        <v>60.714306303852283</v>
      </c>
      <c r="GJ482"/>
      <c r="GK482"/>
      <c r="GL482"/>
      <c r="GM482"/>
    </row>
    <row r="483" spans="1:195" s="7" customFormat="1">
      <c r="A483" s="4"/>
      <c r="B483" s="4"/>
      <c r="C483" s="63">
        <v>13</v>
      </c>
      <c r="D483" s="101">
        <f>SUM($R$228:$R$347)/$A$438</f>
        <v>0</v>
      </c>
      <c r="E483" s="97">
        <f>+T36</f>
        <v>16.903641970973688</v>
      </c>
      <c r="F483" s="102">
        <f>+D483-D485</f>
        <v>0</v>
      </c>
      <c r="G483" s="101">
        <f>+D483*E483</f>
        <v>0</v>
      </c>
      <c r="H483" s="101"/>
      <c r="I483" s="101"/>
      <c r="J483" s="101"/>
      <c r="K483" s="101"/>
      <c r="L483" s="206"/>
      <c r="M483" s="206"/>
      <c r="N483" s="206"/>
      <c r="O483" s="206"/>
      <c r="P483" s="206"/>
      <c r="Q483" s="206"/>
      <c r="R483" s="206"/>
      <c r="S483" s="206"/>
      <c r="T483" s="206"/>
      <c r="U483" s="206"/>
      <c r="V483" s="206"/>
      <c r="W483" s="206"/>
      <c r="X483" s="206"/>
      <c r="Y483" s="206"/>
      <c r="Z483" s="206"/>
      <c r="AA483" s="4"/>
      <c r="AB483" s="4"/>
      <c r="AC483" s="4"/>
      <c r="AD483" s="4"/>
      <c r="AE483" s="4"/>
      <c r="AF483" s="81"/>
      <c r="AG483" s="81"/>
      <c r="AH483" s="81"/>
      <c r="AI483" s="4"/>
      <c r="AJ483" s="81"/>
      <c r="AK483" s="81"/>
      <c r="AL483" s="81"/>
      <c r="AM483" s="43">
        <v>467</v>
      </c>
      <c r="AN483">
        <v>196.2793287272446</v>
      </c>
      <c r="AO483">
        <v>60.113026463241432</v>
      </c>
      <c r="AP483">
        <v>381.20683011998659</v>
      </c>
      <c r="AQ483">
        <v>312.89656667641799</v>
      </c>
      <c r="AR483">
        <v>54.283880037808707</v>
      </c>
      <c r="AS483">
        <v>446.70148293798724</v>
      </c>
      <c r="AT483">
        <v>29.195985172329316</v>
      </c>
      <c r="AU483">
        <v>56.865506302002323</v>
      </c>
      <c r="AV483"/>
      <c r="AW483"/>
      <c r="FY483" s="211">
        <v>478</v>
      </c>
      <c r="FZ483">
        <v>15.490667680397937</v>
      </c>
      <c r="GA483">
        <v>58.718036097856114</v>
      </c>
      <c r="GB483">
        <v>95.283832441919671</v>
      </c>
      <c r="GC483">
        <v>53.496429023371213</v>
      </c>
      <c r="GD483">
        <v>26.130204758648304</v>
      </c>
      <c r="GE483">
        <v>54.480691486291761</v>
      </c>
      <c r="GF483">
        <v>74.587370971662978</v>
      </c>
      <c r="GG483">
        <v>42.330588340534298</v>
      </c>
      <c r="GH483">
        <v>9.7399324167571137</v>
      </c>
      <c r="GI483">
        <v>59.823521719693694</v>
      </c>
      <c r="GJ483"/>
      <c r="GK483"/>
      <c r="GL483"/>
      <c r="GM483"/>
    </row>
    <row r="484" spans="1:195" s="7" customFormat="1">
      <c r="A484" s="4"/>
      <c r="B484" s="4"/>
      <c r="C484" s="63"/>
      <c r="D484" s="101"/>
      <c r="E484" s="63"/>
      <c r="F484" s="63"/>
      <c r="G484" s="101"/>
      <c r="H484" s="101">
        <f>+SQRT(E483*E485)</f>
        <v>18.823325550216186</v>
      </c>
      <c r="I484" s="101">
        <f>+H484*F483</f>
        <v>0</v>
      </c>
      <c r="J484" s="101">
        <f>+I484*$A$440</f>
        <v>0</v>
      </c>
      <c r="K484" s="61">
        <f>IF(AND(J484&lt;0, J482&lt;0), 0, J484)</f>
        <v>0</v>
      </c>
      <c r="L484" s="206"/>
      <c r="M484" s="206"/>
      <c r="N484" s="206"/>
      <c r="O484" s="206"/>
      <c r="P484" s="206"/>
      <c r="Q484" s="206"/>
      <c r="R484" s="206"/>
      <c r="S484" s="206"/>
      <c r="T484" s="206"/>
      <c r="U484" s="206"/>
      <c r="V484" s="206"/>
      <c r="W484" s="206"/>
      <c r="X484" s="206"/>
      <c r="Y484" s="206"/>
      <c r="Z484" s="206"/>
      <c r="AA484" s="4"/>
      <c r="AB484" s="4"/>
      <c r="AC484" s="4"/>
      <c r="AD484" s="4"/>
      <c r="AE484" s="4"/>
      <c r="AF484" s="81"/>
      <c r="AG484" s="81"/>
      <c r="AH484" s="81"/>
      <c r="AI484" s="4"/>
      <c r="AJ484" s="81"/>
      <c r="AK484" s="81"/>
      <c r="AL484" s="81"/>
      <c r="AM484" s="43">
        <v>468</v>
      </c>
      <c r="AN484">
        <v>250.27776896544415</v>
      </c>
      <c r="AO484">
        <v>88.392680295581997</v>
      </c>
      <c r="AP484">
        <v>608.59501644159457</v>
      </c>
      <c r="AQ484">
        <v>458.70039048900958</v>
      </c>
      <c r="AR484">
        <v>80.808644862494788</v>
      </c>
      <c r="AS484">
        <v>634.29467049436164</v>
      </c>
      <c r="AT484">
        <v>41.868895747656822</v>
      </c>
      <c r="AU484">
        <v>101.90223584514982</v>
      </c>
      <c r="AV484"/>
      <c r="AW484"/>
      <c r="FY484" s="211">
        <v>479</v>
      </c>
      <c r="FZ484">
        <v>23.591906008539254</v>
      </c>
      <c r="GA484">
        <v>65.955257747242115</v>
      </c>
      <c r="GB484">
        <v>103.79367724111022</v>
      </c>
      <c r="GC484">
        <v>61.519541946219384</v>
      </c>
      <c r="GD484">
        <v>22.946020729930066</v>
      </c>
      <c r="GE484">
        <v>33.902588241383086</v>
      </c>
      <c r="GF484">
        <v>62.583665011379495</v>
      </c>
      <c r="GG484">
        <v>43.550320404037301</v>
      </c>
      <c r="GH484">
        <v>8.6732673074840925</v>
      </c>
      <c r="GI484">
        <v>58.494017383892299</v>
      </c>
      <c r="GJ484"/>
      <c r="GK484"/>
      <c r="GL484"/>
      <c r="GM484"/>
    </row>
    <row r="485" spans="1:195" s="7" customFormat="1">
      <c r="A485" s="4"/>
      <c r="B485" s="4"/>
      <c r="C485" s="63">
        <v>14</v>
      </c>
      <c r="D485" s="101">
        <f>SUM($S$228:$S$347)/$A$438</f>
        <v>0</v>
      </c>
      <c r="E485" s="97">
        <f>+U36</f>
        <v>20.961020434403583</v>
      </c>
      <c r="F485" s="102">
        <f>+D485-D487</f>
        <v>0</v>
      </c>
      <c r="G485" s="101">
        <f>+D485*E485</f>
        <v>0</v>
      </c>
      <c r="H485" s="101"/>
      <c r="I485" s="101"/>
      <c r="J485" s="101"/>
      <c r="K485" s="101"/>
      <c r="L485" s="206"/>
      <c r="M485" s="206"/>
      <c r="N485" s="206"/>
      <c r="O485" s="206"/>
      <c r="P485" s="206"/>
      <c r="Q485" s="206"/>
      <c r="R485" s="206"/>
      <c r="S485" s="206"/>
      <c r="T485" s="206"/>
      <c r="U485" s="206"/>
      <c r="V485" s="206"/>
      <c r="W485" s="206"/>
      <c r="X485" s="206"/>
      <c r="Y485" s="206"/>
      <c r="Z485" s="206"/>
      <c r="AA485" s="4"/>
      <c r="AB485" s="4"/>
      <c r="AC485" s="4"/>
      <c r="AD485" s="4"/>
      <c r="AE485" s="4"/>
      <c r="AF485" s="81"/>
      <c r="AG485" s="81"/>
      <c r="AH485" s="81"/>
      <c r="AI485" s="4"/>
      <c r="AJ485" s="81"/>
      <c r="AK485" s="81"/>
      <c r="AL485" s="81"/>
      <c r="AM485" s="43">
        <v>469</v>
      </c>
      <c r="AN485">
        <v>203.7333977075011</v>
      </c>
      <c r="AO485">
        <v>76.34844184318068</v>
      </c>
      <c r="AP485">
        <v>511.05992833238417</v>
      </c>
      <c r="AQ485">
        <v>380.82866713898079</v>
      </c>
      <c r="AR485">
        <v>67.686714376687576</v>
      </c>
      <c r="AS485">
        <v>562.55180307955834</v>
      </c>
      <c r="AT485">
        <v>38.560114846059712</v>
      </c>
      <c r="AU485">
        <v>47.875363866136802</v>
      </c>
      <c r="AV485"/>
      <c r="AW485"/>
      <c r="FY485" s="211">
        <v>480</v>
      </c>
      <c r="FZ485">
        <v>14.111026193782514</v>
      </c>
      <c r="GA485">
        <v>50.539914054784916</v>
      </c>
      <c r="GB485">
        <v>74.896090702896245</v>
      </c>
      <c r="GC485">
        <v>47.017186276766701</v>
      </c>
      <c r="GD485">
        <v>23.302212486883239</v>
      </c>
      <c r="GE485">
        <v>31.191091507605275</v>
      </c>
      <c r="GF485">
        <v>43.454028181264682</v>
      </c>
      <c r="GG485">
        <v>51.895718946754762</v>
      </c>
      <c r="GH485">
        <v>35.473049977215936</v>
      </c>
      <c r="GI485">
        <v>50.28864137765347</v>
      </c>
      <c r="GJ485"/>
      <c r="GK485"/>
      <c r="GL485"/>
      <c r="GM485"/>
    </row>
    <row r="486" spans="1:195" s="7" customFormat="1">
      <c r="A486" s="4"/>
      <c r="B486" s="4"/>
      <c r="C486" s="63"/>
      <c r="D486" s="101"/>
      <c r="E486" s="63"/>
      <c r="F486" s="63"/>
      <c r="G486" s="101"/>
      <c r="H486" s="101">
        <f>+SQRT(E485*E487)</f>
        <v>23.168826646097624</v>
      </c>
      <c r="I486" s="101">
        <f>+H486*F485</f>
        <v>0</v>
      </c>
      <c r="J486" s="101">
        <f>+I486*$A$440</f>
        <v>0</v>
      </c>
      <c r="K486" s="61">
        <f>IF(AND(J486&lt;0, J484&lt;0), 0, J486)</f>
        <v>0</v>
      </c>
      <c r="L486" s="206"/>
      <c r="M486" s="206"/>
      <c r="N486" s="206"/>
      <c r="O486" s="206"/>
      <c r="P486" s="206"/>
      <c r="Q486" s="206"/>
      <c r="R486" s="206"/>
      <c r="S486" s="206"/>
      <c r="T486" s="206"/>
      <c r="U486" s="206"/>
      <c r="V486" s="206"/>
      <c r="W486" s="206"/>
      <c r="X486" s="206"/>
      <c r="Y486" s="206"/>
      <c r="Z486" s="206"/>
      <c r="AA486" s="4"/>
      <c r="AB486" s="4"/>
      <c r="AC486" s="4"/>
      <c r="AD486" s="4"/>
      <c r="AE486" s="4"/>
      <c r="AF486" s="81"/>
      <c r="AG486" s="81"/>
      <c r="AH486" s="81"/>
      <c r="AI486" s="4"/>
      <c r="AJ486" s="81"/>
      <c r="AK486" s="81"/>
      <c r="AL486" s="81"/>
      <c r="AM486" s="43">
        <v>470</v>
      </c>
      <c r="AN486">
        <v>245.48378302958935</v>
      </c>
      <c r="AO486">
        <v>81.420308221868552</v>
      </c>
      <c r="AP486">
        <v>612.42430256137618</v>
      </c>
      <c r="AQ486">
        <v>437.24920350392631</v>
      </c>
      <c r="AR486">
        <v>74.244181510296684</v>
      </c>
      <c r="AS486">
        <v>631.76007436787268</v>
      </c>
      <c r="AT486">
        <v>40.736709044011015</v>
      </c>
      <c r="AU486">
        <v>97.139954745753215</v>
      </c>
      <c r="AV486"/>
      <c r="AW486"/>
      <c r="FY486" s="211">
        <v>481</v>
      </c>
      <c r="FZ486">
        <v>33.2279239061791</v>
      </c>
      <c r="GA486">
        <v>72.147201990706321</v>
      </c>
      <c r="GB486">
        <v>71.112135376115631</v>
      </c>
      <c r="GC486">
        <v>41.832110787487302</v>
      </c>
      <c r="GD486">
        <v>25.844244810268954</v>
      </c>
      <c r="GE486">
        <v>59.2053868362717</v>
      </c>
      <c r="GF486">
        <v>105.52578836862996</v>
      </c>
      <c r="GG486">
        <v>72.357709128076806</v>
      </c>
      <c r="GH486">
        <v>20.678565945176238</v>
      </c>
      <c r="GI486">
        <v>63.9173272335712</v>
      </c>
      <c r="GJ486"/>
      <c r="GK486"/>
      <c r="GL486"/>
      <c r="GM486"/>
    </row>
    <row r="487" spans="1:195" s="7" customFormat="1">
      <c r="A487" s="4"/>
      <c r="B487" s="4"/>
      <c r="C487" s="63">
        <v>15</v>
      </c>
      <c r="D487" s="101">
        <f>SUM($T$228:$T$347)/$A$438</f>
        <v>0</v>
      </c>
      <c r="E487" s="97">
        <f>V36</f>
        <v>25.609179182702185</v>
      </c>
      <c r="F487" s="102">
        <f>+D487-D489</f>
        <v>0</v>
      </c>
      <c r="G487" s="101">
        <f>+D487*E487</f>
        <v>0</v>
      </c>
      <c r="H487" s="101"/>
      <c r="I487" s="101"/>
      <c r="J487" s="101"/>
      <c r="K487" s="101"/>
      <c r="L487" s="206"/>
      <c r="M487" s="206"/>
      <c r="N487" s="206"/>
      <c r="O487" s="206"/>
      <c r="P487" s="206"/>
      <c r="Q487" s="206"/>
      <c r="R487" s="206"/>
      <c r="S487" s="206"/>
      <c r="T487" s="206"/>
      <c r="U487" s="206"/>
      <c r="V487" s="206"/>
      <c r="W487" s="206"/>
      <c r="X487" s="206"/>
      <c r="Y487" s="206"/>
      <c r="Z487" s="206"/>
      <c r="AA487" s="4"/>
      <c r="AB487" s="4"/>
      <c r="AC487" s="4"/>
      <c r="AD487" s="4"/>
      <c r="AE487" s="4"/>
      <c r="AF487" s="81"/>
      <c r="AG487" s="81"/>
      <c r="AH487" s="81"/>
      <c r="AI487" s="4"/>
      <c r="AJ487" s="81"/>
      <c r="AK487" s="81"/>
      <c r="AL487" s="81"/>
      <c r="AM487" s="43">
        <v>471</v>
      </c>
      <c r="AN487">
        <v>278.92396038461209</v>
      </c>
      <c r="AO487">
        <v>93.204950390178468</v>
      </c>
      <c r="AP487">
        <v>636.40006894829526</v>
      </c>
      <c r="AQ487">
        <v>484.94802466185257</v>
      </c>
      <c r="AR487">
        <v>83.533116248083033</v>
      </c>
      <c r="AS487">
        <v>722.0754498476731</v>
      </c>
      <c r="AT487" t="e">
        <v>#DIV/0!</v>
      </c>
      <c r="AU487" t="e">
        <v>#DIV/0!</v>
      </c>
      <c r="AV487"/>
      <c r="AW487"/>
      <c r="FY487" s="211">
        <v>482</v>
      </c>
      <c r="FZ487">
        <v>15.579314574149267</v>
      </c>
      <c r="GA487">
        <v>42.987183765075521</v>
      </c>
      <c r="GB487">
        <v>45.986155656822874</v>
      </c>
      <c r="GC487">
        <v>35.881712751026484</v>
      </c>
      <c r="GD487">
        <v>20.095716660103651</v>
      </c>
      <c r="GE487">
        <v>19.912196094366116</v>
      </c>
      <c r="GF487">
        <v>47.946369732397763</v>
      </c>
      <c r="GG487">
        <v>40.809745635110595</v>
      </c>
      <c r="GH487">
        <v>10.207922715713666</v>
      </c>
      <c r="GI487">
        <v>37.647436571695977</v>
      </c>
      <c r="GJ487"/>
      <c r="GK487"/>
      <c r="GL487"/>
      <c r="GM487"/>
    </row>
    <row r="488" spans="1:195" s="7" customFormat="1">
      <c r="A488" s="4"/>
      <c r="B488" s="4"/>
      <c r="C488" s="63"/>
      <c r="D488" s="101"/>
      <c r="E488" s="63"/>
      <c r="F488" s="63"/>
      <c r="G488" s="101"/>
      <c r="H488" s="101">
        <f>+SQRT(E487*E489)</f>
        <v>28.124146474002835</v>
      </c>
      <c r="I488" s="101">
        <f>+H488*F487</f>
        <v>0</v>
      </c>
      <c r="J488" s="101">
        <f>+I488*$A$440</f>
        <v>0</v>
      </c>
      <c r="K488" s="61">
        <f>IF(AND(J488&lt;0, J486&lt;0), 0, J488)</f>
        <v>0</v>
      </c>
      <c r="L488" s="206"/>
      <c r="M488" s="206"/>
      <c r="N488" s="206"/>
      <c r="O488" s="206"/>
      <c r="P488" s="206"/>
      <c r="Q488" s="206"/>
      <c r="R488" s="206"/>
      <c r="S488" s="206"/>
      <c r="T488" s="206"/>
      <c r="U488" s="206"/>
      <c r="V488" s="206"/>
      <c r="W488" s="206"/>
      <c r="X488" s="206"/>
      <c r="Y488" s="206"/>
      <c r="Z488" s="206"/>
      <c r="AA488" s="4"/>
      <c r="AB488" s="4"/>
      <c r="AC488" s="4"/>
      <c r="AD488" s="4"/>
      <c r="AE488" s="4"/>
      <c r="AF488" s="81"/>
      <c r="AG488" s="81"/>
      <c r="AH488" s="81"/>
      <c r="AI488" s="4"/>
      <c r="AJ488" s="81"/>
      <c r="AK488" s="81"/>
      <c r="AL488" s="81"/>
      <c r="AM488" s="43">
        <v>472</v>
      </c>
      <c r="AN488">
        <v>227.44063264494352</v>
      </c>
      <c r="AO488">
        <v>73.973386925963112</v>
      </c>
      <c r="AP488">
        <v>544.46770864071141</v>
      </c>
      <c r="AQ488">
        <v>415.11259748050588</v>
      </c>
      <c r="AR488">
        <v>68.088517083224829</v>
      </c>
      <c r="AS488">
        <v>564.05448962672199</v>
      </c>
      <c r="AT488">
        <v>38.280895870174014</v>
      </c>
      <c r="AU488">
        <v>95.435404933719852</v>
      </c>
      <c r="AV488"/>
      <c r="AW488"/>
      <c r="FY488" s="211">
        <v>483</v>
      </c>
      <c r="FZ488">
        <v>17.381614391350897</v>
      </c>
      <c r="GA488">
        <v>47.792323092782738</v>
      </c>
      <c r="GB488">
        <v>59.54441139256916</v>
      </c>
      <c r="GC488">
        <v>39.280173179589084</v>
      </c>
      <c r="GD488">
        <v>24.204998132607027</v>
      </c>
      <c r="GE488">
        <v>48.801890605903232</v>
      </c>
      <c r="GF488">
        <v>62.138049622775625</v>
      </c>
      <c r="GG488">
        <v>27.837478256573956</v>
      </c>
      <c r="GH488">
        <v>8.4922524003998507</v>
      </c>
      <c r="GI488">
        <v>47.198645195245241</v>
      </c>
      <c r="GJ488"/>
      <c r="GK488"/>
      <c r="GL488"/>
      <c r="GM488"/>
    </row>
    <row r="489" spans="1:195" s="7" customFormat="1">
      <c r="A489" s="4"/>
      <c r="B489" s="4"/>
      <c r="C489" s="63">
        <v>16</v>
      </c>
      <c r="D489" s="101">
        <f>SUM($U$228:$U$347)/$A$438</f>
        <v>0</v>
      </c>
      <c r="E489" s="97">
        <f>W36</f>
        <v>30.886097881084297</v>
      </c>
      <c r="F489" s="102">
        <f>+D489-D491</f>
        <v>0</v>
      </c>
      <c r="G489" s="101">
        <f>+D489*E489</f>
        <v>0</v>
      </c>
      <c r="H489" s="101"/>
      <c r="I489" s="101"/>
      <c r="J489" s="101"/>
      <c r="K489" s="101"/>
      <c r="L489" s="206"/>
      <c r="M489" s="206"/>
      <c r="N489" s="206"/>
      <c r="O489" s="206"/>
      <c r="P489" s="206"/>
      <c r="Q489" s="206"/>
      <c r="R489" s="206"/>
      <c r="S489" s="206"/>
      <c r="T489" s="206"/>
      <c r="U489" s="206"/>
      <c r="V489" s="206"/>
      <c r="W489" s="206"/>
      <c r="X489" s="206"/>
      <c r="Y489" s="206"/>
      <c r="Z489" s="206"/>
      <c r="AA489" s="4"/>
      <c r="AB489" s="4"/>
      <c r="AC489" s="4"/>
      <c r="AD489" s="4"/>
      <c r="AE489" s="4"/>
      <c r="AF489" s="81"/>
      <c r="AG489" s="81"/>
      <c r="AH489" s="81"/>
      <c r="AI489" s="4"/>
      <c r="AJ489" s="81"/>
      <c r="AK489" s="81"/>
      <c r="AL489" s="81"/>
      <c r="AM489" s="43">
        <v>473</v>
      </c>
      <c r="AN489">
        <v>286.67824769318571</v>
      </c>
      <c r="AO489">
        <v>99.206125860749253</v>
      </c>
      <c r="AP489">
        <v>702.70878633521829</v>
      </c>
      <c r="AQ489">
        <v>520.8317018976353</v>
      </c>
      <c r="AR489">
        <v>88.832495726609807</v>
      </c>
      <c r="AS489">
        <v>736.99201063096211</v>
      </c>
      <c r="AT489">
        <v>47.092454077415603</v>
      </c>
      <c r="AU489">
        <v>67.899798370042447</v>
      </c>
      <c r="AV489"/>
      <c r="AW489"/>
      <c r="FY489" s="211">
        <v>484</v>
      </c>
      <c r="FZ489">
        <v>24.101811925782524</v>
      </c>
      <c r="GA489">
        <v>63.940056453737739</v>
      </c>
      <c r="GB489">
        <v>98.817271318755303</v>
      </c>
      <c r="GC489">
        <v>56.297110101758975</v>
      </c>
      <c r="GD489">
        <v>16.495562226590334</v>
      </c>
      <c r="GE489">
        <v>42.974633551245745</v>
      </c>
      <c r="GF489">
        <v>91.154088079178578</v>
      </c>
      <c r="GG489">
        <v>52.856703356584056</v>
      </c>
      <c r="GH489">
        <v>20.003882054012642</v>
      </c>
      <c r="GI489">
        <v>59.976490959143312</v>
      </c>
      <c r="GJ489"/>
      <c r="GK489"/>
      <c r="GL489"/>
      <c r="GM489"/>
    </row>
    <row r="490" spans="1:195" s="7" customFormat="1">
      <c r="A490" s="4"/>
      <c r="B490" s="4"/>
      <c r="C490" s="63"/>
      <c r="D490" s="101"/>
      <c r="E490" s="63"/>
      <c r="F490" s="63"/>
      <c r="G490" s="101"/>
      <c r="H490" s="101">
        <f>+SQRT(E489*E491)</f>
        <v>33.727138650221946</v>
      </c>
      <c r="I490" s="101">
        <f>+H490*F489</f>
        <v>0</v>
      </c>
      <c r="J490" s="101">
        <f>+I490*$A$440</f>
        <v>0</v>
      </c>
      <c r="K490" s="61">
        <f>IF(AND(J490&lt;0, J488&lt;0), 0, J490)</f>
        <v>0</v>
      </c>
      <c r="L490" s="206"/>
      <c r="M490" s="206"/>
      <c r="N490" s="206"/>
      <c r="O490" s="206"/>
      <c r="P490" s="206"/>
      <c r="Q490" s="206"/>
      <c r="R490" s="206"/>
      <c r="S490" s="206"/>
      <c r="T490" s="206"/>
      <c r="U490" s="206"/>
      <c r="V490" s="206"/>
      <c r="W490" s="206"/>
      <c r="X490" s="206"/>
      <c r="Y490" s="206"/>
      <c r="Z490" s="206"/>
      <c r="AA490" s="4"/>
      <c r="AB490" s="4"/>
      <c r="AC490" s="4"/>
      <c r="AD490" s="4"/>
      <c r="AE490" s="4"/>
      <c r="AF490" s="81"/>
      <c r="AG490" s="81"/>
      <c r="AH490" s="81"/>
      <c r="AI490" s="4"/>
      <c r="AJ490" s="81"/>
      <c r="AK490" s="81"/>
      <c r="AL490" s="81"/>
      <c r="AM490" s="43">
        <v>474</v>
      </c>
      <c r="AN490">
        <v>254.01316610916587</v>
      </c>
      <c r="AO490">
        <v>74.008172595993727</v>
      </c>
      <c r="AP490">
        <v>594.48332668838304</v>
      </c>
      <c r="AQ490">
        <v>423.84944469833687</v>
      </c>
      <c r="AR490">
        <v>66.217032638050867</v>
      </c>
      <c r="AS490">
        <v>598.16882458404757</v>
      </c>
      <c r="AT490">
        <v>35.072243241266833</v>
      </c>
      <c r="AU490">
        <v>51.258171135528038</v>
      </c>
      <c r="AV490"/>
      <c r="AW490"/>
      <c r="FY490" s="211">
        <v>485</v>
      </c>
      <c r="FZ490">
        <v>24.054600205304887</v>
      </c>
      <c r="GA490">
        <v>53.764786864502909</v>
      </c>
      <c r="GB490">
        <v>68.060084112169292</v>
      </c>
      <c r="GC490">
        <v>39.843735154224376</v>
      </c>
      <c r="GD490">
        <v>18.941971489471666</v>
      </c>
      <c r="GE490">
        <v>63.354508303959726</v>
      </c>
      <c r="GF490">
        <v>137.54774452780353</v>
      </c>
      <c r="GG490">
        <v>81.285572203608695</v>
      </c>
      <c r="GH490">
        <v>23.122541337460348</v>
      </c>
      <c r="GI490">
        <v>64.421082505871894</v>
      </c>
      <c r="GJ490"/>
      <c r="GK490"/>
      <c r="GL490"/>
      <c r="GM490"/>
    </row>
    <row r="491" spans="1:195" s="7" customFormat="1">
      <c r="A491" s="4"/>
      <c r="B491" s="4"/>
      <c r="C491" s="63">
        <v>17</v>
      </c>
      <c r="D491" s="101">
        <f>SUM($V$228:$V$347)/$A$438</f>
        <v>0</v>
      </c>
      <c r="E491" s="97">
        <f>X36</f>
        <v>36.829510995882423</v>
      </c>
      <c r="F491" s="102">
        <f>+D491-D493</f>
        <v>0</v>
      </c>
      <c r="G491" s="101">
        <f>+D491*E491</f>
        <v>0</v>
      </c>
      <c r="H491" s="101"/>
      <c r="I491" s="101"/>
      <c r="J491" s="101"/>
      <c r="K491" s="101"/>
      <c r="L491" s="206"/>
      <c r="M491" s="206"/>
      <c r="N491" s="206"/>
      <c r="O491" s="206"/>
      <c r="P491" s="206"/>
      <c r="Q491" s="206"/>
      <c r="R491" s="206"/>
      <c r="S491" s="206"/>
      <c r="T491" s="206"/>
      <c r="U491" s="206"/>
      <c r="V491" s="206"/>
      <c r="W491" s="206"/>
      <c r="X491" s="206"/>
      <c r="Y491" s="206"/>
      <c r="Z491" s="206"/>
      <c r="AA491" s="4"/>
      <c r="AB491" s="4"/>
      <c r="AC491" s="4"/>
      <c r="AD491" s="4"/>
      <c r="AE491" s="4"/>
      <c r="AF491" s="81"/>
      <c r="AG491" s="81"/>
      <c r="AH491" s="81"/>
      <c r="AI491" s="4"/>
      <c r="AJ491" s="81"/>
      <c r="AK491" s="81"/>
      <c r="AL491" s="81"/>
      <c r="AM491" s="43">
        <v>475</v>
      </c>
      <c r="AN491">
        <v>232.67350254588919</v>
      </c>
      <c r="AO491">
        <v>84.368535808539576</v>
      </c>
      <c r="AP491">
        <v>614.84077544511581</v>
      </c>
      <c r="AQ491">
        <v>440.83237001265434</v>
      </c>
      <c r="AR491">
        <v>75.920949269199355</v>
      </c>
      <c r="AS491">
        <v>612.87280243580585</v>
      </c>
      <c r="AT491">
        <v>40.68592318322289</v>
      </c>
      <c r="AU491">
        <v>57.645109361218523</v>
      </c>
      <c r="AV491"/>
      <c r="AW491"/>
      <c r="FY491" s="211">
        <v>486</v>
      </c>
      <c r="FZ491">
        <v>7.2106254219052062</v>
      </c>
      <c r="GA491">
        <v>39.523821603928354</v>
      </c>
      <c r="GB491">
        <v>68.110609308403511</v>
      </c>
      <c r="GC491">
        <v>41.772635832296338</v>
      </c>
      <c r="GD491">
        <v>26.092065954770753</v>
      </c>
      <c r="GE491">
        <v>55.607597124507492</v>
      </c>
      <c r="GF491">
        <v>49.480862302972142</v>
      </c>
      <c r="GG491">
        <v>41.153083287992374</v>
      </c>
      <c r="GH491">
        <v>43.742829277825265</v>
      </c>
      <c r="GI491">
        <v>51.953359766958599</v>
      </c>
      <c r="GJ491"/>
      <c r="GK491"/>
      <c r="GL491"/>
      <c r="GM491"/>
    </row>
    <row r="492" spans="1:195" s="7" customFormat="1">
      <c r="A492" s="4"/>
      <c r="B492" s="4"/>
      <c r="C492" s="63"/>
      <c r="D492" s="101"/>
      <c r="E492" s="63"/>
      <c r="F492" s="63"/>
      <c r="G492" s="101"/>
      <c r="H492" s="101">
        <f>+SQRT(E491*E493)</f>
        <v>40.015420436094239</v>
      </c>
      <c r="I492" s="101">
        <f>+H492*F491</f>
        <v>0</v>
      </c>
      <c r="J492" s="101">
        <f>+I492*$A$440</f>
        <v>0</v>
      </c>
      <c r="K492" s="61">
        <f>IF(AND(J492&lt;0, J490&lt;0), 0, J492)</f>
        <v>0</v>
      </c>
      <c r="L492" s="206"/>
      <c r="M492" s="206"/>
      <c r="N492" s="206"/>
      <c r="O492" s="206"/>
      <c r="P492" s="206"/>
      <c r="Q492" s="206"/>
      <c r="R492" s="206"/>
      <c r="S492" s="206"/>
      <c r="T492" s="206"/>
      <c r="U492" s="206"/>
      <c r="V492" s="206"/>
      <c r="W492" s="206"/>
      <c r="X492" s="206"/>
      <c r="Y492" s="206"/>
      <c r="Z492" s="206"/>
      <c r="AA492" s="4"/>
      <c r="AB492" s="4"/>
      <c r="AC492" s="4"/>
      <c r="AD492" s="4"/>
      <c r="AE492" s="4"/>
      <c r="AF492" s="81"/>
      <c r="AG492" s="81"/>
      <c r="AH492" s="81"/>
      <c r="AI492" s="4"/>
      <c r="AJ492" s="81"/>
      <c r="AK492" s="81"/>
      <c r="AL492" s="81"/>
      <c r="AM492" s="43">
        <v>476</v>
      </c>
      <c r="AN492">
        <v>280.19848307568969</v>
      </c>
      <c r="AO492">
        <v>80.959075602593728</v>
      </c>
      <c r="AP492">
        <v>643.25823387629532</v>
      </c>
      <c r="AQ492">
        <v>472.70957928087068</v>
      </c>
      <c r="AR492">
        <v>73.0439304391749</v>
      </c>
      <c r="AS492">
        <v>623.94691052423377</v>
      </c>
      <c r="AT492" t="e">
        <v>#DIV/0!</v>
      </c>
      <c r="AU492" t="e">
        <v>#DIV/0!</v>
      </c>
      <c r="AV492"/>
      <c r="AW492"/>
      <c r="FY492" s="211">
        <v>487</v>
      </c>
      <c r="FZ492">
        <v>13.067061965834696</v>
      </c>
      <c r="GA492">
        <v>44.038086939377308</v>
      </c>
      <c r="GB492">
        <v>45.695407221081751</v>
      </c>
      <c r="GC492">
        <v>35.523573156326421</v>
      </c>
      <c r="GD492">
        <v>25.542389881810735</v>
      </c>
      <c r="GE492">
        <v>33.306171204817829</v>
      </c>
      <c r="GF492">
        <v>48.313795620696794</v>
      </c>
      <c r="GG492">
        <v>40.008385940798583</v>
      </c>
      <c r="GH492">
        <v>16.46341601702192</v>
      </c>
      <c r="GI492">
        <v>41.426116721256264</v>
      </c>
      <c r="GJ492"/>
      <c r="GK492"/>
      <c r="GL492"/>
      <c r="GM492"/>
    </row>
    <row r="493" spans="1:195" s="7" customFormat="1">
      <c r="A493" s="4"/>
      <c r="B493" s="4"/>
      <c r="C493" s="63">
        <v>18</v>
      </c>
      <c r="D493" s="101">
        <f>SUM($W$228:$W$347)/$A$438</f>
        <v>0</v>
      </c>
      <c r="E493" s="97">
        <f>+Y36</f>
        <v>43.47692460148081</v>
      </c>
      <c r="F493" s="102">
        <f>+D493-D495</f>
        <v>0</v>
      </c>
      <c r="G493" s="101">
        <f>+D493*E493</f>
        <v>0</v>
      </c>
      <c r="H493" s="101"/>
      <c r="I493" s="101"/>
      <c r="J493" s="101"/>
      <c r="K493" s="101"/>
      <c r="L493" s="206"/>
      <c r="M493" s="206"/>
      <c r="N493" s="206"/>
      <c r="O493" s="206"/>
      <c r="P493" s="206"/>
      <c r="Q493" s="206"/>
      <c r="R493" s="206"/>
      <c r="S493" s="206"/>
      <c r="T493" s="206"/>
      <c r="U493" s="206"/>
      <c r="V493" s="206"/>
      <c r="W493" s="206"/>
      <c r="X493" s="206"/>
      <c r="Y493" s="206"/>
      <c r="Z493" s="206"/>
      <c r="AA493" s="4"/>
      <c r="AB493" s="4"/>
      <c r="AC493" s="4"/>
      <c r="AD493" s="4"/>
      <c r="AE493" s="4"/>
      <c r="AF493" s="81"/>
      <c r="AG493" s="81"/>
      <c r="AH493" s="81"/>
      <c r="AI493" s="4"/>
      <c r="AJ493" s="81"/>
      <c r="AK493" s="81"/>
      <c r="AL493" s="81"/>
      <c r="AM493" s="43">
        <v>477</v>
      </c>
      <c r="AN493">
        <v>263.7298558503627</v>
      </c>
      <c r="AO493">
        <v>95.425994603425224</v>
      </c>
      <c r="AP493">
        <v>632.67984405618733</v>
      </c>
      <c r="AQ493">
        <v>505.29206795186019</v>
      </c>
      <c r="AR493">
        <v>84.280894425602767</v>
      </c>
      <c r="AS493">
        <v>678.19740538117162</v>
      </c>
      <c r="AT493">
        <v>47.62586961222943</v>
      </c>
      <c r="AU493">
        <v>66.572026034292065</v>
      </c>
      <c r="AV493"/>
      <c r="AW493"/>
      <c r="FY493" s="211">
        <v>488</v>
      </c>
      <c r="FZ493">
        <v>33.522177574415934</v>
      </c>
      <c r="GA493">
        <v>64.613819801572987</v>
      </c>
      <c r="GB493">
        <v>74.453062844779637</v>
      </c>
      <c r="GC493">
        <v>40.402101331675745</v>
      </c>
      <c r="GD493">
        <v>17.020703763336076</v>
      </c>
      <c r="GE493">
        <v>35.550619708803715</v>
      </c>
      <c r="GF493">
        <v>54.50853341066599</v>
      </c>
      <c r="GG493">
        <v>55.380180369817289</v>
      </c>
      <c r="GH493">
        <v>34.699774737029145</v>
      </c>
      <c r="GI493">
        <v>51.199441859332296</v>
      </c>
      <c r="GJ493"/>
      <c r="GK493"/>
      <c r="GL493"/>
      <c r="GM493"/>
    </row>
    <row r="494" spans="1:195" s="7" customFormat="1">
      <c r="A494" s="4"/>
      <c r="B494" s="4"/>
      <c r="C494" s="63"/>
      <c r="D494" s="101"/>
      <c r="E494" s="63"/>
      <c r="F494" s="63"/>
      <c r="G494" s="101"/>
      <c r="H494" s="101">
        <f>+SQRT(E493*E495)</f>
        <v>47.026388428987367</v>
      </c>
      <c r="I494" s="101">
        <f>+H494*F493</f>
        <v>0</v>
      </c>
      <c r="J494" s="101">
        <f>+I494*$A$440</f>
        <v>0</v>
      </c>
      <c r="K494" s="61">
        <f>IF(AND(J494&lt;0, J492&lt;0), 0, J494)</f>
        <v>0</v>
      </c>
      <c r="L494" s="206"/>
      <c r="M494" s="206"/>
      <c r="N494" s="206"/>
      <c r="O494" s="206"/>
      <c r="P494" s="206"/>
      <c r="Q494" s="206"/>
      <c r="R494" s="206"/>
      <c r="S494" s="206"/>
      <c r="T494" s="206"/>
      <c r="U494" s="206"/>
      <c r="V494" s="206"/>
      <c r="W494" s="206"/>
      <c r="X494" s="206"/>
      <c r="Y494" s="206"/>
      <c r="Z494" s="206"/>
      <c r="AA494" s="4"/>
      <c r="AB494" s="4"/>
      <c r="AC494" s="4"/>
      <c r="AD494" s="4"/>
      <c r="AE494" s="4"/>
      <c r="AF494" s="81"/>
      <c r="AG494" s="81"/>
      <c r="AH494" s="81"/>
      <c r="AI494" s="4"/>
      <c r="AJ494" s="81"/>
      <c r="AK494" s="81"/>
      <c r="AL494" s="81"/>
      <c r="AM494" s="43">
        <v>478</v>
      </c>
      <c r="AN494">
        <v>305.4240927606395</v>
      </c>
      <c r="AO494">
        <v>94.715931430497562</v>
      </c>
      <c r="AP494">
        <v>649.48667287874912</v>
      </c>
      <c r="AQ494">
        <v>490.08127493713306</v>
      </c>
      <c r="AR494">
        <v>85.552140188388208</v>
      </c>
      <c r="AS494">
        <v>749.36214743018536</v>
      </c>
      <c r="AT494" t="e">
        <v>#DIV/0!</v>
      </c>
      <c r="AU494" t="e">
        <v>#DIV/0!</v>
      </c>
      <c r="AV494"/>
      <c r="AW494"/>
      <c r="FY494" s="211">
        <v>489</v>
      </c>
      <c r="FZ494">
        <v>29.861677208428006</v>
      </c>
      <c r="GA494">
        <v>66.151848062497464</v>
      </c>
      <c r="GB494">
        <v>77.717008049166779</v>
      </c>
      <c r="GC494">
        <v>47.748739555977458</v>
      </c>
      <c r="GD494">
        <v>16.373145937931966</v>
      </c>
      <c r="GE494">
        <v>32.416381698174035</v>
      </c>
      <c r="GF494">
        <v>79.348772441965735</v>
      </c>
      <c r="GG494">
        <v>72.878958228929278</v>
      </c>
      <c r="GH494">
        <v>46.012483649606686</v>
      </c>
      <c r="GI494">
        <v>57.238815870516859</v>
      </c>
      <c r="GJ494"/>
      <c r="GK494"/>
      <c r="GL494"/>
      <c r="GM494"/>
    </row>
    <row r="495" spans="1:195" s="7" customFormat="1">
      <c r="A495" s="4"/>
      <c r="B495" s="4"/>
      <c r="C495" s="63">
        <v>19</v>
      </c>
      <c r="D495" s="101">
        <f>SUM($X$228:$X$347)/$A$438</f>
        <v>0</v>
      </c>
      <c r="E495" s="97">
        <f>Z36</f>
        <v>50.86563111224924</v>
      </c>
      <c r="F495" s="102">
        <f>+D495-D497</f>
        <v>0</v>
      </c>
      <c r="G495" s="101">
        <f>+D495*E495</f>
        <v>0</v>
      </c>
      <c r="H495" s="101"/>
      <c r="I495" s="101"/>
      <c r="J495" s="101"/>
      <c r="K495" s="101"/>
      <c r="L495" s="206"/>
      <c r="M495" s="206"/>
      <c r="N495" s="206"/>
      <c r="O495" s="206"/>
      <c r="P495" s="206"/>
      <c r="Q495" s="206"/>
      <c r="R495" s="206"/>
      <c r="S495" s="206"/>
      <c r="T495" s="206"/>
      <c r="U495" s="206"/>
      <c r="V495" s="206"/>
      <c r="W495" s="206"/>
      <c r="X495" s="206"/>
      <c r="Y495" s="206"/>
      <c r="Z495" s="206"/>
      <c r="AA495" s="4"/>
      <c r="AB495" s="4"/>
      <c r="AC495" s="4"/>
      <c r="AD495" s="4"/>
      <c r="AE495" s="4"/>
      <c r="AF495" s="81"/>
      <c r="AG495" s="81"/>
      <c r="AH495" s="81"/>
      <c r="AI495" s="4"/>
      <c r="AJ495" s="81"/>
      <c r="AK495" s="81"/>
      <c r="AL495" s="81"/>
      <c r="AM495" s="43">
        <v>479</v>
      </c>
      <c r="AN495">
        <v>248.09675174857915</v>
      </c>
      <c r="AO495">
        <v>92.761779702982437</v>
      </c>
      <c r="AP495">
        <v>657.8711772087529</v>
      </c>
      <c r="AQ495">
        <v>485.01026202121727</v>
      </c>
      <c r="AR495">
        <v>84.739321743690226</v>
      </c>
      <c r="AS495">
        <v>679.1778800060265</v>
      </c>
      <c r="AT495">
        <v>47.598754148707819</v>
      </c>
      <c r="AU495">
        <v>41.408795164194387</v>
      </c>
      <c r="AV495"/>
      <c r="AW495"/>
      <c r="FY495" s="211">
        <v>490</v>
      </c>
      <c r="FZ495">
        <v>14.235790879385409</v>
      </c>
      <c r="GA495">
        <v>66.25738057334118</v>
      </c>
      <c r="GB495">
        <v>72.600070795279777</v>
      </c>
      <c r="GC495">
        <v>40.700373339641288</v>
      </c>
      <c r="GD495">
        <v>22.826635258092345</v>
      </c>
      <c r="GE495">
        <v>44.314378670493944</v>
      </c>
      <c r="GF495">
        <v>52.544839110454177</v>
      </c>
      <c r="GG495">
        <v>26.816005429531302</v>
      </c>
      <c r="GH495">
        <v>14.667621642012667</v>
      </c>
      <c r="GI495">
        <v>47.326794382252906</v>
      </c>
      <c r="GJ495"/>
      <c r="GK495"/>
      <c r="GL495"/>
      <c r="GM495"/>
    </row>
    <row r="496" spans="1:195" s="7" customFormat="1">
      <c r="A496" s="4"/>
      <c r="B496" s="4"/>
      <c r="C496" s="63"/>
      <c r="D496" s="101"/>
      <c r="E496" s="63"/>
      <c r="F496" s="63"/>
      <c r="G496" s="101"/>
      <c r="H496" s="101">
        <f>+SQRT(E495*E497)</f>
        <v>54.797232374623427</v>
      </c>
      <c r="I496" s="101">
        <f>+H496*F495</f>
        <v>0</v>
      </c>
      <c r="J496" s="101">
        <f>+I496*$A$440</f>
        <v>0</v>
      </c>
      <c r="K496" s="61">
        <f>IF(AND(J496&lt;0, J494&lt;0), 0, J496)</f>
        <v>0</v>
      </c>
      <c r="L496" s="206"/>
      <c r="M496" s="206"/>
      <c r="N496" s="206"/>
      <c r="O496" s="206"/>
      <c r="P496" s="206"/>
      <c r="Q496" s="206"/>
      <c r="R496" s="206"/>
      <c r="S496" s="206"/>
      <c r="T496" s="206"/>
      <c r="U496" s="206"/>
      <c r="V496" s="206"/>
      <c r="W496" s="206"/>
      <c r="X496" s="206"/>
      <c r="Y496" s="206"/>
      <c r="Z496" s="206"/>
      <c r="AA496" s="4"/>
      <c r="AB496" s="4"/>
      <c r="AC496" s="4"/>
      <c r="AD496" s="4"/>
      <c r="AE496" s="4"/>
      <c r="AF496" s="81"/>
      <c r="AG496" s="81"/>
      <c r="AH496" s="81"/>
      <c r="AI496" s="4"/>
      <c r="AJ496" s="81"/>
      <c r="AK496" s="81"/>
      <c r="AL496" s="81"/>
      <c r="AM496" s="43">
        <v>480</v>
      </c>
      <c r="AN496">
        <v>249.93335355991121</v>
      </c>
      <c r="AO496">
        <v>79.125220041398734</v>
      </c>
      <c r="AP496">
        <v>549.97160186993176</v>
      </c>
      <c r="AQ496">
        <v>422.16895970560768</v>
      </c>
      <c r="AR496">
        <v>72.416930104982455</v>
      </c>
      <c r="AS496">
        <v>592.72668489572629</v>
      </c>
      <c r="AT496" t="e">
        <v>#DIV/0!</v>
      </c>
      <c r="AU496" t="e">
        <v>#DIV/0!</v>
      </c>
      <c r="AV496"/>
      <c r="AW496"/>
      <c r="FY496" s="211">
        <v>491</v>
      </c>
      <c r="FZ496">
        <v>29.19123002171413</v>
      </c>
      <c r="GA496">
        <v>71.312716109406125</v>
      </c>
      <c r="GB496">
        <v>60.229769498550503</v>
      </c>
      <c r="GC496">
        <v>41.209549838974453</v>
      </c>
      <c r="GD496">
        <v>21.077520849302584</v>
      </c>
      <c r="GE496">
        <v>32.539425100944335</v>
      </c>
      <c r="GF496">
        <v>61.331383060867509</v>
      </c>
      <c r="GG496">
        <v>42.717322353839371</v>
      </c>
      <c r="GH496">
        <v>20.284574597584641</v>
      </c>
      <c r="GI496">
        <v>47.884811307483012</v>
      </c>
      <c r="GJ496"/>
      <c r="GK496"/>
      <c r="GL496"/>
      <c r="GM496"/>
    </row>
    <row r="497" spans="1:195" s="7" customFormat="1">
      <c r="A497" s="4"/>
      <c r="B497" s="4"/>
      <c r="C497" s="63">
        <v>20</v>
      </c>
      <c r="D497" s="101">
        <f>SUM($Y$228:$Y$347)/$A$438</f>
        <v>0</v>
      </c>
      <c r="E497" s="97">
        <f>AA36</f>
        <v>59.03272229714598</v>
      </c>
      <c r="F497" s="102">
        <f>+D497-D499</f>
        <v>0</v>
      </c>
      <c r="G497" s="101">
        <f>+D497*E497</f>
        <v>0</v>
      </c>
      <c r="H497" s="101"/>
      <c r="I497" s="101"/>
      <c r="J497" s="101"/>
      <c r="K497" s="101"/>
      <c r="L497" s="206"/>
      <c r="M497" s="206"/>
      <c r="N497" s="206"/>
      <c r="O497" s="206"/>
      <c r="P497" s="206"/>
      <c r="Q497" s="206"/>
      <c r="R497" s="206"/>
      <c r="S497" s="206"/>
      <c r="T497" s="206"/>
      <c r="U497" s="206"/>
      <c r="V497" s="206"/>
      <c r="W497" s="206"/>
      <c r="X497" s="206"/>
      <c r="Y497" s="206"/>
      <c r="Z497" s="206"/>
      <c r="AA497" s="4"/>
      <c r="AB497" s="4"/>
      <c r="AC497" s="4"/>
      <c r="AD497" s="4"/>
      <c r="AE497" s="4"/>
      <c r="AF497" s="81"/>
      <c r="AG497" s="81"/>
      <c r="AH497" s="81"/>
      <c r="AI497" s="4"/>
      <c r="AJ497" s="81"/>
      <c r="AK497" s="81"/>
      <c r="AL497" s="81"/>
      <c r="AM497" s="43">
        <v>481</v>
      </c>
      <c r="AN497">
        <v>290.11595585333566</v>
      </c>
      <c r="AO497">
        <v>102.16515963940044</v>
      </c>
      <c r="AP497">
        <v>756.19171738886416</v>
      </c>
      <c r="AQ497">
        <v>565.84839438248309</v>
      </c>
      <c r="AR497">
        <v>92.450478246744694</v>
      </c>
      <c r="AS497">
        <v>759.67225771591461</v>
      </c>
      <c r="AT497">
        <v>49.15216213815102</v>
      </c>
      <c r="AU497">
        <v>128.11947801755042</v>
      </c>
      <c r="AV497"/>
      <c r="AW497"/>
      <c r="FY497" s="211">
        <v>492</v>
      </c>
      <c r="FZ497">
        <v>27.10265536597452</v>
      </c>
      <c r="GA497">
        <v>68.631949237726019</v>
      </c>
      <c r="GB497">
        <v>65.41229452796513</v>
      </c>
      <c r="GC497">
        <v>35.366625751704532</v>
      </c>
      <c r="GD497">
        <v>18.743845491994414</v>
      </c>
      <c r="GE497">
        <v>30.18044950458096</v>
      </c>
      <c r="GF497">
        <v>52.265176202178914</v>
      </c>
      <c r="GG497">
        <v>52.197522957225118</v>
      </c>
      <c r="GH497">
        <v>23.793505018744831</v>
      </c>
      <c r="GI497">
        <v>46.653213394040385</v>
      </c>
      <c r="GJ497"/>
      <c r="GK497"/>
      <c r="GL497"/>
      <c r="GM497"/>
    </row>
    <row r="498" spans="1:195" s="7" customFormat="1">
      <c r="A498" s="4"/>
      <c r="B498" s="4"/>
      <c r="C498" s="63"/>
      <c r="D498" s="101"/>
      <c r="E498" s="63"/>
      <c r="F498" s="63"/>
      <c r="G498" s="101"/>
      <c r="H498" s="101">
        <f>+SQRT(E497*E499)</f>
        <v>63.364947415139156</v>
      </c>
      <c r="I498" s="101">
        <f>+H498*F497</f>
        <v>0</v>
      </c>
      <c r="J498" s="101">
        <f>+I498*$A$440</f>
        <v>0</v>
      </c>
      <c r="K498" s="61">
        <f>IF(AND(J498&lt;0, J496&lt;0), 0, J498)</f>
        <v>0</v>
      </c>
      <c r="L498" s="206"/>
      <c r="M498" s="206"/>
      <c r="N498" s="206"/>
      <c r="O498" s="206"/>
      <c r="P498" s="206"/>
      <c r="Q498" s="206"/>
      <c r="R498" s="206"/>
      <c r="S498" s="206"/>
      <c r="T498" s="206"/>
      <c r="U498" s="206"/>
      <c r="V498" s="206"/>
      <c r="W498" s="206"/>
      <c r="X498" s="206"/>
      <c r="Y498" s="206"/>
      <c r="Z498" s="206"/>
      <c r="AA498" s="4"/>
      <c r="AB498" s="4"/>
      <c r="AC498" s="4"/>
      <c r="AD498" s="4"/>
      <c r="AE498" s="4"/>
      <c r="AF498" s="81"/>
      <c r="AG498" s="81"/>
      <c r="AH498" s="81"/>
      <c r="AI498" s="4"/>
      <c r="AJ498" s="81"/>
      <c r="AK498" s="81"/>
      <c r="AL498" s="81"/>
      <c r="AM498" s="43">
        <v>482</v>
      </c>
      <c r="AN498">
        <v>200.92760991075025</v>
      </c>
      <c r="AO498">
        <v>59.27309126656089</v>
      </c>
      <c r="AP498">
        <v>411.74250914950102</v>
      </c>
      <c r="AQ498">
        <v>317.05375415646188</v>
      </c>
      <c r="AR498">
        <v>54.448982109561072</v>
      </c>
      <c r="AS498">
        <v>462.15284350347576</v>
      </c>
      <c r="AT498">
        <v>28.582195815013005</v>
      </c>
      <c r="AU498">
        <v>24.192893269455855</v>
      </c>
      <c r="AV498"/>
      <c r="AW498"/>
      <c r="FY498" s="211">
        <v>493</v>
      </c>
      <c r="FZ498">
        <v>24.767115445816415</v>
      </c>
      <c r="GA498">
        <v>53.801533348586076</v>
      </c>
      <c r="GB498">
        <v>63.011319970262285</v>
      </c>
      <c r="GC498">
        <v>41.808300560957377</v>
      </c>
      <c r="GD498">
        <v>32.33409918921226</v>
      </c>
      <c r="GE498">
        <v>74.736056417104933</v>
      </c>
      <c r="GF498">
        <v>107.9253629104597</v>
      </c>
      <c r="GG498">
        <v>58.043442444906638</v>
      </c>
      <c r="GH498">
        <v>10.538346249246631</v>
      </c>
      <c r="GI498">
        <v>64.776228730532551</v>
      </c>
      <c r="GJ498"/>
      <c r="GK498"/>
      <c r="GL498"/>
      <c r="GM498"/>
    </row>
    <row r="499" spans="1:195" s="7" customFormat="1">
      <c r="A499" s="4"/>
      <c r="B499" s="4"/>
      <c r="C499" s="63">
        <v>21</v>
      </c>
      <c r="D499" s="101">
        <f>SUM($Z$228:$Z$347)/$A$438</f>
        <v>0</v>
      </c>
      <c r="E499" s="97">
        <f>AB36</f>
        <v>68.015100857333607</v>
      </c>
      <c r="F499" s="102">
        <f>+D499-D501</f>
        <v>0</v>
      </c>
      <c r="G499" s="101">
        <f>+D499*E499</f>
        <v>0</v>
      </c>
      <c r="H499" s="101"/>
      <c r="I499" s="101"/>
      <c r="J499" s="101"/>
      <c r="K499" s="101"/>
      <c r="L499" s="206"/>
      <c r="M499" s="206"/>
      <c r="N499" s="206"/>
      <c r="O499" s="206"/>
      <c r="P499" s="206"/>
      <c r="Q499" s="206"/>
      <c r="R499" s="206"/>
      <c r="S499" s="206"/>
      <c r="T499" s="206"/>
      <c r="U499" s="206"/>
      <c r="V499" s="206"/>
      <c r="W499" s="206"/>
      <c r="X499" s="206"/>
      <c r="Y499" s="206"/>
      <c r="Z499" s="206"/>
      <c r="AA499" s="4"/>
      <c r="AB499" s="4"/>
      <c r="AC499" s="4"/>
      <c r="AD499" s="4"/>
      <c r="AE499" s="4"/>
      <c r="AF499" s="81"/>
      <c r="AG499" s="81"/>
      <c r="AH499" s="81"/>
      <c r="AI499" s="4"/>
      <c r="AJ499" s="81"/>
      <c r="AK499" s="81"/>
      <c r="AL499" s="81"/>
      <c r="AM499" s="43">
        <v>483</v>
      </c>
      <c r="AN499">
        <v>230.21813801621687</v>
      </c>
      <c r="AO499">
        <v>74.802043345311148</v>
      </c>
      <c r="AP499">
        <v>494.26067599814809</v>
      </c>
      <c r="AQ499">
        <v>382.67183626979681</v>
      </c>
      <c r="AR499">
        <v>66.692503871793775</v>
      </c>
      <c r="AS499">
        <v>555.45014711713941</v>
      </c>
      <c r="AT499">
        <v>37.231117821086009</v>
      </c>
      <c r="AU499">
        <v>92.672401970922905</v>
      </c>
      <c r="AV499"/>
      <c r="AW499"/>
      <c r="FY499" s="211">
        <v>494</v>
      </c>
      <c r="FZ499">
        <v>25.865778437676738</v>
      </c>
      <c r="GA499">
        <v>59.590653843479629</v>
      </c>
      <c r="GB499">
        <v>73.055658483940732</v>
      </c>
      <c r="GC499">
        <v>42.155128287280398</v>
      </c>
      <c r="GD499">
        <v>18.084638336347609</v>
      </c>
      <c r="GE499">
        <v>49.749194049845542</v>
      </c>
      <c r="GF499">
        <v>120.29075468945278</v>
      </c>
      <c r="GG499">
        <v>79.655716535083343</v>
      </c>
      <c r="GH499">
        <v>20.202221704328579</v>
      </c>
      <c r="GI499">
        <v>61.963989661828634</v>
      </c>
      <c r="GJ499"/>
      <c r="GK499"/>
      <c r="GL499"/>
      <c r="GM499"/>
    </row>
    <row r="500" spans="1:195" s="7" customFormat="1">
      <c r="A500" s="4"/>
      <c r="B500" s="4"/>
      <c r="C500" s="63"/>
      <c r="D500" s="101"/>
      <c r="E500" s="106"/>
      <c r="F500" s="63"/>
      <c r="G500" s="101"/>
      <c r="H500" s="101">
        <f>+SQRT(E499*E501)</f>
        <v>72.766345021212828</v>
      </c>
      <c r="I500" s="101">
        <f>+H500*F499</f>
        <v>0</v>
      </c>
      <c r="J500" s="101">
        <f>+I500*$A$440</f>
        <v>0</v>
      </c>
      <c r="K500" s="61">
        <f>IF(AND(J500&lt;0, J498&lt;0), 0, J500)</f>
        <v>0</v>
      </c>
      <c r="L500" s="206"/>
      <c r="M500" s="206"/>
      <c r="N500" s="206"/>
      <c r="O500" s="206"/>
      <c r="P500" s="206"/>
      <c r="Q500" s="206"/>
      <c r="R500" s="206"/>
      <c r="S500" s="206"/>
      <c r="T500" s="206"/>
      <c r="U500" s="206"/>
      <c r="V500" s="206"/>
      <c r="W500" s="206"/>
      <c r="X500" s="206"/>
      <c r="Y500" s="206"/>
      <c r="Z500" s="206"/>
      <c r="AA500" s="4"/>
      <c r="AB500" s="4"/>
      <c r="AC500" s="4"/>
      <c r="AD500" s="4"/>
      <c r="AE500" s="4"/>
      <c r="AF500" s="81"/>
      <c r="AG500" s="81"/>
      <c r="AH500" s="81"/>
      <c r="AI500" s="4"/>
      <c r="AJ500" s="81"/>
      <c r="AK500" s="81"/>
      <c r="AL500" s="81"/>
      <c r="AM500" s="43">
        <v>484</v>
      </c>
      <c r="AN500">
        <v>292.86553994317649</v>
      </c>
      <c r="AO500">
        <v>94.332750570532795</v>
      </c>
      <c r="AP500">
        <v>711.9664604351251</v>
      </c>
      <c r="AQ500">
        <v>526.61761002678918</v>
      </c>
      <c r="AR500">
        <v>84.864119484445482</v>
      </c>
      <c r="AS500">
        <v>728.09389371641521</v>
      </c>
      <c r="AT500">
        <v>45.243177986127073</v>
      </c>
      <c r="AU500">
        <v>61.726193520804529</v>
      </c>
      <c r="AV500"/>
      <c r="AW500"/>
      <c r="FY500" s="211">
        <v>495</v>
      </c>
      <c r="FZ500">
        <v>12.978617716378174</v>
      </c>
      <c r="GA500">
        <v>54.01670985790485</v>
      </c>
      <c r="GB500">
        <v>49.722330646166384</v>
      </c>
      <c r="GC500">
        <v>29.228337796032505</v>
      </c>
      <c r="GD500">
        <v>22.181203062408866</v>
      </c>
      <c r="GE500">
        <v>53.547433536455628</v>
      </c>
      <c r="GF500">
        <v>118.25009606364479</v>
      </c>
      <c r="GG500">
        <v>77.777220171322185</v>
      </c>
      <c r="GH500">
        <v>17.800134051647252</v>
      </c>
      <c r="GI500">
        <v>55.32335831439233</v>
      </c>
      <c r="GJ500"/>
      <c r="GK500"/>
      <c r="GL500"/>
      <c r="GM500"/>
    </row>
    <row r="501" spans="1:195" s="7" customFormat="1">
      <c r="A501" s="4"/>
      <c r="B501" s="4"/>
      <c r="C501" s="63">
        <v>22</v>
      </c>
      <c r="D501" s="101">
        <f>SUM($AA$228:$AA$347)/$A$438</f>
        <v>0</v>
      </c>
      <c r="E501" s="97">
        <f>AC36</f>
        <v>77.849490789592309</v>
      </c>
      <c r="F501" s="102">
        <f>+D501-D503</f>
        <v>0</v>
      </c>
      <c r="G501" s="101">
        <f>+D501*E501</f>
        <v>0</v>
      </c>
      <c r="H501" s="101"/>
      <c r="I501" s="101"/>
      <c r="J501" s="101"/>
      <c r="K501" s="101"/>
      <c r="L501" s="206"/>
      <c r="M501" s="206"/>
      <c r="N501" s="206"/>
      <c r="O501" s="206"/>
      <c r="P501" s="206"/>
      <c r="Q501" s="206"/>
      <c r="R501" s="206"/>
      <c r="S501" s="206"/>
      <c r="T501" s="206"/>
      <c r="U501" s="206"/>
      <c r="V501" s="206"/>
      <c r="W501" s="206"/>
      <c r="X501" s="206"/>
      <c r="Y501" s="206"/>
      <c r="Z501" s="206"/>
      <c r="AA501" s="4"/>
      <c r="AB501" s="4"/>
      <c r="AC501" s="4"/>
      <c r="AD501" s="4"/>
      <c r="AE501" s="4"/>
      <c r="AF501" s="81"/>
      <c r="AG501" s="81"/>
      <c r="AH501" s="81"/>
      <c r="AI501" s="4"/>
      <c r="AJ501" s="81"/>
      <c r="AK501" s="81"/>
      <c r="AL501" s="81"/>
      <c r="AM501" s="43">
        <v>485</v>
      </c>
      <c r="AN501">
        <v>328.81623131140213</v>
      </c>
      <c r="AO501">
        <v>103.25441658876268</v>
      </c>
      <c r="AP501">
        <v>795.19292362078011</v>
      </c>
      <c r="AQ501">
        <v>574.39662670437735</v>
      </c>
      <c r="AR501">
        <v>92.160824469278282</v>
      </c>
      <c r="AS501">
        <v>783.51898894051862</v>
      </c>
      <c r="AT501">
        <v>48.104886294609848</v>
      </c>
      <c r="AU501">
        <v>131.04306954868972</v>
      </c>
      <c r="AV501"/>
      <c r="AW501"/>
      <c r="FY501" s="211">
        <v>496</v>
      </c>
      <c r="FZ501">
        <v>38.667002958544565</v>
      </c>
      <c r="GA501">
        <v>69.152353578382701</v>
      </c>
      <c r="GB501">
        <v>74.633908719552323</v>
      </c>
      <c r="GC501">
        <v>47.3238547961029</v>
      </c>
      <c r="GD501">
        <v>21.818734084098004</v>
      </c>
      <c r="GE501">
        <v>48.089382039894495</v>
      </c>
      <c r="GF501">
        <v>84.425777811737532</v>
      </c>
      <c r="GG501">
        <v>45.39101415122984</v>
      </c>
      <c r="GH501">
        <v>8.3857442822720571</v>
      </c>
      <c r="GI501">
        <v>57.343140975598025</v>
      </c>
      <c r="GJ501"/>
      <c r="GK501"/>
      <c r="GL501"/>
      <c r="GM501"/>
    </row>
    <row r="502" spans="1:195" s="7" customFormat="1">
      <c r="A502" s="4"/>
      <c r="B502" s="4"/>
      <c r="C502" s="63"/>
      <c r="D502" s="101"/>
      <c r="E502" s="63"/>
      <c r="F502" s="63"/>
      <c r="G502" s="101"/>
      <c r="H502" s="101">
        <f>+SQRT(E501*E503)</f>
        <v>83.038062806962472</v>
      </c>
      <c r="I502" s="101">
        <f>+H502*F501</f>
        <v>0</v>
      </c>
      <c r="J502" s="101">
        <f>+I502*$A$440</f>
        <v>0</v>
      </c>
      <c r="K502" s="61">
        <f>IF(AND(J502&lt;0, J500&lt;0), 0, J502)</f>
        <v>0</v>
      </c>
      <c r="L502" s="206"/>
      <c r="M502" s="206"/>
      <c r="N502" s="206"/>
      <c r="O502" s="206"/>
      <c r="P502" s="206"/>
      <c r="Q502" s="206"/>
      <c r="R502" s="206"/>
      <c r="S502" s="206"/>
      <c r="T502" s="206"/>
      <c r="U502" s="206"/>
      <c r="V502" s="206"/>
      <c r="W502" s="206"/>
      <c r="X502" s="206"/>
      <c r="Y502" s="206"/>
      <c r="Z502" s="206"/>
      <c r="AA502" s="4"/>
      <c r="AB502" s="4"/>
      <c r="AC502" s="4"/>
      <c r="AD502" s="4"/>
      <c r="AE502" s="4"/>
      <c r="AF502" s="81"/>
      <c r="AG502" s="81"/>
      <c r="AH502" s="81"/>
      <c r="AI502" s="4"/>
      <c r="AJ502" s="81"/>
      <c r="AK502" s="81"/>
      <c r="AL502" s="81"/>
      <c r="AM502" s="43">
        <v>486</v>
      </c>
      <c r="AN502">
        <v>201.87183730646183</v>
      </c>
      <c r="AO502">
        <v>81.402788790272012</v>
      </c>
      <c r="AP502">
        <v>534.00660108871386</v>
      </c>
      <c r="AQ502">
        <v>424.64748988156003</v>
      </c>
      <c r="AR502">
        <v>73.232290491045873</v>
      </c>
      <c r="AS502">
        <v>579.71173582508891</v>
      </c>
      <c r="AT502">
        <v>44.646869883254112</v>
      </c>
      <c r="AU502">
        <v>79.444025299689869</v>
      </c>
      <c r="AV502"/>
      <c r="AW502"/>
      <c r="FY502" s="211">
        <v>497</v>
      </c>
      <c r="FZ502">
        <v>25.747771204210935</v>
      </c>
      <c r="GA502">
        <v>69.856387807901569</v>
      </c>
      <c r="GB502">
        <v>89.899167965641411</v>
      </c>
      <c r="GC502">
        <v>48.160679163877525</v>
      </c>
      <c r="GD502">
        <v>16.073460884627345</v>
      </c>
      <c r="GE502">
        <v>41.834702254312816</v>
      </c>
      <c r="GF502">
        <v>90.087185688880808</v>
      </c>
      <c r="GG502">
        <v>57.701147694438014</v>
      </c>
      <c r="GH502">
        <v>21.344619339022518</v>
      </c>
      <c r="GI502">
        <v>59.801131061192891</v>
      </c>
      <c r="GJ502"/>
      <c r="GK502"/>
      <c r="GL502"/>
      <c r="GM502"/>
    </row>
    <row r="503" spans="1:195" s="7" customFormat="1">
      <c r="A503" s="4"/>
      <c r="B503" s="4"/>
      <c r="C503" s="100">
        <v>23</v>
      </c>
      <c r="D503" s="101">
        <f>SUM($AB$228:$AB$347)/$A$438</f>
        <v>0</v>
      </c>
      <c r="E503" s="97">
        <f>+AD36</f>
        <v>88.572446714768745</v>
      </c>
      <c r="F503" s="102">
        <f>+D503-D505</f>
        <v>0</v>
      </c>
      <c r="G503" s="101">
        <f>+D503*E503</f>
        <v>0</v>
      </c>
      <c r="H503" s="101"/>
      <c r="I503" s="101"/>
      <c r="J503" s="101"/>
      <c r="K503" s="101"/>
      <c r="L503" s="206"/>
      <c r="M503" s="206"/>
      <c r="N503" s="206"/>
      <c r="O503" s="206"/>
      <c r="P503" s="206"/>
      <c r="Q503" s="206"/>
      <c r="R503" s="206"/>
      <c r="S503" s="206"/>
      <c r="T503" s="206"/>
      <c r="U503" s="206"/>
      <c r="V503" s="206"/>
      <c r="W503" s="206"/>
      <c r="X503" s="206"/>
      <c r="Y503" s="206"/>
      <c r="Z503" s="206"/>
      <c r="AA503" s="4"/>
      <c r="AB503" s="4"/>
      <c r="AC503" s="4"/>
      <c r="AD503" s="4"/>
      <c r="AE503" s="4"/>
      <c r="AF503" s="81"/>
      <c r="AG503" s="81"/>
      <c r="AH503" s="81"/>
      <c r="AI503" s="4"/>
      <c r="AJ503" s="81"/>
      <c r="AK503" s="81"/>
      <c r="AL503" s="81"/>
      <c r="AM503" s="43">
        <v>487</v>
      </c>
      <c r="AN503">
        <v>265.2061727057544</v>
      </c>
      <c r="AO503">
        <v>64.191360641696562</v>
      </c>
      <c r="AP503">
        <v>420.64680695119455</v>
      </c>
      <c r="AQ503">
        <v>343.38440466902227</v>
      </c>
      <c r="AR503">
        <v>58.794953637208472</v>
      </c>
      <c r="AS503">
        <v>543.24197053906369</v>
      </c>
      <c r="AT503">
        <v>31.912269234773873</v>
      </c>
      <c r="AU503">
        <v>87.235918209941616</v>
      </c>
      <c r="AV503"/>
      <c r="AW503"/>
      <c r="FY503" s="211">
        <v>498</v>
      </c>
      <c r="FZ503">
        <v>25.12728476285654</v>
      </c>
      <c r="GA503">
        <v>64.983878098180654</v>
      </c>
      <c r="GB503">
        <v>89.348509628800088</v>
      </c>
      <c r="GC503">
        <v>50.410984408182465</v>
      </c>
      <c r="GD503">
        <v>20.296781801824263</v>
      </c>
      <c r="GE503">
        <v>36.818191591711681</v>
      </c>
      <c r="GF503">
        <v>49.366432442309076</v>
      </c>
      <c r="GG503">
        <v>34.557732330556718</v>
      </c>
      <c r="GH503">
        <v>16.43580981482296</v>
      </c>
      <c r="GI503">
        <v>50.979077647427189</v>
      </c>
      <c r="GJ503"/>
      <c r="GK503"/>
      <c r="GL503"/>
      <c r="GM503"/>
    </row>
    <row r="504" spans="1:195" s="7" customFormat="1">
      <c r="A504" s="4"/>
      <c r="B504" s="4"/>
      <c r="C504" s="104"/>
      <c r="D504" s="101"/>
      <c r="E504" s="63"/>
      <c r="F504" s="63"/>
      <c r="G504" s="101"/>
      <c r="H504" s="101">
        <f>+SQRT(E503*E505)</f>
        <v>94.216573388462123</v>
      </c>
      <c r="I504" s="101">
        <f>+H504*F503</f>
        <v>0</v>
      </c>
      <c r="J504" s="101">
        <f>+I504*$A$440</f>
        <v>0</v>
      </c>
      <c r="K504" s="61">
        <f>IF(AND(J504&lt;0, J502&lt;0), 0, J504)</f>
        <v>0</v>
      </c>
      <c r="L504" s="206"/>
      <c r="M504" s="206"/>
      <c r="N504" s="206"/>
      <c r="O504" s="206"/>
      <c r="P504" s="206"/>
      <c r="Q504" s="206"/>
      <c r="R504" s="206"/>
      <c r="S504" s="206"/>
      <c r="T504" s="206"/>
      <c r="U504" s="206"/>
      <c r="V504" s="206"/>
      <c r="W504" s="206"/>
      <c r="X504" s="206"/>
      <c r="Y504" s="206"/>
      <c r="Z504" s="206"/>
      <c r="AA504" s="4"/>
      <c r="AB504" s="4"/>
      <c r="AC504" s="4"/>
      <c r="AD504" s="4"/>
      <c r="AE504" s="4"/>
      <c r="AF504" s="81"/>
      <c r="AG504" s="81"/>
      <c r="AH504" s="81"/>
      <c r="AI504" s="4"/>
      <c r="AJ504" s="81"/>
      <c r="AK504" s="81"/>
      <c r="AL504" s="81"/>
      <c r="AM504" s="43">
        <v>488</v>
      </c>
      <c r="AN504">
        <v>200.58354995506721</v>
      </c>
      <c r="AO504">
        <v>81.670929525939925</v>
      </c>
      <c r="AP504">
        <v>621.49438399784162</v>
      </c>
      <c r="AQ504">
        <v>461.35041540142879</v>
      </c>
      <c r="AR504">
        <v>74.434337618408208</v>
      </c>
      <c r="AS504">
        <v>568.68090476782015</v>
      </c>
      <c r="AT504">
        <v>42.149938931106888</v>
      </c>
      <c r="AU504">
        <v>65.850200692888748</v>
      </c>
      <c r="AV504"/>
      <c r="AW504"/>
      <c r="FY504" s="211">
        <v>499</v>
      </c>
      <c r="FZ504">
        <v>37.563817028763054</v>
      </c>
      <c r="GA504">
        <v>71.37908278798362</v>
      </c>
      <c r="GB504">
        <v>90.848900462156053</v>
      </c>
      <c r="GC504">
        <v>49.70503449034485</v>
      </c>
      <c r="GD504">
        <v>22.371378157304139</v>
      </c>
      <c r="GE504">
        <v>46.698559689084789</v>
      </c>
      <c r="GF504">
        <v>58.204768780666861</v>
      </c>
      <c r="GG504">
        <v>54.254492041103703</v>
      </c>
      <c r="GH504">
        <v>33.54248725037661</v>
      </c>
      <c r="GI504">
        <v>60.238373018692627</v>
      </c>
      <c r="GJ504"/>
      <c r="GK504"/>
      <c r="GL504"/>
      <c r="GM504"/>
    </row>
    <row r="505" spans="1:195" s="7" customFormat="1">
      <c r="A505" s="4"/>
      <c r="B505" s="4"/>
      <c r="C505" s="63">
        <v>24</v>
      </c>
      <c r="D505" s="101">
        <f>SUM($AC$228:$AC$347)/$A$438</f>
        <v>0</v>
      </c>
      <c r="E505" s="97">
        <f>+AE36</f>
        <v>100.22036231706966</v>
      </c>
      <c r="F505" s="102">
        <f>+D505-D507</f>
        <v>0</v>
      </c>
      <c r="G505" s="101">
        <f>+D505*E505</f>
        <v>0</v>
      </c>
      <c r="H505" s="101"/>
      <c r="I505" s="101"/>
      <c r="J505" s="101"/>
      <c r="K505" s="101"/>
      <c r="L505" s="206"/>
      <c r="M505" s="206"/>
      <c r="N505" s="206"/>
      <c r="O505" s="206"/>
      <c r="P505" s="206"/>
      <c r="Q505" s="206"/>
      <c r="R505" s="206"/>
      <c r="S505" s="206"/>
      <c r="T505" s="206"/>
      <c r="U505" s="206"/>
      <c r="V505" s="206"/>
      <c r="W505" s="206"/>
      <c r="X505" s="206"/>
      <c r="Y505" s="206"/>
      <c r="Z505" s="206"/>
      <c r="AA505" s="4"/>
      <c r="AB505" s="4"/>
      <c r="AC505" s="4"/>
      <c r="AD505" s="4"/>
      <c r="AE505" s="4"/>
      <c r="AF505" s="81"/>
      <c r="AG505" s="81"/>
      <c r="AH505" s="81"/>
      <c r="AI505" s="4"/>
      <c r="AJ505" s="81"/>
      <c r="AK505" s="81"/>
      <c r="AL505" s="81"/>
      <c r="AM505" s="43">
        <v>489</v>
      </c>
      <c r="AN505">
        <v>243.4206369230331</v>
      </c>
      <c r="AO505">
        <v>90.616901406317766</v>
      </c>
      <c r="AP505">
        <v>709.66830094034435</v>
      </c>
      <c r="AQ505">
        <v>525.74783070319427</v>
      </c>
      <c r="AR505">
        <v>82.15028797306384</v>
      </c>
      <c r="AS505">
        <v>661.50908367928344</v>
      </c>
      <c r="AT505">
        <v>45.777625270710026</v>
      </c>
      <c r="AU505">
        <v>74.989498430240161</v>
      </c>
      <c r="AV505"/>
      <c r="AW505"/>
      <c r="FY505" s="211">
        <v>500</v>
      </c>
      <c r="FZ505">
        <v>30.144437142451828</v>
      </c>
      <c r="GA505">
        <v>62.531011280343279</v>
      </c>
      <c r="GB505">
        <v>89.835424790874484</v>
      </c>
      <c r="GC505">
        <v>52.580978112950589</v>
      </c>
      <c r="GD505">
        <v>15.428421403820956</v>
      </c>
      <c r="GE505">
        <v>36.346136877996628</v>
      </c>
      <c r="GF505">
        <v>68.060499291487105</v>
      </c>
      <c r="GG505">
        <v>49.820131537733417</v>
      </c>
      <c r="GH505">
        <v>33.31936172277679</v>
      </c>
      <c r="GI505">
        <v>56.693422420265037</v>
      </c>
      <c r="GJ505"/>
      <c r="GK505"/>
      <c r="GL505"/>
      <c r="GM505"/>
    </row>
    <row r="506" spans="1:195" s="7" customFormat="1">
      <c r="A506" s="4"/>
      <c r="B506" s="4"/>
      <c r="C506" s="63" t="s">
        <v>99</v>
      </c>
      <c r="D506" s="101"/>
      <c r="E506" s="63"/>
      <c r="F506" s="63"/>
      <c r="G506" s="101"/>
      <c r="H506" s="101">
        <f>+SQRT(E505*E507)</f>
        <v>106.33819241744045</v>
      </c>
      <c r="I506" s="101">
        <f>+H506*F505</f>
        <v>0</v>
      </c>
      <c r="J506" s="101">
        <f>+I506*$A$440</f>
        <v>0</v>
      </c>
      <c r="K506" s="61">
        <f>IF(AND(J506&lt;0, J504&lt;0), 0, J506)</f>
        <v>0</v>
      </c>
      <c r="L506" s="206"/>
      <c r="M506" s="206"/>
      <c r="N506" s="206"/>
      <c r="O506" s="206"/>
      <c r="P506" s="206"/>
      <c r="Q506" s="206"/>
      <c r="R506" s="206"/>
      <c r="S506" s="206"/>
      <c r="T506" s="206"/>
      <c r="U506" s="206"/>
      <c r="V506" s="206"/>
      <c r="W506" s="206"/>
      <c r="X506" s="206"/>
      <c r="Y506" s="206"/>
      <c r="Z506" s="206"/>
      <c r="AA506" s="4"/>
      <c r="AB506" s="4"/>
      <c r="AC506" s="4"/>
      <c r="AD506" s="4"/>
      <c r="AE506" s="4"/>
      <c r="AF506" s="81"/>
      <c r="AG506" s="81"/>
      <c r="AH506" s="81"/>
      <c r="AI506" s="4"/>
      <c r="AJ506" s="81"/>
      <c r="AK506" s="81"/>
      <c r="AL506" s="81"/>
      <c r="AM506" s="43">
        <v>490</v>
      </c>
      <c r="AN506">
        <v>300.11998458124049</v>
      </c>
      <c r="AO506">
        <v>73.539326604936036</v>
      </c>
      <c r="AP506">
        <v>505.5478300380492</v>
      </c>
      <c r="AQ506">
        <v>402.28989008048495</v>
      </c>
      <c r="AR506">
        <v>66.051233197871639</v>
      </c>
      <c r="AS506">
        <v>630.84849303599219</v>
      </c>
      <c r="AT506">
        <v>36.045367012388184</v>
      </c>
      <c r="AU506">
        <v>80.78252181870748</v>
      </c>
      <c r="AV506"/>
      <c r="AW506"/>
      <c r="FY506" s="211">
        <v>501</v>
      </c>
      <c r="FZ506">
        <v>23.393227873170368</v>
      </c>
      <c r="GA506">
        <v>64.676042322294322</v>
      </c>
      <c r="GB506">
        <v>67.633420201553577</v>
      </c>
      <c r="GC506">
        <v>42.403140853620265</v>
      </c>
      <c r="GD506">
        <v>38.159157880864967</v>
      </c>
      <c r="GE506">
        <v>77.77844055723358</v>
      </c>
      <c r="GF506">
        <v>61.971663573179384</v>
      </c>
      <c r="GG506">
        <v>35.23342552027497</v>
      </c>
      <c r="GH506">
        <v>24.782560607820134</v>
      </c>
      <c r="GI506">
        <v>61.221324145691533</v>
      </c>
      <c r="GJ506"/>
      <c r="GK506"/>
      <c r="GL506"/>
      <c r="GM506"/>
    </row>
    <row r="507" spans="1:195" s="7" customFormat="1">
      <c r="A507" s="4"/>
      <c r="B507" s="4"/>
      <c r="C507" s="63">
        <v>25</v>
      </c>
      <c r="D507" s="101">
        <f>SUM($AD$228:$AD$347)/$A$438</f>
        <v>0</v>
      </c>
      <c r="E507" s="97">
        <f>+AF36</f>
        <v>112.82947801399668</v>
      </c>
      <c r="F507" s="102">
        <f>+D507-D509</f>
        <v>0</v>
      </c>
      <c r="G507" s="101">
        <f>+D507*E507</f>
        <v>0</v>
      </c>
      <c r="H507" s="101"/>
      <c r="I507" s="101"/>
      <c r="J507" s="101"/>
      <c r="K507" s="101"/>
      <c r="L507" s="206"/>
      <c r="M507" s="206"/>
      <c r="N507" s="206"/>
      <c r="O507" s="206"/>
      <c r="P507" s="206"/>
      <c r="Q507" s="206"/>
      <c r="R507" s="206"/>
      <c r="S507" s="206"/>
      <c r="T507" s="206"/>
      <c r="U507" s="206"/>
      <c r="V507" s="206"/>
      <c r="W507" s="206"/>
      <c r="X507" s="206"/>
      <c r="Y507" s="206"/>
      <c r="Z507" s="206"/>
      <c r="AA507" s="4"/>
      <c r="AB507" s="4"/>
      <c r="AC507" s="4"/>
      <c r="AD507" s="4"/>
      <c r="AE507" s="4"/>
      <c r="AF507" s="81"/>
      <c r="AG507" s="81"/>
      <c r="AH507" s="81"/>
      <c r="AI507" s="4"/>
      <c r="AJ507" s="81"/>
      <c r="AK507" s="81"/>
      <c r="AL507" s="81"/>
      <c r="AM507" s="43">
        <v>491</v>
      </c>
      <c r="AN507">
        <v>253.33849957192373</v>
      </c>
      <c r="AO507">
        <v>75.35305713045085</v>
      </c>
      <c r="AP507">
        <v>553.93217403345761</v>
      </c>
      <c r="AQ507">
        <v>427.7783027386667</v>
      </c>
      <c r="AR507">
        <v>68.178811703647213</v>
      </c>
      <c r="AS507">
        <v>594.02316781465288</v>
      </c>
      <c r="AT507">
        <v>35.202571022854237</v>
      </c>
      <c r="AU507">
        <v>-10.067388111669892</v>
      </c>
      <c r="AV507"/>
      <c r="AW507"/>
      <c r="FY507" s="211">
        <v>502</v>
      </c>
      <c r="FZ507">
        <v>16.542439551065083</v>
      </c>
      <c r="GA507">
        <v>52.831211118855769</v>
      </c>
      <c r="GB507">
        <v>88.82571474459057</v>
      </c>
      <c r="GC507">
        <v>48.865832839140324</v>
      </c>
      <c r="GD507">
        <v>18.338391341818575</v>
      </c>
      <c r="GE507">
        <v>37.891234570820494</v>
      </c>
      <c r="GF507">
        <v>42.419901945184606</v>
      </c>
      <c r="GG507">
        <v>24.598990392531171</v>
      </c>
      <c r="GH507">
        <v>15.531213715706089</v>
      </c>
      <c r="GI507">
        <v>47.600225508055587</v>
      </c>
      <c r="GJ507"/>
      <c r="GK507"/>
      <c r="GL507"/>
      <c r="GM507"/>
    </row>
    <row r="508" spans="1:195" s="7" customFormat="1">
      <c r="A508" s="4"/>
      <c r="B508" s="4"/>
      <c r="C508" s="63"/>
      <c r="D508" s="101"/>
      <c r="E508" s="63"/>
      <c r="F508" s="63"/>
      <c r="G508" s="101"/>
      <c r="H508" s="101">
        <f>+SQRT(E507*E509)</f>
        <v>119.43908589879437</v>
      </c>
      <c r="I508" s="101">
        <f>+H508*F507</f>
        <v>0</v>
      </c>
      <c r="J508" s="101">
        <f>+I508*$A$440</f>
        <v>0</v>
      </c>
      <c r="K508" s="61">
        <f>IF(AND(J508&lt;0, J506&lt;0), 0, J508)</f>
        <v>0</v>
      </c>
      <c r="L508" s="206"/>
      <c r="M508" s="206"/>
      <c r="N508" s="206"/>
      <c r="O508" s="206"/>
      <c r="P508" s="206"/>
      <c r="Q508" s="206"/>
      <c r="R508" s="206"/>
      <c r="S508" s="206"/>
      <c r="T508" s="206"/>
      <c r="U508" s="206"/>
      <c r="V508" s="206"/>
      <c r="W508" s="206"/>
      <c r="X508" s="206"/>
      <c r="Y508" s="206"/>
      <c r="Z508" s="206"/>
      <c r="AA508" s="4"/>
      <c r="AB508" s="4"/>
      <c r="AC508" s="4"/>
      <c r="AD508" s="4"/>
      <c r="AE508" s="4"/>
      <c r="AF508" s="81"/>
      <c r="AG508" s="81"/>
      <c r="AH508" s="81"/>
      <c r="AI508" s="4"/>
      <c r="AJ508" s="81"/>
      <c r="AK508" s="81"/>
      <c r="AL508" s="81"/>
      <c r="AM508" s="43">
        <v>492</v>
      </c>
      <c r="AN508">
        <v>203.34980998108114</v>
      </c>
      <c r="AO508">
        <v>74.005616557091884</v>
      </c>
      <c r="AP508">
        <v>558.96809603631164</v>
      </c>
      <c r="AQ508">
        <v>420.34723745213489</v>
      </c>
      <c r="AR508">
        <v>67.935451178098717</v>
      </c>
      <c r="AS508">
        <v>561.96708956837585</v>
      </c>
      <c r="AT508" t="e">
        <v>#DIV/0!</v>
      </c>
      <c r="AU508" t="e">
        <v>#DIV/0!</v>
      </c>
      <c r="AV508"/>
      <c r="AW508"/>
      <c r="FY508" s="211">
        <v>503</v>
      </c>
      <c r="FZ508">
        <v>22.17002756898594</v>
      </c>
      <c r="GA508">
        <v>43.102788954540692</v>
      </c>
      <c r="GB508">
        <v>92.476198297680043</v>
      </c>
      <c r="GC508">
        <v>62.228828604293795</v>
      </c>
      <c r="GD508">
        <v>29.347325084229229</v>
      </c>
      <c r="GE508">
        <v>64.68967468829743</v>
      </c>
      <c r="GF508">
        <v>102.58075533980561</v>
      </c>
      <c r="GG508">
        <v>57.265792679648946</v>
      </c>
      <c r="GH508">
        <v>16.704477096032576</v>
      </c>
      <c r="GI508">
        <v>68.749165735516087</v>
      </c>
      <c r="GJ508"/>
      <c r="GK508"/>
      <c r="GL508"/>
      <c r="GM508"/>
    </row>
    <row r="509" spans="1:195" s="7" customFormat="1">
      <c r="A509" s="4"/>
      <c r="B509" s="4"/>
      <c r="C509" s="63">
        <v>26</v>
      </c>
      <c r="D509" s="101">
        <f>SUM($AE$228:$AE$347)/$A$438</f>
        <v>0</v>
      </c>
      <c r="E509" s="97">
        <f>AG36</f>
        <v>126.43588795624756</v>
      </c>
      <c r="F509" s="102">
        <f>+D509-D511</f>
        <v>0</v>
      </c>
      <c r="G509" s="101">
        <f>+D509*E509</f>
        <v>0</v>
      </c>
      <c r="H509" s="101"/>
      <c r="I509" s="119">
        <v>0</v>
      </c>
      <c r="J509" s="101"/>
      <c r="K509" s="101"/>
      <c r="L509" s="206"/>
      <c r="M509" s="206"/>
      <c r="N509" s="206"/>
      <c r="O509" s="206"/>
      <c r="P509" s="206"/>
      <c r="Q509" s="206"/>
      <c r="R509" s="206"/>
      <c r="S509" s="206"/>
      <c r="T509" s="206"/>
      <c r="U509" s="206"/>
      <c r="V509" s="206"/>
      <c r="W509" s="206"/>
      <c r="X509" s="206"/>
      <c r="Y509" s="206"/>
      <c r="Z509" s="206"/>
      <c r="AA509" s="4"/>
      <c r="AB509" s="4"/>
      <c r="AC509" s="4"/>
      <c r="AD509" s="4"/>
      <c r="AE509" s="4"/>
      <c r="AF509" s="81"/>
      <c r="AG509" s="81"/>
      <c r="AH509" s="81"/>
      <c r="AI509" s="4"/>
      <c r="AJ509" s="81"/>
      <c r="AK509" s="81"/>
      <c r="AL509" s="81"/>
      <c r="AM509" s="43">
        <v>493</v>
      </c>
      <c r="AN509">
        <v>293.7531865373482</v>
      </c>
      <c r="AO509">
        <v>104.31320976752529</v>
      </c>
      <c r="AP509">
        <v>707.74816466171922</v>
      </c>
      <c r="AQ509">
        <v>531.74180526708483</v>
      </c>
      <c r="AR509">
        <v>93.21619352421493</v>
      </c>
      <c r="AS509">
        <v>768.44005042298761</v>
      </c>
      <c r="AT509">
        <v>49.85354666622311</v>
      </c>
      <c r="AU509">
        <v>68.092419911860276</v>
      </c>
      <c r="AV509"/>
      <c r="AW509"/>
      <c r="FY509" s="211">
        <v>504</v>
      </c>
      <c r="FZ509">
        <v>27.084818870487645</v>
      </c>
      <c r="GA509">
        <v>61.707575689128049</v>
      </c>
      <c r="GB509">
        <v>50.53556604658587</v>
      </c>
      <c r="GC509">
        <v>27.155771021473587</v>
      </c>
      <c r="GD509">
        <v>17.550780150586398</v>
      </c>
      <c r="GE509">
        <v>57.94896108392291</v>
      </c>
      <c r="GF509">
        <v>141.54089392994391</v>
      </c>
      <c r="GG509">
        <v>97.738019802303072</v>
      </c>
      <c r="GH509">
        <v>29.414626903040418</v>
      </c>
      <c r="GI509">
        <v>61.848656717545538</v>
      </c>
      <c r="GJ509"/>
      <c r="GK509"/>
      <c r="GL509"/>
      <c r="GM509"/>
    </row>
    <row r="510" spans="1:195" s="7" customFormat="1">
      <c r="A510" s="4"/>
      <c r="B510" s="4"/>
      <c r="C510" s="63"/>
      <c r="D510" s="101"/>
      <c r="E510" s="63"/>
      <c r="F510" s="63"/>
      <c r="G510" s="101"/>
      <c r="H510" s="101">
        <f>+SQRT(E509*E511)</f>
        <v>133.5552768823911</v>
      </c>
      <c r="I510" s="101">
        <f>+H510*F509</f>
        <v>0</v>
      </c>
      <c r="J510" s="101">
        <f>+I510*$A$440</f>
        <v>0</v>
      </c>
      <c r="K510" s="61">
        <f>IF(AND(J510&lt;0, J508&lt;0), 0, J510)</f>
        <v>0</v>
      </c>
      <c r="L510" s="206"/>
      <c r="M510" s="206"/>
      <c r="N510" s="206"/>
      <c r="O510" s="206"/>
      <c r="P510" s="206"/>
      <c r="Q510" s="206"/>
      <c r="R510" s="206"/>
      <c r="S510" s="206"/>
      <c r="T510" s="206"/>
      <c r="U510" s="206"/>
      <c r="V510" s="206"/>
      <c r="W510" s="206"/>
      <c r="X510" s="206"/>
      <c r="Y510" s="206"/>
      <c r="Z510" s="206"/>
      <c r="AA510" s="4"/>
      <c r="AB510" s="4"/>
      <c r="AC510" s="4"/>
      <c r="AD510" s="4"/>
      <c r="AE510" s="4"/>
      <c r="AF510" s="81"/>
      <c r="AG510" s="81"/>
      <c r="AH510" s="81"/>
      <c r="AI510" s="4"/>
      <c r="AJ510" s="81"/>
      <c r="AK510" s="81"/>
      <c r="AL510" s="81"/>
      <c r="AM510" s="43">
        <v>494</v>
      </c>
      <c r="AN510">
        <v>274.08644850548563</v>
      </c>
      <c r="AO510">
        <v>100.09992553538174</v>
      </c>
      <c r="AP510">
        <v>779.26903395838735</v>
      </c>
      <c r="AQ510">
        <v>550.61373402926392</v>
      </c>
      <c r="AR510">
        <v>89.935370565180222</v>
      </c>
      <c r="AS510">
        <v>759.06575487157113</v>
      </c>
      <c r="AT510">
        <v>47.587281892704972</v>
      </c>
      <c r="AU510">
        <v>113.88791623692968</v>
      </c>
      <c r="AV510"/>
      <c r="AW510"/>
      <c r="FY510" s="211">
        <v>505</v>
      </c>
      <c r="FZ510">
        <v>5.9122093893314602</v>
      </c>
      <c r="GA510">
        <v>38.892417526907785</v>
      </c>
      <c r="GB510">
        <v>58.307098361171803</v>
      </c>
      <c r="GC510">
        <v>36.020354745594425</v>
      </c>
      <c r="GD510">
        <v>16.742252340397254</v>
      </c>
      <c r="GE510">
        <v>34.29669349897253</v>
      </c>
      <c r="GF510">
        <v>67.196088811833235</v>
      </c>
      <c r="GG510">
        <v>55.101416906627591</v>
      </c>
      <c r="GH510">
        <v>34.863717499254328</v>
      </c>
      <c r="GI510">
        <v>45.459512926035103</v>
      </c>
      <c r="GJ510"/>
      <c r="GK510"/>
      <c r="GL510"/>
      <c r="GM510"/>
    </row>
    <row r="511" spans="1:195" s="7" customFormat="1">
      <c r="A511" s="4"/>
      <c r="B511" s="4"/>
      <c r="C511" s="63">
        <v>27</v>
      </c>
      <c r="D511" s="101">
        <f>SUM($AF$228:$AF$347)/$A$438</f>
        <v>0</v>
      </c>
      <c r="E511" s="97">
        <f>+AH36</f>
        <v>141.07554644061625</v>
      </c>
      <c r="F511" s="102">
        <f>+D511-D513</f>
        <v>0</v>
      </c>
      <c r="G511" s="101">
        <f>+D511*E511</f>
        <v>0</v>
      </c>
      <c r="H511" s="101"/>
      <c r="I511" s="101"/>
      <c r="J511" s="101"/>
      <c r="K511" s="101"/>
      <c r="L511" s="206"/>
      <c r="M511" s="206"/>
      <c r="N511" s="206"/>
      <c r="O511" s="206"/>
      <c r="P511" s="206"/>
      <c r="Q511" s="206"/>
      <c r="R511" s="206"/>
      <c r="S511" s="206"/>
      <c r="T511" s="206"/>
      <c r="U511" s="206"/>
      <c r="V511" s="206"/>
      <c r="W511" s="206"/>
      <c r="X511" s="206"/>
      <c r="Y511" s="206"/>
      <c r="Z511" s="206"/>
      <c r="AA511" s="4"/>
      <c r="AB511" s="4"/>
      <c r="AC511" s="4"/>
      <c r="AD511" s="4"/>
      <c r="AE511" s="4"/>
      <c r="AF511" s="81"/>
      <c r="AG511" s="81"/>
      <c r="AH511" s="81"/>
      <c r="AI511" s="4"/>
      <c r="AJ511" s="81"/>
      <c r="AK511" s="81"/>
      <c r="AL511" s="81"/>
      <c r="AM511" s="43">
        <v>495</v>
      </c>
      <c r="AN511">
        <v>255.61748803671111</v>
      </c>
      <c r="AO511">
        <v>88.214729491526427</v>
      </c>
      <c r="AP511">
        <v>666.41613476647694</v>
      </c>
      <c r="AQ511">
        <v>490.825441216353</v>
      </c>
      <c r="AR511">
        <v>79.292073648722777</v>
      </c>
      <c r="AS511">
        <v>648.15445720945161</v>
      </c>
      <c r="AT511">
        <v>42.785904453564449</v>
      </c>
      <c r="AU511">
        <v>155.77163141574269</v>
      </c>
      <c r="AV511"/>
      <c r="AW511"/>
      <c r="FY511" s="211">
        <v>506</v>
      </c>
      <c r="FZ511">
        <v>25.436104774086743</v>
      </c>
      <c r="GA511">
        <v>74.771058646707914</v>
      </c>
      <c r="GB511">
        <v>62.002604831464524</v>
      </c>
      <c r="GC511">
        <v>31.935022542005566</v>
      </c>
      <c r="GD511">
        <v>15.266720524451557</v>
      </c>
      <c r="GE511">
        <v>45.991360770922711</v>
      </c>
      <c r="GF511">
        <v>73.198433221652976</v>
      </c>
      <c r="GG511">
        <v>38.221430164333654</v>
      </c>
      <c r="GH511">
        <v>27.498983016606363</v>
      </c>
      <c r="GI511">
        <v>47.370020095055821</v>
      </c>
      <c r="GJ511"/>
      <c r="GK511"/>
      <c r="GL511"/>
      <c r="GM511"/>
    </row>
    <row r="512" spans="1:195" s="7" customFormat="1">
      <c r="A512" s="4"/>
      <c r="B512" s="4"/>
      <c r="C512" s="63"/>
      <c r="D512" s="101"/>
      <c r="E512" s="63"/>
      <c r="F512" s="63"/>
      <c r="G512" s="101"/>
      <c r="H512" s="101">
        <f>+SQRT(E511*E513)</f>
        <v>148.72265160510256</v>
      </c>
      <c r="I512" s="101">
        <f>+H512*F511</f>
        <v>0</v>
      </c>
      <c r="J512" s="101">
        <f>+I512*$A$440</f>
        <v>0</v>
      </c>
      <c r="K512" s="61">
        <f>IF(AND(J512&lt;0, J510&lt;0), 0, J512)</f>
        <v>0</v>
      </c>
      <c r="L512" s="206"/>
      <c r="M512" s="206"/>
      <c r="N512" s="206"/>
      <c r="O512" s="206"/>
      <c r="P512" s="206"/>
      <c r="Q512" s="206"/>
      <c r="R512" s="206"/>
      <c r="S512" s="206"/>
      <c r="T512" s="206"/>
      <c r="U512" s="206"/>
      <c r="V512" s="206"/>
      <c r="W512" s="206"/>
      <c r="X512" s="206"/>
      <c r="Y512" s="206"/>
      <c r="Z512" s="206"/>
      <c r="AA512" s="4"/>
      <c r="AB512" s="4"/>
      <c r="AC512" s="4"/>
      <c r="AD512" s="4"/>
      <c r="AE512" s="4"/>
      <c r="AF512" s="81"/>
      <c r="AG512" s="81"/>
      <c r="AH512" s="81"/>
      <c r="AI512" s="4"/>
      <c r="AJ512" s="81"/>
      <c r="AK512" s="81"/>
      <c r="AL512" s="81"/>
      <c r="AM512" s="43">
        <v>496</v>
      </c>
      <c r="AN512">
        <v>203.72023956565232</v>
      </c>
      <c r="AO512">
        <v>91.916294634190322</v>
      </c>
      <c r="AP512">
        <v>668.60279578894131</v>
      </c>
      <c r="AQ512">
        <v>495.23091339741245</v>
      </c>
      <c r="AR512">
        <v>82.608814286638449</v>
      </c>
      <c r="AS512">
        <v>641.32622503655068</v>
      </c>
      <c r="AT512">
        <v>46.957280825596122</v>
      </c>
      <c r="AU512">
        <v>68.988898782416442</v>
      </c>
      <c r="AV512"/>
      <c r="AW512"/>
      <c r="FY512" s="211">
        <v>507</v>
      </c>
      <c r="FZ512">
        <v>5.171114819235342</v>
      </c>
      <c r="GA512">
        <v>46.255547401094255</v>
      </c>
      <c r="GB512">
        <v>99.568021959439264</v>
      </c>
      <c r="GC512">
        <v>56.473642794642309</v>
      </c>
      <c r="GD512">
        <v>23.856966478607195</v>
      </c>
      <c r="GE512">
        <v>47.151365699552024</v>
      </c>
      <c r="GF512">
        <v>83.126804360533569</v>
      </c>
      <c r="GG512">
        <v>79.744390147437727</v>
      </c>
      <c r="GH512">
        <v>45.970745588342972</v>
      </c>
      <c r="GI512">
        <v>65.423162718958025</v>
      </c>
      <c r="GJ512"/>
      <c r="GK512"/>
      <c r="GL512"/>
      <c r="GM512"/>
    </row>
    <row r="513" spans="1:195" s="7" customFormat="1">
      <c r="A513" s="4"/>
      <c r="B513" s="4"/>
      <c r="C513" s="63">
        <v>28</v>
      </c>
      <c r="D513" s="101">
        <f>SUM($AG$228:$AG$347)/$A$438</f>
        <v>0</v>
      </c>
      <c r="E513" s="97">
        <f>AI36</f>
        <v>156.78427380583037</v>
      </c>
      <c r="F513" s="102">
        <f>+D513-D515</f>
        <v>0</v>
      </c>
      <c r="G513" s="101">
        <f>+D513*E513</f>
        <v>0</v>
      </c>
      <c r="H513" s="101"/>
      <c r="I513" s="101"/>
      <c r="J513" s="101"/>
      <c r="K513" s="101"/>
      <c r="L513" s="206"/>
      <c r="M513" s="206"/>
      <c r="N513" s="206"/>
      <c r="O513" s="206"/>
      <c r="P513" s="206"/>
      <c r="Q513" s="206"/>
      <c r="R513" s="206"/>
      <c r="S513" s="206"/>
      <c r="T513" s="206"/>
      <c r="U513" s="206"/>
      <c r="V513" s="206"/>
      <c r="W513" s="206"/>
      <c r="X513" s="206"/>
      <c r="Y513" s="206"/>
      <c r="Z513" s="206"/>
      <c r="AA513" s="4"/>
      <c r="AB513" s="4"/>
      <c r="AC513" s="4"/>
      <c r="AD513" s="4"/>
      <c r="AE513" s="4"/>
      <c r="AF513" s="81"/>
      <c r="AG513" s="81"/>
      <c r="AH513" s="81"/>
      <c r="AI513" s="4"/>
      <c r="AJ513" s="81"/>
      <c r="AK513" s="81"/>
      <c r="AL513" s="81"/>
      <c r="AM513" s="43">
        <v>497</v>
      </c>
      <c r="AN513">
        <v>259.35087987178639</v>
      </c>
      <c r="AO513">
        <v>96.630070206669458</v>
      </c>
      <c r="AP513">
        <v>745.62968520661968</v>
      </c>
      <c r="AQ513">
        <v>520.50625306410586</v>
      </c>
      <c r="AR513">
        <v>86.34969175988951</v>
      </c>
      <c r="AS513">
        <v>723.21743828926139</v>
      </c>
      <c r="AT513">
        <v>48.449032434402788</v>
      </c>
      <c r="AU513">
        <v>66.815701249907576</v>
      </c>
      <c r="AV513"/>
      <c r="AW513"/>
      <c r="FY513" s="211">
        <v>508</v>
      </c>
      <c r="FZ513">
        <v>18.739996964678063</v>
      </c>
      <c r="GA513">
        <v>65.48625021570551</v>
      </c>
      <c r="GB513">
        <v>115.90847286040528</v>
      </c>
      <c r="GC513">
        <v>59.05797698168751</v>
      </c>
      <c r="GD513">
        <v>12.681929615279822</v>
      </c>
      <c r="GE513">
        <v>56.125162113060924</v>
      </c>
      <c r="GF513">
        <v>83.481566427104582</v>
      </c>
      <c r="GG513">
        <v>28.984385678780487</v>
      </c>
      <c r="GH513">
        <v>25.179498001612309</v>
      </c>
      <c r="GI513">
        <v>60.915772135974045</v>
      </c>
      <c r="GJ513"/>
      <c r="GK513"/>
      <c r="GL513"/>
      <c r="GM513"/>
    </row>
    <row r="514" spans="1:195" s="7" customFormat="1">
      <c r="A514" s="4"/>
      <c r="B514" s="4"/>
      <c r="C514" s="63"/>
      <c r="D514" s="101"/>
      <c r="E514" s="63"/>
      <c r="F514" s="63"/>
      <c r="G514" s="101"/>
      <c r="H514" s="101">
        <f>+SQRT(E513*E515)</f>
        <v>164.97696514727676</v>
      </c>
      <c r="I514" s="101">
        <f>+H514*F513</f>
        <v>0</v>
      </c>
      <c r="J514" s="101">
        <f>+I514*$A$440</f>
        <v>0</v>
      </c>
      <c r="K514" s="61">
        <f>IF(AND(J514&lt;0, J512&lt;0), 0, J514)</f>
        <v>0</v>
      </c>
      <c r="L514" s="206"/>
      <c r="M514" s="206"/>
      <c r="N514" s="206"/>
      <c r="O514" s="206"/>
      <c r="P514" s="206"/>
      <c r="Q514" s="206"/>
      <c r="R514" s="206"/>
      <c r="S514" s="206"/>
      <c r="T514" s="206"/>
      <c r="U514" s="206"/>
      <c r="V514" s="206"/>
      <c r="W514" s="206"/>
      <c r="X514" s="206"/>
      <c r="Y514" s="206"/>
      <c r="Z514" s="206"/>
      <c r="AA514" s="4"/>
      <c r="AB514" s="4"/>
      <c r="AC514" s="4"/>
      <c r="AD514" s="4"/>
      <c r="AE514" s="4"/>
      <c r="AF514" s="81"/>
      <c r="AG514" s="81"/>
      <c r="AH514" s="81"/>
      <c r="AI514" s="4"/>
      <c r="AJ514" s="81"/>
      <c r="AK514" s="81"/>
      <c r="AL514" s="81"/>
      <c r="AM514" s="43">
        <v>498</v>
      </c>
      <c r="AN514">
        <v>259.84623052426042</v>
      </c>
      <c r="AO514">
        <v>79.278725075454787</v>
      </c>
      <c r="AP514">
        <v>563.62833869813301</v>
      </c>
      <c r="AQ514">
        <v>438.32468252667161</v>
      </c>
      <c r="AR514">
        <v>72.350403796461748</v>
      </c>
      <c r="AS514">
        <v>598.41815711252377</v>
      </c>
      <c r="AT514">
        <v>39.272299953131402</v>
      </c>
      <c r="AU514">
        <v>62.440360858060387</v>
      </c>
      <c r="AV514"/>
      <c r="AW514"/>
      <c r="FY514" s="211">
        <v>509</v>
      </c>
      <c r="FZ514">
        <v>10.979532955988667</v>
      </c>
      <c r="GA514">
        <v>39.596344624020837</v>
      </c>
      <c r="GB514">
        <v>77.899889545526577</v>
      </c>
      <c r="GC514">
        <v>48.836687479676797</v>
      </c>
      <c r="GD514">
        <v>17.830057191849754</v>
      </c>
      <c r="GE514">
        <v>32.644019117101088</v>
      </c>
      <c r="GF514">
        <v>41.551950756307754</v>
      </c>
      <c r="GG514">
        <v>44.897059756790632</v>
      </c>
      <c r="GH514">
        <v>48.225460546472966</v>
      </c>
      <c r="GI514">
        <v>48.293361110974978</v>
      </c>
      <c r="GJ514"/>
      <c r="GK514"/>
      <c r="GL514"/>
      <c r="GM514"/>
    </row>
    <row r="515" spans="1:195" s="7" customFormat="1">
      <c r="A515" s="4"/>
      <c r="B515" s="4"/>
      <c r="C515" s="63">
        <v>29</v>
      </c>
      <c r="D515" s="101">
        <f>SUM($AH$228:$AH$347)/$A$438</f>
        <v>0</v>
      </c>
      <c r="E515" s="97">
        <f>AJ36</f>
        <v>173.59776187064006</v>
      </c>
      <c r="F515" s="102">
        <f>+D515-D517</f>
        <v>0</v>
      </c>
      <c r="G515" s="101">
        <f>+D515*E515</f>
        <v>0</v>
      </c>
      <c r="H515" s="101"/>
      <c r="I515" s="101"/>
      <c r="J515" s="101"/>
      <c r="K515" s="101"/>
      <c r="L515" s="206"/>
      <c r="M515" s="206"/>
      <c r="N515" s="206"/>
      <c r="O515" s="206"/>
      <c r="P515" s="206"/>
      <c r="Q515" s="206"/>
      <c r="R515" s="206"/>
      <c r="S515" s="206"/>
      <c r="T515" s="206"/>
      <c r="U515" s="206"/>
      <c r="V515" s="206"/>
      <c r="W515" s="206"/>
      <c r="X515" s="206"/>
      <c r="Y515" s="206"/>
      <c r="Z515" s="206"/>
      <c r="AA515" s="4"/>
      <c r="AB515" s="4"/>
      <c r="AC515" s="4"/>
      <c r="AD515" s="4"/>
      <c r="AE515" s="4"/>
      <c r="AF515" s="81"/>
      <c r="AG515" s="81"/>
      <c r="AH515" s="81"/>
      <c r="AI515" s="4"/>
      <c r="AJ515" s="81"/>
      <c r="AK515" s="81"/>
      <c r="AL515" s="81"/>
      <c r="AM515" s="43">
        <v>499</v>
      </c>
      <c r="AN515">
        <v>242.46051749393146</v>
      </c>
      <c r="AO515">
        <v>96.133402540622058</v>
      </c>
      <c r="AP515">
        <v>702.54818881898734</v>
      </c>
      <c r="AQ515">
        <v>524.80689370647622</v>
      </c>
      <c r="AR515">
        <v>87.706135323550797</v>
      </c>
      <c r="AS515">
        <v>682.10875671650354</v>
      </c>
      <c r="AT515">
        <v>46.117437499859484</v>
      </c>
      <c r="AU515">
        <v>57.234870314073248</v>
      </c>
      <c r="AV515"/>
      <c r="AW515"/>
      <c r="FY515" s="211">
        <v>510</v>
      </c>
      <c r="FZ515">
        <v>22.636729780946762</v>
      </c>
      <c r="GA515">
        <v>46.817563235648905</v>
      </c>
      <c r="GB515">
        <v>76.580842552741629</v>
      </c>
      <c r="GC515">
        <v>47.882943178770127</v>
      </c>
      <c r="GD515">
        <v>14.628023808676547</v>
      </c>
      <c r="GE515">
        <v>34.605403544000005</v>
      </c>
      <c r="GF515">
        <v>106.70787318706545</v>
      </c>
      <c r="GG515">
        <v>79.210782295015235</v>
      </c>
      <c r="GH515">
        <v>24.974438330209555</v>
      </c>
      <c r="GI515">
        <v>57.774820470121846</v>
      </c>
      <c r="GJ515"/>
      <c r="GK515"/>
      <c r="GL515"/>
      <c r="GM515"/>
    </row>
    <row r="516" spans="1:195" s="7" customFormat="1">
      <c r="A516" s="4"/>
      <c r="B516" s="4"/>
      <c r="C516" s="63"/>
      <c r="D516" s="101"/>
      <c r="E516" s="63"/>
      <c r="F516" s="63"/>
      <c r="G516" s="101"/>
      <c r="H516" s="101">
        <f>+SQRT(E515*E517)</f>
        <v>182.35384665829153</v>
      </c>
      <c r="I516" s="101">
        <f>+H516*F515</f>
        <v>0</v>
      </c>
      <c r="J516" s="101">
        <f>+I516*$A$440</f>
        <v>0</v>
      </c>
      <c r="K516" s="61">
        <f>IF(AND(J516&lt;0, J514&lt;0), 0, J516)</f>
        <v>0</v>
      </c>
      <c r="L516" s="206"/>
      <c r="M516" s="206"/>
      <c r="N516" s="206"/>
      <c r="O516" s="206"/>
      <c r="P516" s="206"/>
      <c r="Q516" s="206"/>
      <c r="R516" s="206"/>
      <c r="S516" s="206"/>
      <c r="T516" s="206"/>
      <c r="U516" s="206"/>
      <c r="V516" s="206"/>
      <c r="W516" s="206"/>
      <c r="X516" s="206"/>
      <c r="Y516" s="206"/>
      <c r="Z516" s="206"/>
      <c r="AA516" s="4"/>
      <c r="AB516" s="4"/>
      <c r="AC516" s="4"/>
      <c r="AD516" s="4"/>
      <c r="AE516" s="4"/>
      <c r="AF516" s="81"/>
      <c r="AG516" s="81"/>
      <c r="AH516" s="81"/>
      <c r="AI516" s="4"/>
      <c r="AJ516" s="81"/>
      <c r="AK516" s="81"/>
      <c r="AL516" s="81"/>
      <c r="AM516" s="43">
        <v>500</v>
      </c>
      <c r="AN516">
        <v>242.46209824065514</v>
      </c>
      <c r="AO516">
        <v>90.749349122727594</v>
      </c>
      <c r="AP516">
        <v>683.78042195254739</v>
      </c>
      <c r="AQ516">
        <v>494.75982458070007</v>
      </c>
      <c r="AR516">
        <v>81.314212645098806</v>
      </c>
      <c r="AS516">
        <v>644.95514726160911</v>
      </c>
      <c r="AT516">
        <v>45.707634536331199</v>
      </c>
      <c r="AU516">
        <v>79.026938570318308</v>
      </c>
      <c r="AV516"/>
      <c r="AW516"/>
      <c r="FY516" s="211">
        <v>511</v>
      </c>
      <c r="FZ516">
        <v>23.215891618404502</v>
      </c>
      <c r="GA516">
        <v>51.091008115757255</v>
      </c>
      <c r="GB516">
        <v>58.166392240289319</v>
      </c>
      <c r="GC516">
        <v>36.183889189931264</v>
      </c>
      <c r="GD516">
        <v>14.356482711314655</v>
      </c>
      <c r="GE516">
        <v>17.242831472273679</v>
      </c>
      <c r="GF516">
        <v>20.572728166212769</v>
      </c>
      <c r="GG516">
        <v>18.039183157098709</v>
      </c>
      <c r="GH516">
        <v>13.169980410109151</v>
      </c>
      <c r="GI516">
        <v>33.357845363445456</v>
      </c>
      <c r="GJ516"/>
      <c r="GK516"/>
      <c r="GL516"/>
      <c r="GM516"/>
    </row>
    <row r="517" spans="1:195" s="7" customFormat="1">
      <c r="A517" s="4"/>
      <c r="B517" s="4"/>
      <c r="C517" s="63">
        <v>30</v>
      </c>
      <c r="D517" s="101">
        <f>SUM($AI$228:$AI$347)/$A$438</f>
        <v>0</v>
      </c>
      <c r="E517" s="97">
        <f>AK36</f>
        <v>191.55157896479565</v>
      </c>
      <c r="F517" s="102">
        <f>+D517-D517</f>
        <v>0</v>
      </c>
      <c r="G517" s="101">
        <f>+D517*E517</f>
        <v>0</v>
      </c>
      <c r="H517" s="101"/>
      <c r="I517" s="101"/>
      <c r="J517" s="101"/>
      <c r="K517" s="101"/>
      <c r="L517" s="206"/>
      <c r="M517" s="206"/>
      <c r="N517" s="206"/>
      <c r="O517" s="206"/>
      <c r="P517" s="206"/>
      <c r="Q517" s="206"/>
      <c r="R517" s="206"/>
      <c r="S517" s="206"/>
      <c r="T517" s="206"/>
      <c r="U517" s="206"/>
      <c r="V517" s="206"/>
      <c r="W517" s="206"/>
      <c r="X517" s="206"/>
      <c r="Y517" s="206"/>
      <c r="Z517" s="206"/>
      <c r="AA517" s="4"/>
      <c r="AB517" s="4"/>
      <c r="AC517" s="4"/>
      <c r="AD517" s="4"/>
      <c r="AE517" s="4"/>
      <c r="AF517" s="81"/>
      <c r="AG517" s="81"/>
      <c r="AH517" s="81"/>
      <c r="AI517" s="4"/>
      <c r="AJ517" s="81"/>
      <c r="AK517" s="81"/>
      <c r="AL517" s="81"/>
      <c r="AM517" s="43">
        <v>501</v>
      </c>
      <c r="AN517">
        <v>258.72181727525236</v>
      </c>
      <c r="AO517">
        <v>96.389497025785872</v>
      </c>
      <c r="AP517">
        <v>601.52846014319277</v>
      </c>
      <c r="AQ517">
        <v>497.25240353570314</v>
      </c>
      <c r="AR517">
        <v>86.903048899048812</v>
      </c>
      <c r="AS517">
        <v>725.97087016760202</v>
      </c>
      <c r="AT517">
        <v>49.007747316943188</v>
      </c>
      <c r="AU517">
        <v>86.240928892635907</v>
      </c>
      <c r="AV517"/>
      <c r="AW517"/>
      <c r="FY517" s="211">
        <v>512</v>
      </c>
      <c r="FZ517">
        <v>8.6026883184852423</v>
      </c>
      <c r="GA517">
        <v>42.193108121323121</v>
      </c>
      <c r="GB517">
        <v>82.343696735465414</v>
      </c>
      <c r="GC517">
        <v>46.075021952860304</v>
      </c>
      <c r="GD517">
        <v>22.39039194405656</v>
      </c>
      <c r="GE517">
        <v>55.034364223376706</v>
      </c>
      <c r="GF517">
        <v>103.7188693575098</v>
      </c>
      <c r="GG517">
        <v>60.350407508841549</v>
      </c>
      <c r="GH517">
        <v>5.7028144076796625</v>
      </c>
      <c r="GI517">
        <v>58.123582189598956</v>
      </c>
      <c r="GJ517"/>
      <c r="GK517"/>
      <c r="GL517"/>
      <c r="GM517"/>
    </row>
    <row r="518" spans="1:195" s="7" customFormat="1">
      <c r="A518" s="4"/>
      <c r="B518" s="4"/>
      <c r="C518" s="63"/>
      <c r="D518" s="63"/>
      <c r="E518" s="63"/>
      <c r="F518" s="63"/>
      <c r="G518" s="101"/>
      <c r="H518" s="101">
        <f>+SQRT(E517*E517)</f>
        <v>191.55157896479565</v>
      </c>
      <c r="I518" s="101">
        <f>+H518*F517</f>
        <v>0</v>
      </c>
      <c r="J518" s="101">
        <f>+I518*$A$440</f>
        <v>0</v>
      </c>
      <c r="K518" s="61">
        <f>IF(AND(J518&lt;0, J516&lt;0), 0, J518)</f>
        <v>0</v>
      </c>
      <c r="L518" s="206"/>
      <c r="M518" s="206"/>
      <c r="N518" s="206"/>
      <c r="O518" s="206"/>
      <c r="P518" s="206"/>
      <c r="Q518" s="206"/>
      <c r="R518" s="206"/>
      <c r="S518" s="206"/>
      <c r="T518" s="206"/>
      <c r="U518" s="206"/>
      <c r="V518" s="206"/>
      <c r="W518" s="206"/>
      <c r="X518" s="206"/>
      <c r="Y518" s="206"/>
      <c r="Z518" s="206"/>
      <c r="AA518" s="4"/>
      <c r="AB518" s="4"/>
      <c r="AC518" s="4"/>
      <c r="AD518" s="4"/>
      <c r="AE518" s="4"/>
      <c r="AF518" s="81"/>
      <c r="AG518" s="81"/>
      <c r="AH518" s="81"/>
      <c r="AI518" s="4"/>
      <c r="AJ518" s="81"/>
      <c r="AK518" s="81"/>
      <c r="AL518" s="81"/>
      <c r="AM518" s="43">
        <v>502</v>
      </c>
      <c r="AN518">
        <v>224.71147864406572</v>
      </c>
      <c r="AO518">
        <v>74.599437553322673</v>
      </c>
      <c r="AP518">
        <v>517.08367714186534</v>
      </c>
      <c r="AQ518">
        <v>393.44515572776828</v>
      </c>
      <c r="AR518">
        <v>67.489421676303905</v>
      </c>
      <c r="AS518">
        <v>576.83463787099095</v>
      </c>
      <c r="AT518">
        <v>36.942782745269845</v>
      </c>
      <c r="AU518">
        <v>80.619722923590956</v>
      </c>
      <c r="AV518"/>
      <c r="AW518"/>
      <c r="FY518" s="211">
        <v>513</v>
      </c>
      <c r="FZ518">
        <v>17.008399814214464</v>
      </c>
      <c r="GA518">
        <v>59.962193968657147</v>
      </c>
      <c r="GB518">
        <v>66.135809948679409</v>
      </c>
      <c r="GC518">
        <v>36.271705238154382</v>
      </c>
      <c r="GD518">
        <v>20.488499073870205</v>
      </c>
      <c r="GE518">
        <v>48.901059181501395</v>
      </c>
      <c r="GF518">
        <v>62.482905421879806</v>
      </c>
      <c r="GG518">
        <v>26.063977734083242</v>
      </c>
      <c r="GH518">
        <v>11.011239512767064</v>
      </c>
      <c r="GI518">
        <v>45.778493361911025</v>
      </c>
      <c r="GJ518"/>
      <c r="GK518"/>
      <c r="GL518"/>
      <c r="GM518"/>
    </row>
    <row r="519" spans="1:195" s="7" customFormat="1">
      <c r="A519" s="4"/>
      <c r="B519" s="4"/>
      <c r="C519" s="8"/>
      <c r="D519" s="8"/>
      <c r="E519" s="8"/>
      <c r="F519" s="8"/>
      <c r="G519" s="8"/>
      <c r="H519" s="8"/>
      <c r="I519" s="8"/>
      <c r="J519" s="8"/>
      <c r="K519" s="19"/>
      <c r="L519" s="206"/>
      <c r="M519" s="206"/>
      <c r="N519" s="206"/>
      <c r="O519" s="206"/>
      <c r="P519" s="206"/>
      <c r="Q519" s="206"/>
      <c r="R519" s="206"/>
      <c r="S519" s="206"/>
      <c r="T519" s="206"/>
      <c r="U519" s="206"/>
      <c r="V519" s="206"/>
      <c r="W519" s="206"/>
      <c r="X519" s="206"/>
      <c r="Y519" s="206"/>
      <c r="Z519" s="206"/>
      <c r="AA519" s="4"/>
      <c r="AB519" s="4"/>
      <c r="AC519" s="4"/>
      <c r="AD519" s="4"/>
      <c r="AE519" s="4"/>
      <c r="AF519" s="81"/>
      <c r="AG519" s="81"/>
      <c r="AH519" s="81"/>
      <c r="AI519" s="4"/>
      <c r="AJ519" s="81"/>
      <c r="AK519" s="81"/>
      <c r="AL519" s="81"/>
      <c r="AM519" s="43">
        <v>503</v>
      </c>
      <c r="AN519">
        <v>289.59683398650498</v>
      </c>
      <c r="AO519">
        <v>108.91288097344845</v>
      </c>
      <c r="AP519">
        <v>737.37295876460314</v>
      </c>
      <c r="AQ519">
        <v>559.31503404903037</v>
      </c>
      <c r="AR519">
        <v>97.992324677998397</v>
      </c>
      <c r="AS519">
        <v>756.1738244404404</v>
      </c>
      <c r="AT519">
        <v>52.870665093178509</v>
      </c>
      <c r="AU519">
        <v>105.15568154891373</v>
      </c>
      <c r="AV519"/>
      <c r="AW519"/>
      <c r="FY519" s="211">
        <v>514</v>
      </c>
      <c r="FZ519">
        <v>24.356066878939266</v>
      </c>
      <c r="GA519">
        <v>77.172473087042576</v>
      </c>
      <c r="GB519">
        <v>108.66822839406746</v>
      </c>
      <c r="GC519">
        <v>61.696174241423023</v>
      </c>
      <c r="GD519">
        <v>23.961012777332673</v>
      </c>
      <c r="GE519">
        <v>41.211590581084295</v>
      </c>
      <c r="GF519">
        <v>64.498548555228382</v>
      </c>
      <c r="GG519">
        <v>36.120877314212379</v>
      </c>
      <c r="GH519">
        <v>7.3272345471432452</v>
      </c>
      <c r="GI519">
        <v>61.380997559827435</v>
      </c>
      <c r="GJ519"/>
      <c r="GK519"/>
      <c r="GL519"/>
      <c r="GM519"/>
    </row>
    <row r="520" spans="1:195" s="7" customFormat="1">
      <c r="A520" s="4"/>
      <c r="B520" s="4"/>
      <c r="C520" s="63"/>
      <c r="D520" s="63"/>
      <c r="E520" s="63" t="s">
        <v>24</v>
      </c>
      <c r="F520" s="18"/>
      <c r="G520" s="123">
        <f>SUM(G457:G517)</f>
        <v>78.36155893504484</v>
      </c>
      <c r="H520" s="63" t="s">
        <v>30</v>
      </c>
      <c r="I520" s="101">
        <f>SUM(K458:K518)</f>
        <v>646.15299412429067</v>
      </c>
      <c r="J520" s="63"/>
      <c r="K520" s="19"/>
      <c r="L520" s="206"/>
      <c r="M520" s="206"/>
      <c r="N520" s="206"/>
      <c r="O520" s="206"/>
      <c r="P520" s="206"/>
      <c r="Q520" s="206"/>
      <c r="R520" s="206"/>
      <c r="S520" s="206"/>
      <c r="T520" s="206"/>
      <c r="U520" s="206"/>
      <c r="V520" s="206"/>
      <c r="W520" s="206"/>
      <c r="X520" s="206"/>
      <c r="Y520" s="206"/>
      <c r="Z520" s="206"/>
      <c r="AA520" s="4"/>
      <c r="AB520" s="4"/>
      <c r="AC520" s="4"/>
      <c r="AD520" s="4"/>
      <c r="AE520" s="4"/>
      <c r="AF520" s="81"/>
      <c r="AG520" s="81"/>
      <c r="AH520" s="81"/>
      <c r="AI520" s="4"/>
      <c r="AJ520" s="81"/>
      <c r="AK520" s="81"/>
      <c r="AL520" s="81"/>
      <c r="AM520" s="43">
        <v>504</v>
      </c>
      <c r="AN520">
        <v>292.51266083169298</v>
      </c>
      <c r="AO520">
        <v>100.13285817540702</v>
      </c>
      <c r="AP520">
        <v>803.48119994593992</v>
      </c>
      <c r="AQ520">
        <v>572.52567021501739</v>
      </c>
      <c r="AR520">
        <v>89.477643002157336</v>
      </c>
      <c r="AS520">
        <v>725.14959635494631</v>
      </c>
      <c r="AT520">
        <v>45.560907283733627</v>
      </c>
      <c r="AU520">
        <v>84.567213489419757</v>
      </c>
      <c r="AV520"/>
      <c r="AW520"/>
      <c r="FY520" s="211">
        <v>515</v>
      </c>
      <c r="FZ520">
        <v>16.992256000664227</v>
      </c>
      <c r="GA520">
        <v>55.064354375933533</v>
      </c>
      <c r="GB520">
        <v>63.376786107549322</v>
      </c>
      <c r="GC520">
        <v>35.410977513362987</v>
      </c>
      <c r="GD520">
        <v>19.044906210160757</v>
      </c>
      <c r="GE520">
        <v>51.788783009057674</v>
      </c>
      <c r="GF520">
        <v>58.733946951730921</v>
      </c>
      <c r="GG520">
        <v>27.111107655715742</v>
      </c>
      <c r="GH520">
        <v>25.6571151500704</v>
      </c>
      <c r="GI520">
        <v>46.856339258241178</v>
      </c>
      <c r="GJ520"/>
      <c r="GK520"/>
      <c r="GL520"/>
      <c r="GM520"/>
    </row>
    <row r="521" spans="1:195" s="7" customFormat="1">
      <c r="A521" s="4"/>
      <c r="B521" s="4"/>
      <c r="C521" s="63"/>
      <c r="D521" s="63"/>
      <c r="E521" s="63"/>
      <c r="F521" s="63"/>
      <c r="G521" s="63"/>
      <c r="H521" s="8"/>
      <c r="I521"/>
      <c r="J521" s="19"/>
      <c r="K521" s="19"/>
      <c r="L521" s="206"/>
      <c r="M521" s="206"/>
      <c r="N521" s="206"/>
      <c r="O521" s="206"/>
      <c r="P521" s="206"/>
      <c r="Q521" s="206"/>
      <c r="R521" s="206"/>
      <c r="S521" s="206"/>
      <c r="T521" s="206"/>
      <c r="U521" s="206"/>
      <c r="V521" s="206"/>
      <c r="W521" s="206"/>
      <c r="X521" s="206"/>
      <c r="Y521" s="206"/>
      <c r="Z521" s="206"/>
      <c r="AA521" s="4"/>
      <c r="AB521" s="4"/>
      <c r="AC521" s="4"/>
      <c r="AD521" s="4"/>
      <c r="AE521" s="4"/>
      <c r="AF521" s="81"/>
      <c r="AG521" s="81"/>
      <c r="AH521" s="81"/>
      <c r="AI521" s="4"/>
      <c r="AJ521" s="81"/>
      <c r="AK521" s="81"/>
      <c r="AL521" s="81"/>
      <c r="AM521" s="43">
        <v>505</v>
      </c>
      <c r="AN521">
        <v>222.97214690687906</v>
      </c>
      <c r="AO521">
        <v>72.165738194493358</v>
      </c>
      <c r="AP521">
        <v>533.29572757774508</v>
      </c>
      <c r="AQ521">
        <v>392.79176200612551</v>
      </c>
      <c r="AR521">
        <v>64.797526517814958</v>
      </c>
      <c r="AS521">
        <v>569.59104928874262</v>
      </c>
      <c r="AT521">
        <v>36.900141886643979</v>
      </c>
      <c r="AU521">
        <v>76.487097555394854</v>
      </c>
      <c r="AV521"/>
      <c r="AW521"/>
      <c r="FY521" s="211">
        <v>516</v>
      </c>
      <c r="FZ521">
        <v>12.405689633700181</v>
      </c>
      <c r="GA521">
        <v>49.669480996176667</v>
      </c>
      <c r="GB521">
        <v>85.357253188239937</v>
      </c>
      <c r="GC521">
        <v>50.847784111901021</v>
      </c>
      <c r="GD521">
        <v>22.502031598027813</v>
      </c>
      <c r="GE521">
        <v>29.52349696704427</v>
      </c>
      <c r="GF521">
        <v>75.733930086664628</v>
      </c>
      <c r="GG521">
        <v>66.20490755628218</v>
      </c>
      <c r="GH521">
        <v>10.71136822763363</v>
      </c>
      <c r="GI521">
        <v>54.711789132037907</v>
      </c>
      <c r="GJ521"/>
      <c r="GK521"/>
      <c r="GL521"/>
      <c r="GM521"/>
    </row>
    <row r="522" spans="1:195" s="7" customFormat="1">
      <c r="A522" s="4"/>
      <c r="B522" s="4"/>
      <c r="C522" s="63"/>
      <c r="D522" s="63"/>
      <c r="E522" s="63" t="s">
        <v>100</v>
      </c>
      <c r="F522" s="101">
        <f>+I520/G520</f>
        <v>8.2457904475828165</v>
      </c>
      <c r="G522" s="63"/>
      <c r="H522" s="63" t="s">
        <v>101</v>
      </c>
      <c r="I522">
        <v>354.82888793945312</v>
      </c>
      <c r="J522" s="19"/>
      <c r="K522" s="19"/>
      <c r="L522" s="206"/>
      <c r="M522" s="206"/>
      <c r="N522" s="206"/>
      <c r="O522" s="206"/>
      <c r="P522" s="206"/>
      <c r="Q522" s="206"/>
      <c r="R522" s="206"/>
      <c r="S522" s="206"/>
      <c r="T522">
        <v>0</v>
      </c>
      <c r="U522" s="206"/>
      <c r="V522" s="206"/>
      <c r="W522" s="206"/>
      <c r="X522" s="206"/>
      <c r="Y522" s="206"/>
      <c r="Z522" s="206"/>
      <c r="AA522" s="4"/>
      <c r="AB522">
        <v>0</v>
      </c>
      <c r="AC522" s="4"/>
      <c r="AD522" s="4"/>
      <c r="AE522" s="4"/>
      <c r="AF522" s="81"/>
      <c r="AG522" s="81"/>
      <c r="AH522" s="81"/>
      <c r="AI522" s="4"/>
      <c r="AJ522" s="81"/>
      <c r="AK522" s="81"/>
      <c r="AL522" s="81"/>
      <c r="AM522" s="43">
        <v>506</v>
      </c>
      <c r="AN522">
        <v>268.52804370112489</v>
      </c>
      <c r="AO522">
        <v>73.952408672731295</v>
      </c>
      <c r="AP522">
        <v>572.44587930689204</v>
      </c>
      <c r="AQ522">
        <v>441.69173858728777</v>
      </c>
      <c r="AR522">
        <v>65.775267260479552</v>
      </c>
      <c r="AS522">
        <v>606.30948961130139</v>
      </c>
      <c r="AT522">
        <v>34.321633043078464</v>
      </c>
      <c r="AU522">
        <v>34.794247849614514</v>
      </c>
      <c r="AV522"/>
      <c r="AW522"/>
      <c r="FY522" s="211">
        <v>517</v>
      </c>
      <c r="FZ522">
        <v>6.2111193417911785</v>
      </c>
      <c r="GA522">
        <v>39.278067563783502</v>
      </c>
      <c r="GB522">
        <v>63.100183720757805</v>
      </c>
      <c r="GC522">
        <v>41.191850336202108</v>
      </c>
      <c r="GD522">
        <v>18.20840102574849</v>
      </c>
      <c r="GE522">
        <v>29.327110950443263</v>
      </c>
      <c r="GF522">
        <v>93.153760128599274</v>
      </c>
      <c r="GG522">
        <v>95.04193199163096</v>
      </c>
      <c r="GH522">
        <v>49.208958561518671</v>
      </c>
      <c r="GI522">
        <v>55.191865768374925</v>
      </c>
      <c r="GJ522"/>
      <c r="GK522"/>
      <c r="GL522"/>
      <c r="GM522"/>
    </row>
    <row r="523" spans="1:195" s="7" customFormat="1">
      <c r="A523" s="4"/>
      <c r="B523" s="4"/>
      <c r="C523" s="63"/>
      <c r="D523" s="63"/>
      <c r="E523" s="63" t="s">
        <v>102</v>
      </c>
      <c r="F523" s="101">
        <f>+I523/G520</f>
        <v>8.4821546826291563</v>
      </c>
      <c r="G523" s="63"/>
      <c r="H523" s="63" t="s">
        <v>103</v>
      </c>
      <c r="I523" s="123">
        <f>+I520*(365/I522)</f>
        <v>664.67486405901116</v>
      </c>
      <c r="J523" s="19"/>
      <c r="K523" s="19"/>
      <c r="L523" s="206"/>
      <c r="M523" s="206"/>
      <c r="N523" s="206"/>
      <c r="O523" s="206"/>
      <c r="P523" s="206"/>
      <c r="Q523" s="206"/>
      <c r="R523" s="206"/>
      <c r="S523" s="206"/>
      <c r="T523" s="206"/>
      <c r="U523" s="206"/>
      <c r="V523" s="206"/>
      <c r="W523" s="206"/>
      <c r="X523" s="206"/>
      <c r="Y523" s="206"/>
      <c r="Z523" s="206"/>
      <c r="AA523" s="4"/>
      <c r="AB523" s="4"/>
      <c r="AC523" s="4"/>
      <c r="AD523" s="4"/>
      <c r="AE523" s="4"/>
      <c r="AF523" s="81"/>
      <c r="AG523" s="81"/>
      <c r="AH523" s="81"/>
      <c r="AI523" s="4"/>
      <c r="AJ523" s="81"/>
      <c r="AK523" s="81"/>
      <c r="AL523" s="81"/>
      <c r="AM523" s="43">
        <v>507</v>
      </c>
      <c r="AN523">
        <v>275.01157293304635</v>
      </c>
      <c r="AO523">
        <v>103.64230480720948</v>
      </c>
      <c r="AP523">
        <v>750.06855997107539</v>
      </c>
      <c r="AQ523">
        <v>552.74176196784276</v>
      </c>
      <c r="AR523">
        <v>94.34371747162966</v>
      </c>
      <c r="AS523">
        <v>773.95621971177252</v>
      </c>
      <c r="AT523">
        <v>55.886101883786488</v>
      </c>
      <c r="AU523">
        <v>182.36490289995859</v>
      </c>
      <c r="AV523"/>
      <c r="AW523"/>
      <c r="FY523" s="211">
        <v>518</v>
      </c>
      <c r="FZ523">
        <v>21.120067630023087</v>
      </c>
      <c r="GA523">
        <v>65.72140235892499</v>
      </c>
      <c r="GB523">
        <v>77.109731633132171</v>
      </c>
      <c r="GC523">
        <v>44.018901616512402</v>
      </c>
      <c r="GD523">
        <v>22.559775890897207</v>
      </c>
      <c r="GE523">
        <v>51.142022492020786</v>
      </c>
      <c r="GF523">
        <v>94.502453244921924</v>
      </c>
      <c r="GG523">
        <v>63.876812070719083</v>
      </c>
      <c r="GH523">
        <v>26.885760342799024</v>
      </c>
      <c r="GI523">
        <v>60.709722277680669</v>
      </c>
      <c r="GJ523"/>
      <c r="GK523"/>
      <c r="GL523"/>
      <c r="GM523"/>
    </row>
    <row r="524" spans="1:195" s="7" customFormat="1">
      <c r="A524" s="4"/>
      <c r="B524" s="4"/>
      <c r="C524" s="83"/>
      <c r="D524" s="83"/>
      <c r="E524" s="83"/>
      <c r="F524" s="4"/>
      <c r="G524" s="4"/>
      <c r="H524" s="4"/>
      <c r="I524" s="4"/>
      <c r="J524" s="4"/>
      <c r="K524" s="4"/>
      <c r="L524" s="206"/>
      <c r="M524" s="206"/>
      <c r="N524" s="206"/>
      <c r="O524" s="206"/>
      <c r="P524" s="206"/>
      <c r="Q524" s="206"/>
      <c r="R524" s="206"/>
      <c r="S524" s="206"/>
      <c r="T524" s="206"/>
      <c r="U524" s="206"/>
      <c r="V524" s="206"/>
      <c r="W524" s="206"/>
      <c r="X524" s="206"/>
      <c r="Y524" s="206"/>
      <c r="Z524" s="206"/>
      <c r="AA524" s="4"/>
      <c r="AB524" s="4"/>
      <c r="AC524" s="4"/>
      <c r="AD524" s="4"/>
      <c r="AE524" s="4"/>
      <c r="AF524" s="81"/>
      <c r="AG524" s="81"/>
      <c r="AH524" s="81"/>
      <c r="AI524" s="4"/>
      <c r="AJ524" s="81"/>
      <c r="AK524" s="81"/>
      <c r="AL524" s="81"/>
      <c r="AM524" s="43">
        <v>508</v>
      </c>
      <c r="AN524">
        <v>277.74014888059457</v>
      </c>
      <c r="AO524">
        <v>95.807705088960446</v>
      </c>
      <c r="AP524">
        <v>718.46450768775526</v>
      </c>
      <c r="AQ524">
        <v>526.56101099428861</v>
      </c>
      <c r="AR524">
        <v>84.669882873559985</v>
      </c>
      <c r="AS524">
        <v>699.35781248941601</v>
      </c>
      <c r="AT524">
        <v>45.223577689355466</v>
      </c>
      <c r="AU524">
        <v>155.28736316322338</v>
      </c>
      <c r="AV524"/>
      <c r="AW524"/>
      <c r="FY524" s="211">
        <v>519</v>
      </c>
      <c r="FZ524">
        <v>7.7543490918822897</v>
      </c>
      <c r="GA524">
        <v>45.891682015046776</v>
      </c>
      <c r="GB524">
        <v>65.884240830689265</v>
      </c>
      <c r="GC524">
        <v>39.919547764633869</v>
      </c>
      <c r="GD524">
        <v>31.277915878437245</v>
      </c>
      <c r="GE524">
        <v>63.007775147364242</v>
      </c>
      <c r="GF524">
        <v>66.462166514692356</v>
      </c>
      <c r="GG524">
        <v>55.301314804026461</v>
      </c>
      <c r="GH524">
        <v>38.524690469277786</v>
      </c>
      <c r="GI524">
        <v>57.206940844226565</v>
      </c>
      <c r="GJ524"/>
      <c r="GK524"/>
      <c r="GL524"/>
      <c r="GM524"/>
    </row>
    <row r="525" spans="1:195" s="7" customFormat="1">
      <c r="A525" s="4"/>
      <c r="B525" s="4"/>
      <c r="C525" s="83"/>
      <c r="D525" s="83"/>
      <c r="E525" s="83"/>
      <c r="F525" s="4"/>
      <c r="G525" s="4"/>
      <c r="H525" s="4"/>
      <c r="I525" s="4"/>
      <c r="J525" s="4"/>
      <c r="K525" s="4"/>
      <c r="L525" s="4"/>
      <c r="M525" s="4"/>
      <c r="N525" s="4"/>
      <c r="O525" s="4"/>
      <c r="P525" s="4"/>
      <c r="Q525" s="4"/>
      <c r="R525" s="4"/>
      <c r="S525" s="4"/>
      <c r="T525" s="4"/>
      <c r="U525" s="4"/>
      <c r="V525" s="4"/>
      <c r="W525" s="4"/>
      <c r="X525" s="4"/>
      <c r="Y525" s="4"/>
      <c r="Z525" s="4"/>
      <c r="AA525" s="4"/>
      <c r="AB525" s="4"/>
      <c r="AC525" s="4"/>
      <c r="AD525" s="4"/>
      <c r="AE525" s="4"/>
      <c r="AF525" s="81"/>
      <c r="AG525" s="81"/>
      <c r="AH525" s="81"/>
      <c r="AI525" s="4"/>
      <c r="AJ525" s="81"/>
      <c r="AK525" s="81"/>
      <c r="AL525" s="81"/>
      <c r="AM525" s="43">
        <v>509</v>
      </c>
      <c r="AN525">
        <v>275.76051353343792</v>
      </c>
      <c r="AO525">
        <v>75.490360892371683</v>
      </c>
      <c r="AP525">
        <v>537.63160818582344</v>
      </c>
      <c r="AQ525">
        <v>410.75436308471006</v>
      </c>
      <c r="AR525">
        <v>68.158076899085117</v>
      </c>
      <c r="AS525">
        <v>601.8046294964189</v>
      </c>
      <c r="AT525">
        <v>37.391187929367838</v>
      </c>
      <c r="AU525">
        <v>59.857005604203252</v>
      </c>
      <c r="AV525"/>
      <c r="AW525"/>
      <c r="FY525" s="211">
        <v>520</v>
      </c>
      <c r="FZ525">
        <v>29.21673631837934</v>
      </c>
      <c r="GA525">
        <v>65.898730205936971</v>
      </c>
      <c r="GB525">
        <v>80.102077638933736</v>
      </c>
      <c r="GC525">
        <v>44.366998016937629</v>
      </c>
      <c r="GD525">
        <v>14.137808145894997</v>
      </c>
      <c r="GE525">
        <v>33.390535434884498</v>
      </c>
      <c r="GF525">
        <v>70.141536791385249</v>
      </c>
      <c r="GG525">
        <v>46.506616862419875</v>
      </c>
      <c r="GH525">
        <v>19.640745644752037</v>
      </c>
      <c r="GI525">
        <v>51.722027167622215</v>
      </c>
      <c r="GJ525"/>
      <c r="GK525"/>
      <c r="GL525"/>
      <c r="GM525"/>
    </row>
    <row r="526" spans="1:195" s="7" customFormat="1">
      <c r="A526" s="4"/>
      <c r="B526" s="4"/>
      <c r="C526" s="83"/>
      <c r="D526" s="83"/>
      <c r="E526" s="83"/>
      <c r="F526" s="4"/>
      <c r="G526" s="4"/>
      <c r="H526" s="4"/>
      <c r="I526" s="4"/>
      <c r="J526" s="4"/>
      <c r="K526" s="4"/>
      <c r="L526" s="4"/>
      <c r="M526" s="4"/>
      <c r="N526" s="4"/>
      <c r="O526" s="4"/>
      <c r="P526" s="4"/>
      <c r="Q526" s="4"/>
      <c r="R526" s="4"/>
      <c r="S526" s="4"/>
      <c r="T526" s="4"/>
      <c r="U526" s="4"/>
      <c r="V526" s="4"/>
      <c r="W526" s="4"/>
      <c r="X526" s="4"/>
      <c r="Y526" s="4"/>
      <c r="Z526" s="4"/>
      <c r="AA526" s="4"/>
      <c r="AB526" s="4"/>
      <c r="AC526" s="4"/>
      <c r="AD526" s="4"/>
      <c r="AE526" s="4"/>
      <c r="AF526" s="81"/>
      <c r="AG526" s="81"/>
      <c r="AH526" s="81"/>
      <c r="AI526" s="4"/>
      <c r="AJ526" s="81"/>
      <c r="AK526" s="81"/>
      <c r="AL526" s="81"/>
      <c r="AM526" s="43">
        <v>510</v>
      </c>
      <c r="AN526">
        <v>233.43332485800607</v>
      </c>
      <c r="AO526">
        <v>92.561948959010934</v>
      </c>
      <c r="AP526">
        <v>721.69507689342504</v>
      </c>
      <c r="AQ526">
        <v>511.81942038319602</v>
      </c>
      <c r="AR526">
        <v>83.530274996499003</v>
      </c>
      <c r="AS526">
        <v>668.23054874829086</v>
      </c>
      <c r="AT526">
        <v>45.055130084296756</v>
      </c>
      <c r="AU526">
        <v>37.107524210530642</v>
      </c>
      <c r="AV526"/>
      <c r="AW526"/>
      <c r="FY526" s="211">
        <v>521</v>
      </c>
      <c r="FZ526">
        <v>19.448927655488983</v>
      </c>
      <c r="GA526">
        <v>49.066715602319704</v>
      </c>
      <c r="GB526">
        <v>51.526961524184578</v>
      </c>
      <c r="GC526">
        <v>27.072324641799142</v>
      </c>
      <c r="GD526">
        <v>17.475148495077427</v>
      </c>
      <c r="GE526">
        <v>40.146109205930536</v>
      </c>
      <c r="GF526">
        <v>37.055857398635531</v>
      </c>
      <c r="GG526">
        <v>12.234293795489183</v>
      </c>
      <c r="GH526">
        <v>3.6011793964696843</v>
      </c>
      <c r="GI526">
        <v>34.860053280102548</v>
      </c>
      <c r="GJ526"/>
      <c r="GK526"/>
      <c r="GL526"/>
      <c r="GM526"/>
    </row>
    <row r="527" spans="1:195" s="7" customFormat="1">
      <c r="A527" s="4"/>
      <c r="B527" s="4"/>
      <c r="C527" s="83"/>
      <c r="D527" s="83"/>
      <c r="E527" s="83"/>
      <c r="F527" s="4"/>
      <c r="G527" s="4"/>
      <c r="H527" s="4"/>
      <c r="I527" s="4"/>
      <c r="J527" s="4"/>
      <c r="K527" s="4"/>
      <c r="L527" s="4"/>
      <c r="M527" s="4"/>
      <c r="N527" s="4"/>
      <c r="O527" s="4"/>
      <c r="P527" s="4"/>
      <c r="Q527" s="4"/>
      <c r="R527" s="4"/>
      <c r="S527" s="4"/>
      <c r="T527" s="4"/>
      <c r="U527" s="4"/>
      <c r="V527" s="4"/>
      <c r="W527" s="4"/>
      <c r="X527" s="4"/>
      <c r="Y527" s="4"/>
      <c r="Z527" s="4"/>
      <c r="AA527" s="4"/>
      <c r="AB527" s="4"/>
      <c r="AC527" s="4"/>
      <c r="AD527" s="4"/>
      <c r="AE527" s="4"/>
      <c r="AF527" s="81"/>
      <c r="AG527" s="81"/>
      <c r="AH527" s="81"/>
      <c r="AI527" s="4"/>
      <c r="AJ527" s="81"/>
      <c r="AK527" s="81"/>
      <c r="AL527" s="81"/>
      <c r="AM527" s="43">
        <v>511</v>
      </c>
      <c r="AN527">
        <v>161.64494797360399</v>
      </c>
      <c r="AO527">
        <v>52.462226226644439</v>
      </c>
      <c r="AP527">
        <v>372.35305446865601</v>
      </c>
      <c r="AQ527">
        <v>285.39623244483676</v>
      </c>
      <c r="AR527">
        <v>47.955120794605712</v>
      </c>
      <c r="AS527">
        <v>405.96779978134902</v>
      </c>
      <c r="AT527">
        <v>26.686028770897789</v>
      </c>
      <c r="AU527">
        <v>73.402945390205758</v>
      </c>
      <c r="AV527"/>
      <c r="AW527"/>
      <c r="FY527" s="211">
        <v>522</v>
      </c>
      <c r="FZ527">
        <v>23.820794163960485</v>
      </c>
      <c r="GA527">
        <v>71.817830063669405</v>
      </c>
      <c r="GB527">
        <v>78.616527954028214</v>
      </c>
      <c r="GC527">
        <v>44.491979288361478</v>
      </c>
      <c r="GD527">
        <v>21.455811684101182</v>
      </c>
      <c r="GE527">
        <v>66.831489288117055</v>
      </c>
      <c r="GF527">
        <v>101.08887601976119</v>
      </c>
      <c r="GG527">
        <v>38.661144191175595</v>
      </c>
      <c r="GH527">
        <v>18.488368445537695</v>
      </c>
      <c r="GI527">
        <v>60.067414370743535</v>
      </c>
      <c r="GJ527"/>
      <c r="GK527"/>
      <c r="GL527"/>
      <c r="GM527"/>
    </row>
    <row r="528" spans="1:195" s="7" customFormat="1">
      <c r="A528" s="4"/>
      <c r="B528" s="4"/>
      <c r="C528" s="83"/>
      <c r="F528" s="28"/>
      <c r="G528" s="28"/>
      <c r="H528" s="83"/>
      <c r="I528" s="4"/>
      <c r="J528" s="98"/>
      <c r="K528" s="4"/>
      <c r="L528" s="4"/>
      <c r="M528" s="4"/>
      <c r="N528" s="4"/>
      <c r="O528" s="4"/>
      <c r="P528" s="4"/>
      <c r="Q528" s="4"/>
      <c r="R528" s="4"/>
      <c r="S528" s="4"/>
      <c r="T528" s="4"/>
      <c r="U528" s="4"/>
      <c r="V528" s="4"/>
      <c r="W528" s="4"/>
      <c r="X528" s="4"/>
      <c r="Y528" s="4"/>
      <c r="Z528" s="4"/>
      <c r="AA528" s="4"/>
      <c r="AB528" s="4"/>
      <c r="AC528" s="4"/>
      <c r="AD528" s="4"/>
      <c r="AE528" s="4"/>
      <c r="AF528" s="81"/>
      <c r="AG528" s="81"/>
      <c r="AH528" s="81"/>
      <c r="AI528" s="4"/>
      <c r="AJ528" s="81"/>
      <c r="AK528" s="81"/>
      <c r="AL528" s="81"/>
      <c r="AM528" s="43">
        <v>512</v>
      </c>
      <c r="AN528">
        <v>240.47582436151816</v>
      </c>
      <c r="AO528">
        <v>92.106058444034247</v>
      </c>
      <c r="AP528">
        <v>654.41512107979133</v>
      </c>
      <c r="AQ528">
        <v>484.53494475919734</v>
      </c>
      <c r="AR528">
        <v>83.142124033281505</v>
      </c>
      <c r="AS528">
        <v>671.11973193646929</v>
      </c>
      <c r="AT528">
        <v>46.878918365518466</v>
      </c>
      <c r="AU528">
        <v>47.833214335339328</v>
      </c>
      <c r="AV528"/>
      <c r="AW528"/>
      <c r="FY528" s="211">
        <v>523</v>
      </c>
      <c r="FZ528">
        <v>16.635882178254594</v>
      </c>
      <c r="GA528">
        <v>46.246802541567789</v>
      </c>
      <c r="GB528">
        <v>74.455485647526672</v>
      </c>
      <c r="GC528">
        <v>45.797383096812823</v>
      </c>
      <c r="GD528">
        <v>20.188792943961399</v>
      </c>
      <c r="GE528">
        <v>31.364230372756985</v>
      </c>
      <c r="GF528">
        <v>93.450362817887381</v>
      </c>
      <c r="GG528">
        <v>89.159305133002135</v>
      </c>
      <c r="GH528">
        <v>28.502423063119068</v>
      </c>
      <c r="GI528">
        <v>57.852286379079047</v>
      </c>
      <c r="GJ528"/>
      <c r="GK528"/>
      <c r="GL528"/>
      <c r="GM528"/>
    </row>
    <row r="529" spans="1:195" s="7" customFormat="1" ht="15.75">
      <c r="A529" s="4"/>
      <c r="B529" s="4"/>
      <c r="C529" s="125" t="s">
        <v>138</v>
      </c>
      <c r="D529" s="126"/>
      <c r="E529" s="81"/>
      <c r="F529" s="81"/>
      <c r="G529" s="81"/>
      <c r="H529" s="81"/>
      <c r="I529" s="81"/>
      <c r="J529" s="81"/>
      <c r="K529" s="98"/>
      <c r="L529" s="4"/>
      <c r="M529" s="4"/>
      <c r="N529" s="4"/>
      <c r="O529" s="4"/>
      <c r="P529" s="4"/>
      <c r="Q529" s="4"/>
      <c r="R529" s="4"/>
      <c r="S529" s="4"/>
      <c r="T529" s="4"/>
      <c r="U529" s="4"/>
      <c r="V529" s="4"/>
      <c r="W529" s="4"/>
      <c r="X529" s="4"/>
      <c r="Y529" s="4"/>
      <c r="Z529" s="4"/>
      <c r="AA529" s="4"/>
      <c r="AB529" s="4"/>
      <c r="AC529" s="4"/>
      <c r="AD529" s="4"/>
      <c r="AE529" s="4"/>
      <c r="AF529" s="81"/>
      <c r="AG529" s="81"/>
      <c r="AH529" s="81"/>
      <c r="AI529" s="4"/>
      <c r="AJ529" s="81"/>
      <c r="AK529" s="81"/>
      <c r="AL529" s="81"/>
      <c r="AM529" s="43">
        <v>513</v>
      </c>
      <c r="AN529">
        <v>261.31928415323233</v>
      </c>
      <c r="AO529">
        <v>71.050040922143893</v>
      </c>
      <c r="AP529">
        <v>494.65867751741183</v>
      </c>
      <c r="AQ529">
        <v>394.1042832557182</v>
      </c>
      <c r="AR529">
        <v>63.656110513199344</v>
      </c>
      <c r="AS529">
        <v>567.14841239646819</v>
      </c>
      <c r="AT529">
        <v>33.204870003196717</v>
      </c>
      <c r="AU529">
        <v>53.416642705855878</v>
      </c>
      <c r="AV529"/>
      <c r="AW529"/>
      <c r="FY529" s="211">
        <v>524</v>
      </c>
      <c r="FZ529">
        <v>24.006960112298341</v>
      </c>
      <c r="GA529">
        <v>50.124589066107859</v>
      </c>
      <c r="GB529">
        <v>91.57212140875005</v>
      </c>
      <c r="GC529">
        <v>58.996106577538008</v>
      </c>
      <c r="GD529">
        <v>22.490884571050561</v>
      </c>
      <c r="GE529">
        <v>66.09800092106407</v>
      </c>
      <c r="GF529">
        <v>108.47291084084942</v>
      </c>
      <c r="GG529">
        <v>58.585763814122394</v>
      </c>
      <c r="GH529">
        <v>36.931859976270474</v>
      </c>
      <c r="GI529">
        <v>68.660146711300499</v>
      </c>
      <c r="GJ529"/>
      <c r="GK529"/>
      <c r="GL529"/>
      <c r="GM529"/>
    </row>
    <row r="530" spans="1:195" s="7" customFormat="1">
      <c r="A530" s="4"/>
      <c r="B530" s="4"/>
      <c r="C530" s="99" t="s">
        <v>139</v>
      </c>
      <c r="D530" s="99" t="s">
        <v>23</v>
      </c>
      <c r="E530" s="99" t="s">
        <v>80</v>
      </c>
      <c r="F530" s="99"/>
      <c r="G530" s="99" t="s">
        <v>82</v>
      </c>
      <c r="H530" s="99" t="s">
        <v>140</v>
      </c>
      <c r="I530" s="99" t="s">
        <v>0</v>
      </c>
      <c r="J530" s="99" t="s">
        <v>1</v>
      </c>
      <c r="K530" s="106" t="s">
        <v>2</v>
      </c>
      <c r="L530" s="4"/>
      <c r="M530" s="4"/>
      <c r="N530" s="4"/>
      <c r="O530" s="4"/>
      <c r="P530" s="4"/>
      <c r="Q530" s="4"/>
      <c r="R530" s="4"/>
      <c r="S530" s="4"/>
      <c r="T530" s="4"/>
      <c r="U530" s="4"/>
      <c r="V530" s="4"/>
      <c r="W530" s="4"/>
      <c r="X530" s="4"/>
      <c r="Y530" s="4"/>
      <c r="Z530" s="4"/>
      <c r="AA530" s="4"/>
      <c r="AB530" s="4"/>
      <c r="AC530" s="4"/>
      <c r="AD530" s="4"/>
      <c r="AE530" s="4"/>
      <c r="AF530" s="81"/>
      <c r="AG530" s="81"/>
      <c r="AH530" s="81"/>
      <c r="AI530" s="4"/>
      <c r="AJ530" s="81"/>
      <c r="AK530" s="81"/>
      <c r="AL530" s="81"/>
      <c r="AM530" s="43">
        <v>514</v>
      </c>
      <c r="AN530">
        <v>264.85335775246091</v>
      </c>
      <c r="AO530">
        <v>98.115212132852349</v>
      </c>
      <c r="AP530">
        <v>695.60768904920496</v>
      </c>
      <c r="AQ530">
        <v>506.39320393630072</v>
      </c>
      <c r="AR530">
        <v>88.59426214501984</v>
      </c>
      <c r="AS530">
        <v>745.48702442757894</v>
      </c>
      <c r="AT530" t="e">
        <v>#DIV/0!</v>
      </c>
      <c r="AU530" t="e">
        <v>#DIV/0!</v>
      </c>
      <c r="AV530"/>
      <c r="AW530"/>
      <c r="FY530" s="211">
        <v>525</v>
      </c>
      <c r="FZ530">
        <v>5.6599784172557603</v>
      </c>
      <c r="GA530">
        <v>38.382045931598242</v>
      </c>
      <c r="GB530">
        <v>82.706594963960526</v>
      </c>
      <c r="GC530">
        <v>51.179693466575706</v>
      </c>
      <c r="GD530">
        <v>17.600756404831028</v>
      </c>
      <c r="GE530">
        <v>39.910092905920891</v>
      </c>
      <c r="GF530">
        <v>62.55008310248877</v>
      </c>
      <c r="GG530">
        <v>23.624414383005657</v>
      </c>
      <c r="GH530">
        <v>11.025371371831822</v>
      </c>
      <c r="GI530">
        <v>46.504106006372325</v>
      </c>
      <c r="GJ530"/>
      <c r="GK530"/>
      <c r="GL530"/>
      <c r="GM530"/>
    </row>
    <row r="531" spans="1:195" s="7" customFormat="1">
      <c r="A531" s="4"/>
      <c r="B531" s="4"/>
      <c r="C531" s="116">
        <f>C4</f>
        <v>39646</v>
      </c>
      <c r="D531" s="101">
        <f>D70</f>
        <v>14.583333333333332</v>
      </c>
      <c r="E531" s="108">
        <f>E405</f>
        <v>5.9519692026624077E-2</v>
      </c>
      <c r="F531" s="102"/>
      <c r="G531" s="101">
        <f>D531*E531</f>
        <v>0.86799550872160103</v>
      </c>
      <c r="H531" s="101"/>
      <c r="I531" s="101"/>
      <c r="J531" s="101"/>
      <c r="K531" s="101"/>
      <c r="L531" s="4"/>
      <c r="M531" s="4"/>
      <c r="N531" s="4"/>
      <c r="O531" s="4"/>
      <c r="P531" s="4"/>
      <c r="Q531" s="4"/>
      <c r="R531" s="4"/>
      <c r="S531" s="4"/>
      <c r="T531" s="4"/>
      <c r="U531" s="4"/>
      <c r="V531" s="4"/>
      <c r="W531" s="4"/>
      <c r="X531" s="4"/>
      <c r="Y531" s="4"/>
      <c r="Z531" s="4"/>
      <c r="AA531" s="4"/>
      <c r="AB531" s="4"/>
      <c r="AC531" s="4"/>
      <c r="AD531" s="4"/>
      <c r="AE531" s="4"/>
      <c r="AF531" s="81"/>
      <c r="AG531" s="81"/>
      <c r="AH531" s="81"/>
      <c r="AI531" s="4"/>
      <c r="AJ531" s="81"/>
      <c r="AK531" s="81"/>
      <c r="AL531" s="81"/>
      <c r="AM531" s="43">
        <v>515</v>
      </c>
      <c r="AN531">
        <v>230.62434174991176</v>
      </c>
      <c r="AO531">
        <v>74.220859662290422</v>
      </c>
      <c r="AP531">
        <v>524.33282777854322</v>
      </c>
      <c r="AQ531">
        <v>400.03657223248672</v>
      </c>
      <c r="AR531">
        <v>65.705163999370015</v>
      </c>
      <c r="AS531">
        <v>548.7844451626197</v>
      </c>
      <c r="AT531">
        <v>35.802603332788074</v>
      </c>
      <c r="AU531">
        <v>52.276926245864168</v>
      </c>
      <c r="AV531"/>
      <c r="AW531"/>
      <c r="FY531" s="211">
        <v>526</v>
      </c>
      <c r="FZ531">
        <v>15.563122450795813</v>
      </c>
      <c r="GA531">
        <v>64.406899227708479</v>
      </c>
      <c r="GB531">
        <v>91.050772462478264</v>
      </c>
      <c r="GC531">
        <v>43.087608342770061</v>
      </c>
      <c r="GD531">
        <v>28.972527374560585</v>
      </c>
      <c r="GE531">
        <v>86.455063885656358</v>
      </c>
      <c r="GF531">
        <v>82.539125617132939</v>
      </c>
      <c r="GG531">
        <v>19.91887258553443</v>
      </c>
      <c r="GH531">
        <v>1.5926808146682545</v>
      </c>
      <c r="GI531">
        <v>60.368718815645984</v>
      </c>
      <c r="GJ531"/>
      <c r="GK531"/>
      <c r="GL531"/>
      <c r="GM531"/>
    </row>
    <row r="532" spans="1:195" s="7" customFormat="1">
      <c r="A532" s="4"/>
      <c r="B532" s="4"/>
      <c r="C532" s="63"/>
      <c r="D532" s="101"/>
      <c r="E532" s="63"/>
      <c r="F532" s="63"/>
      <c r="G532" s="101"/>
      <c r="H532" s="101">
        <f>E533-E531</f>
        <v>8.7547441453247027E-2</v>
      </c>
      <c r="I532" s="101">
        <f>AVERAGE(D531:D533)</f>
        <v>55.597864145658264</v>
      </c>
      <c r="J532" s="101">
        <f>I532*H532</f>
        <v>4.8674507562175986</v>
      </c>
      <c r="K532" s="61">
        <f>J532/(C533-C531)</f>
        <v>0.18027595393398513</v>
      </c>
      <c r="L532" s="4"/>
      <c r="M532" s="4"/>
      <c r="N532" s="4"/>
      <c r="O532" s="4"/>
      <c r="P532" s="4"/>
      <c r="Q532" s="4"/>
      <c r="R532" s="4"/>
      <c r="S532" s="4"/>
      <c r="T532" s="4"/>
      <c r="U532" s="4"/>
      <c r="V532" s="4"/>
      <c r="W532" s="4"/>
      <c r="X532" s="4"/>
      <c r="Y532" s="4"/>
      <c r="Z532" s="4"/>
      <c r="AA532" s="4"/>
      <c r="AB532" s="4"/>
      <c r="AC532" s="4"/>
      <c r="AD532" s="4"/>
      <c r="AE532" s="4"/>
      <c r="AF532" s="81"/>
      <c r="AG532" s="81"/>
      <c r="AH532" s="81"/>
      <c r="AI532" s="4"/>
      <c r="AJ532" s="81"/>
      <c r="AK532" s="81"/>
      <c r="AL532" s="81"/>
      <c r="AM532" s="43">
        <v>516</v>
      </c>
      <c r="AN532">
        <v>272.23002835745575</v>
      </c>
      <c r="AO532">
        <v>86.370144780423431</v>
      </c>
      <c r="AP532">
        <v>625.36945744888999</v>
      </c>
      <c r="AQ532">
        <v>457.66773149770825</v>
      </c>
      <c r="AR532">
        <v>79.753217923182603</v>
      </c>
      <c r="AS532">
        <v>705.73648596109956</v>
      </c>
      <c r="AT532">
        <v>41.094770497830083</v>
      </c>
      <c r="AU532">
        <v>46.813174453305791</v>
      </c>
      <c r="AV532"/>
      <c r="AW532"/>
      <c r="FY532" s="211">
        <v>527</v>
      </c>
      <c r="FZ532">
        <v>18.181700387284593</v>
      </c>
      <c r="GA532">
        <v>49.62642857120899</v>
      </c>
      <c r="GB532">
        <v>94.767308195300075</v>
      </c>
      <c r="GC532">
        <v>60.214255544158085</v>
      </c>
      <c r="GD532">
        <v>19.116168278727784</v>
      </c>
      <c r="GE532">
        <v>36.151025753914794</v>
      </c>
      <c r="GF532">
        <v>52.726891825976367</v>
      </c>
      <c r="GG532">
        <v>31.567533428303975</v>
      </c>
      <c r="GH532">
        <v>26.963678891296862</v>
      </c>
      <c r="GI532">
        <v>53.743423690388219</v>
      </c>
      <c r="GJ532"/>
      <c r="GK532"/>
      <c r="GL532"/>
      <c r="GM532"/>
    </row>
    <row r="533" spans="1:195" s="7" customFormat="1">
      <c r="A533" s="4"/>
      <c r="B533" s="4"/>
      <c r="C533" s="117">
        <f>C5</f>
        <v>39673</v>
      </c>
      <c r="D533" s="101">
        <f>D71</f>
        <v>96.612394957983199</v>
      </c>
      <c r="E533" s="108">
        <f>E406</f>
        <v>0.1470671334798711</v>
      </c>
      <c r="F533" s="102"/>
      <c r="G533" s="101">
        <f>D533*E533</f>
        <v>14.208507985095741</v>
      </c>
      <c r="H533" s="101"/>
      <c r="I533" s="101"/>
      <c r="J533" s="101"/>
      <c r="K533" s="101"/>
      <c r="L533" s="4"/>
      <c r="M533" s="4"/>
      <c r="N533" s="4"/>
      <c r="O533" s="4"/>
      <c r="P533" s="4"/>
      <c r="Q533" s="4"/>
      <c r="R533" s="4"/>
      <c r="S533" s="4"/>
      <c r="T533" s="4"/>
      <c r="U533" s="4"/>
      <c r="V533" s="4"/>
      <c r="W533" s="4"/>
      <c r="X533" s="4"/>
      <c r="Y533" s="4"/>
      <c r="Z533" s="4"/>
      <c r="AA533" s="4"/>
      <c r="AB533" s="4"/>
      <c r="AC533" s="4"/>
      <c r="AD533" s="4"/>
      <c r="AE533" s="4"/>
      <c r="AF533" s="81"/>
      <c r="AG533" s="81"/>
      <c r="AH533" s="81"/>
      <c r="AI533" s="4"/>
      <c r="AJ533" s="81"/>
      <c r="AK533" s="81"/>
      <c r="AL533" s="81"/>
      <c r="AM533" s="43">
        <v>517</v>
      </c>
      <c r="AN533">
        <v>255.17397261802088</v>
      </c>
      <c r="AO533">
        <v>87.712962883474788</v>
      </c>
      <c r="AP533">
        <v>679.97085621985104</v>
      </c>
      <c r="AQ533">
        <v>489.9132493888502</v>
      </c>
      <c r="AR533">
        <v>79.972913349893631</v>
      </c>
      <c r="AS533">
        <v>700.83863801106077</v>
      </c>
      <c r="AT533">
        <v>44.789211448251812</v>
      </c>
      <c r="AU533">
        <v>100.16836233010248</v>
      </c>
      <c r="AV533"/>
      <c r="AW533"/>
      <c r="FY533" s="211">
        <v>528</v>
      </c>
      <c r="FZ533">
        <v>21.952359201172825</v>
      </c>
      <c r="GA533">
        <v>65.013852810466531</v>
      </c>
      <c r="GB533">
        <v>60.194010684178352</v>
      </c>
      <c r="GC533">
        <v>32.809875364260726</v>
      </c>
      <c r="GD533">
        <v>19.570045342429591</v>
      </c>
      <c r="GE533">
        <v>58.809448833322435</v>
      </c>
      <c r="GF533">
        <v>94.328971575956672</v>
      </c>
      <c r="GG533">
        <v>43.054095546898026</v>
      </c>
      <c r="GH533">
        <v>15.670161803561335</v>
      </c>
      <c r="GI533">
        <v>52.753697021198725</v>
      </c>
      <c r="GJ533"/>
      <c r="GK533"/>
      <c r="GL533"/>
      <c r="GM533"/>
    </row>
    <row r="534" spans="1:195" s="7" customFormat="1">
      <c r="A534" s="4"/>
      <c r="B534" s="4"/>
      <c r="C534" s="63" t="s">
        <v>99</v>
      </c>
      <c r="D534" s="101"/>
      <c r="E534" s="63"/>
      <c r="F534" s="63"/>
      <c r="G534" s="101"/>
      <c r="H534" s="101">
        <f>E535-E533</f>
        <v>-6.4640375272848605E-3</v>
      </c>
      <c r="I534" s="101">
        <f>AVERAGE(D533:D535)</f>
        <v>140.34488795518206</v>
      </c>
      <c r="J534" s="101">
        <f>I534*H534</f>
        <v>-0.90719462250488581</v>
      </c>
      <c r="K534" s="61">
        <f>J534/(C535-C533)</f>
        <v>-2.2126698109875262E-2</v>
      </c>
      <c r="L534" s="4"/>
      <c r="M534" s="4"/>
      <c r="N534" s="4"/>
      <c r="O534" s="4"/>
      <c r="P534" s="4"/>
      <c r="Q534" s="4"/>
      <c r="R534" s="4"/>
      <c r="S534" s="4"/>
      <c r="T534" s="4"/>
      <c r="U534" s="4"/>
      <c r="V534" s="4"/>
      <c r="W534" s="4"/>
      <c r="X534" s="4"/>
      <c r="Y534" s="4"/>
      <c r="Z534" s="4"/>
      <c r="AA534" s="4"/>
      <c r="AB534" s="4"/>
      <c r="AC534" s="4"/>
      <c r="AD534" s="4"/>
      <c r="AE534" s="4"/>
      <c r="AF534" s="81"/>
      <c r="AG534" s="81"/>
      <c r="AH534" s="81"/>
      <c r="AI534" s="4"/>
      <c r="AJ534" s="81"/>
      <c r="AK534" s="81"/>
      <c r="AL534" s="81"/>
      <c r="AM534" s="43">
        <v>518</v>
      </c>
      <c r="AN534">
        <v>274.22314213245272</v>
      </c>
      <c r="AO534">
        <v>96.396990379871752</v>
      </c>
      <c r="AP534">
        <v>713.54645958238552</v>
      </c>
      <c r="AQ534">
        <v>527.64664955763135</v>
      </c>
      <c r="AR534">
        <v>86.640068683858757</v>
      </c>
      <c r="AS534">
        <v>703.9593368983542</v>
      </c>
      <c r="AT534">
        <v>46.741689100268879</v>
      </c>
      <c r="AU534">
        <v>83.545982413606325</v>
      </c>
      <c r="AV534"/>
      <c r="AW534"/>
      <c r="FY534" s="211">
        <v>529</v>
      </c>
      <c r="FZ534">
        <v>25.981838834911613</v>
      </c>
      <c r="GA534">
        <v>58.608411063693609</v>
      </c>
      <c r="GB534">
        <v>60.037891138943024</v>
      </c>
      <c r="GC534">
        <v>34.643582350973894</v>
      </c>
      <c r="GD534">
        <v>23.911324004749769</v>
      </c>
      <c r="GE534">
        <v>44.244550589365332</v>
      </c>
      <c r="GF534">
        <v>53.678851051539247</v>
      </c>
      <c r="GG534">
        <v>48.274644592571661</v>
      </c>
      <c r="GH534">
        <v>24.558973950380242</v>
      </c>
      <c r="GI534">
        <v>49.315177527767119</v>
      </c>
      <c r="GJ534"/>
      <c r="GK534"/>
      <c r="GL534"/>
      <c r="GM534"/>
    </row>
    <row r="535" spans="1:195" s="7" customFormat="1">
      <c r="A535" s="4"/>
      <c r="B535" s="4"/>
      <c r="C535" s="117">
        <f>C6</f>
        <v>39714</v>
      </c>
      <c r="D535" s="101">
        <f>D72</f>
        <v>184.07738095238093</v>
      </c>
      <c r="E535" s="108">
        <f>E407</f>
        <v>0.14060309595258624</v>
      </c>
      <c r="F535" s="102"/>
      <c r="G535" s="101">
        <f>D535*E535</f>
        <v>25.881849656748386</v>
      </c>
      <c r="H535" s="101"/>
      <c r="I535" s="101"/>
      <c r="J535" s="101"/>
      <c r="K535" s="101"/>
      <c r="L535" s="4"/>
      <c r="M535" s="4"/>
      <c r="N535" s="4"/>
      <c r="O535" s="4"/>
      <c r="P535" s="4"/>
      <c r="Q535" s="4"/>
      <c r="R535" s="4"/>
      <c r="S535" s="4"/>
      <c r="T535" s="4"/>
      <c r="U535" s="4"/>
      <c r="V535" s="4"/>
      <c r="W535" s="4"/>
      <c r="X535" s="4"/>
      <c r="Y535" s="4"/>
      <c r="Z535" s="4"/>
      <c r="AA535" s="4"/>
      <c r="AB535" s="4"/>
      <c r="AC535" s="4"/>
      <c r="AD535" s="4"/>
      <c r="AE535" s="4"/>
      <c r="AF535" s="81"/>
      <c r="AG535" s="81"/>
      <c r="AH535" s="81"/>
      <c r="AI535" s="4"/>
      <c r="AJ535" s="81"/>
      <c r="AK535" s="81"/>
      <c r="AL535" s="81"/>
      <c r="AM535" s="43">
        <v>519</v>
      </c>
      <c r="AN535">
        <v>266.55896477542586</v>
      </c>
      <c r="AO535">
        <v>90.0505892241721</v>
      </c>
      <c r="AP535">
        <v>595.16103329002874</v>
      </c>
      <c r="AQ535">
        <v>471.23062336027687</v>
      </c>
      <c r="AR535">
        <v>81.669997739011222</v>
      </c>
      <c r="AS535">
        <v>683.6504795360662</v>
      </c>
      <c r="AT535">
        <v>45.715405330778985</v>
      </c>
      <c r="AU535">
        <v>101.610114173589</v>
      </c>
      <c r="AV535"/>
      <c r="AW535"/>
      <c r="FY535" s="211">
        <v>530</v>
      </c>
      <c r="FZ535">
        <v>14.173803659719283</v>
      </c>
      <c r="GA535">
        <v>46.545056197629123</v>
      </c>
      <c r="GB535">
        <v>64.74489085430389</v>
      </c>
      <c r="GC535">
        <v>34.479354345926694</v>
      </c>
      <c r="GD535">
        <v>16.863170414901198</v>
      </c>
      <c r="GE535">
        <v>34.248640033775942</v>
      </c>
      <c r="GF535">
        <v>54.68640192877259</v>
      </c>
      <c r="GG535">
        <v>44.700371476835635</v>
      </c>
      <c r="GH535">
        <v>17.851280087038063</v>
      </c>
      <c r="GI535">
        <v>42.756621374348839</v>
      </c>
      <c r="GJ535"/>
      <c r="GK535"/>
      <c r="GL535"/>
      <c r="GM535"/>
    </row>
    <row r="536" spans="1:195" s="7" customFormat="1">
      <c r="A536" s="4"/>
      <c r="B536" s="4"/>
      <c r="C536" s="63"/>
      <c r="D536" s="101"/>
      <c r="E536" s="63"/>
      <c r="F536" s="63"/>
      <c r="G536" s="101"/>
      <c r="H536" s="101">
        <f>E537-E535</f>
        <v>6.0070451148832749E-2</v>
      </c>
      <c r="I536" s="101">
        <f>AVERAGE(D535:D537)</f>
        <v>482.65474946509443</v>
      </c>
      <c r="J536" s="101">
        <f>I536*H536</f>
        <v>28.993288549495063</v>
      </c>
      <c r="K536" s="61">
        <f>J536/(C537-C535)</f>
        <v>0.87858450149985035</v>
      </c>
      <c r="L536" s="4"/>
      <c r="M536" s="4"/>
      <c r="N536" s="4"/>
      <c r="O536" s="4"/>
      <c r="P536" s="4"/>
      <c r="Q536" s="4"/>
      <c r="R536" s="4"/>
      <c r="S536" s="4"/>
      <c r="T536" s="4"/>
      <c r="U536" s="4"/>
      <c r="V536" s="4"/>
      <c r="W536" s="4"/>
      <c r="X536" s="4"/>
      <c r="Y536" s="4"/>
      <c r="Z536" s="4"/>
      <c r="AA536" s="4"/>
      <c r="AB536" s="4"/>
      <c r="AC536" s="4"/>
      <c r="AD536" s="4"/>
      <c r="AE536" s="4"/>
      <c r="AF536" s="81"/>
      <c r="AG536" s="81"/>
      <c r="AH536" s="81"/>
      <c r="AI536" s="4"/>
      <c r="AJ536" s="81"/>
      <c r="AK536" s="81"/>
      <c r="AL536" s="81"/>
      <c r="AM536" s="43">
        <v>520</v>
      </c>
      <c r="AN536">
        <v>238.84328296510103</v>
      </c>
      <c r="AO536">
        <v>83.456745759808115</v>
      </c>
      <c r="AP536">
        <v>642.85270179254542</v>
      </c>
      <c r="AQ536">
        <v>455.12381222714657</v>
      </c>
      <c r="AR536">
        <v>74.890478726183801</v>
      </c>
      <c r="AS536">
        <v>576.20487763045003</v>
      </c>
      <c r="AT536">
        <v>41.670952190442272</v>
      </c>
      <c r="AU536">
        <v>81.599213752439397</v>
      </c>
      <c r="AV536"/>
      <c r="AW536"/>
      <c r="FY536" s="211">
        <v>531</v>
      </c>
      <c r="FZ536">
        <v>24.040779522420845</v>
      </c>
      <c r="GA536">
        <v>60.945185668297647</v>
      </c>
      <c r="GB536">
        <v>99.095732546721621</v>
      </c>
      <c r="GC536">
        <v>57.456611583046545</v>
      </c>
      <c r="GD536">
        <v>25.572011433769646</v>
      </c>
      <c r="GE536">
        <v>62.901929330308604</v>
      </c>
      <c r="GF536">
        <v>126.53426796479317</v>
      </c>
      <c r="GG536">
        <v>81.014940566172541</v>
      </c>
      <c r="GH536">
        <v>16.241496737765893</v>
      </c>
      <c r="GI536">
        <v>74.31265421648007</v>
      </c>
      <c r="GJ536"/>
      <c r="GK536"/>
      <c r="GL536"/>
      <c r="GM536"/>
    </row>
    <row r="537" spans="1:195" s="7" customFormat="1">
      <c r="A537" s="4"/>
      <c r="B537" s="4"/>
      <c r="C537" s="117">
        <f>C7</f>
        <v>39747</v>
      </c>
      <c r="D537" s="101">
        <f>D73</f>
        <v>781.23211797780789</v>
      </c>
      <c r="E537" s="108">
        <f>E408</f>
        <v>0.20067354710141899</v>
      </c>
      <c r="F537" s="102"/>
      <c r="G537" s="101">
        <f>D537*E537</f>
        <v>156.77262022416096</v>
      </c>
      <c r="H537" s="101"/>
      <c r="I537" s="101"/>
      <c r="J537" s="101"/>
      <c r="K537" s="101"/>
      <c r="L537" s="4"/>
      <c r="M537" s="4"/>
      <c r="N537" s="4"/>
      <c r="O537" s="4"/>
      <c r="P537" s="4"/>
      <c r="Q537" s="4"/>
      <c r="R537" s="4"/>
      <c r="S537" s="4"/>
      <c r="T537" s="4"/>
      <c r="U537" s="4"/>
      <c r="V537" s="4"/>
      <c r="W537" s="4"/>
      <c r="X537" s="4"/>
      <c r="Y537" s="4"/>
      <c r="Z537" s="4"/>
      <c r="AA537" s="4"/>
      <c r="AB537" s="4"/>
      <c r="AC537" s="4"/>
      <c r="AD537" s="4"/>
      <c r="AE537" s="4"/>
      <c r="AF537" s="81"/>
      <c r="AG537" s="81"/>
      <c r="AH537" s="81"/>
      <c r="AI537" s="4"/>
      <c r="AJ537" s="81"/>
      <c r="AK537" s="81"/>
      <c r="AL537" s="81"/>
      <c r="AM537" s="43">
        <v>521</v>
      </c>
      <c r="AN537">
        <v>204.03406585086319</v>
      </c>
      <c r="AO537">
        <v>54.699533826886537</v>
      </c>
      <c r="AP537">
        <v>370.2866324146745</v>
      </c>
      <c r="AQ537">
        <v>292.48757099549732</v>
      </c>
      <c r="AR537">
        <v>49.28884030687167</v>
      </c>
      <c r="AS537">
        <v>457.85688619301112</v>
      </c>
      <c r="AT537">
        <v>26.045128273325005</v>
      </c>
      <c r="AU537">
        <v>105.58914597325797</v>
      </c>
      <c r="AV537"/>
      <c r="AW537"/>
      <c r="FY537" s="211">
        <v>532</v>
      </c>
      <c r="FZ537">
        <v>37.154329030505473</v>
      </c>
      <c r="GA537">
        <v>67.128798883168429</v>
      </c>
      <c r="GB537">
        <v>71.582876216810618</v>
      </c>
      <c r="GC537">
        <v>45.008018029004539</v>
      </c>
      <c r="GD537">
        <v>24.534939064082526</v>
      </c>
      <c r="GE537">
        <v>75.11098551038765</v>
      </c>
      <c r="GF537">
        <v>113.72705691377267</v>
      </c>
      <c r="GG537">
        <v>60.737124034596853</v>
      </c>
      <c r="GH537">
        <v>35.100273568701766</v>
      </c>
      <c r="GI537">
        <v>67.822348703182769</v>
      </c>
      <c r="GJ537"/>
      <c r="GK537"/>
      <c r="GL537"/>
      <c r="GM537"/>
    </row>
    <row r="538" spans="1:195" s="7" customFormat="1">
      <c r="A538" s="4"/>
      <c r="B538" s="4"/>
      <c r="C538" s="63"/>
      <c r="D538" s="101"/>
      <c r="E538" s="63"/>
      <c r="F538" s="63"/>
      <c r="G538" s="101"/>
      <c r="H538" s="101">
        <f>E539-E537</f>
        <v>-2.5152795774878167E-3</v>
      </c>
      <c r="I538" s="101">
        <f>AVERAGE(D537:D539)</f>
        <v>542.33820836730331</v>
      </c>
      <c r="J538" s="101">
        <f>I538*H538</f>
        <v>-1.3641322195976102</v>
      </c>
      <c r="K538" s="61">
        <f>J538/(C539-C537)</f>
        <v>-4.8719007842771792E-2</v>
      </c>
      <c r="L538" s="4"/>
      <c r="M538" s="4"/>
      <c r="N538" s="4"/>
      <c r="O538" s="4"/>
      <c r="P538" s="4"/>
      <c r="Q538" s="4"/>
      <c r="R538" s="4"/>
      <c r="S538" s="4"/>
      <c r="T538" s="4"/>
      <c r="U538" s="4"/>
      <c r="V538" s="4"/>
      <c r="W538" s="4"/>
      <c r="X538" s="4"/>
      <c r="Y538" s="4"/>
      <c r="Z538" s="4"/>
      <c r="AA538" s="4"/>
      <c r="AB538" s="4"/>
      <c r="AC538" s="4"/>
      <c r="AD538" s="4"/>
      <c r="AE538" s="4"/>
      <c r="AF538" s="81"/>
      <c r="AG538" s="81"/>
      <c r="AH538" s="81"/>
      <c r="AI538" s="4"/>
      <c r="AJ538" s="81"/>
      <c r="AK538" s="81"/>
      <c r="AL538" s="81"/>
      <c r="AM538" s="43">
        <v>522</v>
      </c>
      <c r="AN538">
        <v>283.51215585971499</v>
      </c>
      <c r="AO538">
        <v>94.79263407759052</v>
      </c>
      <c r="AP538">
        <v>688.36340023003345</v>
      </c>
      <c r="AQ538">
        <v>525.34023546945582</v>
      </c>
      <c r="AR538">
        <v>83.515160757590806</v>
      </c>
      <c r="AS538">
        <v>677.81996611953275</v>
      </c>
      <c r="AT538">
        <v>45.172515347094951</v>
      </c>
      <c r="AU538">
        <v>92.854448704454555</v>
      </c>
      <c r="AV538"/>
      <c r="AW538"/>
      <c r="FY538" s="211">
        <v>533</v>
      </c>
      <c r="FZ538">
        <v>10.22281115219196</v>
      </c>
      <c r="GA538">
        <v>37.912025522659519</v>
      </c>
      <c r="GB538">
        <v>75.72200757265523</v>
      </c>
      <c r="GC538">
        <v>44.524387293079528</v>
      </c>
      <c r="GD538">
        <v>19.875570316599873</v>
      </c>
      <c r="GE538">
        <v>39.34873001393715</v>
      </c>
      <c r="GF538">
        <v>29.828191851470677</v>
      </c>
      <c r="GG538">
        <v>19.337965290988677</v>
      </c>
      <c r="GH538">
        <v>22.729383678960684</v>
      </c>
      <c r="GI538">
        <v>42.632414717046977</v>
      </c>
      <c r="GJ538"/>
      <c r="GK538"/>
      <c r="GL538"/>
      <c r="GM538"/>
    </row>
    <row r="539" spans="1:195" s="7" customFormat="1">
      <c r="A539" s="4"/>
      <c r="B539" s="4"/>
      <c r="C539" s="117">
        <f>C8</f>
        <v>39775</v>
      </c>
      <c r="D539" s="101">
        <f>D74</f>
        <v>303.44429875679873</v>
      </c>
      <c r="E539" s="108">
        <f>E409</f>
        <v>0.19815826752393118</v>
      </c>
      <c r="F539" s="102"/>
      <c r="G539" s="101">
        <f>D539*E539</f>
        <v>60.129996531661419</v>
      </c>
      <c r="H539" s="101"/>
      <c r="I539" s="101"/>
      <c r="J539" s="101"/>
      <c r="K539" s="101"/>
      <c r="L539" s="4"/>
      <c r="M539" s="4"/>
      <c r="N539" s="4"/>
      <c r="O539" s="4"/>
      <c r="P539" s="4"/>
      <c r="Q539" s="4"/>
      <c r="R539" s="4"/>
      <c r="S539" s="4"/>
      <c r="T539" s="4"/>
      <c r="U539" s="4"/>
      <c r="V539" s="4"/>
      <c r="W539" s="4"/>
      <c r="X539" s="4"/>
      <c r="Y539" s="4"/>
      <c r="Z539" s="4"/>
      <c r="AA539" s="4"/>
      <c r="AB539" s="4"/>
      <c r="AC539" s="4"/>
      <c r="AD539" s="4"/>
      <c r="AE539" s="4"/>
      <c r="AF539" s="81"/>
      <c r="AG539" s="81"/>
      <c r="AH539" s="81"/>
      <c r="AI539" s="4"/>
      <c r="AJ539" s="81"/>
      <c r="AK539" s="81"/>
      <c r="AL539" s="81"/>
      <c r="AM539" s="43">
        <v>523</v>
      </c>
      <c r="AN539">
        <v>216.38487332000955</v>
      </c>
      <c r="AO539">
        <v>92.81132088096669</v>
      </c>
      <c r="AP539">
        <v>705.55733121701974</v>
      </c>
      <c r="AQ539">
        <v>503.65295417396788</v>
      </c>
      <c r="AR539">
        <v>85.297873881625293</v>
      </c>
      <c r="AS539">
        <v>642.01235192541958</v>
      </c>
      <c r="AT539">
        <v>46.708706554868797</v>
      </c>
      <c r="AU539">
        <v>41.203094513087613</v>
      </c>
      <c r="AV539"/>
      <c r="AW539"/>
      <c r="FY539" s="211">
        <v>534</v>
      </c>
      <c r="FZ539">
        <v>10.422129759180898</v>
      </c>
      <c r="GA539">
        <v>48.131482014547714</v>
      </c>
      <c r="GB539">
        <v>82.78266335933138</v>
      </c>
      <c r="GC539">
        <v>44.1084525503721</v>
      </c>
      <c r="GD539">
        <v>27.630115040783753</v>
      </c>
      <c r="GE539">
        <v>77.700590522274553</v>
      </c>
      <c r="GF539">
        <v>111.7076282288797</v>
      </c>
      <c r="GG539">
        <v>53.111144563520135</v>
      </c>
      <c r="GH539">
        <v>7.9628346070852238</v>
      </c>
      <c r="GI539">
        <v>65.167221426473645</v>
      </c>
      <c r="GJ539"/>
      <c r="GK539"/>
      <c r="GL539"/>
      <c r="GM539"/>
    </row>
    <row r="540" spans="1:195" s="7" customFormat="1">
      <c r="A540" s="4"/>
      <c r="B540" s="4"/>
      <c r="C540" s="63"/>
      <c r="D540" s="101"/>
      <c r="E540" s="63"/>
      <c r="F540" s="63"/>
      <c r="G540" s="101"/>
      <c r="H540" s="101">
        <f>E541-E539</f>
        <v>-5.511696989721776E-2</v>
      </c>
      <c r="I540" s="101">
        <f>AVERAGE(D539:D541)</f>
        <v>381.284743646876</v>
      </c>
      <c r="J540" s="101">
        <f>I540*H540</f>
        <v>-21.015259737853256</v>
      </c>
      <c r="K540" s="61">
        <f>J540/(C541-C539)</f>
        <v>-0.87563582241055238</v>
      </c>
      <c r="L540" s="4"/>
      <c r="M540" s="4"/>
      <c r="N540" s="4"/>
      <c r="O540" s="4"/>
      <c r="P540" s="4"/>
      <c r="Q540" s="4"/>
      <c r="R540" s="4"/>
      <c r="S540" s="4"/>
      <c r="T540" s="4"/>
      <c r="U540" s="4"/>
      <c r="V540" s="4"/>
      <c r="W540" s="4"/>
      <c r="X540" s="4"/>
      <c r="Y540" s="4"/>
      <c r="Z540" s="4"/>
      <c r="AA540" s="4"/>
      <c r="AB540" s="4"/>
      <c r="AC540" s="4"/>
      <c r="AD540" s="4"/>
      <c r="AE540" s="4"/>
      <c r="AF540" s="81"/>
      <c r="AG540" s="81"/>
      <c r="AH540" s="81"/>
      <c r="AI540" s="4"/>
      <c r="AJ540" s="81"/>
      <c r="AK540" s="81"/>
      <c r="AL540" s="81"/>
      <c r="AM540" s="43">
        <v>524</v>
      </c>
      <c r="AN540">
        <v>314.62296339740499</v>
      </c>
      <c r="AO540">
        <v>108.84868695848699</v>
      </c>
      <c r="AP540">
        <v>782.34131298962905</v>
      </c>
      <c r="AQ540">
        <v>585.93934399935165</v>
      </c>
      <c r="AR540">
        <v>96.646197338319141</v>
      </c>
      <c r="AS540">
        <v>766.50488265201636</v>
      </c>
      <c r="AT540">
        <v>51.780341586430957</v>
      </c>
      <c r="AU540">
        <v>90.506638870577618</v>
      </c>
      <c r="AV540"/>
      <c r="AW540"/>
      <c r="FY540" s="211">
        <v>535</v>
      </c>
      <c r="FZ540">
        <v>31.515911628289821</v>
      </c>
      <c r="GA540">
        <v>69.707596762449583</v>
      </c>
      <c r="GB540">
        <v>60.075214708738393</v>
      </c>
      <c r="GC540">
        <v>35.569925127951002</v>
      </c>
      <c r="GD540">
        <v>20.08515662207995</v>
      </c>
      <c r="GE540">
        <v>36.677847332058128</v>
      </c>
      <c r="GF540">
        <v>65.004633391986403</v>
      </c>
      <c r="GG540">
        <v>45.140893563544402</v>
      </c>
      <c r="GH540">
        <v>13.271259712172625</v>
      </c>
      <c r="GI540">
        <v>48.147231309278375</v>
      </c>
      <c r="GJ540"/>
      <c r="GK540"/>
      <c r="GL540"/>
      <c r="GM540"/>
    </row>
    <row r="541" spans="1:195" s="7" customFormat="1">
      <c r="A541" s="4"/>
      <c r="B541" s="4"/>
      <c r="C541" s="117">
        <f>C9</f>
        <v>39799</v>
      </c>
      <c r="D541" s="101">
        <f>D75</f>
        <v>459.12518853695326</v>
      </c>
      <c r="E541" s="108">
        <f>E410</f>
        <v>0.14304129762671342</v>
      </c>
      <c r="F541" s="102"/>
      <c r="G541" s="101">
        <f>D541*E541</f>
        <v>65.673862741435244</v>
      </c>
      <c r="H541" s="101"/>
      <c r="I541" s="101"/>
      <c r="J541" s="101"/>
      <c r="K541" s="101"/>
      <c r="L541" s="4"/>
      <c r="M541" s="4"/>
      <c r="N541" s="4"/>
      <c r="O541" s="4"/>
      <c r="P541" s="4"/>
      <c r="Q541" s="4"/>
      <c r="R541" s="4"/>
      <c r="S541" s="4"/>
      <c r="T541" s="4"/>
      <c r="U541" s="4"/>
      <c r="V541" s="4"/>
      <c r="W541" s="4"/>
      <c r="X541" s="4"/>
      <c r="Y541" s="4"/>
      <c r="Z541" s="4"/>
      <c r="AA541" s="4"/>
      <c r="AB541" s="4"/>
      <c r="AC541" s="4"/>
      <c r="AD541" s="4"/>
      <c r="AE541" s="4"/>
      <c r="AF541" s="81"/>
      <c r="AG541" s="81"/>
      <c r="AH541" s="81"/>
      <c r="AI541" s="4"/>
      <c r="AJ541" s="81"/>
      <c r="AK541" s="81"/>
      <c r="AL541" s="81"/>
      <c r="AM541" s="43">
        <v>525</v>
      </c>
      <c r="AN541">
        <v>265.33505924551378</v>
      </c>
      <c r="AO541">
        <v>71.744843992652903</v>
      </c>
      <c r="AP541">
        <v>487.41679454396558</v>
      </c>
      <c r="AQ541">
        <v>379.14313695384078</v>
      </c>
      <c r="AR541">
        <v>64.13507766938352</v>
      </c>
      <c r="AS541">
        <v>577.85526310295916</v>
      </c>
      <c r="AT541">
        <v>34.719935839067801</v>
      </c>
      <c r="AU541">
        <v>63.010183003754712</v>
      </c>
      <c r="AV541"/>
      <c r="AW541"/>
      <c r="FY541" s="211">
        <v>536</v>
      </c>
      <c r="FZ541">
        <v>17.783925699111176</v>
      </c>
      <c r="GA541">
        <v>51.767870553588949</v>
      </c>
      <c r="GB541">
        <v>58.635552834413524</v>
      </c>
      <c r="GC541">
        <v>34.727587560963656</v>
      </c>
      <c r="GD541">
        <v>15.167930069014208</v>
      </c>
      <c r="GE541">
        <v>23.216831010998089</v>
      </c>
      <c r="GF541">
        <v>59.632380820674648</v>
      </c>
      <c r="GG541">
        <v>43.696036355097327</v>
      </c>
      <c r="GH541">
        <v>7.013248037124308</v>
      </c>
      <c r="GI541">
        <v>40.188563918897785</v>
      </c>
      <c r="GJ541"/>
      <c r="GK541"/>
      <c r="GL541"/>
      <c r="GM541"/>
    </row>
    <row r="542" spans="1:195" s="7" customFormat="1">
      <c r="A542" s="4"/>
      <c r="B542" s="4"/>
      <c r="C542" s="63"/>
      <c r="D542" s="101"/>
      <c r="E542" s="63"/>
      <c r="F542" s="63"/>
      <c r="G542" s="101"/>
      <c r="H542" s="101">
        <f>E543-E541</f>
        <v>0.20392638324251056</v>
      </c>
      <c r="I542" s="101">
        <f>AVERAGE(D541:D543)</f>
        <v>332.75269843514326</v>
      </c>
      <c r="J542" s="101">
        <f>I542*H542</f>
        <v>67.857054306064569</v>
      </c>
      <c r="K542" s="61">
        <f>J542/(C543-C541)</f>
        <v>1.4136886313763453</v>
      </c>
      <c r="L542" s="4"/>
      <c r="M542" s="4"/>
      <c r="N542" s="4"/>
      <c r="O542" s="4"/>
      <c r="P542" s="4"/>
      <c r="Q542" s="4"/>
      <c r="R542" s="4"/>
      <c r="S542" s="4"/>
      <c r="T542" s="4"/>
      <c r="U542" s="4"/>
      <c r="V542" s="4"/>
      <c r="W542" s="4"/>
      <c r="X542" s="4"/>
      <c r="Y542" s="4"/>
      <c r="Z542" s="4"/>
      <c r="AA542" s="4"/>
      <c r="AB542" s="4"/>
      <c r="AC542" s="4"/>
      <c r="AD542" s="4"/>
      <c r="AE542" s="4"/>
      <c r="AF542" s="81"/>
      <c r="AG542" s="81"/>
      <c r="AH542" s="81"/>
      <c r="AI542" s="4"/>
      <c r="AJ542" s="81"/>
      <c r="AK542" s="81"/>
      <c r="AL542" s="81"/>
      <c r="AM542" s="43">
        <v>526</v>
      </c>
      <c r="AN542">
        <v>283.67658081582084</v>
      </c>
      <c r="AO542">
        <v>94.194724895682924</v>
      </c>
      <c r="AP542">
        <v>614.17171222917864</v>
      </c>
      <c r="AQ542">
        <v>493.95539157695117</v>
      </c>
      <c r="AR542">
        <v>83.92702397047799</v>
      </c>
      <c r="AS542">
        <v>690.09542909283584</v>
      </c>
      <c r="AT542" t="e">
        <v>#DIV/0!</v>
      </c>
      <c r="AU542" t="e">
        <v>#DIV/0!</v>
      </c>
      <c r="AV542"/>
      <c r="AW542"/>
      <c r="FY542" s="211">
        <v>537</v>
      </c>
      <c r="FZ542">
        <v>14.396349053866658</v>
      </c>
      <c r="GA542">
        <v>55.326100800330387</v>
      </c>
      <c r="GB542">
        <v>112.97279377549036</v>
      </c>
      <c r="GC542">
        <v>61.549612303888182</v>
      </c>
      <c r="GD542">
        <v>24.018276743581108</v>
      </c>
      <c r="GE542">
        <v>47.078930821716369</v>
      </c>
      <c r="GF542">
        <v>77.323372323238502</v>
      </c>
      <c r="GG542">
        <v>50.283768802518374</v>
      </c>
      <c r="GH542">
        <v>5.883829314763906</v>
      </c>
      <c r="GI542">
        <v>63.146467637841063</v>
      </c>
      <c r="GJ542"/>
      <c r="GK542"/>
      <c r="GL542"/>
      <c r="GM542"/>
    </row>
    <row r="543" spans="1:195" s="7" customFormat="1">
      <c r="A543" s="4"/>
      <c r="B543" s="4"/>
      <c r="C543" s="117">
        <f>C10</f>
        <v>39847</v>
      </c>
      <c r="D543" s="101">
        <f>D76</f>
        <v>206.38020833333329</v>
      </c>
      <c r="E543" s="108">
        <f>E411</f>
        <v>0.34696768086922397</v>
      </c>
      <c r="F543" s="102"/>
      <c r="G543" s="101">
        <f>D543*E543</f>
        <v>71.607262262723935</v>
      </c>
      <c r="H543" s="101"/>
      <c r="I543" s="101"/>
      <c r="J543" s="101"/>
      <c r="K543" s="101"/>
      <c r="L543" s="4"/>
      <c r="M543" s="4"/>
      <c r="N543" s="4"/>
      <c r="O543" s="4"/>
      <c r="P543" s="4"/>
      <c r="Q543" s="4"/>
      <c r="R543" s="4"/>
      <c r="S543" s="4"/>
      <c r="T543" s="4"/>
      <c r="U543" s="4"/>
      <c r="V543" s="4"/>
      <c r="W543" s="4"/>
      <c r="X543" s="4"/>
      <c r="Y543" s="4"/>
      <c r="Z543" s="4"/>
      <c r="AA543" s="4"/>
      <c r="AB543" s="4"/>
      <c r="AC543" s="4"/>
      <c r="AD543" s="4"/>
      <c r="AE543" s="4"/>
      <c r="AF543" s="81"/>
      <c r="AG543" s="81"/>
      <c r="AH543" s="81"/>
      <c r="AI543" s="4"/>
      <c r="AJ543" s="81"/>
      <c r="AK543" s="81"/>
      <c r="AL543" s="81"/>
      <c r="AM543" s="43">
        <v>527</v>
      </c>
      <c r="AN543">
        <v>249.69383599673756</v>
      </c>
      <c r="AO543">
        <v>84.602392587740297</v>
      </c>
      <c r="AP543">
        <v>589.71530891916336</v>
      </c>
      <c r="AQ543">
        <v>443.05841456655969</v>
      </c>
      <c r="AR543">
        <v>75.877068497685897</v>
      </c>
      <c r="AS543">
        <v>626.6821011011267</v>
      </c>
      <c r="AT543">
        <v>41.9283673660264</v>
      </c>
      <c r="AU543">
        <v>34.813468526388228</v>
      </c>
      <c r="AV543"/>
      <c r="AW543"/>
      <c r="FY543" s="211">
        <v>538</v>
      </c>
      <c r="FZ543">
        <v>16.722880514721183</v>
      </c>
      <c r="GA543">
        <v>60.863090879391592</v>
      </c>
      <c r="GB543">
        <v>95.901389470967516</v>
      </c>
      <c r="GC543">
        <v>49.6001732180288</v>
      </c>
      <c r="GD543">
        <v>12.52493784730132</v>
      </c>
      <c r="GE543">
        <v>24.047445117444106</v>
      </c>
      <c r="GF543">
        <v>59.037011964451615</v>
      </c>
      <c r="GG543">
        <v>38.626105417809363</v>
      </c>
      <c r="GH543">
        <v>4.6001478907987394</v>
      </c>
      <c r="GI543">
        <v>47.037643217372406</v>
      </c>
      <c r="GJ543"/>
      <c r="GK543"/>
      <c r="GL543"/>
      <c r="GM543"/>
    </row>
    <row r="544" spans="1:195" s="7" customFormat="1">
      <c r="A544" s="4"/>
      <c r="B544" s="4"/>
      <c r="C544" s="63"/>
      <c r="D544" s="101"/>
      <c r="E544" s="63"/>
      <c r="F544" s="63"/>
      <c r="G544" s="101"/>
      <c r="H544" s="101">
        <f>E545-E543</f>
        <v>4.9038200551683508E-2</v>
      </c>
      <c r="I544" s="101">
        <f>AVERAGE(D543:D545)</f>
        <v>187.00172581796221</v>
      </c>
      <c r="J544" s="101">
        <f>I544*H544</f>
        <v>9.170228134172163</v>
      </c>
      <c r="K544" s="61">
        <f>J544/(C545-C543)</f>
        <v>0.14555917673289148</v>
      </c>
      <c r="L544" s="4"/>
      <c r="M544" s="4"/>
      <c r="N544" s="4"/>
      <c r="O544" s="4"/>
      <c r="P544" s="4"/>
      <c r="Q544" s="4"/>
      <c r="R544" s="4"/>
      <c r="S544" s="4"/>
      <c r="T544" s="4"/>
      <c r="U544" s="4"/>
      <c r="V544" s="4"/>
      <c r="W544" s="4"/>
      <c r="X544" s="4"/>
      <c r="Y544" s="4"/>
      <c r="Z544" s="4"/>
      <c r="AA544" s="4"/>
      <c r="AB544" s="4"/>
      <c r="AC544" s="4"/>
      <c r="AD544" s="4"/>
      <c r="AE544" s="4"/>
      <c r="AF544" s="81"/>
      <c r="AG544" s="81"/>
      <c r="AH544" s="81"/>
      <c r="AI544" s="4"/>
      <c r="AJ544" s="81"/>
      <c r="AK544" s="81"/>
      <c r="AL544" s="81"/>
      <c r="AM544" s="43">
        <v>528</v>
      </c>
      <c r="AN544">
        <v>269.39800218147678</v>
      </c>
      <c r="AO544">
        <v>84.239147643195039</v>
      </c>
      <c r="AP544">
        <v>623.70657916551556</v>
      </c>
      <c r="AQ544">
        <v>464.1565181834452</v>
      </c>
      <c r="AR544">
        <v>74.398414325904298</v>
      </c>
      <c r="AS544">
        <v>646.42178329387446</v>
      </c>
      <c r="AT544">
        <v>40.319294391111598</v>
      </c>
      <c r="AU544">
        <v>105.21699826539881</v>
      </c>
      <c r="AV544"/>
      <c r="AW544"/>
      <c r="FY544" s="211">
        <v>539</v>
      </c>
      <c r="FZ544">
        <v>20.335073187873679</v>
      </c>
      <c r="GA544">
        <v>61.229326535704715</v>
      </c>
      <c r="GB544">
        <v>80.537724956336703</v>
      </c>
      <c r="GC544">
        <v>43.734320283730604</v>
      </c>
      <c r="GD544">
        <v>16.798375409209338</v>
      </c>
      <c r="GE544">
        <v>37.785619009363494</v>
      </c>
      <c r="GF544">
        <v>97.645462728614376</v>
      </c>
      <c r="GG544">
        <v>72.299272375000442</v>
      </c>
      <c r="GH544">
        <v>19.432397441469018</v>
      </c>
      <c r="GI544">
        <v>56.990625177016632</v>
      </c>
      <c r="GJ544"/>
      <c r="GK544"/>
      <c r="GL544"/>
      <c r="GM544"/>
    </row>
    <row r="545" spans="1:195" s="7" customFormat="1">
      <c r="A545" s="4"/>
      <c r="B545" s="4"/>
      <c r="C545" s="117">
        <f>C11</f>
        <v>39910</v>
      </c>
      <c r="D545" s="101">
        <f>D77</f>
        <v>167.62324330259111</v>
      </c>
      <c r="E545" s="108">
        <f>E412</f>
        <v>0.39600588142090748</v>
      </c>
      <c r="F545" s="102"/>
      <c r="G545" s="101">
        <f>D545*E545</f>
        <v>66.379790210673818</v>
      </c>
      <c r="H545" s="101"/>
      <c r="I545" s="101"/>
      <c r="J545" s="101"/>
      <c r="K545" s="101"/>
      <c r="L545" s="4"/>
      <c r="M545" s="4"/>
      <c r="N545" s="4"/>
      <c r="O545" s="4"/>
      <c r="P545" s="4"/>
      <c r="Q545" s="4"/>
      <c r="R545" s="4"/>
      <c r="S545" s="4"/>
      <c r="T545" s="4"/>
      <c r="U545" s="4"/>
      <c r="V545" s="4"/>
      <c r="W545" s="4"/>
      <c r="X545" s="4"/>
      <c r="Y545" s="4"/>
      <c r="Z545" s="4"/>
      <c r="AA545" s="4"/>
      <c r="AB545" s="4"/>
      <c r="AC545" s="4"/>
      <c r="AD545" s="4"/>
      <c r="AE545" s="4"/>
      <c r="AF545" s="81"/>
      <c r="AG545" s="81"/>
      <c r="AH545" s="81"/>
      <c r="AI545" s="4"/>
      <c r="AJ545" s="81"/>
      <c r="AK545" s="81"/>
      <c r="AL545" s="81"/>
      <c r="AM545" s="43">
        <v>529</v>
      </c>
      <c r="AN545">
        <v>260.30744672012349</v>
      </c>
      <c r="AO545">
        <v>78.403945630006135</v>
      </c>
      <c r="AP545">
        <v>553.6957175261681</v>
      </c>
      <c r="AQ545">
        <v>423.25524510489544</v>
      </c>
      <c r="AR545">
        <v>71.612049673723078</v>
      </c>
      <c r="AS545">
        <v>629.8978624516659</v>
      </c>
      <c r="AT545">
        <v>36.339627806852612</v>
      </c>
      <c r="AU545">
        <v>94.537820557442743</v>
      </c>
      <c r="AV545"/>
      <c r="AW545"/>
      <c r="FY545" s="211">
        <v>540</v>
      </c>
      <c r="FZ545">
        <v>33.626880848802472</v>
      </c>
      <c r="GA545">
        <v>78.569253074699915</v>
      </c>
      <c r="GB545">
        <v>71.782882967535031</v>
      </c>
      <c r="GC545">
        <v>38.749254308449942</v>
      </c>
      <c r="GD545">
        <v>14.877353993812253</v>
      </c>
      <c r="GE545">
        <v>54.369406385623037</v>
      </c>
      <c r="GF545">
        <v>100.25325346303862</v>
      </c>
      <c r="GG545">
        <v>46.830442306505709</v>
      </c>
      <c r="GH545">
        <v>24.947337059137251</v>
      </c>
      <c r="GI545">
        <v>56.342338475829294</v>
      </c>
      <c r="GJ545"/>
      <c r="GK545"/>
      <c r="GL545"/>
      <c r="GM545"/>
    </row>
    <row r="546" spans="1:195" s="7" customFormat="1">
      <c r="A546" s="4"/>
      <c r="B546" s="4"/>
      <c r="C546" s="63"/>
      <c r="D546" s="101"/>
      <c r="E546" s="63"/>
      <c r="F546" s="63"/>
      <c r="G546" s="101"/>
      <c r="H546" s="101">
        <f>E547-E545</f>
        <v>0.19004221099848001</v>
      </c>
      <c r="I546" s="101">
        <f>AVERAGE(D545:D547)</f>
        <v>116.50838091055482</v>
      </c>
      <c r="J546" s="101">
        <f>I546*H546</f>
        <v>22.14151030809494</v>
      </c>
      <c r="K546" s="61">
        <f>J546/(C547-C545)</f>
        <v>0.56773103354089594</v>
      </c>
      <c r="L546" s="4"/>
      <c r="M546" s="4"/>
      <c r="N546" s="4"/>
      <c r="O546" s="4"/>
      <c r="P546" s="4"/>
      <c r="Q546" s="4"/>
      <c r="R546" s="4"/>
      <c r="S546" s="4"/>
      <c r="T546" s="4"/>
      <c r="U546" s="4"/>
      <c r="V546" s="4"/>
      <c r="W546" s="4"/>
      <c r="X546" s="4"/>
      <c r="Y546" s="4"/>
      <c r="Z546" s="4"/>
      <c r="AA546" s="4"/>
      <c r="AB546" s="4"/>
      <c r="AC546" s="4"/>
      <c r="AD546" s="4"/>
      <c r="AE546" s="4"/>
      <c r="AF546" s="81"/>
      <c r="AG546" s="81"/>
      <c r="AH546" s="81"/>
      <c r="AI546" s="4"/>
      <c r="AJ546" s="81"/>
      <c r="AK546" s="81"/>
      <c r="AL546" s="81"/>
      <c r="AM546" s="43">
        <v>530</v>
      </c>
      <c r="AN546">
        <v>213.24761079130258</v>
      </c>
      <c r="AO546">
        <v>67.185618082705389</v>
      </c>
      <c r="AP546">
        <v>492.16432113350538</v>
      </c>
      <c r="AQ546">
        <v>371.04959037325125</v>
      </c>
      <c r="AR546">
        <v>61.3843504479849</v>
      </c>
      <c r="AS546">
        <v>504.06870808757793</v>
      </c>
      <c r="AT546">
        <v>32.986117515227654</v>
      </c>
      <c r="AU546">
        <v>66.967721509101722</v>
      </c>
      <c r="AV546"/>
      <c r="AW546"/>
      <c r="FY546" s="211">
        <v>541</v>
      </c>
      <c r="FZ546">
        <v>16.680384088394622</v>
      </c>
      <c r="GA546">
        <v>44.695413663427203</v>
      </c>
      <c r="GB546">
        <v>72.184847974306194</v>
      </c>
      <c r="GC546">
        <v>42.561670450909503</v>
      </c>
      <c r="GD546">
        <v>16.524674388085906</v>
      </c>
      <c r="GE546">
        <v>28.486702085578607</v>
      </c>
      <c r="GF546">
        <v>52.683253980039048</v>
      </c>
      <c r="GG546">
        <v>48.0392853823179</v>
      </c>
      <c r="GH546">
        <v>23.785458059421849</v>
      </c>
      <c r="GI546">
        <v>45.24305591800605</v>
      </c>
      <c r="GJ546"/>
      <c r="GK546"/>
      <c r="GL546"/>
      <c r="GM546"/>
    </row>
    <row r="547" spans="1:195" s="7" customFormat="1">
      <c r="A547" s="4"/>
      <c r="B547" s="4"/>
      <c r="C547" s="117">
        <f>C12</f>
        <v>39949</v>
      </c>
      <c r="D547" s="101">
        <f>D78</f>
        <v>65.393518518518519</v>
      </c>
      <c r="E547" s="108">
        <f>E413</f>
        <v>0.58604809241938749</v>
      </c>
      <c r="F547" s="102"/>
      <c r="G547" s="101">
        <f>D547*E547</f>
        <v>38.323746784369668</v>
      </c>
      <c r="H547" s="101"/>
      <c r="I547" s="101"/>
      <c r="J547" s="101"/>
      <c r="K547" s="101"/>
      <c r="L547" s="4"/>
      <c r="M547" s="4"/>
      <c r="N547" s="4"/>
      <c r="O547" s="4"/>
      <c r="P547" s="4"/>
      <c r="Q547" s="4"/>
      <c r="R547" s="4"/>
      <c r="S547" s="4"/>
      <c r="T547" s="4"/>
      <c r="U547" s="4"/>
      <c r="V547" s="4"/>
      <c r="W547" s="4"/>
      <c r="X547" s="4"/>
      <c r="Y547" s="4"/>
      <c r="Z547" s="4"/>
      <c r="AA547" s="4"/>
      <c r="AB547" s="4"/>
      <c r="AC547" s="4"/>
      <c r="AD547" s="4"/>
      <c r="AE547" s="4"/>
      <c r="AF547" s="81"/>
      <c r="AG547" s="81"/>
      <c r="AH547" s="81"/>
      <c r="AI547" s="4"/>
      <c r="AJ547" s="81"/>
      <c r="AK547" s="81"/>
      <c r="AL547" s="81"/>
      <c r="AM547" s="43">
        <v>531</v>
      </c>
      <c r="AN547">
        <v>284.02156125404048</v>
      </c>
      <c r="AO547">
        <v>120.17643007485833</v>
      </c>
      <c r="AP547">
        <v>885.03515943066941</v>
      </c>
      <c r="AQ547">
        <v>628.11560956977667</v>
      </c>
      <c r="AR547">
        <v>108.15196790367996</v>
      </c>
      <c r="AS547">
        <v>795.95604824396219</v>
      </c>
      <c r="AT547">
        <v>57.187191826456505</v>
      </c>
      <c r="AU547">
        <v>105.64307170991492</v>
      </c>
      <c r="AV547"/>
      <c r="AW547"/>
      <c r="FY547" s="211">
        <v>542</v>
      </c>
      <c r="FZ547">
        <v>25.000553448712104</v>
      </c>
      <c r="GA547">
        <v>65.501565511114222</v>
      </c>
      <c r="GB547">
        <v>84.980582358560653</v>
      </c>
      <c r="GC547">
        <v>50.357017727634428</v>
      </c>
      <c r="GD547">
        <v>16.628034643904414</v>
      </c>
      <c r="GE547">
        <v>45.91320969518641</v>
      </c>
      <c r="GF547">
        <v>90.333772893381749</v>
      </c>
      <c r="GG547">
        <v>75.129962348925332</v>
      </c>
      <c r="GH547">
        <v>60.894115124645111</v>
      </c>
      <c r="GI547">
        <v>63.71665732145749</v>
      </c>
      <c r="GJ547"/>
      <c r="GK547"/>
      <c r="GL547"/>
      <c r="GM547"/>
    </row>
    <row r="548" spans="1:195" s="7" customFormat="1">
      <c r="A548" s="4"/>
      <c r="B548" s="4"/>
      <c r="C548" s="63"/>
      <c r="D548" s="101"/>
      <c r="E548" s="63"/>
      <c r="F548" s="63"/>
      <c r="G548" s="101"/>
      <c r="H548" s="101">
        <f>E549-E547</f>
        <v>-0.49418281718456336</v>
      </c>
      <c r="I548" s="101">
        <f>AVERAGE(D547:D549)</f>
        <v>39.347400284900289</v>
      </c>
      <c r="J548" s="101">
        <f>I548*H548</f>
        <v>-19.444809121680716</v>
      </c>
      <c r="K548" s="61">
        <f>J548/(C549-C547)</f>
        <v>-0.51170550320212416</v>
      </c>
      <c r="L548" s="4"/>
      <c r="M548" s="4"/>
      <c r="N548" s="4"/>
      <c r="O548" s="4"/>
      <c r="P548" s="4"/>
      <c r="Q548" s="4"/>
      <c r="R548" s="4"/>
      <c r="S548" s="4"/>
      <c r="T548" s="4"/>
      <c r="U548" s="4"/>
      <c r="V548" s="4"/>
      <c r="W548" s="4"/>
      <c r="X548" s="4"/>
      <c r="Y548" s="4"/>
      <c r="Z548" s="4"/>
      <c r="AA548" s="4"/>
      <c r="AB548" s="4"/>
      <c r="AC548" s="4"/>
      <c r="AD548" s="4"/>
      <c r="AE548" s="4"/>
      <c r="AF548" s="81"/>
      <c r="AG548" s="81"/>
      <c r="AH548" s="81"/>
      <c r="AI548" s="4"/>
      <c r="AJ548" s="81"/>
      <c r="AK548" s="81"/>
      <c r="AL548" s="81"/>
      <c r="AM548" s="43">
        <v>532</v>
      </c>
      <c r="AN548">
        <v>274.81609419037898</v>
      </c>
      <c r="AO548">
        <v>108.12877187687775</v>
      </c>
      <c r="AP548">
        <v>788.34426905544956</v>
      </c>
      <c r="AQ548">
        <v>597.9067499542133</v>
      </c>
      <c r="AR548">
        <v>95.981214002127345</v>
      </c>
      <c r="AS548">
        <v>747.0488842259283</v>
      </c>
      <c r="AT548">
        <v>50.715037179951118</v>
      </c>
      <c r="AU548">
        <v>84.566949750270169</v>
      </c>
      <c r="AV548"/>
      <c r="AW548"/>
      <c r="FY548" s="211">
        <v>543</v>
      </c>
      <c r="FZ548">
        <v>15.518666781275295</v>
      </c>
      <c r="GA548">
        <v>62.733226768669169</v>
      </c>
      <c r="GB548">
        <v>80.116128982235708</v>
      </c>
      <c r="GC548">
        <v>40.003482218281711</v>
      </c>
      <c r="GD548">
        <v>12.696016467719755</v>
      </c>
      <c r="GE548">
        <v>34.112875115180167</v>
      </c>
      <c r="GF548">
        <v>62.291206741400025</v>
      </c>
      <c r="GG548">
        <v>51.809830434186999</v>
      </c>
      <c r="GH548">
        <v>38.693992237785665</v>
      </c>
      <c r="GI548">
        <v>49.629241120643897</v>
      </c>
      <c r="GJ548"/>
      <c r="GK548"/>
      <c r="GL548"/>
      <c r="GM548"/>
    </row>
    <row r="549" spans="1:195" s="7" customFormat="1">
      <c r="A549" s="4"/>
      <c r="B549" s="4"/>
      <c r="C549" s="117">
        <f>C13</f>
        <v>39987</v>
      </c>
      <c r="D549" s="101">
        <f>D79</f>
        <v>13.301282051282051</v>
      </c>
      <c r="E549" s="108">
        <f>E414</f>
        <v>9.1865275234824129E-2</v>
      </c>
      <c r="F549" s="102"/>
      <c r="G549" s="101">
        <f>D549*E549</f>
        <v>1.2219259366170516</v>
      </c>
      <c r="H549" s="101"/>
      <c r="I549" s="101"/>
      <c r="J549" s="101"/>
      <c r="K549" s="101"/>
      <c r="L549" s="4"/>
      <c r="M549" s="4"/>
      <c r="N549" s="4"/>
      <c r="O549" s="4"/>
      <c r="P549" s="4"/>
      <c r="Q549" s="4"/>
      <c r="R549" s="4"/>
      <c r="S549" s="4"/>
      <c r="T549" s="4"/>
      <c r="U549" s="4"/>
      <c r="V549" s="4"/>
      <c r="W549" s="4"/>
      <c r="X549" s="4"/>
      <c r="Y549" s="4"/>
      <c r="Z549" s="4"/>
      <c r="AA549" s="4"/>
      <c r="AB549" s="4"/>
      <c r="AC549" s="4"/>
      <c r="AD549" s="4"/>
      <c r="AE549" s="4"/>
      <c r="AF549" s="81"/>
      <c r="AG549" s="81"/>
      <c r="AH549" s="81"/>
      <c r="AI549" s="4"/>
      <c r="AJ549" s="81"/>
      <c r="AK549" s="81"/>
      <c r="AL549" s="81"/>
      <c r="AM549" s="43">
        <v>533</v>
      </c>
      <c r="AN549">
        <v>198.28694064577513</v>
      </c>
      <c r="AO549">
        <v>66.268704958385172</v>
      </c>
      <c r="AP549">
        <v>430.75837974680542</v>
      </c>
      <c r="AQ549">
        <v>342.1334874095902</v>
      </c>
      <c r="AR549">
        <v>60.083246607201772</v>
      </c>
      <c r="AS549">
        <v>546.95260628545964</v>
      </c>
      <c r="AT549">
        <v>34.017901450521805</v>
      </c>
      <c r="AU549">
        <v>136.82007534546804</v>
      </c>
      <c r="AV549"/>
      <c r="AW549"/>
      <c r="FY549" s="211">
        <v>544</v>
      </c>
      <c r="FZ549">
        <v>10.003822767476301</v>
      </c>
      <c r="GA549">
        <v>32.745712563192058</v>
      </c>
      <c r="GB549">
        <v>56.611080632830436</v>
      </c>
      <c r="GC549">
        <v>32.825491231578489</v>
      </c>
      <c r="GD549">
        <v>17.464826041922976</v>
      </c>
      <c r="GE549">
        <v>46.569822093222754</v>
      </c>
      <c r="GF549">
        <v>58.686290906353598</v>
      </c>
      <c r="GG549">
        <v>29.032416724265428</v>
      </c>
      <c r="GH549">
        <v>16.42251164485014</v>
      </c>
      <c r="GI549">
        <v>41.665341784179638</v>
      </c>
      <c r="GJ549"/>
      <c r="GK549"/>
      <c r="GL549"/>
      <c r="GM549"/>
    </row>
    <row r="550" spans="1:195" s="7" customFormat="1">
      <c r="A550" s="4"/>
      <c r="B550" s="4"/>
      <c r="C550" s="63"/>
      <c r="D550" s="101"/>
      <c r="E550" s="63"/>
      <c r="F550" s="63"/>
      <c r="G550" s="101"/>
      <c r="H550" s="101">
        <f>E551-E549</f>
        <v>-9.1865275234824129E-2</v>
      </c>
      <c r="I550" s="101">
        <f>AVERAGE(D549:D551)</f>
        <v>6.6506410256410255</v>
      </c>
      <c r="J550" s="101">
        <f>I550*H550</f>
        <v>-0.61096296830852581</v>
      </c>
      <c r="K550" s="61">
        <f>J550/(C551-C549)</f>
        <v>1.5279039895679243E-5</v>
      </c>
      <c r="L550" s="4"/>
      <c r="M550" s="4"/>
      <c r="N550" s="4"/>
      <c r="O550" s="4"/>
      <c r="P550" s="4"/>
      <c r="Q550" s="4"/>
      <c r="R550" s="4"/>
      <c r="S550" s="4"/>
      <c r="T550" s="4"/>
      <c r="U550" s="4"/>
      <c r="V550" s="4"/>
      <c r="W550" s="4"/>
      <c r="X550" s="4"/>
      <c r="Y550" s="4"/>
      <c r="Z550" s="4"/>
      <c r="AA550" s="4"/>
      <c r="AB550" s="4"/>
      <c r="AC550" s="4"/>
      <c r="AD550" s="4"/>
      <c r="AE550" s="4"/>
      <c r="AF550" s="81"/>
      <c r="AG550" s="81"/>
      <c r="AH550" s="81"/>
      <c r="AI550" s="4"/>
      <c r="AJ550" s="81"/>
      <c r="AK550" s="81"/>
      <c r="AL550" s="81"/>
      <c r="AM550" s="43">
        <v>534</v>
      </c>
      <c r="AN550">
        <v>265.75464397999411</v>
      </c>
      <c r="AO550">
        <v>104.6910150266275</v>
      </c>
      <c r="AP550">
        <v>720.42250894251379</v>
      </c>
      <c r="AQ550">
        <v>528.72426207244905</v>
      </c>
      <c r="AR550">
        <v>93.323537705936829</v>
      </c>
      <c r="AS550">
        <v>710.36877771016611</v>
      </c>
      <c r="AT550">
        <v>51.198861537910538</v>
      </c>
      <c r="AU550">
        <v>78.17733290578623</v>
      </c>
      <c r="AV550"/>
      <c r="AW550"/>
      <c r="FY550" s="211">
        <v>545</v>
      </c>
      <c r="FZ550">
        <v>8.3861736876294799</v>
      </c>
      <c r="GA550">
        <v>34.968551851973537</v>
      </c>
      <c r="GB550">
        <v>95.717379669154241</v>
      </c>
      <c r="GC550">
        <v>59.000438019481251</v>
      </c>
      <c r="GD550">
        <v>18.263849050118282</v>
      </c>
      <c r="GE550">
        <v>48.41865368124278</v>
      </c>
      <c r="GF550">
        <v>98.720441708705735</v>
      </c>
      <c r="GG550">
        <v>54.133767460577836</v>
      </c>
      <c r="GH550">
        <v>20.30989226951359</v>
      </c>
      <c r="GI550">
        <v>59.765558190205688</v>
      </c>
      <c r="GJ550"/>
      <c r="GK550"/>
      <c r="GL550"/>
      <c r="GM550"/>
    </row>
    <row r="551" spans="1:195" s="7" customFormat="1">
      <c r="A551" s="4"/>
      <c r="B551" s="4"/>
      <c r="C551" s="117">
        <f>C14</f>
        <v>0</v>
      </c>
      <c r="D551" s="101">
        <f>D80</f>
        <v>0</v>
      </c>
      <c r="E551" s="108">
        <f>E415</f>
        <v>0</v>
      </c>
      <c r="F551" s="102"/>
      <c r="G551" s="101">
        <f>D551*E551</f>
        <v>0</v>
      </c>
      <c r="H551" s="101"/>
      <c r="I551" s="101"/>
      <c r="J551" s="101"/>
      <c r="K551" s="101"/>
      <c r="L551" s="4"/>
      <c r="M551" s="4"/>
      <c r="N551" s="4"/>
      <c r="O551" s="4"/>
      <c r="P551" s="4"/>
      <c r="Q551" s="4"/>
      <c r="R551" s="4"/>
      <c r="S551" s="4"/>
      <c r="T551" s="4"/>
      <c r="U551" s="4"/>
      <c r="V551" s="4"/>
      <c r="W551" s="4"/>
      <c r="X551" s="4"/>
      <c r="Y551" s="4"/>
      <c r="Z551" s="4"/>
      <c r="AA551" s="4"/>
      <c r="AB551" s="4"/>
      <c r="AC551" s="4"/>
      <c r="AD551" s="4"/>
      <c r="AE551" s="4"/>
      <c r="AF551" s="81"/>
      <c r="AG551" s="81"/>
      <c r="AH551" s="81"/>
      <c r="AI551" s="4"/>
      <c r="AJ551" s="81"/>
      <c r="AK551" s="81"/>
      <c r="AL551" s="81"/>
      <c r="AM551" s="43">
        <v>535</v>
      </c>
      <c r="AN551">
        <v>200.84941894726711</v>
      </c>
      <c r="AO551">
        <v>77.152596548037394</v>
      </c>
      <c r="AP551">
        <v>572.06235878491316</v>
      </c>
      <c r="AQ551">
        <v>425.19567015854869</v>
      </c>
      <c r="AR551">
        <v>69.830695750009454</v>
      </c>
      <c r="AS551">
        <v>564.36082611070071</v>
      </c>
      <c r="AT551">
        <v>39.69077490604721</v>
      </c>
      <c r="AU551">
        <v>-4.7673123855307296</v>
      </c>
      <c r="AV551"/>
      <c r="AW551"/>
      <c r="FY551" s="211">
        <v>546</v>
      </c>
      <c r="FZ551">
        <v>13.937506059491369</v>
      </c>
      <c r="GA551">
        <v>52.010166661132182</v>
      </c>
      <c r="GB551">
        <v>76.92713541287813</v>
      </c>
      <c r="GC551">
        <v>47.809844051403722</v>
      </c>
      <c r="GD551">
        <v>17.706855830873621</v>
      </c>
      <c r="GE551">
        <v>28.701522780600115</v>
      </c>
      <c r="GF551">
        <v>64.079470630349107</v>
      </c>
      <c r="GG551">
        <v>41.451948864263855</v>
      </c>
      <c r="GH551">
        <v>13.282956216569737</v>
      </c>
      <c r="GI551">
        <v>48.698859848118424</v>
      </c>
      <c r="GJ551"/>
      <c r="GK551"/>
      <c r="GL551"/>
      <c r="GM551"/>
    </row>
    <row r="552" spans="1:195" s="7" customFormat="1">
      <c r="A552" s="4"/>
      <c r="B552" s="4"/>
      <c r="C552" s="63"/>
      <c r="D552" s="101"/>
      <c r="E552" s="63"/>
      <c r="F552" s="63"/>
      <c r="G552" s="101"/>
      <c r="H552" s="101">
        <f>E553-E551</f>
        <v>0</v>
      </c>
      <c r="I552" s="101">
        <f>AVERAGE(D551:D553)</f>
        <v>0</v>
      </c>
      <c r="J552" s="101">
        <f>I552*H552</f>
        <v>0</v>
      </c>
      <c r="K552" s="61" t="e">
        <f>J552/(C553-C551)</f>
        <v>#DIV/0!</v>
      </c>
      <c r="L552" s="4"/>
      <c r="M552" s="4"/>
      <c r="N552" s="4"/>
      <c r="O552" s="4"/>
      <c r="P552" s="4"/>
      <c r="Q552" s="4"/>
      <c r="R552" s="4"/>
      <c r="S552" s="4"/>
      <c r="T552" s="4"/>
      <c r="U552" s="4"/>
      <c r="V552" s="4"/>
      <c r="W552" s="4"/>
      <c r="X552" s="4"/>
      <c r="Y552" s="4"/>
      <c r="Z552" s="4"/>
      <c r="AA552" s="4"/>
      <c r="AB552" s="4"/>
      <c r="AC552" s="4"/>
      <c r="AD552" s="4"/>
      <c r="AE552" s="4"/>
      <c r="AF552" s="81"/>
      <c r="AG552" s="81"/>
      <c r="AH552" s="81"/>
      <c r="AI552" s="4"/>
      <c r="AJ552" s="81"/>
      <c r="AK552" s="81"/>
      <c r="AL552" s="81"/>
      <c r="AM552" s="43">
        <v>536</v>
      </c>
      <c r="AN552">
        <v>232.95446680167652</v>
      </c>
      <c r="AO552">
        <v>63.678605748953522</v>
      </c>
      <c r="AP552">
        <v>478.46286358910248</v>
      </c>
      <c r="AQ552">
        <v>351.82992685988364</v>
      </c>
      <c r="AR552">
        <v>58.005402971784918</v>
      </c>
      <c r="AS552">
        <v>513.7006139782327</v>
      </c>
      <c r="AT552">
        <v>31.427842148905899</v>
      </c>
      <c r="AU552">
        <v>46.423325526139173</v>
      </c>
      <c r="AV552"/>
      <c r="AW552"/>
      <c r="FY552" s="211">
        <v>547</v>
      </c>
      <c r="FZ552">
        <v>20.829028416198454</v>
      </c>
      <c r="GA552">
        <v>60.056294354122755</v>
      </c>
      <c r="GB552">
        <v>63.624913816484174</v>
      </c>
      <c r="GC552">
        <v>32.680167175295828</v>
      </c>
      <c r="GD552">
        <v>22.265589415455882</v>
      </c>
      <c r="GE552">
        <v>57.427357388641823</v>
      </c>
      <c r="GF552">
        <v>59.334817494103895</v>
      </c>
      <c r="GG552">
        <v>33.930138626563078</v>
      </c>
      <c r="GH552">
        <v>22.738462895122503</v>
      </c>
      <c r="GI552">
        <v>48.302640601527123</v>
      </c>
      <c r="GJ552"/>
      <c r="GK552"/>
      <c r="GL552"/>
      <c r="GM552"/>
    </row>
    <row r="553" spans="1:195" s="7" customFormat="1">
      <c r="A553" s="4"/>
      <c r="B553" s="4"/>
      <c r="C553" s="116">
        <f>C15</f>
        <v>0</v>
      </c>
      <c r="D553" s="101">
        <f>D81</f>
        <v>0</v>
      </c>
      <c r="E553" s="108">
        <f>E416</f>
        <v>0</v>
      </c>
      <c r="F553" s="102"/>
      <c r="G553" s="101">
        <f>D553*E553</f>
        <v>0</v>
      </c>
      <c r="H553" s="101"/>
      <c r="I553" s="101"/>
      <c r="J553" s="101"/>
      <c r="K553" s="101"/>
      <c r="L553" s="4"/>
      <c r="M553" s="4"/>
      <c r="N553" s="4"/>
      <c r="O553" s="4"/>
      <c r="P553" s="4"/>
      <c r="Q553" s="4"/>
      <c r="R553" s="4"/>
      <c r="S553" s="4"/>
      <c r="T553" s="4"/>
      <c r="U553" s="4"/>
      <c r="V553" s="4"/>
      <c r="W553" s="4"/>
      <c r="X553" s="4"/>
      <c r="Y553" s="4"/>
      <c r="Z553" s="4"/>
      <c r="AA553" s="4"/>
      <c r="AB553" s="4"/>
      <c r="AC553" s="4"/>
      <c r="AD553" s="4"/>
      <c r="AE553" s="4"/>
      <c r="AF553" s="81"/>
      <c r="AG553" s="81"/>
      <c r="AH553" s="81"/>
      <c r="AI553" s="4"/>
      <c r="AJ553" s="81"/>
      <c r="AK553" s="81"/>
      <c r="AL553" s="81"/>
      <c r="AM553" s="43">
        <v>537</v>
      </c>
      <c r="AN553">
        <v>241.15756686060976</v>
      </c>
      <c r="AO553">
        <v>100.18068801845278</v>
      </c>
      <c r="AP553">
        <v>699.24910859105717</v>
      </c>
      <c r="AQ553">
        <v>511.97950157723488</v>
      </c>
      <c r="AR553">
        <v>91.070348405693906</v>
      </c>
      <c r="AS553">
        <v>739.30134003094167</v>
      </c>
      <c r="AT553">
        <v>53.225186708429042</v>
      </c>
      <c r="AU553">
        <v>65.570496820329822</v>
      </c>
      <c r="AV553"/>
      <c r="AW553"/>
      <c r="FY553" s="211">
        <v>548</v>
      </c>
      <c r="FZ553">
        <v>16.582592600636762</v>
      </c>
      <c r="GA553">
        <v>46.699708134581833</v>
      </c>
      <c r="GB553">
        <v>76.480421978016494</v>
      </c>
      <c r="GC553">
        <v>44.645815469068829</v>
      </c>
      <c r="GD553">
        <v>24.544459366512591</v>
      </c>
      <c r="GE553">
        <v>48.078530207759542</v>
      </c>
      <c r="GF553">
        <v>56.988412661308288</v>
      </c>
      <c r="GG553">
        <v>43.335377100772696</v>
      </c>
      <c r="GH553">
        <v>20.612380842882317</v>
      </c>
      <c r="GI553">
        <v>52.29426176657158</v>
      </c>
      <c r="GJ553"/>
      <c r="GK553"/>
      <c r="GL553"/>
      <c r="GM553"/>
    </row>
    <row r="554" spans="1:195" s="7" customFormat="1">
      <c r="A554" s="4"/>
      <c r="B554" s="4"/>
      <c r="C554" s="104"/>
      <c r="D554" s="101"/>
      <c r="E554" s="63"/>
      <c r="F554" s="63"/>
      <c r="G554" s="63"/>
      <c r="H554" s="63"/>
      <c r="I554" s="63"/>
      <c r="J554" s="63"/>
      <c r="K554" s="19"/>
      <c r="L554" s="4"/>
      <c r="M554" s="4"/>
      <c r="N554" s="4"/>
      <c r="O554" s="4"/>
      <c r="P554" s="4"/>
      <c r="Q554" s="4"/>
      <c r="R554" s="4"/>
      <c r="S554" s="4"/>
      <c r="T554" s="4"/>
      <c r="U554" s="4"/>
      <c r="V554" s="4"/>
      <c r="W554" s="4"/>
      <c r="X554" s="4"/>
      <c r="Y554" s="4"/>
      <c r="Z554" s="4"/>
      <c r="AA554" s="4"/>
      <c r="AB554" s="4"/>
      <c r="AC554" s="4"/>
      <c r="AD554" s="4"/>
      <c r="AE554" s="4"/>
      <c r="AF554" s="81"/>
      <c r="AG554" s="81"/>
      <c r="AH554" s="81"/>
      <c r="AI554" s="4"/>
      <c r="AJ554" s="81"/>
      <c r="AK554" s="81"/>
      <c r="AL554" s="81"/>
      <c r="AM554" s="43">
        <v>538</v>
      </c>
      <c r="AN554">
        <v>255.64535745988201</v>
      </c>
      <c r="AO554">
        <v>73.903419307353317</v>
      </c>
      <c r="AP554">
        <v>565.84797956247758</v>
      </c>
      <c r="AQ554">
        <v>408.9608255382866</v>
      </c>
      <c r="AR554">
        <v>67.409514552057644</v>
      </c>
      <c r="AS554">
        <v>614.85341196823038</v>
      </c>
      <c r="AT554">
        <v>35.661305065264571</v>
      </c>
      <c r="AU554">
        <v>47.00636083712827</v>
      </c>
      <c r="AV554"/>
      <c r="AW554"/>
      <c r="FY554" s="211">
        <v>549</v>
      </c>
      <c r="FZ554">
        <v>43.762487770322373</v>
      </c>
      <c r="GA554">
        <v>81.964226015458124</v>
      </c>
      <c r="GB554">
        <v>69.245431142254759</v>
      </c>
      <c r="GC554">
        <v>42.676242565957033</v>
      </c>
      <c r="GD554">
        <v>18.442013814677821</v>
      </c>
      <c r="GE554">
        <v>55.479619381400397</v>
      </c>
      <c r="GF554">
        <v>122.29626034646427</v>
      </c>
      <c r="GG554">
        <v>55.670458539809317</v>
      </c>
      <c r="GH554">
        <v>6.6653500820205798</v>
      </c>
      <c r="GI554">
        <v>62.274261106316963</v>
      </c>
      <c r="GJ554"/>
      <c r="GK554"/>
      <c r="GL554"/>
      <c r="GM554"/>
    </row>
    <row r="555" spans="1:195" s="7" customFormat="1">
      <c r="A555" s="4"/>
      <c r="B555" s="4"/>
      <c r="C555" s="8"/>
      <c r="D555" s="8"/>
      <c r="E555" s="8"/>
      <c r="F555" s="8"/>
      <c r="G555" s="8"/>
      <c r="H555" s="8"/>
      <c r="I555" s="8"/>
      <c r="J555" s="8"/>
      <c r="K555" s="19"/>
      <c r="L555" s="4"/>
      <c r="M555" s="4"/>
      <c r="N555" s="4"/>
      <c r="O555" s="4"/>
      <c r="P555" s="4"/>
      <c r="Q555" s="4"/>
      <c r="R555" s="4"/>
      <c r="S555" s="4"/>
      <c r="T555" s="4"/>
      <c r="U555" s="4"/>
      <c r="V555" s="4"/>
      <c r="W555" s="4"/>
      <c r="X555" s="4"/>
      <c r="Y555" s="4"/>
      <c r="Z555" s="4"/>
      <c r="AA555" s="4"/>
      <c r="AB555" s="4"/>
      <c r="AC555" s="4"/>
      <c r="AD555" s="4"/>
      <c r="AE555" s="4"/>
      <c r="AF555" s="81"/>
      <c r="AG555" s="81"/>
      <c r="AH555" s="81"/>
      <c r="AI555" s="4"/>
      <c r="AJ555" s="81"/>
      <c r="AK555" s="81"/>
      <c r="AL555" s="81"/>
      <c r="AM555" s="43">
        <v>539</v>
      </c>
      <c r="AN555">
        <v>299.68179827819324</v>
      </c>
      <c r="AO555">
        <v>90.768701276692596</v>
      </c>
      <c r="AP555">
        <v>708.12789318268813</v>
      </c>
      <c r="AQ555">
        <v>506.78819710431895</v>
      </c>
      <c r="AR555">
        <v>82.223038020243919</v>
      </c>
      <c r="AS555">
        <v>728.36219821452505</v>
      </c>
      <c r="AT555">
        <v>42.593233851893999</v>
      </c>
      <c r="AU555">
        <v>74.007207897092655</v>
      </c>
      <c r="AV555"/>
      <c r="AW555"/>
      <c r="FY555" s="211">
        <v>550</v>
      </c>
      <c r="FZ555">
        <v>29.404199638041156</v>
      </c>
      <c r="GA555">
        <v>54.390693005184872</v>
      </c>
      <c r="GB555">
        <v>69.057302635281374</v>
      </c>
      <c r="GC555">
        <v>43.212288848956717</v>
      </c>
      <c r="GD555">
        <v>23.96006631126189</v>
      </c>
      <c r="GE555">
        <v>56.861418445718051</v>
      </c>
      <c r="GF555">
        <v>74.446784293140581</v>
      </c>
      <c r="GG555">
        <v>58.871553891573491</v>
      </c>
      <c r="GH555">
        <v>41.803572305071562</v>
      </c>
      <c r="GI555">
        <v>59.42533635350749</v>
      </c>
      <c r="GJ555"/>
      <c r="GK555"/>
      <c r="GL555"/>
      <c r="GM555"/>
    </row>
    <row r="556" spans="1:195" s="7" customFormat="1">
      <c r="A556" s="4"/>
      <c r="B556" s="4"/>
      <c r="C556" s="63"/>
      <c r="D556" s="63"/>
      <c r="E556" s="63" t="s">
        <v>24</v>
      </c>
      <c r="F556" s="18"/>
      <c r="G556" s="123">
        <f>AVERAGE(G531:G553)</f>
        <v>41.755629820183984</v>
      </c>
      <c r="H556" s="63" t="s">
        <v>103</v>
      </c>
      <c r="I556" s="123">
        <f>SUM(J532:J552)+G531</f>
        <v>90.55516889282093</v>
      </c>
      <c r="J556" s="63"/>
      <c r="K556" s="19"/>
      <c r="L556" s="4"/>
      <c r="M556" s="4"/>
      <c r="N556" s="4"/>
      <c r="O556" s="4"/>
      <c r="P556" s="4"/>
      <c r="Q556" s="4"/>
      <c r="R556" s="4"/>
      <c r="S556" s="4"/>
      <c r="T556" s="4"/>
      <c r="U556" s="4"/>
      <c r="V556" s="4"/>
      <c r="W556" s="4"/>
      <c r="X556" s="4"/>
      <c r="Y556" s="4"/>
      <c r="Z556" s="4"/>
      <c r="AA556" s="4"/>
      <c r="AB556" s="4"/>
      <c r="AC556" s="4"/>
      <c r="AD556" s="4"/>
      <c r="AE556" s="4"/>
      <c r="AF556" s="81"/>
      <c r="AG556" s="81"/>
      <c r="AH556" s="81"/>
      <c r="AI556" s="4"/>
      <c r="AJ556" s="81"/>
      <c r="AK556" s="81"/>
      <c r="AL556" s="81"/>
      <c r="AM556" s="43">
        <v>540</v>
      </c>
      <c r="AN556">
        <v>269.46938439436497</v>
      </c>
      <c r="AO556">
        <v>89.127848343554604</v>
      </c>
      <c r="AP556">
        <v>695.87930896276771</v>
      </c>
      <c r="AQ556">
        <v>520.34840288343344</v>
      </c>
      <c r="AR556">
        <v>78.676409983246003</v>
      </c>
      <c r="AS556">
        <v>679.49100845326097</v>
      </c>
      <c r="AT556">
        <v>42.072613128859096</v>
      </c>
      <c r="AU556">
        <v>91.868453291656195</v>
      </c>
      <c r="AV556"/>
      <c r="AW556"/>
      <c r="FY556" s="211">
        <v>551</v>
      </c>
      <c r="FZ556">
        <v>2.6181265189302834</v>
      </c>
      <c r="GA556">
        <v>31.120713642657865</v>
      </c>
      <c r="GB556">
        <v>54.126847336039155</v>
      </c>
      <c r="GC556">
        <v>35.255297755094091</v>
      </c>
      <c r="GD556">
        <v>22.109058789267671</v>
      </c>
      <c r="GE556">
        <v>42.944901324951147</v>
      </c>
      <c r="GF556">
        <v>57.409234277388414</v>
      </c>
      <c r="GG556">
        <v>59.359970987482605</v>
      </c>
      <c r="GH556">
        <v>49.229734282077587</v>
      </c>
      <c r="GI556">
        <v>46.902579557688725</v>
      </c>
      <c r="GJ556"/>
      <c r="GK556"/>
      <c r="GL556"/>
      <c r="GM556"/>
    </row>
    <row r="557" spans="1:195" s="7" customFormat="1">
      <c r="A557" s="4"/>
      <c r="B557" s="4"/>
      <c r="C557" s="63"/>
      <c r="D557" s="63"/>
      <c r="E557" s="63"/>
      <c r="F557" s="63"/>
      <c r="G557" s="63"/>
      <c r="H557" s="8"/>
      <c r="I557" s="8"/>
      <c r="J557" s="19"/>
      <c r="K557" s="19"/>
      <c r="L557" s="4"/>
      <c r="M557" s="4"/>
      <c r="N557" s="4"/>
      <c r="O557" s="4"/>
      <c r="P557" s="4"/>
      <c r="Q557" s="4"/>
      <c r="R557" s="4"/>
      <c r="S557" s="4"/>
      <c r="T557" s="4"/>
      <c r="U557" s="4"/>
      <c r="V557" s="4"/>
      <c r="W557" s="4"/>
      <c r="X557" s="4"/>
      <c r="Y557" s="4"/>
      <c r="Z557" s="4"/>
      <c r="AA557" s="4"/>
      <c r="AB557" s="4"/>
      <c r="AC557" s="4"/>
      <c r="AD557" s="4"/>
      <c r="AE557" s="4"/>
      <c r="AF557" s="81"/>
      <c r="AG557" s="81"/>
      <c r="AH557" s="81"/>
      <c r="AI557" s="4"/>
      <c r="AJ557" s="81"/>
      <c r="AK557" s="81"/>
      <c r="AL557" s="81"/>
      <c r="AM557" s="43">
        <v>541</v>
      </c>
      <c r="AN557">
        <v>202.80024328573617</v>
      </c>
      <c r="AO557">
        <v>71.153106555395581</v>
      </c>
      <c r="AP557">
        <v>522.90356051186052</v>
      </c>
      <c r="AQ557">
        <v>390.88474599048686</v>
      </c>
      <c r="AR557">
        <v>65.11506700855864</v>
      </c>
      <c r="AS557">
        <v>539.00798749830653</v>
      </c>
      <c r="AT557">
        <v>35.940894208771731</v>
      </c>
      <c r="AU557">
        <v>33.560402343025615</v>
      </c>
      <c r="AV557"/>
      <c r="AW557"/>
      <c r="FY557" s="211">
        <v>552</v>
      </c>
      <c r="FZ557">
        <v>21.809252911690745</v>
      </c>
      <c r="GA557">
        <v>51.634710755853945</v>
      </c>
      <c r="GB557">
        <v>69.854800612438524</v>
      </c>
      <c r="GC557">
        <v>40.316299422281759</v>
      </c>
      <c r="GD557">
        <v>23.308668753289766</v>
      </c>
      <c r="GE557">
        <v>61.672365616132709</v>
      </c>
      <c r="GF557">
        <v>62.682388748252968</v>
      </c>
      <c r="GG557">
        <v>17.004296346632703</v>
      </c>
      <c r="GH557">
        <v>5.8930582092647859</v>
      </c>
      <c r="GI557">
        <v>48.862277128643299</v>
      </c>
      <c r="GJ557"/>
      <c r="GK557"/>
      <c r="GL557"/>
      <c r="GM557"/>
    </row>
    <row r="558" spans="1:195" s="7" customFormat="1">
      <c r="A558" s="4"/>
      <c r="B558" s="4"/>
      <c r="C558" s="63"/>
      <c r="D558" s="63"/>
      <c r="E558" s="63"/>
      <c r="F558" s="101"/>
      <c r="G558" s="63"/>
      <c r="H558" s="63"/>
      <c r="I558" s="119"/>
      <c r="J558" s="19"/>
      <c r="K558" s="19"/>
      <c r="L558" s="4"/>
      <c r="M558" s="4"/>
      <c r="N558" s="4"/>
      <c r="O558" s="4"/>
      <c r="P558" s="4"/>
      <c r="Q558" s="4"/>
      <c r="R558" s="4"/>
      <c r="S558" s="4"/>
      <c r="T558" s="4"/>
      <c r="U558" s="4"/>
      <c r="V558" s="4"/>
      <c r="W558" s="4"/>
      <c r="X558" s="4"/>
      <c r="Y558" s="4"/>
      <c r="Z558" s="4"/>
      <c r="AA558" s="4"/>
      <c r="AB558" s="4"/>
      <c r="AC558" s="4"/>
      <c r="AD558" s="4"/>
      <c r="AE558" s="4"/>
      <c r="AF558" s="81"/>
      <c r="AG558" s="81"/>
      <c r="AH558" s="81"/>
      <c r="AI558" s="4"/>
      <c r="AJ558" s="81"/>
      <c r="AK558" s="81"/>
      <c r="AL558" s="81"/>
      <c r="AM558" s="43">
        <v>542</v>
      </c>
      <c r="AN558">
        <v>273.93239136574277</v>
      </c>
      <c r="AO558">
        <v>101.41975745446204</v>
      </c>
      <c r="AP558">
        <v>791.37107471603929</v>
      </c>
      <c r="AQ558">
        <v>578.45547107352195</v>
      </c>
      <c r="AR558">
        <v>90.712637301361809</v>
      </c>
      <c r="AS558">
        <v>750.8293040037787</v>
      </c>
      <c r="AT558">
        <v>51.200623216746159</v>
      </c>
      <c r="AU558">
        <v>95.908163471127153</v>
      </c>
      <c r="AV558"/>
      <c r="AW558"/>
      <c r="FY558" s="211">
        <v>553</v>
      </c>
      <c r="FZ558">
        <v>12.430586045421652</v>
      </c>
      <c r="GA558">
        <v>48.714676284295678</v>
      </c>
      <c r="GB558">
        <v>91.474265667545382</v>
      </c>
      <c r="GC558">
        <v>48.818760073727155</v>
      </c>
      <c r="GD558">
        <v>17.861566449096728</v>
      </c>
      <c r="GE558">
        <v>52.361636208239574</v>
      </c>
      <c r="GF558">
        <v>70.13702155309953</v>
      </c>
      <c r="GG558">
        <v>31.99100184250829</v>
      </c>
      <c r="GH558">
        <v>18.349420357682448</v>
      </c>
      <c r="GI558">
        <v>53.326688237946669</v>
      </c>
      <c r="GJ558"/>
      <c r="GK558"/>
      <c r="GL558"/>
      <c r="GM558"/>
    </row>
    <row r="559" spans="1:195" s="7" customFormat="1">
      <c r="A559" s="4"/>
      <c r="B559" s="4"/>
      <c r="C559" s="63"/>
      <c r="D559" s="63"/>
      <c r="E559" s="63" t="s">
        <v>102</v>
      </c>
      <c r="F559" s="101">
        <f>I556/G556</f>
        <v>2.1686936416187899</v>
      </c>
      <c r="G559" s="63"/>
      <c r="H559" s="63"/>
      <c r="I559" s="101"/>
      <c r="J559" s="19"/>
      <c r="K559" s="19"/>
      <c r="L559" s="4"/>
      <c r="M559" s="4"/>
      <c r="N559" s="4"/>
      <c r="O559" s="4"/>
      <c r="P559" s="4"/>
      <c r="Q559" s="4"/>
      <c r="R559" s="4"/>
      <c r="S559" s="4"/>
      <c r="T559" s="4"/>
      <c r="U559" s="4"/>
      <c r="V559" s="4"/>
      <c r="W559" s="4"/>
      <c r="X559" s="4"/>
      <c r="Y559" s="4"/>
      <c r="Z559" s="4"/>
      <c r="AA559" s="4"/>
      <c r="AB559" s="4"/>
      <c r="AC559" s="4"/>
      <c r="AD559" s="4"/>
      <c r="AE559" s="4"/>
      <c r="AF559" s="81"/>
      <c r="AG559" s="81"/>
      <c r="AH559" s="81"/>
      <c r="AI559" s="4"/>
      <c r="AJ559" s="81"/>
      <c r="AK559" s="81"/>
      <c r="AL559" s="81"/>
      <c r="AM559" s="43">
        <v>543</v>
      </c>
      <c r="AN559">
        <v>248.55539891152748</v>
      </c>
      <c r="AO559">
        <v>78.562008434851649</v>
      </c>
      <c r="AP559">
        <v>614.53342747494275</v>
      </c>
      <c r="AQ559">
        <v>447.6046668673784</v>
      </c>
      <c r="AR559">
        <v>70.365326035337134</v>
      </c>
      <c r="AS559">
        <v>626.89567667351935</v>
      </c>
      <c r="AT559">
        <v>37.237421208596579</v>
      </c>
      <c r="AU559">
        <v>63.892839068084335</v>
      </c>
      <c r="AV559"/>
      <c r="AW559"/>
      <c r="FY559" s="211">
        <v>554</v>
      </c>
      <c r="FZ559">
        <v>12.255706279967695</v>
      </c>
      <c r="GA559">
        <v>55.644149721085959</v>
      </c>
      <c r="GB559">
        <v>70.399499876113737</v>
      </c>
      <c r="GC559">
        <v>33.511118438200711</v>
      </c>
      <c r="GD559">
        <v>26.015237999717744</v>
      </c>
      <c r="GE559">
        <v>60.617776525924313</v>
      </c>
      <c r="GF559">
        <v>87.866936687972029</v>
      </c>
      <c r="GG559">
        <v>62.879179054247672</v>
      </c>
      <c r="GH559">
        <v>15.042471189849635</v>
      </c>
      <c r="GI559">
        <v>57.363091520054404</v>
      </c>
      <c r="GJ559"/>
      <c r="GK559"/>
      <c r="GL559"/>
      <c r="GM559"/>
    </row>
    <row r="560" spans="1:195" s="7" customFormat="1">
      <c r="A560" s="4"/>
      <c r="B560" s="4"/>
      <c r="C560" s="4"/>
      <c r="D560" s="4"/>
      <c r="E560" s="4"/>
      <c r="F560" s="4"/>
      <c r="G560" s="4"/>
      <c r="H560" s="4"/>
      <c r="I560" s="4"/>
      <c r="J560" s="4"/>
      <c r="K560" s="4"/>
      <c r="L560" s="4"/>
      <c r="M560" s="4"/>
      <c r="N560" s="4"/>
      <c r="O560" s="4"/>
      <c r="P560" s="4"/>
      <c r="Q560" s="4"/>
      <c r="R560" s="4"/>
      <c r="S560" s="4"/>
      <c r="T560" s="4"/>
      <c r="U560" s="4"/>
      <c r="V560" s="4"/>
      <c r="W560" s="4"/>
      <c r="X560" s="4"/>
      <c r="Y560" s="4"/>
      <c r="Z560" s="4"/>
      <c r="AA560" s="4"/>
      <c r="AB560" s="4"/>
      <c r="AC560" s="4"/>
      <c r="AD560" s="4"/>
      <c r="AE560" s="4"/>
      <c r="AF560" s="81"/>
      <c r="AG560" s="81"/>
      <c r="AH560" s="81"/>
      <c r="AI560" s="4"/>
      <c r="AJ560" s="81"/>
      <c r="AK560" s="81"/>
      <c r="AL560" s="81"/>
      <c r="AM560" s="43">
        <v>544</v>
      </c>
      <c r="AN560">
        <v>200.31763285525977</v>
      </c>
      <c r="AO560">
        <v>65.941176985566486</v>
      </c>
      <c r="AP560">
        <v>449.49197897566592</v>
      </c>
      <c r="AQ560">
        <v>342.02731638987183</v>
      </c>
      <c r="AR560">
        <v>58.578258645139641</v>
      </c>
      <c r="AS560">
        <v>506.40306081196178</v>
      </c>
      <c r="AT560">
        <v>31.041268050593199</v>
      </c>
      <c r="AU560">
        <v>53.982567976364599</v>
      </c>
      <c r="AV560"/>
      <c r="AW560"/>
      <c r="FY560" s="211">
        <v>555</v>
      </c>
      <c r="FZ560">
        <v>16.682940809569285</v>
      </c>
      <c r="GA560">
        <v>58.985790138416164</v>
      </c>
      <c r="GB560">
        <v>56.802886563275429</v>
      </c>
      <c r="GC560">
        <v>37.529032215390998</v>
      </c>
      <c r="GD560">
        <v>20.236481798793168</v>
      </c>
      <c r="GE560">
        <v>49.553299412695083</v>
      </c>
      <c r="GF560">
        <v>93.343782635921812</v>
      </c>
      <c r="GG560">
        <v>47.037996991677609</v>
      </c>
      <c r="GH560">
        <v>20.372555729675291</v>
      </c>
      <c r="GI560">
        <v>51.610178532531215</v>
      </c>
      <c r="GJ560"/>
      <c r="GK560"/>
      <c r="GL560"/>
      <c r="GM560"/>
    </row>
    <row r="561" spans="1:195" s="7" customFormat="1">
      <c r="A561" s="4"/>
      <c r="B561" s="4"/>
      <c r="C561" s="4"/>
      <c r="D561" s="4"/>
      <c r="E561" s="4"/>
      <c r="F561" s="4"/>
      <c r="G561" s="4"/>
      <c r="H561" s="4"/>
      <c r="I561" s="4"/>
      <c r="J561" s="4"/>
      <c r="K561" s="4"/>
      <c r="L561" s="4"/>
      <c r="M561" s="4"/>
      <c r="N561" s="4"/>
      <c r="O561" s="4"/>
      <c r="P561" s="4"/>
      <c r="Q561" s="4"/>
      <c r="R561" s="4"/>
      <c r="S561" s="4"/>
      <c r="T561" s="4"/>
      <c r="U561" s="4"/>
      <c r="V561" s="4"/>
      <c r="W561" s="4"/>
      <c r="X561" s="4"/>
      <c r="Y561" s="4"/>
      <c r="Z561" s="4"/>
      <c r="AA561" s="4"/>
      <c r="AB561" s="4"/>
      <c r="AC561" s="4"/>
      <c r="AD561" s="4"/>
      <c r="AE561" s="4"/>
      <c r="AF561" s="81"/>
      <c r="AG561" s="81"/>
      <c r="AH561" s="81"/>
      <c r="AI561" s="4"/>
      <c r="AJ561" s="81"/>
      <c r="AK561" s="81"/>
      <c r="AL561" s="81"/>
      <c r="AM561" s="43">
        <v>545</v>
      </c>
      <c r="AN561">
        <v>277.59440222042838</v>
      </c>
      <c r="AO561">
        <v>93.562835519422364</v>
      </c>
      <c r="AP561">
        <v>669.95469741713771</v>
      </c>
      <c r="AQ561">
        <v>497.68470558860236</v>
      </c>
      <c r="AR561">
        <v>83.883387723061119</v>
      </c>
      <c r="AS561">
        <v>684.19372627344342</v>
      </c>
      <c r="AT561">
        <v>45.470633136899757</v>
      </c>
      <c r="AU561">
        <v>119.20711060648109</v>
      </c>
      <c r="AV561"/>
      <c r="AW561"/>
      <c r="FY561" s="211">
        <v>556</v>
      </c>
      <c r="FZ561">
        <v>4.1377212763343323</v>
      </c>
      <c r="GA561">
        <v>35.439863356666081</v>
      </c>
      <c r="GB561">
        <v>68.518176459951263</v>
      </c>
      <c r="GC561">
        <v>40.703126812138592</v>
      </c>
      <c r="GD561">
        <v>21.219335174580841</v>
      </c>
      <c r="GE561">
        <v>38.454254483580236</v>
      </c>
      <c r="GF561">
        <v>68.086164835126027</v>
      </c>
      <c r="GG561">
        <v>61.664808670569492</v>
      </c>
      <c r="GH561">
        <v>29.366749911409187</v>
      </c>
      <c r="GI561">
        <v>49.625285274112848</v>
      </c>
      <c r="GJ561"/>
      <c r="GK561"/>
      <c r="GL561"/>
      <c r="GM561"/>
    </row>
    <row r="562" spans="1:195" s="7" customFormat="1">
      <c r="A562" s="4"/>
      <c r="B562" s="4"/>
      <c r="C562" s="4"/>
      <c r="D562" s="4"/>
      <c r="E562" s="4"/>
      <c r="F562" s="4"/>
      <c r="G562" s="4"/>
      <c r="H562" s="4"/>
      <c r="I562" s="4"/>
      <c r="J562" s="4"/>
      <c r="K562" s="4"/>
      <c r="L562" s="4"/>
      <c r="M562" s="4"/>
      <c r="N562" s="4"/>
      <c r="O562" s="4"/>
      <c r="P562" s="4"/>
      <c r="Q562" s="4"/>
      <c r="R562" s="4"/>
      <c r="S562" s="4"/>
      <c r="T562" s="4"/>
      <c r="U562" s="4"/>
      <c r="V562" s="4"/>
      <c r="W562" s="4"/>
      <c r="X562" s="4"/>
      <c r="Y562" s="4"/>
      <c r="Z562" s="4"/>
      <c r="AA562" s="4"/>
      <c r="AB562" s="4"/>
      <c r="AC562" s="4"/>
      <c r="AD562" s="4"/>
      <c r="AE562" s="4"/>
      <c r="AF562" s="81"/>
      <c r="AG562" s="81"/>
      <c r="AH562" s="81"/>
      <c r="AI562" s="4"/>
      <c r="AJ562" s="81"/>
      <c r="AK562" s="81"/>
      <c r="AL562" s="81"/>
      <c r="AM562" s="43">
        <v>546</v>
      </c>
      <c r="AN562">
        <v>263.06096207509006</v>
      </c>
      <c r="AO562">
        <v>77.834887082508644</v>
      </c>
      <c r="AP562">
        <v>564.85998004309465</v>
      </c>
      <c r="AQ562">
        <v>404.60626635568025</v>
      </c>
      <c r="AR562">
        <v>69.922811621065591</v>
      </c>
      <c r="AS562">
        <v>588.72865776565959</v>
      </c>
      <c r="AT562">
        <v>38.441170086060154</v>
      </c>
      <c r="AU562">
        <v>13.701740358165157</v>
      </c>
      <c r="AV562"/>
      <c r="AW562"/>
      <c r="FY562" s="211">
        <v>557</v>
      </c>
      <c r="FZ562">
        <v>4.717822734997279</v>
      </c>
      <c r="GA562">
        <v>42.477082487745079</v>
      </c>
      <c r="GB562">
        <v>99.543294985034876</v>
      </c>
      <c r="GC562">
        <v>61.597499773342207</v>
      </c>
      <c r="GD562">
        <v>31.119244137987668</v>
      </c>
      <c r="GE562">
        <v>48.48116066188804</v>
      </c>
      <c r="GF562">
        <v>51.339421626516106</v>
      </c>
      <c r="GG562">
        <v>34.673731996274597</v>
      </c>
      <c r="GH562">
        <v>12.287761697126918</v>
      </c>
      <c r="GI562">
        <v>57.510256820233508</v>
      </c>
      <c r="GJ562"/>
      <c r="GK562"/>
      <c r="GL562"/>
      <c r="GM562"/>
    </row>
    <row r="563" spans="1:195" s="7" customFormat="1">
      <c r="A563" s="4"/>
      <c r="B563" s="4"/>
      <c r="C563" s="4"/>
      <c r="D563" s="4"/>
      <c r="E563" s="4"/>
      <c r="F563" s="4"/>
      <c r="G563" s="4"/>
      <c r="H563" s="4"/>
      <c r="I563" s="4"/>
      <c r="J563" s="4"/>
      <c r="K563" s="4"/>
      <c r="L563" s="4"/>
      <c r="M563" s="4"/>
      <c r="N563" s="4"/>
      <c r="O563" s="4"/>
      <c r="P563" s="4"/>
      <c r="Q563" s="4"/>
      <c r="R563" s="4"/>
      <c r="S563" s="4"/>
      <c r="T563" s="4"/>
      <c r="U563" s="4"/>
      <c r="V563" s="4"/>
      <c r="W563" s="4"/>
      <c r="X563" s="4"/>
      <c r="Y563" s="4"/>
      <c r="Z563" s="4"/>
      <c r="AA563" s="4"/>
      <c r="AB563" s="4"/>
      <c r="AC563" s="4"/>
      <c r="AD563" s="4"/>
      <c r="AE563" s="4"/>
      <c r="AF563" s="81"/>
      <c r="AG563" s="81"/>
      <c r="AH563" s="81"/>
      <c r="AI563" s="4"/>
      <c r="AJ563" s="81"/>
      <c r="AK563" s="81"/>
      <c r="AL563" s="81"/>
      <c r="AM563" s="43">
        <v>547</v>
      </c>
      <c r="AN563">
        <v>221.01447372631969</v>
      </c>
      <c r="AO563">
        <v>75.455121749052239</v>
      </c>
      <c r="AP563">
        <v>523.93755383780422</v>
      </c>
      <c r="AQ563">
        <v>421.18941018351546</v>
      </c>
      <c r="AR563">
        <v>67.762728340386801</v>
      </c>
      <c r="AS563">
        <v>554.75319490739207</v>
      </c>
      <c r="AT563" t="e">
        <v>#DIV/0!</v>
      </c>
      <c r="AU563" t="e">
        <v>#DIV/0!</v>
      </c>
      <c r="AV563"/>
      <c r="AW563"/>
      <c r="FY563" s="211">
        <v>558</v>
      </c>
      <c r="FZ563">
        <v>18.364443917821067</v>
      </c>
      <c r="GA563">
        <v>52.379004771212337</v>
      </c>
      <c r="GB563">
        <v>88.753323305264075</v>
      </c>
      <c r="GC563">
        <v>53.58966234090493</v>
      </c>
      <c r="GD563">
        <v>21.427611847047416</v>
      </c>
      <c r="GE563">
        <v>44.317208952264188</v>
      </c>
      <c r="GF563">
        <v>56.843287693044616</v>
      </c>
      <c r="GG563">
        <v>19.310894372816577</v>
      </c>
      <c r="GH563">
        <v>3.6987873780618776</v>
      </c>
      <c r="GI563">
        <v>50.553548051223359</v>
      </c>
      <c r="GJ563"/>
      <c r="GK563"/>
      <c r="GL563"/>
      <c r="GM563"/>
    </row>
    <row r="564" spans="1:195" s="7" customFormat="1">
      <c r="A564" s="4"/>
      <c r="B564" s="4"/>
      <c r="C564" s="4"/>
      <c r="D564" s="4"/>
      <c r="E564" s="4"/>
      <c r="F564" s="4"/>
      <c r="G564" s="4"/>
      <c r="H564" s="4"/>
      <c r="I564" s="4"/>
      <c r="J564" s="4"/>
      <c r="K564" s="4"/>
      <c r="L564" s="4"/>
      <c r="M564" s="4"/>
      <c r="N564" s="4"/>
      <c r="O564" s="4"/>
      <c r="P564" s="4"/>
      <c r="Q564" s="4"/>
      <c r="R564" s="4"/>
      <c r="S564" s="4"/>
      <c r="T564" s="4"/>
      <c r="U564" s="4"/>
      <c r="V564" s="4"/>
      <c r="W564" s="4"/>
      <c r="X564" s="4"/>
      <c r="Y564" s="4"/>
      <c r="Z564" s="4"/>
      <c r="AA564" s="4"/>
      <c r="AB564" s="4"/>
      <c r="AC564" s="4"/>
      <c r="AD564" s="4"/>
      <c r="AE564" s="4"/>
      <c r="AF564" s="81"/>
      <c r="AG564" s="81"/>
      <c r="AH564" s="81"/>
      <c r="AI564" s="4"/>
      <c r="AJ564" s="81"/>
      <c r="AK564" s="81"/>
      <c r="AL564" s="81"/>
      <c r="AM564" s="43">
        <v>548</v>
      </c>
      <c r="AN564">
        <v>226.80042240114122</v>
      </c>
      <c r="AO564">
        <v>82.667745062488422</v>
      </c>
      <c r="AP564">
        <v>560.91261815050859</v>
      </c>
      <c r="AQ564">
        <v>430.26196012811096</v>
      </c>
      <c r="AR564">
        <v>75.161593553784556</v>
      </c>
      <c r="AS564">
        <v>623.22138045042391</v>
      </c>
      <c r="AT564">
        <v>40.76758422762277</v>
      </c>
      <c r="AU564">
        <v>56.70852822628639</v>
      </c>
      <c r="AV564"/>
      <c r="AW564"/>
      <c r="FY564" s="211">
        <v>559</v>
      </c>
      <c r="FZ564">
        <v>5.5734855487188284</v>
      </c>
      <c r="GA564">
        <v>32.421860272314724</v>
      </c>
      <c r="GB564">
        <v>75.319934123824538</v>
      </c>
      <c r="GC564">
        <v>47.532304753293658</v>
      </c>
      <c r="GD564">
        <v>26.459645644370099</v>
      </c>
      <c r="GE564">
        <v>80.418066936169453</v>
      </c>
      <c r="GF564">
        <v>114.25561796028508</v>
      </c>
      <c r="GG564">
        <v>45.455423933956098</v>
      </c>
      <c r="GH564">
        <v>19.589449931022159</v>
      </c>
      <c r="GI564">
        <v>63.464880382517542</v>
      </c>
      <c r="GJ564"/>
      <c r="GK564"/>
      <c r="GL564"/>
      <c r="GM564"/>
    </row>
    <row r="565" spans="1:195" s="7" customFormat="1">
      <c r="A565" s="4"/>
      <c r="B565" s="4"/>
      <c r="C565" s="4"/>
      <c r="D565" s="4"/>
      <c r="E565" s="4"/>
      <c r="F565" s="4"/>
      <c r="G565" s="4"/>
      <c r="H565" s="4"/>
      <c r="I565" s="4"/>
      <c r="J565" s="4"/>
      <c r="K565" s="4"/>
      <c r="L565" s="4"/>
      <c r="M565" s="4"/>
      <c r="N565" s="4"/>
      <c r="O565" s="4"/>
      <c r="P565" s="4"/>
      <c r="Q565" s="4"/>
      <c r="R565" s="4"/>
      <c r="S565" s="4"/>
      <c r="T565" s="4"/>
      <c r="U565" s="4"/>
      <c r="V565" s="4"/>
      <c r="W565" s="4"/>
      <c r="X565" s="4"/>
      <c r="Y565" s="4"/>
      <c r="Z565" s="4"/>
      <c r="AA565" s="4"/>
      <c r="AB565" s="4"/>
      <c r="AC565" s="4"/>
      <c r="AD565" s="4"/>
      <c r="AE565" s="4"/>
      <c r="AF565" s="81"/>
      <c r="AG565" s="81"/>
      <c r="AH565" s="81"/>
      <c r="AI565" s="4"/>
      <c r="AJ565" s="81"/>
      <c r="AK565" s="81"/>
      <c r="AL565" s="81"/>
      <c r="AM565" s="43">
        <v>549</v>
      </c>
      <c r="AN565">
        <v>296.09836144605578</v>
      </c>
      <c r="AO565">
        <v>101.02083011613269</v>
      </c>
      <c r="AP565">
        <v>783.57612659948165</v>
      </c>
      <c r="AQ565">
        <v>558.47635076468168</v>
      </c>
      <c r="AR565">
        <v>89.391472588952212</v>
      </c>
      <c r="AS565">
        <v>736.27699252561342</v>
      </c>
      <c r="AT565">
        <v>46.265635504288234</v>
      </c>
      <c r="AU565">
        <v>47.921424164005593</v>
      </c>
      <c r="AV565"/>
      <c r="AW565"/>
      <c r="FY565" s="211">
        <v>560</v>
      </c>
      <c r="FZ565">
        <v>21.795170639450436</v>
      </c>
      <c r="GA565">
        <v>43.831019293900752</v>
      </c>
      <c r="GB565">
        <v>73.42681934465071</v>
      </c>
      <c r="GC565">
        <v>50.867182315438384</v>
      </c>
      <c r="GD565">
        <v>27.705981442885626</v>
      </c>
      <c r="GE565">
        <v>68.871898310014913</v>
      </c>
      <c r="GF565">
        <v>103.70322432938731</v>
      </c>
      <c r="GG565">
        <v>49.140459781384578</v>
      </c>
      <c r="GH565">
        <v>16.449433836296222</v>
      </c>
      <c r="GI565">
        <v>63.475648344490864</v>
      </c>
      <c r="GJ565"/>
      <c r="GK565"/>
      <c r="GL565"/>
      <c r="GM565"/>
    </row>
    <row r="566" spans="1:195" s="7" customFormat="1">
      <c r="A566" s="4"/>
      <c r="B566" s="4"/>
      <c r="C566" s="4"/>
      <c r="D566" s="4"/>
      <c r="E566" s="4"/>
      <c r="F566" s="4"/>
      <c r="G566" s="4"/>
      <c r="H566" s="4"/>
      <c r="I566" s="4"/>
      <c r="J566" s="4"/>
      <c r="K566" s="4"/>
      <c r="L566" s="4"/>
      <c r="M566" s="4"/>
      <c r="N566" s="4"/>
      <c r="O566" s="4"/>
      <c r="P566" s="4"/>
      <c r="Q566" s="4"/>
      <c r="R566" s="4"/>
      <c r="S566" s="4"/>
      <c r="T566" s="4"/>
      <c r="U566" s="4"/>
      <c r="V566" s="4"/>
      <c r="W566" s="4"/>
      <c r="X566" s="4"/>
      <c r="Y566" s="4"/>
      <c r="Z566" s="4"/>
      <c r="AA566" s="4"/>
      <c r="AB566" s="4"/>
      <c r="AC566" s="4"/>
      <c r="AD566" s="4"/>
      <c r="AE566" s="4"/>
      <c r="AF566" s="81"/>
      <c r="AG566" s="81"/>
      <c r="AH566" s="81"/>
      <c r="AI566" s="4"/>
      <c r="AJ566" s="81"/>
      <c r="AK566" s="81"/>
      <c r="AL566" s="81"/>
      <c r="AM566" s="43">
        <v>550</v>
      </c>
      <c r="AN566">
        <v>247.4992783174219</v>
      </c>
      <c r="AO566">
        <v>95.125709566338486</v>
      </c>
      <c r="AP566">
        <v>680.87428862661136</v>
      </c>
      <c r="AQ566">
        <v>511.43321572773721</v>
      </c>
      <c r="AR566">
        <v>85.493167672751412</v>
      </c>
      <c r="AS566">
        <v>649.51415808761055</v>
      </c>
      <c r="AT566">
        <v>45.90647877729122</v>
      </c>
      <c r="AU566">
        <v>71.397890149856323</v>
      </c>
      <c r="AV566"/>
      <c r="AW566"/>
      <c r="FY566" s="211">
        <v>561</v>
      </c>
      <c r="FZ566">
        <v>23.080706446544433</v>
      </c>
      <c r="GA566">
        <v>59.243587939748323</v>
      </c>
      <c r="GB566">
        <v>86.491415078486568</v>
      </c>
      <c r="GC566">
        <v>49.895030544444751</v>
      </c>
      <c r="GD566">
        <v>19.750967616297704</v>
      </c>
      <c r="GE566">
        <v>29.897346879920665</v>
      </c>
      <c r="GF566">
        <v>43.826947309518587</v>
      </c>
      <c r="GG566">
        <v>52.221636663211683</v>
      </c>
      <c r="GH566">
        <v>36.440110968747618</v>
      </c>
      <c r="GI566">
        <v>52.29168289471933</v>
      </c>
      <c r="GJ566"/>
      <c r="GK566"/>
      <c r="GL566"/>
      <c r="GM566"/>
    </row>
    <row r="567" spans="1:195" s="7" customFormat="1">
      <c r="A567" s="4"/>
      <c r="B567" s="4"/>
      <c r="C567" s="4"/>
      <c r="D567" s="4"/>
      <c r="E567" s="4"/>
      <c r="F567" s="4"/>
      <c r="G567" s="4"/>
      <c r="H567" s="4"/>
      <c r="I567" s="4"/>
      <c r="J567" s="4"/>
      <c r="K567" s="4"/>
      <c r="L567" s="4"/>
      <c r="M567" s="4"/>
      <c r="N567" s="4"/>
      <c r="O567" s="4"/>
      <c r="P567" s="4"/>
      <c r="Q567" s="4"/>
      <c r="R567" s="4"/>
      <c r="S567" s="4"/>
      <c r="T567" s="4"/>
      <c r="U567" s="4"/>
      <c r="V567" s="4"/>
      <c r="W567" s="4"/>
      <c r="X567" s="4"/>
      <c r="Y567" s="4"/>
      <c r="Z567" s="4"/>
      <c r="AA567" s="4"/>
      <c r="AB567" s="4"/>
      <c r="AC567" s="4"/>
      <c r="AD567" s="4"/>
      <c r="AE567" s="4"/>
      <c r="AF567" s="81"/>
      <c r="AG567" s="81"/>
      <c r="AH567" s="81"/>
      <c r="AI567" s="4"/>
      <c r="AJ567" s="81"/>
      <c r="AK567" s="81"/>
      <c r="AL567" s="81"/>
      <c r="AM567" s="43">
        <v>551</v>
      </c>
      <c r="AN567">
        <v>239.23926463345691</v>
      </c>
      <c r="AO567">
        <v>72.954894200177165</v>
      </c>
      <c r="AP567">
        <v>506.98930214035977</v>
      </c>
      <c r="AQ567">
        <v>401.07646447157754</v>
      </c>
      <c r="AR567">
        <v>66.030786116128823</v>
      </c>
      <c r="AS567">
        <v>562.64704821166265</v>
      </c>
      <c r="AT567">
        <v>38.471367672990581</v>
      </c>
      <c r="AU567">
        <v>87.632730040244581</v>
      </c>
      <c r="AV567"/>
      <c r="AW567"/>
      <c r="FY567" s="211">
        <v>562</v>
      </c>
      <c r="FZ567">
        <v>24.490452749448394</v>
      </c>
      <c r="GA567">
        <v>56.997834071138186</v>
      </c>
      <c r="GB567">
        <v>51.933382109177714</v>
      </c>
      <c r="GC567">
        <v>27.142821919549277</v>
      </c>
      <c r="GD567">
        <v>15.919296776953223</v>
      </c>
      <c r="GE567">
        <v>51.052488966424683</v>
      </c>
      <c r="GF567">
        <v>88.035298496952734</v>
      </c>
      <c r="GG567">
        <v>46.264116814780699</v>
      </c>
      <c r="GH567">
        <v>15.321430159365674</v>
      </c>
      <c r="GI567">
        <v>47.267580529021984</v>
      </c>
      <c r="GJ567"/>
      <c r="GK567"/>
      <c r="GL567"/>
      <c r="GM567"/>
    </row>
    <row r="568" spans="1:195" s="7" customFormat="1">
      <c r="A568" s="4"/>
      <c r="B568" s="4"/>
      <c r="C568" s="4"/>
      <c r="D568" s="4"/>
      <c r="E568" s="4"/>
      <c r="F568" s="4"/>
      <c r="G568" s="4"/>
      <c r="H568" s="4"/>
      <c r="I568" s="4"/>
      <c r="J568" s="4"/>
      <c r="K568" s="4"/>
      <c r="L568" s="4"/>
      <c r="M568" s="4"/>
      <c r="N568" s="4"/>
      <c r="O568" s="4"/>
      <c r="P568" s="4"/>
      <c r="Q568" s="4"/>
      <c r="R568" s="4"/>
      <c r="S568" s="4"/>
      <c r="T568" s="4"/>
      <c r="U568" s="4"/>
      <c r="V568" s="4"/>
      <c r="W568" s="4"/>
      <c r="X568" s="4"/>
      <c r="Y568" s="4"/>
      <c r="Z568" s="4"/>
      <c r="AA568" s="4"/>
      <c r="AB568" s="4"/>
      <c r="AC568" s="4"/>
      <c r="AD568" s="4"/>
      <c r="AE568" s="4"/>
      <c r="AF568" s="81"/>
      <c r="AG568" s="81"/>
      <c r="AH568" s="81"/>
      <c r="AI568" s="4"/>
      <c r="AJ568" s="81"/>
      <c r="AK568" s="81"/>
      <c r="AL568" s="81"/>
      <c r="AM568" s="43">
        <v>552</v>
      </c>
      <c r="AN568">
        <v>280.11706734846354</v>
      </c>
      <c r="AO568">
        <v>76.318353536375284</v>
      </c>
      <c r="AP568">
        <v>501.19384867770071</v>
      </c>
      <c r="AQ568">
        <v>403.03811850448125</v>
      </c>
      <c r="AR568">
        <v>68.002738473901644</v>
      </c>
      <c r="AS568">
        <v>621.1549318150843</v>
      </c>
      <c r="AT568">
        <v>35.89353120247177</v>
      </c>
      <c r="AU568">
        <v>85.56102546865867</v>
      </c>
      <c r="AV568"/>
      <c r="AW568"/>
      <c r="FY568" s="211">
        <v>563</v>
      </c>
      <c r="FZ568">
        <v>25.885766889194301</v>
      </c>
      <c r="GA568">
        <v>62.338198762958463</v>
      </c>
      <c r="GB568">
        <v>66.101663797032032</v>
      </c>
      <c r="GC568">
        <v>39.647077891536</v>
      </c>
      <c r="GD568">
        <v>16.758259899083484</v>
      </c>
      <c r="GE568">
        <v>30.68667211511573</v>
      </c>
      <c r="GF568">
        <v>49.909008025486074</v>
      </c>
      <c r="GG568">
        <v>21.351050107512762</v>
      </c>
      <c r="GH568">
        <v>2.6791255099613056</v>
      </c>
      <c r="GI568">
        <v>41.393548208048976</v>
      </c>
      <c r="GJ568"/>
      <c r="GK568"/>
      <c r="GL568"/>
      <c r="GM568"/>
    </row>
    <row r="569" spans="1:195" s="7" customFormat="1">
      <c r="A569" s="4"/>
      <c r="B569" s="4"/>
      <c r="C569" s="4"/>
      <c r="D569" s="4"/>
      <c r="E569" s="4"/>
      <c r="F569" s="4"/>
      <c r="G569" s="4"/>
      <c r="H569" s="4"/>
      <c r="I569" s="4"/>
      <c r="J569" s="4"/>
      <c r="K569" s="4"/>
      <c r="L569" s="4"/>
      <c r="M569" s="4"/>
      <c r="N569" s="4"/>
      <c r="O569" s="4"/>
      <c r="P569" s="4"/>
      <c r="Q569" s="4"/>
      <c r="R569" s="4"/>
      <c r="S569" s="4"/>
      <c r="T569" s="4"/>
      <c r="U569" s="4"/>
      <c r="V569" s="4"/>
      <c r="W569" s="4"/>
      <c r="X569" s="4"/>
      <c r="Y569" s="4"/>
      <c r="Z569" s="4"/>
      <c r="AA569" s="4"/>
      <c r="AB569" s="4"/>
      <c r="AC569" s="4"/>
      <c r="AD569" s="4"/>
      <c r="AE569" s="4"/>
      <c r="AF569" s="81"/>
      <c r="AG569" s="81"/>
      <c r="AH569" s="81"/>
      <c r="AI569" s="4"/>
      <c r="AJ569" s="81"/>
      <c r="AK569" s="81"/>
      <c r="AL569" s="81"/>
      <c r="AM569" s="43">
        <v>553</v>
      </c>
      <c r="AN569">
        <v>253.17333137485903</v>
      </c>
      <c r="AO569">
        <v>83.772192323841395</v>
      </c>
      <c r="AP569">
        <v>589.67099691805277</v>
      </c>
      <c r="AQ569">
        <v>445.4656227195631</v>
      </c>
      <c r="AR569">
        <v>74.678276177954643</v>
      </c>
      <c r="AS569">
        <v>629.73533722905381</v>
      </c>
      <c r="AT569">
        <v>40.208016557328797</v>
      </c>
      <c r="AU569">
        <v>99.373602661137426</v>
      </c>
      <c r="AV569"/>
      <c r="AW569"/>
      <c r="FY569" s="211">
        <v>564</v>
      </c>
      <c r="FZ569">
        <v>2.8913758402332057</v>
      </c>
      <c r="GA569">
        <v>48.48649686918877</v>
      </c>
      <c r="GB569">
        <v>103.63603008170413</v>
      </c>
      <c r="GC569">
        <v>50.959366350532086</v>
      </c>
      <c r="GD569">
        <v>11.069048479555608</v>
      </c>
      <c r="GE569">
        <v>27.453617337484925</v>
      </c>
      <c r="GF569">
        <v>72.247216568810074</v>
      </c>
      <c r="GG569">
        <v>68.003087950253388</v>
      </c>
      <c r="GH569">
        <v>37.750208517352661</v>
      </c>
      <c r="GI569">
        <v>54.360580626574972</v>
      </c>
      <c r="GJ569"/>
      <c r="GK569"/>
      <c r="GL569"/>
      <c r="GM569"/>
    </row>
    <row r="570" spans="1:195" s="7" customFormat="1">
      <c r="A570" s="4"/>
      <c r="B570" s="4"/>
      <c r="C570" s="4"/>
      <c r="D570" s="4"/>
      <c r="E570" s="4"/>
      <c r="F570" s="4"/>
      <c r="G570" s="4"/>
      <c r="H570" s="4"/>
      <c r="I570" s="4"/>
      <c r="J570" s="4"/>
      <c r="K570" s="4"/>
      <c r="L570" s="4"/>
      <c r="M570" s="4"/>
      <c r="N570" s="4"/>
      <c r="O570" s="4"/>
      <c r="P570" s="4"/>
      <c r="Q570" s="4"/>
      <c r="R570" s="4"/>
      <c r="S570" s="4"/>
      <c r="T570" s="4"/>
      <c r="U570" s="4"/>
      <c r="V570" s="4"/>
      <c r="W570" s="4"/>
      <c r="X570" s="4"/>
      <c r="Y570" s="4"/>
      <c r="Z570" s="4"/>
      <c r="AA570" s="4"/>
      <c r="AB570" s="4"/>
      <c r="AC570" s="4"/>
      <c r="AD570" s="4"/>
      <c r="AE570" s="4"/>
      <c r="AF570" s="81"/>
      <c r="AG570" s="81"/>
      <c r="AH570" s="81"/>
      <c r="AI570" s="4"/>
      <c r="AJ570" s="81"/>
      <c r="AK570" s="81"/>
      <c r="AL570" s="81"/>
      <c r="AM570" s="43">
        <v>554</v>
      </c>
      <c r="AN570">
        <v>241.54708831989484</v>
      </c>
      <c r="AO570">
        <v>92.069746020400046</v>
      </c>
      <c r="AP570">
        <v>654.8644605870079</v>
      </c>
      <c r="AQ570">
        <v>481.5951672931339</v>
      </c>
      <c r="AR570">
        <v>83.368944921107783</v>
      </c>
      <c r="AS570">
        <v>654.32337147654755</v>
      </c>
      <c r="AT570">
        <v>47.333933919845514</v>
      </c>
      <c r="AU570">
        <v>29.503140989618672</v>
      </c>
      <c r="AV570"/>
      <c r="AW570"/>
      <c r="FY570" s="211">
        <v>565</v>
      </c>
      <c r="FZ570">
        <v>22.274497265208023</v>
      </c>
      <c r="GA570">
        <v>67.543303532145288</v>
      </c>
      <c r="GB570">
        <v>77.690613580447106</v>
      </c>
      <c r="GC570">
        <v>44.565999053896427</v>
      </c>
      <c r="GD570">
        <v>15.912430615869539</v>
      </c>
      <c r="GE570">
        <v>26.671578494727392</v>
      </c>
      <c r="GF570">
        <v>40.743744771648331</v>
      </c>
      <c r="GG570">
        <v>33.785621678704167</v>
      </c>
      <c r="GH570">
        <v>30.040068782230332</v>
      </c>
      <c r="GI570">
        <v>46.013009648027712</v>
      </c>
      <c r="GJ570"/>
      <c r="GK570"/>
      <c r="GL570"/>
      <c r="GM570"/>
    </row>
    <row r="571" spans="1:195" s="7" customFormat="1">
      <c r="A571" s="4"/>
      <c r="B571" s="4"/>
      <c r="C571" s="4"/>
      <c r="D571" s="4"/>
      <c r="E571" s="4"/>
      <c r="F571" s="4"/>
      <c r="G571" s="4"/>
      <c r="H571" s="4"/>
      <c r="I571" s="4"/>
      <c r="J571" s="4"/>
      <c r="K571" s="4"/>
      <c r="L571" s="4"/>
      <c r="M571" s="4"/>
      <c r="N571" s="4"/>
      <c r="O571" s="4"/>
      <c r="P571" s="4"/>
      <c r="Q571" s="4"/>
      <c r="R571" s="4"/>
      <c r="S571" s="4"/>
      <c r="T571" s="4"/>
      <c r="U571" s="4"/>
      <c r="V571" s="4"/>
      <c r="W571" s="4"/>
      <c r="X571" s="4"/>
      <c r="Y571" s="4"/>
      <c r="Z571" s="4"/>
      <c r="AA571" s="4"/>
      <c r="AB571" s="4"/>
      <c r="AC571" s="4"/>
      <c r="AD571" s="4"/>
      <c r="AE571" s="4"/>
      <c r="AF571" s="81"/>
      <c r="AG571" s="81"/>
      <c r="AH571" s="81"/>
      <c r="AI571" s="4"/>
      <c r="AJ571" s="81"/>
      <c r="AK571" s="81"/>
      <c r="AL571" s="81"/>
      <c r="AM571" s="43">
        <v>555</v>
      </c>
      <c r="AN571">
        <v>263.47555180448455</v>
      </c>
      <c r="AO571">
        <v>81.912537114700257</v>
      </c>
      <c r="AP571">
        <v>601.25768751672797</v>
      </c>
      <c r="AQ571">
        <v>452.15494482794611</v>
      </c>
      <c r="AR571">
        <v>72.464525260591429</v>
      </c>
      <c r="AS571">
        <v>619.63567421872051</v>
      </c>
      <c r="AT571">
        <v>38.814848569266402</v>
      </c>
      <c r="AU571">
        <v>99.896880452341406</v>
      </c>
      <c r="AV571"/>
      <c r="AW571"/>
      <c r="FY571" s="211">
        <v>566</v>
      </c>
      <c r="FZ571">
        <v>25.236970661053334</v>
      </c>
      <c r="GA571">
        <v>60.267659729093609</v>
      </c>
      <c r="GB571">
        <v>70.175193453622711</v>
      </c>
      <c r="GC571">
        <v>43.829561231069341</v>
      </c>
      <c r="GD571">
        <v>22.451990546784153</v>
      </c>
      <c r="GE571">
        <v>31.692432025884003</v>
      </c>
      <c r="GF571">
        <v>75.183395037757776</v>
      </c>
      <c r="GG571">
        <v>80.258467324488592</v>
      </c>
      <c r="GH571">
        <v>34.320167846874938</v>
      </c>
      <c r="GI571">
        <v>56.485946096097756</v>
      </c>
      <c r="GJ571"/>
      <c r="GK571"/>
      <c r="GL571"/>
      <c r="GM571"/>
    </row>
    <row r="572" spans="1:195" s="7" customFormat="1">
      <c r="A572" s="4"/>
      <c r="B572" s="4"/>
      <c r="C572" s="4"/>
      <c r="D572" s="4"/>
      <c r="E572" s="4"/>
      <c r="F572" s="4"/>
      <c r="G572" s="4"/>
      <c r="H572" s="4"/>
      <c r="I572" s="4"/>
      <c r="J572" s="4"/>
      <c r="K572" s="4"/>
      <c r="L572" s="4"/>
      <c r="M572" s="4"/>
      <c r="N572" s="4"/>
      <c r="O572" s="4"/>
      <c r="P572" s="4"/>
      <c r="Q572" s="4"/>
      <c r="R572" s="4"/>
      <c r="S572" s="4"/>
      <c r="T572" s="4"/>
      <c r="U572" s="4"/>
      <c r="V572" s="4"/>
      <c r="W572" s="4"/>
      <c r="X572" s="4"/>
      <c r="Y572" s="4"/>
      <c r="Z572" s="4"/>
      <c r="AA572" s="4"/>
      <c r="AB572" s="4"/>
      <c r="AC572" s="4"/>
      <c r="AD572" s="4"/>
      <c r="AE572" s="4"/>
      <c r="AF572" s="81"/>
      <c r="AG572" s="81"/>
      <c r="AH572" s="81"/>
      <c r="AI572" s="4"/>
      <c r="AJ572" s="81"/>
      <c r="AK572" s="81"/>
      <c r="AL572" s="81"/>
      <c r="AM572" s="43">
        <v>556</v>
      </c>
      <c r="AN572">
        <v>258.96384392922653</v>
      </c>
      <c r="AO572">
        <v>78.016326115260142</v>
      </c>
      <c r="AP572">
        <v>552.48137354992707</v>
      </c>
      <c r="AQ572">
        <v>417.21548625446889</v>
      </c>
      <c r="AR572">
        <v>71.140047498775417</v>
      </c>
      <c r="AS572">
        <v>615.77954009754842</v>
      </c>
      <c r="AT572">
        <v>37.087063897484533</v>
      </c>
      <c r="AU572">
        <v>55.35658100123532</v>
      </c>
      <c r="AV572"/>
      <c r="AW572"/>
      <c r="FY572" s="211">
        <v>567</v>
      </c>
      <c r="FZ572">
        <v>19.508059825584894</v>
      </c>
      <c r="GA572">
        <v>55.617142819400669</v>
      </c>
      <c r="GB572">
        <v>78.081097427890612</v>
      </c>
      <c r="GC572">
        <v>42.45410642050372</v>
      </c>
      <c r="GD572">
        <v>18.499827252081214</v>
      </c>
      <c r="GE572">
        <v>39.428721632596826</v>
      </c>
      <c r="GF572">
        <v>62.10216163404565</v>
      </c>
      <c r="GG572">
        <v>46.342808292883085</v>
      </c>
      <c r="GH572">
        <v>19.822033457836461</v>
      </c>
      <c r="GI572">
        <v>49.732751390742798</v>
      </c>
      <c r="GJ572"/>
      <c r="GK572"/>
      <c r="GL572"/>
      <c r="GM572"/>
    </row>
    <row r="573" spans="1:195" s="7" customFormat="1">
      <c r="A573" s="4"/>
      <c r="B573" s="4"/>
      <c r="C573" s="4"/>
      <c r="D573" s="4"/>
      <c r="E573" s="4"/>
      <c r="F573" s="4"/>
      <c r="G573" s="4"/>
      <c r="H573" s="4"/>
      <c r="I573" s="4"/>
      <c r="J573" s="4"/>
      <c r="K573" s="4"/>
      <c r="L573" s="4"/>
      <c r="M573" s="4"/>
      <c r="N573" s="4"/>
      <c r="O573" s="4"/>
      <c r="P573" s="4"/>
      <c r="Q573" s="4"/>
      <c r="R573" s="4"/>
      <c r="S573" s="4"/>
      <c r="T573" s="4"/>
      <c r="U573" s="4"/>
      <c r="V573" s="4"/>
      <c r="W573" s="4"/>
      <c r="X573" s="4"/>
      <c r="Y573" s="4"/>
      <c r="Z573" s="4"/>
      <c r="AA573" s="4"/>
      <c r="AB573" s="4"/>
      <c r="AC573" s="4"/>
      <c r="AD573" s="4"/>
      <c r="AE573" s="4"/>
      <c r="AF573" s="81"/>
      <c r="AG573" s="81"/>
      <c r="AH573" s="81"/>
      <c r="AI573" s="4"/>
      <c r="AJ573" s="81"/>
      <c r="AK573" s="81"/>
      <c r="AL573" s="81"/>
      <c r="AM573" s="43">
        <v>557</v>
      </c>
      <c r="AN573">
        <v>298.00384976033899</v>
      </c>
      <c r="AO573">
        <v>89.631837328878461</v>
      </c>
      <c r="AP573">
        <v>559.7226864724405</v>
      </c>
      <c r="AQ573">
        <v>443.74727692114629</v>
      </c>
      <c r="AR573">
        <v>81.687768782407957</v>
      </c>
      <c r="AS573">
        <v>717.45575729715176</v>
      </c>
      <c r="AT573" t="e">
        <v>#DIV/0!</v>
      </c>
      <c r="AU573" t="e">
        <v>#DIV/0!</v>
      </c>
      <c r="AV573"/>
      <c r="AW573"/>
      <c r="FY573" s="211">
        <v>568</v>
      </c>
      <c r="FZ573">
        <v>26.111713712953161</v>
      </c>
      <c r="GA573">
        <v>65.616738644838392</v>
      </c>
      <c r="GB573">
        <v>90.061560531842034</v>
      </c>
      <c r="GC573">
        <v>53.468296801947382</v>
      </c>
      <c r="GD573">
        <v>22.771546080599499</v>
      </c>
      <c r="GE573">
        <v>68.204976117941243</v>
      </c>
      <c r="GF573">
        <v>104.79817746840257</v>
      </c>
      <c r="GG573">
        <v>44.120411654029553</v>
      </c>
      <c r="GH573">
        <v>19.836999005993157</v>
      </c>
      <c r="GI573">
        <v>65.056416090080674</v>
      </c>
      <c r="GJ573"/>
      <c r="GK573"/>
      <c r="GL573"/>
      <c r="GM573"/>
    </row>
    <row r="574" spans="1:195" s="7" customFormat="1">
      <c r="A574" s="4"/>
      <c r="B574" s="4"/>
      <c r="C574" s="4"/>
      <c r="D574" s="4"/>
      <c r="E574" s="4"/>
      <c r="F574" s="4"/>
      <c r="G574" s="4"/>
      <c r="H574" s="4"/>
      <c r="I574" s="4"/>
      <c r="J574" s="4"/>
      <c r="K574" s="4"/>
      <c r="L574" s="4"/>
      <c r="M574" s="4"/>
      <c r="N574" s="4"/>
      <c r="O574" s="4"/>
      <c r="P574" s="4"/>
      <c r="Q574" s="4"/>
      <c r="R574" s="4"/>
      <c r="S574" s="4"/>
      <c r="T574" s="4"/>
      <c r="U574" s="4"/>
      <c r="V574" s="4"/>
      <c r="W574" s="4"/>
      <c r="X574" s="4"/>
      <c r="Y574" s="4"/>
      <c r="Z574" s="4"/>
      <c r="AA574" s="4"/>
      <c r="AB574" s="4"/>
      <c r="AC574" s="4"/>
      <c r="AD574" s="4"/>
      <c r="AE574" s="4"/>
      <c r="AF574" s="81"/>
      <c r="AG574" s="81"/>
      <c r="AH574" s="81"/>
      <c r="AI574" s="4"/>
      <c r="AJ574" s="81"/>
      <c r="AK574" s="81"/>
      <c r="AL574" s="81"/>
      <c r="AM574" s="43">
        <v>558</v>
      </c>
      <c r="AN574">
        <v>242.43842495990583</v>
      </c>
      <c r="AO574">
        <v>78.829399284057303</v>
      </c>
      <c r="AP574">
        <v>530.00625719522452</v>
      </c>
      <c r="AQ574">
        <v>409.23777262966041</v>
      </c>
      <c r="AR574">
        <v>70.995155648768176</v>
      </c>
      <c r="AS574">
        <v>645.00619604960332</v>
      </c>
      <c r="AT574">
        <v>38.857165735753135</v>
      </c>
      <c r="AU574">
        <v>58.08275319562091</v>
      </c>
      <c r="AV574"/>
      <c r="AW574"/>
      <c r="FY574" s="211">
        <v>569</v>
      </c>
      <c r="FZ574">
        <v>24.802136902699488</v>
      </c>
      <c r="GA574">
        <v>51.507345492045147</v>
      </c>
      <c r="GB574">
        <v>69.099259949345949</v>
      </c>
      <c r="GC574">
        <v>43.863330409812612</v>
      </c>
      <c r="GD574">
        <v>15.45782776325974</v>
      </c>
      <c r="GE574">
        <v>28.670396761266417</v>
      </c>
      <c r="GF574">
        <v>101.17644714978617</v>
      </c>
      <c r="GG574">
        <v>105.08430086962484</v>
      </c>
      <c r="GH574">
        <v>53.060009020608931</v>
      </c>
      <c r="GI574">
        <v>59.984303252087855</v>
      </c>
      <c r="GJ574"/>
      <c r="GK574"/>
      <c r="GL574"/>
      <c r="GM574"/>
    </row>
    <row r="575" spans="1:195" s="7" customFormat="1">
      <c r="A575" s="4"/>
      <c r="B575" s="4"/>
      <c r="C575" s="4"/>
      <c r="D575" s="4"/>
      <c r="E575" s="4"/>
      <c r="F575" s="4"/>
      <c r="G575" s="4"/>
      <c r="H575" s="4"/>
      <c r="I575" s="4"/>
      <c r="J575" s="4"/>
      <c r="K575" s="4"/>
      <c r="L575" s="4"/>
      <c r="M575" s="4"/>
      <c r="N575" s="4"/>
      <c r="O575" s="4"/>
      <c r="P575" s="4"/>
      <c r="Q575" s="4"/>
      <c r="R575" s="4"/>
      <c r="S575" s="4"/>
      <c r="T575" s="4"/>
      <c r="U575" s="4"/>
      <c r="V575" s="4"/>
      <c r="W575" s="4"/>
      <c r="X575" s="4"/>
      <c r="Y575" s="4"/>
      <c r="Z575" s="4"/>
      <c r="AA575" s="4"/>
      <c r="AB575" s="4"/>
      <c r="AC575" s="4"/>
      <c r="AD575" s="4"/>
      <c r="AE575" s="4"/>
      <c r="AF575" s="81"/>
      <c r="AG575" s="81"/>
      <c r="AH575" s="81"/>
      <c r="AI575" s="4"/>
      <c r="AJ575" s="81"/>
      <c r="AK575" s="81"/>
      <c r="AL575" s="81"/>
      <c r="AM575" s="43">
        <v>559</v>
      </c>
      <c r="AN575">
        <v>283.71900548574848</v>
      </c>
      <c r="AO575">
        <v>100.7814582945347</v>
      </c>
      <c r="AP575">
        <v>676.70037209437453</v>
      </c>
      <c r="AQ575">
        <v>510.49066948647214</v>
      </c>
      <c r="AR575">
        <v>88.619793423383442</v>
      </c>
      <c r="AS575">
        <v>715.91570112188651</v>
      </c>
      <c r="AT575">
        <v>48.477416429608688</v>
      </c>
      <c r="AU575">
        <v>105.54970599334642</v>
      </c>
      <c r="AV575"/>
      <c r="AW575"/>
      <c r="FY575" s="211">
        <v>570</v>
      </c>
      <c r="FZ575">
        <v>26.54836555844761</v>
      </c>
      <c r="GA575">
        <v>79.464134133150253</v>
      </c>
      <c r="GB575">
        <v>78.184281908521086</v>
      </c>
      <c r="GC575">
        <v>44.387502745227209</v>
      </c>
      <c r="GD575">
        <v>32.372279035203029</v>
      </c>
      <c r="GE575">
        <v>53.106302772973677</v>
      </c>
      <c r="GF575">
        <v>50.467313761878017</v>
      </c>
      <c r="GG575">
        <v>45.650245620181821</v>
      </c>
      <c r="GH575">
        <v>23.251137301543345</v>
      </c>
      <c r="GI575">
        <v>57.993073635844901</v>
      </c>
      <c r="GJ575"/>
      <c r="GK575"/>
      <c r="GL575"/>
      <c r="GM575"/>
    </row>
    <row r="576" spans="1:195" s="7" customFormat="1">
      <c r="A576" s="4"/>
      <c r="B576" s="4"/>
      <c r="C576" s="4"/>
      <c r="D576" s="4"/>
      <c r="E576" s="4"/>
      <c r="F576" s="4"/>
      <c r="G576" s="4"/>
      <c r="H576" s="4"/>
      <c r="I576" s="4"/>
      <c r="J576" s="4"/>
      <c r="K576" s="4"/>
      <c r="L576" s="4"/>
      <c r="M576" s="4"/>
      <c r="N576" s="4"/>
      <c r="O576" s="4"/>
      <c r="P576" s="4"/>
      <c r="Q576" s="4"/>
      <c r="R576" s="4"/>
      <c r="S576" s="4"/>
      <c r="T576" s="4"/>
      <c r="U576" s="4"/>
      <c r="V576" s="4"/>
      <c r="W576" s="4"/>
      <c r="X576" s="4"/>
      <c r="Y576" s="4"/>
      <c r="Z576" s="4"/>
      <c r="AA576" s="4"/>
      <c r="AB576" s="4"/>
      <c r="AC576" s="4"/>
      <c r="AD576" s="4"/>
      <c r="AE576" s="4"/>
      <c r="AF576" s="81"/>
      <c r="AG576" s="81"/>
      <c r="AH576" s="81"/>
      <c r="AI576" s="4"/>
      <c r="AJ576" s="81"/>
      <c r="AK576" s="81"/>
      <c r="AL576" s="81"/>
      <c r="AM576" s="43">
        <v>560</v>
      </c>
      <c r="AN576">
        <v>269.49150706717006</v>
      </c>
      <c r="AO576">
        <v>101.42393466811706</v>
      </c>
      <c r="AP576">
        <v>688.30766903249378</v>
      </c>
      <c r="AQ576">
        <v>519.2668376378997</v>
      </c>
      <c r="AR576">
        <v>90.192096074776885</v>
      </c>
      <c r="AS576">
        <v>718.17130819629301</v>
      </c>
      <c r="AT576">
        <v>48.226657349922526</v>
      </c>
      <c r="AU576">
        <v>86.016339494209333</v>
      </c>
      <c r="AV576"/>
      <c r="AW576"/>
      <c r="FY576" s="211">
        <v>571</v>
      </c>
      <c r="FZ576">
        <v>29.11698931399993</v>
      </c>
      <c r="GA576">
        <v>68.371026314180568</v>
      </c>
      <c r="GB576">
        <v>80.26458875459187</v>
      </c>
      <c r="GC576">
        <v>45.909676544015973</v>
      </c>
      <c r="GD576">
        <v>26.160232056318691</v>
      </c>
      <c r="GE576">
        <v>53.600305148696549</v>
      </c>
      <c r="GF576">
        <v>67.708077289061393</v>
      </c>
      <c r="GG576">
        <v>42.159693113434848</v>
      </c>
      <c r="GH576">
        <v>12.872215721678085</v>
      </c>
      <c r="GI576">
        <v>56.970457092795108</v>
      </c>
      <c r="GJ576"/>
      <c r="GK576"/>
      <c r="GL576"/>
      <c r="GM576"/>
    </row>
    <row r="577" spans="1:195" s="7" customFormat="1">
      <c r="A577" s="4"/>
      <c r="B577" s="4"/>
      <c r="C577" s="4"/>
      <c r="D577" s="4"/>
      <c r="E577" s="4"/>
      <c r="F577" s="4"/>
      <c r="G577" s="4"/>
      <c r="H577" s="4"/>
      <c r="I577" s="4"/>
      <c r="J577" s="4"/>
      <c r="K577" s="4"/>
      <c r="L577" s="4"/>
      <c r="M577" s="4"/>
      <c r="N577" s="4"/>
      <c r="O577" s="4"/>
      <c r="P577" s="4"/>
      <c r="Q577" s="4"/>
      <c r="R577" s="4"/>
      <c r="S577" s="4"/>
      <c r="T577" s="4"/>
      <c r="U577" s="4"/>
      <c r="V577" s="4"/>
      <c r="W577" s="4"/>
      <c r="X577" s="4"/>
      <c r="Y577" s="4"/>
      <c r="Z577" s="4"/>
      <c r="AA577" s="4"/>
      <c r="AB577" s="4"/>
      <c r="AC577" s="4"/>
      <c r="AD577" s="4"/>
      <c r="AE577" s="4"/>
      <c r="AF577" s="81"/>
      <c r="AG577" s="81"/>
      <c r="AH577" s="81"/>
      <c r="AI577" s="4"/>
      <c r="AJ577" s="81"/>
      <c r="AK577" s="81"/>
      <c r="AL577" s="81"/>
      <c r="AM577" s="43">
        <v>561</v>
      </c>
      <c r="AN577">
        <v>204.36801301413021</v>
      </c>
      <c r="AO577">
        <v>82.349275605721303</v>
      </c>
      <c r="AP577">
        <v>597.90486923389165</v>
      </c>
      <c r="AQ577">
        <v>453.13943234163969</v>
      </c>
      <c r="AR577">
        <v>75.381122466090034</v>
      </c>
      <c r="AS577">
        <v>605.71776561028514</v>
      </c>
      <c r="AT577" t="e">
        <v>#DIV/0!</v>
      </c>
      <c r="AU577" t="e">
        <v>#DIV/0!</v>
      </c>
      <c r="AV577"/>
      <c r="AW577"/>
      <c r="FY577" s="211">
        <v>572</v>
      </c>
      <c r="FZ577">
        <v>20.025022344285372</v>
      </c>
      <c r="GA577">
        <v>67.86847738698053</v>
      </c>
      <c r="GB577">
        <v>106.71454894079845</v>
      </c>
      <c r="GC577">
        <v>60.370619461981747</v>
      </c>
      <c r="GD577">
        <v>24.727209172657385</v>
      </c>
      <c r="GE577">
        <v>42.433531969637215</v>
      </c>
      <c r="GF577">
        <v>60.209607916158717</v>
      </c>
      <c r="GG577">
        <v>56.250172133457738</v>
      </c>
      <c r="GH577">
        <v>36.314132292899913</v>
      </c>
      <c r="GI577">
        <v>63.585584413404248</v>
      </c>
      <c r="GJ577"/>
      <c r="GK577"/>
      <c r="GL577"/>
      <c r="GM577"/>
    </row>
    <row r="578" spans="1:195" s="7" customFormat="1">
      <c r="A578" s="4"/>
      <c r="B578" s="4"/>
      <c r="C578" s="4"/>
      <c r="D578" s="4"/>
      <c r="E578" s="4"/>
      <c r="F578" s="4"/>
      <c r="G578" s="4"/>
      <c r="H578" s="4"/>
      <c r="I578" s="4"/>
      <c r="J578" s="4"/>
      <c r="K578" s="4"/>
      <c r="L578" s="4"/>
      <c r="M578" s="4"/>
      <c r="N578" s="4"/>
      <c r="O578" s="4"/>
      <c r="P578" s="4"/>
      <c r="Q578" s="4"/>
      <c r="R578" s="4"/>
      <c r="S578" s="4"/>
      <c r="T578" s="4"/>
      <c r="U578" s="4"/>
      <c r="V578" s="4"/>
      <c r="W578" s="4"/>
      <c r="X578" s="4"/>
      <c r="Y578" s="4"/>
      <c r="Z578" s="4"/>
      <c r="AA578" s="4"/>
      <c r="AB578" s="4"/>
      <c r="AC578" s="4"/>
      <c r="AD578" s="4"/>
      <c r="AE578" s="4"/>
      <c r="AF578" s="81"/>
      <c r="AG578" s="81"/>
      <c r="AH578" s="81"/>
      <c r="AI578" s="4"/>
      <c r="AJ578" s="81"/>
      <c r="AK578" s="81"/>
      <c r="AL578" s="81"/>
      <c r="AM578" s="43">
        <v>562</v>
      </c>
      <c r="AN578">
        <v>225.06716675197791</v>
      </c>
      <c r="AO578">
        <v>75.580186766488538</v>
      </c>
      <c r="AP578">
        <v>573.94588434979596</v>
      </c>
      <c r="AQ578">
        <v>424.42470259281254</v>
      </c>
      <c r="AR578">
        <v>67.225275601265963</v>
      </c>
      <c r="AS578">
        <v>539.10871361811974</v>
      </c>
      <c r="AT578">
        <v>34.720780462120487</v>
      </c>
      <c r="AU578">
        <v>87.150726618615025</v>
      </c>
      <c r="AV578"/>
      <c r="AW578"/>
      <c r="FY578" s="211">
        <v>573</v>
      </c>
      <c r="FZ578">
        <v>23.083099790491225</v>
      </c>
      <c r="GA578">
        <v>50.272808521520034</v>
      </c>
      <c r="GB578">
        <v>81.668442844198637</v>
      </c>
      <c r="GC578">
        <v>56.181894407083064</v>
      </c>
      <c r="GD578">
        <v>21.690667564008955</v>
      </c>
      <c r="GE578">
        <v>46.049350715383284</v>
      </c>
      <c r="GF578">
        <v>68.567960299796425</v>
      </c>
      <c r="GG578">
        <v>22.456839738473747</v>
      </c>
      <c r="GH578">
        <v>9.3024929275048578</v>
      </c>
      <c r="GI578">
        <v>52.601382565170219</v>
      </c>
      <c r="GJ578"/>
      <c r="GK578"/>
      <c r="GL578"/>
      <c r="GM578"/>
    </row>
    <row r="579" spans="1:195" s="7" customFormat="1">
      <c r="A579" s="4"/>
      <c r="B579" s="4"/>
      <c r="C579" s="4"/>
      <c r="D579" s="4"/>
      <c r="E579" s="4"/>
      <c r="F579" s="4"/>
      <c r="G579" s="4"/>
      <c r="H579" s="4"/>
      <c r="I579" s="4"/>
      <c r="J579" s="4"/>
      <c r="K579" s="4"/>
      <c r="L579" s="4"/>
      <c r="M579" s="4"/>
      <c r="N579" s="4"/>
      <c r="O579" s="4"/>
      <c r="P579" s="4"/>
      <c r="Q579" s="4"/>
      <c r="R579" s="4"/>
      <c r="S579" s="4"/>
      <c r="T579" s="4"/>
      <c r="U579" s="4"/>
      <c r="V579" s="4"/>
      <c r="W579" s="4"/>
      <c r="X579" s="4"/>
      <c r="Y579" s="4"/>
      <c r="Z579" s="4"/>
      <c r="AA579" s="4"/>
      <c r="AB579" s="4"/>
      <c r="AC579" s="4"/>
      <c r="AD579" s="4"/>
      <c r="AE579" s="4"/>
      <c r="AF579" s="81"/>
      <c r="AG579" s="81"/>
      <c r="AH579" s="81"/>
      <c r="AI579" s="4"/>
      <c r="AJ579" s="81"/>
      <c r="AK579" s="81"/>
      <c r="AL579" s="81"/>
      <c r="AM579" s="43">
        <v>563</v>
      </c>
      <c r="AN579">
        <v>244.01898726098139</v>
      </c>
      <c r="AO579">
        <v>65.15550110211592</v>
      </c>
      <c r="AP579">
        <v>467.85760338185725</v>
      </c>
      <c r="AQ579">
        <v>356.75037120592918</v>
      </c>
      <c r="AR579">
        <v>58.717152696036166</v>
      </c>
      <c r="AS579">
        <v>528.99919645857005</v>
      </c>
      <c r="AT579">
        <v>29.255782187553621</v>
      </c>
      <c r="AU579">
        <v>24.473321389818768</v>
      </c>
      <c r="AV579"/>
      <c r="AW579"/>
      <c r="FY579" s="211">
        <v>574</v>
      </c>
      <c r="FZ579">
        <v>21.449155040915848</v>
      </c>
      <c r="GA579">
        <v>61.569514917585934</v>
      </c>
      <c r="GB579">
        <v>114.61337574342008</v>
      </c>
      <c r="GC579">
        <v>67.450669291388337</v>
      </c>
      <c r="GD579">
        <v>24.109515860224914</v>
      </c>
      <c r="GE579">
        <v>38.047395667103004</v>
      </c>
      <c r="GF579">
        <v>43.471851138741378</v>
      </c>
      <c r="GG579">
        <v>35.856047767731354</v>
      </c>
      <c r="GH579">
        <v>23.490962414750367</v>
      </c>
      <c r="GI579">
        <v>59.158499464216973</v>
      </c>
      <c r="GJ579"/>
      <c r="GK579"/>
      <c r="GL579"/>
      <c r="GM579"/>
    </row>
    <row r="580" spans="1:195" s="7" customFormat="1">
      <c r="A580" s="4"/>
      <c r="B580" s="4"/>
      <c r="C580" s="4"/>
      <c r="D580" s="4"/>
      <c r="E580" s="4"/>
      <c r="F580" s="4"/>
      <c r="G580" s="4"/>
      <c r="H580" s="4"/>
      <c r="I580" s="4"/>
      <c r="J580" s="4"/>
      <c r="K580" s="4"/>
      <c r="L580" s="4"/>
      <c r="M580" s="4"/>
      <c r="N580" s="4"/>
      <c r="O580" s="4"/>
      <c r="P580" s="4"/>
      <c r="Q580" s="4"/>
      <c r="R580" s="4"/>
      <c r="S580" s="4"/>
      <c r="T580" s="4"/>
      <c r="U580" s="4"/>
      <c r="V580" s="4"/>
      <c r="W580" s="4"/>
      <c r="X580" s="4"/>
      <c r="Y580" s="4"/>
      <c r="Z580" s="4"/>
      <c r="AA580" s="4"/>
      <c r="AB580" s="4"/>
      <c r="AC580" s="4"/>
      <c r="AD580" s="4"/>
      <c r="AE580" s="4"/>
      <c r="AF580" s="81"/>
      <c r="AG580" s="81"/>
      <c r="AH580" s="81"/>
      <c r="AI580" s="4"/>
      <c r="AJ580" s="81"/>
      <c r="AK580" s="81"/>
      <c r="AL580" s="81"/>
      <c r="AM580" s="43">
        <v>564</v>
      </c>
      <c r="AN580">
        <v>236.76677227437639</v>
      </c>
      <c r="AO580">
        <v>85.55910674018034</v>
      </c>
      <c r="AP580">
        <v>671.60521056297648</v>
      </c>
      <c r="AQ580">
        <v>476.85702862168984</v>
      </c>
      <c r="AR580">
        <v>77.777352637250331</v>
      </c>
      <c r="AS580">
        <v>637.75985569274064</v>
      </c>
      <c r="AT580">
        <v>43.564112954880265</v>
      </c>
      <c r="AU580">
        <v>29.3085748497219</v>
      </c>
      <c r="AV580"/>
      <c r="AW580"/>
      <c r="FY580" s="211">
        <v>575</v>
      </c>
      <c r="FZ580">
        <v>26.164836519742373</v>
      </c>
      <c r="GA580">
        <v>67.723074105827635</v>
      </c>
      <c r="GB580">
        <v>61.086390625752635</v>
      </c>
      <c r="GC580">
        <v>29.545183561788981</v>
      </c>
      <c r="GD580">
        <v>12.369201336593857</v>
      </c>
      <c r="GE580">
        <v>37.681748226030734</v>
      </c>
      <c r="GF580">
        <v>84.372478962402155</v>
      </c>
      <c r="GG580">
        <v>57.331627961144413</v>
      </c>
      <c r="GH580">
        <v>20.111805217570279</v>
      </c>
      <c r="GI580">
        <v>48.264491394231236</v>
      </c>
      <c r="GJ580"/>
      <c r="GK580"/>
      <c r="GL580"/>
      <c r="GM580"/>
    </row>
    <row r="581" spans="1:195" s="7" customFormat="1">
      <c r="A581" s="4"/>
      <c r="B581" s="4"/>
      <c r="C581" s="4"/>
      <c r="D581" s="4"/>
      <c r="E581" s="4"/>
      <c r="F581" s="4"/>
      <c r="G581" s="4"/>
      <c r="H581" s="4"/>
      <c r="I581" s="4"/>
      <c r="J581" s="4"/>
      <c r="K581" s="4"/>
      <c r="L581" s="4"/>
      <c r="M581" s="4"/>
      <c r="N581" s="4"/>
      <c r="O581" s="4"/>
      <c r="P581" s="4"/>
      <c r="Q581" s="4"/>
      <c r="R581" s="4"/>
      <c r="S581" s="4"/>
      <c r="T581" s="4"/>
      <c r="U581" s="4"/>
      <c r="V581" s="4"/>
      <c r="W581" s="4"/>
      <c r="X581" s="4"/>
      <c r="Y581" s="4"/>
      <c r="Z581" s="4"/>
      <c r="AA581" s="4"/>
      <c r="AB581" s="4"/>
      <c r="AC581" s="4"/>
      <c r="AD581" s="4"/>
      <c r="AE581" s="4"/>
      <c r="AF581" s="81"/>
      <c r="AG581" s="81"/>
      <c r="AH581" s="81"/>
      <c r="AI581" s="4"/>
      <c r="AJ581" s="81"/>
      <c r="AK581" s="81"/>
      <c r="AL581" s="81"/>
      <c r="AM581" s="43">
        <v>565</v>
      </c>
      <c r="AN581">
        <v>235.76778864801742</v>
      </c>
      <c r="AO581">
        <v>72.607157477782351</v>
      </c>
      <c r="AP581">
        <v>543.08929394254528</v>
      </c>
      <c r="AQ581">
        <v>405.24086742290433</v>
      </c>
      <c r="AR581">
        <v>65.733247277593193</v>
      </c>
      <c r="AS581">
        <v>558.84638061555984</v>
      </c>
      <c r="AT581">
        <v>35.62075909696491</v>
      </c>
      <c r="AU581">
        <v>50.066446583543318</v>
      </c>
      <c r="AV581"/>
      <c r="AW581"/>
      <c r="FY581" s="211">
        <v>576</v>
      </c>
      <c r="FZ581">
        <v>13.406736539572528</v>
      </c>
      <c r="GA581">
        <v>58.566566261786718</v>
      </c>
      <c r="GB581">
        <v>56.641333523740663</v>
      </c>
      <c r="GC581">
        <v>35.189368423530603</v>
      </c>
      <c r="GD581">
        <v>18.38595772412102</v>
      </c>
      <c r="GE581">
        <v>32.07176853748485</v>
      </c>
      <c r="GF581">
        <v>80.219462257249376</v>
      </c>
      <c r="GG581">
        <v>66.423616767103113</v>
      </c>
      <c r="GH581">
        <v>31.944231555214493</v>
      </c>
      <c r="GI581">
        <v>49.804683016685161</v>
      </c>
      <c r="GJ581"/>
      <c r="GK581"/>
      <c r="GL581"/>
      <c r="GM581"/>
    </row>
    <row r="582" spans="1:195" s="7" customFormat="1">
      <c r="A582" s="4"/>
      <c r="B582" s="4"/>
      <c r="C582" s="4"/>
      <c r="D582" s="4"/>
      <c r="E582" s="4"/>
      <c r="F582" s="4"/>
      <c r="G582" s="4"/>
      <c r="H582" s="4"/>
      <c r="I582" s="4"/>
      <c r="J582" s="4"/>
      <c r="K582" s="4"/>
      <c r="L582" s="4"/>
      <c r="M582" s="4"/>
      <c r="N582" s="4"/>
      <c r="O582" s="4"/>
      <c r="P582" s="4"/>
      <c r="Q582" s="4"/>
      <c r="R582" s="4"/>
      <c r="S582" s="4"/>
      <c r="T582" s="4"/>
      <c r="U582" s="4"/>
      <c r="V582" s="4"/>
      <c r="W582" s="4"/>
      <c r="X582" s="4"/>
      <c r="Y582" s="4"/>
      <c r="Z582" s="4"/>
      <c r="AA582" s="4"/>
      <c r="AB582" s="4"/>
      <c r="AC582" s="4"/>
      <c r="AD582" s="4"/>
      <c r="AE582" s="4"/>
      <c r="AF582" s="81"/>
      <c r="AG582" s="81"/>
      <c r="AH582" s="81"/>
      <c r="AI582" s="4"/>
      <c r="AJ582" s="81"/>
      <c r="AK582" s="81"/>
      <c r="AL582" s="81"/>
      <c r="AM582" s="43">
        <v>566</v>
      </c>
      <c r="AN582">
        <v>252.01133542492681</v>
      </c>
      <c r="AO582">
        <v>90.321268101665595</v>
      </c>
      <c r="AP582">
        <v>681.77594973075895</v>
      </c>
      <c r="AQ582">
        <v>499.90178395272625</v>
      </c>
      <c r="AR582">
        <v>83.05774503350834</v>
      </c>
      <c r="AS582">
        <v>681.77075108708834</v>
      </c>
      <c r="AT582">
        <v>44.334833245286688</v>
      </c>
      <c r="AU582">
        <v>98.768952525669192</v>
      </c>
      <c r="AV582"/>
      <c r="AW582"/>
      <c r="FY582" s="211">
        <v>577</v>
      </c>
      <c r="FZ582">
        <v>24.140651110814616</v>
      </c>
      <c r="GA582">
        <v>61.31864031660929</v>
      </c>
      <c r="GB582">
        <v>102.49682347977978</v>
      </c>
      <c r="GC582">
        <v>57.809264857533648</v>
      </c>
      <c r="GD582">
        <v>19.359728512263022</v>
      </c>
      <c r="GE582">
        <v>48.228079536058033</v>
      </c>
      <c r="GF582">
        <v>79.185918498093542</v>
      </c>
      <c r="GG582">
        <v>46.245257136839044</v>
      </c>
      <c r="GH582">
        <v>22.824776649029282</v>
      </c>
      <c r="GI582">
        <v>62.286942157717675</v>
      </c>
      <c r="GJ582"/>
      <c r="GK582"/>
      <c r="GL582"/>
      <c r="GM582"/>
    </row>
    <row r="583" spans="1:195" s="7" customFormat="1">
      <c r="A583" s="4"/>
      <c r="B583" s="4"/>
      <c r="C583" s="4"/>
      <c r="D583" s="4"/>
      <c r="E583" s="4"/>
      <c r="F583" s="4"/>
      <c r="G583" s="4"/>
      <c r="H583" s="4"/>
      <c r="I583" s="4"/>
      <c r="J583" s="4"/>
      <c r="K583" s="4"/>
      <c r="L583" s="4"/>
      <c r="M583" s="4"/>
      <c r="N583" s="4"/>
      <c r="O583" s="4"/>
      <c r="P583" s="4"/>
      <c r="Q583" s="4"/>
      <c r="R583" s="4"/>
      <c r="S583" s="4"/>
      <c r="T583" s="4"/>
      <c r="U583" s="4"/>
      <c r="V583" s="4"/>
      <c r="W583" s="4"/>
      <c r="X583" s="4"/>
      <c r="Y583" s="4"/>
      <c r="Z583" s="4"/>
      <c r="AA583" s="4"/>
      <c r="AB583" s="4"/>
      <c r="AC583" s="4"/>
      <c r="AD583" s="4"/>
      <c r="AE583" s="4"/>
      <c r="AF583" s="81"/>
      <c r="AG583" s="81"/>
      <c r="AH583" s="81"/>
      <c r="AI583" s="4"/>
      <c r="AJ583" s="81"/>
      <c r="AK583" s="81"/>
      <c r="AL583" s="81"/>
      <c r="AM583" s="43">
        <v>567</v>
      </c>
      <c r="AN583">
        <v>237.59072408837491</v>
      </c>
      <c r="AO583">
        <v>78.255627812429665</v>
      </c>
      <c r="AP583">
        <v>571.67045593215096</v>
      </c>
      <c r="AQ583">
        <v>431.58871015356596</v>
      </c>
      <c r="AR583">
        <v>71.173741853102612</v>
      </c>
      <c r="AS583">
        <v>583.20530708881574</v>
      </c>
      <c r="AT583">
        <v>37.354777665229385</v>
      </c>
      <c r="AU583">
        <v>40.170359159413962</v>
      </c>
      <c r="AV583"/>
      <c r="AW583"/>
      <c r="FY583" s="211">
        <v>578</v>
      </c>
      <c r="FZ583">
        <v>5.4631967885802322</v>
      </c>
      <c r="GA583">
        <v>35.585874441519863</v>
      </c>
      <c r="GB583">
        <v>89.714135228344148</v>
      </c>
      <c r="GC583">
        <v>50.003766184241947</v>
      </c>
      <c r="GD583">
        <v>17.549385859165184</v>
      </c>
      <c r="GE583">
        <v>49.147687389691811</v>
      </c>
      <c r="GF583">
        <v>88.386318677386399</v>
      </c>
      <c r="GG583">
        <v>45.692644636603568</v>
      </c>
      <c r="GH583">
        <v>10.264626325134076</v>
      </c>
      <c r="GI583">
        <v>54.656606964462156</v>
      </c>
      <c r="GJ583"/>
      <c r="GK583"/>
      <c r="GL583"/>
      <c r="GM583"/>
    </row>
    <row r="584" spans="1:195" s="7" customFormat="1">
      <c r="A584" s="4"/>
      <c r="B584" s="4"/>
      <c r="C584" s="4"/>
      <c r="D584" s="4"/>
      <c r="E584" s="4"/>
      <c r="F584" s="4"/>
      <c r="G584" s="4"/>
      <c r="H584" s="4"/>
      <c r="I584" s="4"/>
      <c r="J584" s="4"/>
      <c r="K584" s="4"/>
      <c r="L584" s="4"/>
      <c r="M584" s="4"/>
      <c r="N584" s="4"/>
      <c r="O584" s="4"/>
      <c r="P584" s="4"/>
      <c r="Q584" s="4"/>
      <c r="R584" s="4"/>
      <c r="S584" s="4"/>
      <c r="T584" s="4"/>
      <c r="U584" s="4"/>
      <c r="V584" s="4"/>
      <c r="W584" s="4"/>
      <c r="X584" s="4"/>
      <c r="Y584" s="4"/>
      <c r="Z584" s="4"/>
      <c r="AA584" s="4"/>
      <c r="AB584" s="4"/>
      <c r="AC584" s="4"/>
      <c r="AD584" s="4"/>
      <c r="AE584" s="4"/>
      <c r="AF584" s="81"/>
      <c r="AG584" s="81"/>
      <c r="AH584" s="81"/>
      <c r="AI584" s="4"/>
      <c r="AJ584" s="81"/>
      <c r="AK584" s="81"/>
      <c r="AL584" s="81"/>
      <c r="AM584" s="43">
        <v>568</v>
      </c>
      <c r="AN584">
        <v>335.97724383749778</v>
      </c>
      <c r="AO584">
        <v>102.77612914384227</v>
      </c>
      <c r="AP584">
        <v>740.66921164611631</v>
      </c>
      <c r="AQ584">
        <v>560.04683610862776</v>
      </c>
      <c r="AR584">
        <v>91.246180846474104</v>
      </c>
      <c r="AS584">
        <v>783.71597755958419</v>
      </c>
      <c r="AT584">
        <v>46.046649623081571</v>
      </c>
      <c r="AU584">
        <v>78.531758923210475</v>
      </c>
      <c r="AV584"/>
      <c r="AW584"/>
      <c r="FY584" s="211">
        <v>579</v>
      </c>
      <c r="FZ584">
        <v>9.7713809171357067</v>
      </c>
      <c r="GA584">
        <v>41.122875303088065</v>
      </c>
      <c r="GB584">
        <v>80.778798092654384</v>
      </c>
      <c r="GC584">
        <v>48.203861864320686</v>
      </c>
      <c r="GD584">
        <v>21.099779031641351</v>
      </c>
      <c r="GE584">
        <v>61.50253983150219</v>
      </c>
      <c r="GF584">
        <v>84.950449854738963</v>
      </c>
      <c r="GG584">
        <v>24.26411894421825</v>
      </c>
      <c r="GH584">
        <v>8.552627330291541</v>
      </c>
      <c r="GI584">
        <v>52.842807708519096</v>
      </c>
      <c r="GJ584"/>
      <c r="GK584"/>
      <c r="GL584"/>
      <c r="GM584"/>
    </row>
    <row r="585" spans="1:195" s="7" customFormat="1">
      <c r="A585" s="4"/>
      <c r="B585" s="4"/>
      <c r="C585" s="4"/>
      <c r="D585" s="4"/>
      <c r="E585" s="4"/>
      <c r="F585" s="4"/>
      <c r="G585" s="4"/>
      <c r="H585" s="4"/>
      <c r="I585" s="4"/>
      <c r="J585" s="4"/>
      <c r="K585" s="4"/>
      <c r="L585" s="4"/>
      <c r="M585" s="4"/>
      <c r="N585" s="4"/>
      <c r="O585" s="4"/>
      <c r="P585" s="4"/>
      <c r="Q585" s="4"/>
      <c r="R585" s="4"/>
      <c r="S585" s="4"/>
      <c r="T585" s="4"/>
      <c r="U585" s="4"/>
      <c r="V585" s="4"/>
      <c r="W585" s="4"/>
      <c r="X585" s="4"/>
      <c r="Y585" s="4"/>
      <c r="Z585" s="4"/>
      <c r="AA585" s="4"/>
      <c r="AB585" s="4"/>
      <c r="AC585" s="4"/>
      <c r="AD585" s="4"/>
      <c r="AE585" s="4"/>
      <c r="AF585" s="81"/>
      <c r="AG585" s="81"/>
      <c r="AH585" s="81"/>
      <c r="AI585" s="4"/>
      <c r="AJ585" s="81"/>
      <c r="AK585" s="81"/>
      <c r="AL585" s="81"/>
      <c r="AM585" s="43">
        <v>569</v>
      </c>
      <c r="AN585">
        <v>300.01036125774272</v>
      </c>
      <c r="AO585">
        <v>96.267335428646149</v>
      </c>
      <c r="AP585">
        <v>778.28370269627726</v>
      </c>
      <c r="AQ585">
        <v>552.7053575705371</v>
      </c>
      <c r="AR585">
        <v>87.846255420645193</v>
      </c>
      <c r="AS585">
        <v>692.0100488569002</v>
      </c>
      <c r="AT585">
        <v>45.111095542317031</v>
      </c>
      <c r="AU585">
        <v>79.808112529000411</v>
      </c>
      <c r="AV585"/>
      <c r="AW585"/>
      <c r="FY585" s="211">
        <v>580</v>
      </c>
      <c r="FZ585">
        <v>14.898831099605864</v>
      </c>
      <c r="GA585">
        <v>49.254819839213233</v>
      </c>
      <c r="GB585">
        <v>73.426911754600084</v>
      </c>
      <c r="GC585">
        <v>40.046421289721472</v>
      </c>
      <c r="GD585">
        <v>19.501222644210184</v>
      </c>
      <c r="GE585">
        <v>45.054747712496649</v>
      </c>
      <c r="GF585">
        <v>86.534069939614412</v>
      </c>
      <c r="GG585">
        <v>64.498292377653215</v>
      </c>
      <c r="GH585">
        <v>20.565632840928728</v>
      </c>
      <c r="GI585">
        <v>54.185018879516541</v>
      </c>
      <c r="GJ585"/>
      <c r="GK585"/>
      <c r="GL585"/>
      <c r="GM585"/>
    </row>
    <row r="586" spans="1:195" s="7" customFormat="1">
      <c r="A586" s="4"/>
      <c r="B586" s="4"/>
      <c r="C586" s="4"/>
      <c r="D586" s="4"/>
      <c r="E586" s="4"/>
      <c r="F586" s="4"/>
      <c r="G586" s="4"/>
      <c r="H586" s="4"/>
      <c r="I586" s="4"/>
      <c r="J586" s="4"/>
      <c r="K586" s="4"/>
      <c r="L586" s="4"/>
      <c r="M586" s="4"/>
      <c r="N586" s="4"/>
      <c r="O586" s="4"/>
      <c r="P586" s="4"/>
      <c r="Q586" s="4"/>
      <c r="R586" s="4"/>
      <c r="S586" s="4"/>
      <c r="T586" s="4"/>
      <c r="U586" s="4"/>
      <c r="V586" s="4"/>
      <c r="W586" s="4"/>
      <c r="X586" s="4"/>
      <c r="Y586" s="4"/>
      <c r="Z586" s="4"/>
      <c r="AA586" s="4"/>
      <c r="AB586" s="4"/>
      <c r="AC586" s="4"/>
      <c r="AD586" s="4"/>
      <c r="AE586" s="4"/>
      <c r="AF586" s="81"/>
      <c r="AG586" s="81"/>
      <c r="AH586" s="81"/>
      <c r="AI586" s="4"/>
      <c r="AJ586" s="81"/>
      <c r="AK586" s="81"/>
      <c r="AL586" s="81"/>
      <c r="AM586" s="43">
        <v>570</v>
      </c>
      <c r="AN586">
        <v>286.15169751251324</v>
      </c>
      <c r="AO586">
        <v>91.163327769259752</v>
      </c>
      <c r="AP586">
        <v>616.11375632664635</v>
      </c>
      <c r="AQ586">
        <v>491.42463647297092</v>
      </c>
      <c r="AR586">
        <v>83.530118977614123</v>
      </c>
      <c r="AS586">
        <v>651.16999276411207</v>
      </c>
      <c r="AT586">
        <v>43.847533382967924</v>
      </c>
      <c r="AU586">
        <v>94.175115168089008</v>
      </c>
      <c r="AV586"/>
      <c r="AW586"/>
      <c r="FY586" s="211">
        <v>581</v>
      </c>
      <c r="FZ586">
        <v>26.4810061449265</v>
      </c>
      <c r="GA586">
        <v>74.686605708476833</v>
      </c>
      <c r="GB586">
        <v>75.704387497114126</v>
      </c>
      <c r="GC586">
        <v>35.879495995587341</v>
      </c>
      <c r="GD586">
        <v>12.086768088820232</v>
      </c>
      <c r="GE586">
        <v>22.417610289782445</v>
      </c>
      <c r="GF586">
        <v>41.441813830074302</v>
      </c>
      <c r="GG586">
        <v>37.789973833872025</v>
      </c>
      <c r="GH586">
        <v>19.277882141491617</v>
      </c>
      <c r="GI586">
        <v>41.698379412456902</v>
      </c>
      <c r="GJ586"/>
      <c r="GK586"/>
      <c r="GL586"/>
      <c r="GM586"/>
    </row>
    <row r="587" spans="1:195" s="7" customFormat="1">
      <c r="A587" s="4"/>
      <c r="B587" s="4"/>
      <c r="C587" s="4"/>
      <c r="D587" s="4"/>
      <c r="E587" s="4"/>
      <c r="F587" s="4"/>
      <c r="G587" s="4"/>
      <c r="H587" s="4"/>
      <c r="I587" s="4"/>
      <c r="J587" s="4"/>
      <c r="K587" s="4"/>
      <c r="L587" s="4"/>
      <c r="M587" s="4"/>
      <c r="N587" s="4"/>
      <c r="O587" s="4"/>
      <c r="P587" s="4"/>
      <c r="Q587" s="4"/>
      <c r="R587" s="4"/>
      <c r="S587" s="4"/>
      <c r="T587" s="4"/>
      <c r="U587" s="4"/>
      <c r="V587" s="4"/>
      <c r="W587" s="4"/>
      <c r="X587" s="4"/>
      <c r="Y587" s="4"/>
      <c r="Z587" s="4"/>
      <c r="AA587" s="4"/>
      <c r="AB587" s="4"/>
      <c r="AC587" s="4"/>
      <c r="AD587" s="4"/>
      <c r="AE587" s="4"/>
      <c r="AF587" s="81"/>
      <c r="AG587" s="81"/>
      <c r="AH587" s="81"/>
      <c r="AI587" s="4"/>
      <c r="AJ587" s="81"/>
      <c r="AK587" s="81"/>
      <c r="AL587" s="81"/>
      <c r="AM587" s="43">
        <v>571</v>
      </c>
      <c r="AN587">
        <v>277.03057116615651</v>
      </c>
      <c r="AO587">
        <v>90.082037880302238</v>
      </c>
      <c r="AP587">
        <v>628.63948880405565</v>
      </c>
      <c r="AQ587">
        <v>483.13326134877309</v>
      </c>
      <c r="AR587">
        <v>81.734031454048761</v>
      </c>
      <c r="AS587">
        <v>680.56120597729432</v>
      </c>
      <c r="AT587">
        <v>42.884066945274135</v>
      </c>
      <c r="AU587">
        <v>60.10294352839135</v>
      </c>
      <c r="AV587"/>
      <c r="AW587"/>
      <c r="FY587" s="211">
        <v>582</v>
      </c>
      <c r="FZ587">
        <v>8.3496547428902659</v>
      </c>
      <c r="GA587">
        <v>56.467674805572251</v>
      </c>
      <c r="GB587">
        <v>91.609066206447849</v>
      </c>
      <c r="GC587">
        <v>50.88516568230591</v>
      </c>
      <c r="GD587">
        <v>27.184407879098771</v>
      </c>
      <c r="GE587">
        <v>46.021941547443568</v>
      </c>
      <c r="GF587">
        <v>46.237787353124176</v>
      </c>
      <c r="GG587">
        <v>47.001131245743778</v>
      </c>
      <c r="GH587">
        <v>36.249183156409629</v>
      </c>
      <c r="GI587">
        <v>56.313299171809135</v>
      </c>
      <c r="GJ587"/>
      <c r="GK587"/>
      <c r="GL587"/>
      <c r="GM587"/>
    </row>
    <row r="588" spans="1:195" s="7" customFormat="1">
      <c r="A588" s="4"/>
      <c r="B588" s="4"/>
      <c r="C588" s="4"/>
      <c r="D588" s="4"/>
      <c r="E588" s="4"/>
      <c r="F588" s="4"/>
      <c r="G588" s="4"/>
      <c r="H588" s="4"/>
      <c r="I588" s="4"/>
      <c r="J588" s="4"/>
      <c r="K588" s="4"/>
      <c r="L588" s="4"/>
      <c r="M588" s="4"/>
      <c r="N588" s="4"/>
      <c r="O588" s="4"/>
      <c r="P588" s="4"/>
      <c r="Q588" s="4"/>
      <c r="R588" s="4"/>
      <c r="S588" s="4"/>
      <c r="T588" s="4"/>
      <c r="U588" s="4"/>
      <c r="V588" s="4"/>
      <c r="W588" s="4"/>
      <c r="X588" s="4"/>
      <c r="Y588" s="4"/>
      <c r="Z588" s="4"/>
      <c r="AA588" s="4"/>
      <c r="AB588" s="4"/>
      <c r="AC588" s="4"/>
      <c r="AD588" s="4"/>
      <c r="AE588" s="4"/>
      <c r="AF588" s="81"/>
      <c r="AG588" s="81"/>
      <c r="AH588" s="81"/>
      <c r="AI588" s="4"/>
      <c r="AJ588" s="81"/>
      <c r="AK588" s="81"/>
      <c r="AL588" s="81"/>
      <c r="AM588" s="43">
        <v>572</v>
      </c>
      <c r="AN588">
        <v>298.34850151343574</v>
      </c>
      <c r="AO588">
        <v>100.55852811790059</v>
      </c>
      <c r="AP588">
        <v>721.35817169708025</v>
      </c>
      <c r="AQ588">
        <v>538.49890603226129</v>
      </c>
      <c r="AR588">
        <v>91.657629002407077</v>
      </c>
      <c r="AS588">
        <v>776.80699953572991</v>
      </c>
      <c r="AT588">
        <v>48.654840476491295</v>
      </c>
      <c r="AU588">
        <v>115.18181866075989</v>
      </c>
      <c r="AV588"/>
      <c r="AW588"/>
      <c r="FY588" s="211">
        <v>583</v>
      </c>
      <c r="FZ588">
        <v>18.782748840341952</v>
      </c>
      <c r="GA588">
        <v>56.618859805718174</v>
      </c>
      <c r="GB588">
        <v>67.472845742729646</v>
      </c>
      <c r="GC588">
        <v>37.581216970895255</v>
      </c>
      <c r="GD588">
        <v>14.147660812459383</v>
      </c>
      <c r="GE588">
        <v>45.052992451399149</v>
      </c>
      <c r="GF588">
        <v>66.325750031735922</v>
      </c>
      <c r="GG588">
        <v>45.273141015309655</v>
      </c>
      <c r="GH588">
        <v>47.373481958104229</v>
      </c>
      <c r="GI588">
        <v>49.926738865153787</v>
      </c>
      <c r="GJ588"/>
      <c r="GK588"/>
      <c r="GL588"/>
      <c r="GM588"/>
    </row>
    <row r="589" spans="1:195" s="7" customFormat="1">
      <c r="A589" s="4"/>
      <c r="B589" s="4"/>
      <c r="C589" s="4"/>
      <c r="D589" s="4"/>
      <c r="E589" s="4"/>
      <c r="F589" s="4"/>
      <c r="G589" s="4"/>
      <c r="H589" s="4"/>
      <c r="I589" s="4"/>
      <c r="J589" s="4"/>
      <c r="K589" s="4"/>
      <c r="L589" s="4"/>
      <c r="M589" s="4"/>
      <c r="N589" s="4"/>
      <c r="O589" s="4"/>
      <c r="P589" s="4"/>
      <c r="Q589" s="4"/>
      <c r="R589" s="4"/>
      <c r="S589" s="4"/>
      <c r="T589" s="4"/>
      <c r="U589" s="4"/>
      <c r="V589" s="4"/>
      <c r="W589" s="4"/>
      <c r="X589" s="4"/>
      <c r="Y589" s="4"/>
      <c r="Z589" s="4"/>
      <c r="AA589" s="4"/>
      <c r="AB589" s="4"/>
      <c r="AC589" s="4"/>
      <c r="AD589" s="4"/>
      <c r="AE589" s="4"/>
      <c r="AF589" s="81"/>
      <c r="AG589" s="81"/>
      <c r="AH589" s="81"/>
      <c r="AI589" s="4"/>
      <c r="AJ589" s="81"/>
      <c r="AK589" s="81"/>
      <c r="AL589" s="81"/>
      <c r="AM589" s="43">
        <v>573</v>
      </c>
      <c r="AN589">
        <v>272.69630908709871</v>
      </c>
      <c r="AO589">
        <v>82.275893747525089</v>
      </c>
      <c r="AP589">
        <v>554.22671281475743</v>
      </c>
      <c r="AQ589">
        <v>431.87493937363053</v>
      </c>
      <c r="AR589">
        <v>73.29678493784516</v>
      </c>
      <c r="AS589">
        <v>644.40252973878512</v>
      </c>
      <c r="AT589">
        <v>39.008035745653032</v>
      </c>
      <c r="AU589">
        <v>99.826009968285433</v>
      </c>
      <c r="AV589"/>
      <c r="AW589"/>
      <c r="FY589" s="211">
        <v>584</v>
      </c>
      <c r="FZ589">
        <v>11.178625782220792</v>
      </c>
      <c r="GA589">
        <v>35.958598678104579</v>
      </c>
      <c r="GB589">
        <v>81.028625083517667</v>
      </c>
      <c r="GC589">
        <v>53.146510370932319</v>
      </c>
      <c r="GD589">
        <v>17.526149456078535</v>
      </c>
      <c r="GE589">
        <v>35.176681285643774</v>
      </c>
      <c r="GF589">
        <v>66.009982149256146</v>
      </c>
      <c r="GG589">
        <v>38.602381384484929</v>
      </c>
      <c r="GH589">
        <v>19.353495525540183</v>
      </c>
      <c r="GI589">
        <v>49.741838745062793</v>
      </c>
      <c r="GJ589"/>
      <c r="GK589"/>
      <c r="GL589"/>
      <c r="GM589"/>
    </row>
    <row r="590" spans="1:195" s="7" customFormat="1">
      <c r="A590" s="4"/>
      <c r="B590" s="4"/>
      <c r="C590" s="4"/>
      <c r="D590" s="4"/>
      <c r="E590" s="4"/>
      <c r="F590" s="4"/>
      <c r="G590" s="4"/>
      <c r="H590" s="4"/>
      <c r="I590" s="4"/>
      <c r="J590" s="4"/>
      <c r="K590" s="4"/>
      <c r="L590" s="4"/>
      <c r="M590" s="4"/>
      <c r="N590" s="4"/>
      <c r="O590" s="4"/>
      <c r="P590" s="4"/>
      <c r="Q590" s="4"/>
      <c r="R590" s="4"/>
      <c r="S590" s="4"/>
      <c r="T590" s="4"/>
      <c r="U590" s="4"/>
      <c r="V590" s="4"/>
      <c r="W590" s="4"/>
      <c r="X590" s="4"/>
      <c r="Y590" s="4"/>
      <c r="Z590" s="4"/>
      <c r="AA590" s="4"/>
      <c r="AB590" s="4"/>
      <c r="AC590" s="4"/>
      <c r="AD590" s="4"/>
      <c r="AE590" s="4"/>
      <c r="AF590" s="81"/>
      <c r="AG590" s="81"/>
      <c r="AH590" s="81"/>
      <c r="AI590" s="4"/>
      <c r="AJ590" s="81"/>
      <c r="AK590" s="81"/>
      <c r="AL590" s="81"/>
      <c r="AM590" s="43">
        <v>574</v>
      </c>
      <c r="AN590">
        <v>296.42606634812353</v>
      </c>
      <c r="AO590">
        <v>91.882471999068144</v>
      </c>
      <c r="AP590">
        <v>628.23090452060319</v>
      </c>
      <c r="AQ590">
        <v>489.21698730607818</v>
      </c>
      <c r="AR590">
        <v>84.109808736405697</v>
      </c>
      <c r="AS590">
        <v>753.85543567677507</v>
      </c>
      <c r="AT590">
        <v>45.070619898246719</v>
      </c>
      <c r="AU590">
        <v>82.340128149195976</v>
      </c>
      <c r="AV590"/>
      <c r="AW590"/>
      <c r="FY590" s="211">
        <v>585</v>
      </c>
      <c r="FZ590">
        <v>12.145377890416505</v>
      </c>
      <c r="GA590">
        <v>43.816055722058522</v>
      </c>
      <c r="GB590">
        <v>77.085331789728997</v>
      </c>
      <c r="GC590">
        <v>44.090166628671</v>
      </c>
      <c r="GD590">
        <v>15.276886625106769</v>
      </c>
      <c r="GE590">
        <v>32.672501028195583</v>
      </c>
      <c r="GF590">
        <v>73.189439056697452</v>
      </c>
      <c r="GG590">
        <v>63.64320492236908</v>
      </c>
      <c r="GH590">
        <v>34.105407807224225</v>
      </c>
      <c r="GI590">
        <v>52.20058263904766</v>
      </c>
      <c r="GJ590"/>
      <c r="GK590"/>
      <c r="GL590"/>
      <c r="GM590"/>
    </row>
    <row r="591" spans="1:195" s="7" customFormat="1">
      <c r="A591" s="4"/>
      <c r="B591" s="4"/>
      <c r="C591" s="4"/>
      <c r="D591" s="4"/>
      <c r="E591" s="4"/>
      <c r="F591" s="4"/>
      <c r="G591" s="4"/>
      <c r="H591" s="4"/>
      <c r="I591" s="4"/>
      <c r="J591" s="4"/>
      <c r="K591" s="4"/>
      <c r="L591" s="4"/>
      <c r="M591" s="4"/>
      <c r="N591" s="4"/>
      <c r="O591" s="4"/>
      <c r="P591" s="4"/>
      <c r="Q591" s="4"/>
      <c r="R591" s="4"/>
      <c r="S591" s="4"/>
      <c r="T591" s="4"/>
      <c r="U591" s="4"/>
      <c r="V591" s="4"/>
      <c r="W591" s="4"/>
      <c r="X591" s="4"/>
      <c r="Y591" s="4"/>
      <c r="Z591" s="4"/>
      <c r="AA591" s="4"/>
      <c r="AB591" s="4"/>
      <c r="AC591" s="4"/>
      <c r="AD591" s="4"/>
      <c r="AE591" s="4"/>
      <c r="AF591" s="81"/>
      <c r="AG591" s="81"/>
      <c r="AH591" s="81"/>
      <c r="AI591" s="4"/>
      <c r="AJ591" s="81"/>
      <c r="AK591" s="81"/>
      <c r="AL591" s="81"/>
      <c r="AM591" s="43">
        <v>575</v>
      </c>
      <c r="AN591">
        <v>211.40948085840378</v>
      </c>
      <c r="AO591">
        <v>78.387618684548997</v>
      </c>
      <c r="AP591">
        <v>636.18823026482835</v>
      </c>
      <c r="AQ591">
        <v>444.65083791108435</v>
      </c>
      <c r="AR591">
        <v>70.177396977491739</v>
      </c>
      <c r="AS591">
        <v>550.41731133701887</v>
      </c>
      <c r="AT591">
        <v>37.571719032175245</v>
      </c>
      <c r="AU591">
        <v>39.521701400277927</v>
      </c>
      <c r="AV591"/>
      <c r="AW591"/>
      <c r="FY591" s="211">
        <v>586</v>
      </c>
      <c r="FZ591">
        <v>15.401318104902099</v>
      </c>
      <c r="GA591">
        <v>49.331125363643437</v>
      </c>
      <c r="GB591">
        <v>81.035941189851272</v>
      </c>
      <c r="GC591">
        <v>48.273256885079888</v>
      </c>
      <c r="GD591">
        <v>30.005995895915074</v>
      </c>
      <c r="GE591">
        <v>62.231238519778742</v>
      </c>
      <c r="GF591">
        <v>70.60367741153263</v>
      </c>
      <c r="GG591">
        <v>43.74611735449691</v>
      </c>
      <c r="GH591">
        <v>16.139862182914829</v>
      </c>
      <c r="GI591">
        <v>59.108314280843715</v>
      </c>
      <c r="GJ591"/>
      <c r="GK591"/>
      <c r="GL591"/>
      <c r="GM591"/>
    </row>
    <row r="592" spans="1:195" s="7" customFormat="1">
      <c r="A592" s="4"/>
      <c r="B592" s="4"/>
      <c r="C592" s="4"/>
      <c r="D592" s="4"/>
      <c r="E592" s="4"/>
      <c r="F592" s="4"/>
      <c r="G592" s="4"/>
      <c r="H592" s="4"/>
      <c r="I592" s="4"/>
      <c r="J592" s="4"/>
      <c r="K592" s="4"/>
      <c r="L592" s="4"/>
      <c r="M592" s="4"/>
      <c r="N592" s="4"/>
      <c r="O592" s="4"/>
      <c r="P592" s="4"/>
      <c r="Q592" s="4"/>
      <c r="R592" s="4"/>
      <c r="S592" s="4"/>
      <c r="T592" s="4"/>
      <c r="U592" s="4"/>
      <c r="V592" s="4"/>
      <c r="W592" s="4"/>
      <c r="X592" s="4"/>
      <c r="Y592" s="4"/>
      <c r="Z592" s="4"/>
      <c r="AA592" s="4"/>
      <c r="AB592" s="4"/>
      <c r="AC592" s="4"/>
      <c r="AD592" s="4"/>
      <c r="AE592" s="4"/>
      <c r="AF592" s="81"/>
      <c r="AG592" s="81"/>
      <c r="AH592" s="81"/>
      <c r="AI592" s="4"/>
      <c r="AJ592" s="81"/>
      <c r="AK592" s="81"/>
      <c r="AL592" s="81"/>
      <c r="AM592" s="43">
        <v>576</v>
      </c>
      <c r="AN592">
        <v>247.63990907664484</v>
      </c>
      <c r="AO592">
        <v>79.833376879135713</v>
      </c>
      <c r="AP592">
        <v>612.42909805536294</v>
      </c>
      <c r="AQ592">
        <v>442.65372460648854</v>
      </c>
      <c r="AR592">
        <v>71.753144009732509</v>
      </c>
      <c r="AS592">
        <v>577.90140136752018</v>
      </c>
      <c r="AT592" t="e">
        <v>#DIV/0!</v>
      </c>
      <c r="AU592" t="e">
        <v>#DIV/0!</v>
      </c>
      <c r="AV592"/>
      <c r="AW592"/>
      <c r="FY592" s="211">
        <v>587</v>
      </c>
      <c r="FZ592">
        <v>15.361488969127233</v>
      </c>
      <c r="GA592">
        <v>54.665685505949462</v>
      </c>
      <c r="GB592">
        <v>71.227819808372629</v>
      </c>
      <c r="GC592">
        <v>45.254008015342507</v>
      </c>
      <c r="GD592">
        <v>29.854336829709023</v>
      </c>
      <c r="GE592">
        <v>64.293821677345107</v>
      </c>
      <c r="GF592">
        <v>85.115738198528319</v>
      </c>
      <c r="GG592">
        <v>57.097689985723115</v>
      </c>
      <c r="GH592">
        <v>35.602965556660784</v>
      </c>
      <c r="GI592">
        <v>62.982026531417446</v>
      </c>
      <c r="GJ592"/>
      <c r="GK592"/>
      <c r="GL592"/>
      <c r="GM592"/>
    </row>
    <row r="593" spans="1:195" s="7" customFormat="1">
      <c r="A593" s="4"/>
      <c r="B593" s="4"/>
      <c r="C593" s="4"/>
      <c r="D593" s="4"/>
      <c r="E593" s="4"/>
      <c r="F593" s="4"/>
      <c r="G593" s="4"/>
      <c r="H593" s="4"/>
      <c r="I593" s="4"/>
      <c r="J593" s="4"/>
      <c r="K593" s="4"/>
      <c r="L593" s="4"/>
      <c r="M593" s="4"/>
      <c r="N593" s="4"/>
      <c r="O593" s="4"/>
      <c r="P593" s="4"/>
      <c r="Q593" s="4"/>
      <c r="R593" s="4"/>
      <c r="S593" s="4"/>
      <c r="T593" s="4"/>
      <c r="U593" s="4"/>
      <c r="V593" s="4"/>
      <c r="W593" s="4"/>
      <c r="X593" s="4"/>
      <c r="Y593" s="4"/>
      <c r="Z593" s="4"/>
      <c r="AA593" s="4"/>
      <c r="AB593" s="4"/>
      <c r="AC593" s="4"/>
      <c r="AD593" s="4"/>
      <c r="AE593" s="4"/>
      <c r="AF593" s="81"/>
      <c r="AG593" s="81"/>
      <c r="AH593" s="81"/>
      <c r="AI593" s="4"/>
      <c r="AJ593" s="81"/>
      <c r="AK593" s="81"/>
      <c r="AL593" s="81"/>
      <c r="AM593" s="43">
        <v>577</v>
      </c>
      <c r="AN593">
        <v>268.08410677411962</v>
      </c>
      <c r="AO593">
        <v>99.60564435358333</v>
      </c>
      <c r="AP593">
        <v>727.1800109157291</v>
      </c>
      <c r="AQ593">
        <v>523.89608225473796</v>
      </c>
      <c r="AR593">
        <v>89.270300695015436</v>
      </c>
      <c r="AS593">
        <v>679.66947126366938</v>
      </c>
      <c r="AT593">
        <v>48.304291223444402</v>
      </c>
      <c r="AU593">
        <v>70.452267238848549</v>
      </c>
      <c r="AV593"/>
      <c r="AW593"/>
      <c r="FY593" s="211">
        <v>588</v>
      </c>
      <c r="FZ593">
        <v>29.603619722221488</v>
      </c>
      <c r="GA593">
        <v>52.379115019211739</v>
      </c>
      <c r="GB593">
        <v>84.324939691436555</v>
      </c>
      <c r="GC593">
        <v>55.043051066368925</v>
      </c>
      <c r="GD593">
        <v>17.383160507190837</v>
      </c>
      <c r="GE593">
        <v>36.737422579910081</v>
      </c>
      <c r="GF593">
        <v>75.087344415519667</v>
      </c>
      <c r="GG593">
        <v>58.936620394120538</v>
      </c>
      <c r="GH593">
        <v>37.864391035551584</v>
      </c>
      <c r="GI593">
        <v>57.132299339597488</v>
      </c>
      <c r="GJ593"/>
      <c r="GK593"/>
      <c r="GL593"/>
      <c r="GM593"/>
    </row>
    <row r="594" spans="1:195" s="7" customFormat="1">
      <c r="A594" s="4"/>
      <c r="B594" s="4"/>
      <c r="C594" s="4"/>
      <c r="D594" s="4"/>
      <c r="E594" s="4"/>
      <c r="F594" s="4"/>
      <c r="G594" s="4"/>
      <c r="H594" s="4"/>
      <c r="I594" s="4"/>
      <c r="J594" s="4"/>
      <c r="K594" s="4"/>
      <c r="L594" s="4"/>
      <c r="M594" s="4"/>
      <c r="N594" s="4"/>
      <c r="O594" s="4"/>
      <c r="P594" s="4"/>
      <c r="Q594" s="4"/>
      <c r="R594" s="4"/>
      <c r="S594" s="4"/>
      <c r="T594" s="4"/>
      <c r="U594" s="4"/>
      <c r="V594" s="4"/>
      <c r="W594" s="4"/>
      <c r="X594" s="4"/>
      <c r="Y594" s="4"/>
      <c r="Z594" s="4"/>
      <c r="AA594" s="4"/>
      <c r="AB594" s="4"/>
      <c r="AC594" s="4"/>
      <c r="AD594" s="4"/>
      <c r="AE594" s="4"/>
      <c r="AF594" s="81"/>
      <c r="AG594" s="81"/>
      <c r="AH594" s="81"/>
      <c r="AI594" s="4"/>
      <c r="AJ594" s="81"/>
      <c r="AK594" s="81"/>
      <c r="AL594" s="81"/>
      <c r="AM594" s="43">
        <v>578</v>
      </c>
      <c r="AN594">
        <v>233.59349719574698</v>
      </c>
      <c r="AO594">
        <v>86.73949963033553</v>
      </c>
      <c r="AP594">
        <v>616.48927626052171</v>
      </c>
      <c r="AQ594">
        <v>446.46424249512938</v>
      </c>
      <c r="AR594">
        <v>77.388031038241351</v>
      </c>
      <c r="AS594">
        <v>669.68521497109077</v>
      </c>
      <c r="AT594" t="e">
        <v>#DIV/0!</v>
      </c>
      <c r="AU594" t="e">
        <v>#DIV/0!</v>
      </c>
      <c r="AV594"/>
      <c r="AW594"/>
      <c r="FY594" s="211">
        <v>589</v>
      </c>
      <c r="FZ594">
        <v>4.5477176328948934</v>
      </c>
      <c r="GA594">
        <v>41.738501601725375</v>
      </c>
      <c r="GB594">
        <v>67.784036349360463</v>
      </c>
      <c r="GC594">
        <v>34.734266643106196</v>
      </c>
      <c r="GD594">
        <v>18.508418685271419</v>
      </c>
      <c r="GE594">
        <v>58.96683266833211</v>
      </c>
      <c r="GF594">
        <v>98.996007053384361</v>
      </c>
      <c r="GG594">
        <v>55.460418696739865</v>
      </c>
      <c r="GH594">
        <v>20.831393293723607</v>
      </c>
      <c r="GI594">
        <v>53.375990601156687</v>
      </c>
      <c r="GJ594"/>
      <c r="GK594"/>
      <c r="GL594"/>
      <c r="GM594"/>
    </row>
    <row r="595" spans="1:195" s="7" customFormat="1">
      <c r="A595" s="4"/>
      <c r="B595" s="4"/>
      <c r="C595" s="4"/>
      <c r="D595" s="4"/>
      <c r="E595" s="4"/>
      <c r="F595" s="4"/>
      <c r="G595" s="4"/>
      <c r="H595" s="4"/>
      <c r="I595" s="4"/>
      <c r="J595" s="4"/>
      <c r="K595" s="4"/>
      <c r="L595" s="4"/>
      <c r="M595" s="4"/>
      <c r="N595" s="4"/>
      <c r="O595" s="4"/>
      <c r="P595" s="4"/>
      <c r="Q595" s="4"/>
      <c r="R595" s="4"/>
      <c r="S595" s="4"/>
      <c r="T595" s="4"/>
      <c r="U595" s="4"/>
      <c r="V595" s="4"/>
      <c r="W595" s="4"/>
      <c r="X595" s="4"/>
      <c r="Y595" s="4"/>
      <c r="Z595" s="4"/>
      <c r="AA595" s="4"/>
      <c r="AB595" s="4"/>
      <c r="AC595" s="4"/>
      <c r="AD595" s="4"/>
      <c r="AE595" s="4"/>
      <c r="AF595" s="81"/>
      <c r="AG595" s="81"/>
      <c r="AH595" s="81"/>
      <c r="AI595" s="4"/>
      <c r="AJ595" s="81"/>
      <c r="AK595" s="81"/>
      <c r="AL595" s="81"/>
      <c r="AM595" s="43">
        <v>579</v>
      </c>
      <c r="AN595">
        <v>288.20214092378887</v>
      </c>
      <c r="AO595">
        <v>81.644766459643819</v>
      </c>
      <c r="AP595">
        <v>547.52192648344226</v>
      </c>
      <c r="AQ595">
        <v>433.08923887811022</v>
      </c>
      <c r="AR595">
        <v>72.375496376836438</v>
      </c>
      <c r="AS595">
        <v>638.53809061712741</v>
      </c>
      <c r="AT595">
        <v>38.5522878633614</v>
      </c>
      <c r="AU595">
        <v>45.26302682965698</v>
      </c>
      <c r="AV595"/>
      <c r="AW595"/>
      <c r="FY595" s="211">
        <v>590</v>
      </c>
      <c r="FZ595">
        <v>19.499747533052165</v>
      </c>
      <c r="GA595">
        <v>49.945721393752493</v>
      </c>
      <c r="GB595">
        <v>58.688993225490101</v>
      </c>
      <c r="GC595">
        <v>33.487743671588561</v>
      </c>
      <c r="GD595">
        <v>17.370609862538775</v>
      </c>
      <c r="GE595">
        <v>42.536159387574116</v>
      </c>
      <c r="GF595">
        <v>48.86927209362522</v>
      </c>
      <c r="GG595">
        <v>40.799457843731311</v>
      </c>
      <c r="GH595">
        <v>41.129974701372532</v>
      </c>
      <c r="GI595">
        <v>46.420067211374217</v>
      </c>
      <c r="GJ595"/>
      <c r="GK595"/>
      <c r="GL595"/>
      <c r="GM595"/>
    </row>
    <row r="596" spans="1:195" s="7" customFormat="1">
      <c r="A596" s="4"/>
      <c r="B596" s="4"/>
      <c r="C596" s="4"/>
      <c r="D596" s="4"/>
      <c r="E596" s="4"/>
      <c r="F596" s="4"/>
      <c r="G596" s="4"/>
      <c r="H596" s="4"/>
      <c r="I596" s="4"/>
      <c r="J596" s="4"/>
      <c r="K596" s="4"/>
      <c r="L596" s="4"/>
      <c r="M596" s="4"/>
      <c r="N596" s="4"/>
      <c r="O596" s="4"/>
      <c r="P596" s="4"/>
      <c r="Q596" s="4"/>
      <c r="R596" s="4"/>
      <c r="S596" s="4"/>
      <c r="T596" s="4"/>
      <c r="U596" s="4"/>
      <c r="V596" s="4"/>
      <c r="W596" s="4"/>
      <c r="X596" s="4"/>
      <c r="Y596" s="4"/>
      <c r="Z596" s="4"/>
      <c r="AA596" s="4"/>
      <c r="AB596" s="4"/>
      <c r="AC596" s="4"/>
      <c r="AD596" s="4"/>
      <c r="AE596" s="4"/>
      <c r="AF596" s="81"/>
      <c r="AG596" s="81"/>
      <c r="AH596" s="81"/>
      <c r="AI596" s="4"/>
      <c r="AJ596" s="81"/>
      <c r="AK596" s="81"/>
      <c r="AL596" s="81"/>
      <c r="AM596" s="43">
        <v>580</v>
      </c>
      <c r="AN596">
        <v>270.79834652529007</v>
      </c>
      <c r="AO596">
        <v>86.42005657588183</v>
      </c>
      <c r="AP596">
        <v>643.43431074723708</v>
      </c>
      <c r="AQ596">
        <v>467.96596837756039</v>
      </c>
      <c r="AR596">
        <v>78.252144800811337</v>
      </c>
      <c r="AS596">
        <v>667.37586491252478</v>
      </c>
      <c r="AT596">
        <v>40.859960790883449</v>
      </c>
      <c r="AU596">
        <v>37.309434105155596</v>
      </c>
      <c r="AV596"/>
      <c r="AW596"/>
      <c r="FY596" s="211">
        <v>591</v>
      </c>
      <c r="FZ596">
        <v>13.911960133413572</v>
      </c>
      <c r="GA596">
        <v>34.124500114033005</v>
      </c>
      <c r="GB596">
        <v>51.602819787979875</v>
      </c>
      <c r="GC596">
        <v>30.344162175956772</v>
      </c>
      <c r="GD596">
        <v>18.389290359034231</v>
      </c>
      <c r="GE596">
        <v>42.863447247922203</v>
      </c>
      <c r="GF596">
        <v>79.753937009391123</v>
      </c>
      <c r="GG596">
        <v>68.917403363746843</v>
      </c>
      <c r="GH596">
        <v>31.288605981338552</v>
      </c>
      <c r="GI596">
        <v>48.196175562701967</v>
      </c>
      <c r="GJ596"/>
      <c r="GK596"/>
      <c r="GL596"/>
      <c r="GM596"/>
    </row>
    <row r="597" spans="1:195" s="7" customFormat="1">
      <c r="A597" s="4"/>
      <c r="B597" s="4"/>
      <c r="C597" s="4"/>
      <c r="D597" s="4"/>
      <c r="E597" s="4"/>
      <c r="F597" s="4"/>
      <c r="G597" s="4"/>
      <c r="H597" s="4"/>
      <c r="I597" s="4"/>
      <c r="J597" s="4"/>
      <c r="K597" s="4"/>
      <c r="L597" s="4"/>
      <c r="M597" s="4"/>
      <c r="N597" s="4"/>
      <c r="O597" s="4"/>
      <c r="P597" s="4"/>
      <c r="Q597" s="4"/>
      <c r="R597" s="4"/>
      <c r="S597" s="4"/>
      <c r="T597" s="4"/>
      <c r="U597" s="4"/>
      <c r="V597" s="4"/>
      <c r="W597" s="4"/>
      <c r="X597" s="4"/>
      <c r="Y597" s="4"/>
      <c r="Z597" s="4"/>
      <c r="AA597" s="4"/>
      <c r="AB597" s="4"/>
      <c r="AC597" s="4"/>
      <c r="AD597" s="4"/>
      <c r="AE597" s="4"/>
      <c r="AF597" s="81"/>
      <c r="AG597" s="81"/>
      <c r="AH597" s="81"/>
      <c r="AI597" s="4"/>
      <c r="AJ597" s="81"/>
      <c r="AK597" s="81"/>
      <c r="AL597" s="81"/>
      <c r="AM597" s="43">
        <v>581</v>
      </c>
      <c r="AN597">
        <v>197.14857687090029</v>
      </c>
      <c r="AO597">
        <v>65.356134986061633</v>
      </c>
      <c r="AP597">
        <v>519.21624260638384</v>
      </c>
      <c r="AQ597">
        <v>387.46392294260232</v>
      </c>
      <c r="AR597">
        <v>59.886242091754333</v>
      </c>
      <c r="AS597">
        <v>521.71838050276824</v>
      </c>
      <c r="AT597">
        <v>33.978536209117188</v>
      </c>
      <c r="AU597">
        <v>75.801030334686672</v>
      </c>
      <c r="AV597"/>
      <c r="AW597"/>
      <c r="FY597" s="211">
        <v>592</v>
      </c>
      <c r="FZ597">
        <v>11.697490191575728</v>
      </c>
      <c r="GA597">
        <v>44.052222717050235</v>
      </c>
      <c r="GB597">
        <v>72.79983702431592</v>
      </c>
      <c r="GC597">
        <v>43.00801114749639</v>
      </c>
      <c r="GD597">
        <v>15.75648518202075</v>
      </c>
      <c r="GE597">
        <v>56.743140090455611</v>
      </c>
      <c r="GF597">
        <v>107.05240408143909</v>
      </c>
      <c r="GG597">
        <v>45.905932070995036</v>
      </c>
      <c r="GH597">
        <v>18.356832195660395</v>
      </c>
      <c r="GI597">
        <v>54.581076774382858</v>
      </c>
      <c r="GJ597"/>
      <c r="GK597"/>
      <c r="GL597"/>
      <c r="GM597"/>
    </row>
    <row r="598" spans="1:195" s="7" customFormat="1">
      <c r="A598" s="4"/>
      <c r="B598" s="4"/>
      <c r="C598" s="4"/>
      <c r="D598" s="4"/>
      <c r="E598" s="4"/>
      <c r="F598" s="4"/>
      <c r="G598" s="4"/>
      <c r="H598" s="4"/>
      <c r="I598" s="4"/>
      <c r="J598" s="4"/>
      <c r="K598" s="4"/>
      <c r="L598" s="4"/>
      <c r="M598" s="4"/>
      <c r="N598" s="4"/>
      <c r="O598" s="4"/>
      <c r="P598" s="4"/>
      <c r="Q598" s="4"/>
      <c r="R598" s="4"/>
      <c r="S598" s="4"/>
      <c r="T598" s="4"/>
      <c r="U598" s="4"/>
      <c r="V598" s="4"/>
      <c r="W598" s="4"/>
      <c r="X598" s="4"/>
      <c r="Y598" s="4"/>
      <c r="Z598" s="4"/>
      <c r="AA598" s="4"/>
      <c r="AB598" s="4"/>
      <c r="AC598" s="4"/>
      <c r="AD598" s="4"/>
      <c r="AE598" s="4"/>
      <c r="AF598" s="81"/>
      <c r="AG598" s="81"/>
      <c r="AH598" s="81"/>
      <c r="AI598" s="4"/>
      <c r="AJ598" s="81"/>
      <c r="AK598" s="81"/>
      <c r="AL598" s="81"/>
      <c r="AM598" s="43">
        <v>582</v>
      </c>
      <c r="AN598">
        <v>239.04581321168945</v>
      </c>
      <c r="AO598">
        <v>87.701021019229501</v>
      </c>
      <c r="AP598">
        <v>591.31050174451843</v>
      </c>
      <c r="AQ598">
        <v>466.31931179084535</v>
      </c>
      <c r="AR598">
        <v>80.24816602426796</v>
      </c>
      <c r="AS598">
        <v>644.07007512300538</v>
      </c>
      <c r="AT598">
        <v>44.599415019507937</v>
      </c>
      <c r="AU598">
        <v>88.272551945660837</v>
      </c>
      <c r="AV598"/>
      <c r="AW598"/>
      <c r="FY598" s="211">
        <v>593</v>
      </c>
      <c r="FZ598">
        <v>38.927812360006243</v>
      </c>
      <c r="GA598">
        <v>84.101693301668092</v>
      </c>
      <c r="GB598">
        <v>72.645371219651267</v>
      </c>
      <c r="GC598">
        <v>43.065164141008005</v>
      </c>
      <c r="GD598">
        <v>27.553782596897104</v>
      </c>
      <c r="GE598">
        <v>56.054085581733958</v>
      </c>
      <c r="GF598">
        <v>106.87803887421356</v>
      </c>
      <c r="GG598">
        <v>70.274717359490225</v>
      </c>
      <c r="GH598">
        <v>8.6602978954765479</v>
      </c>
      <c r="GI598">
        <v>65.314805009959983</v>
      </c>
      <c r="GJ598"/>
      <c r="GK598"/>
      <c r="GL598"/>
      <c r="GM598"/>
    </row>
    <row r="599" spans="1:195" s="7" customFormat="1">
      <c r="A599" s="4"/>
      <c r="B599" s="4"/>
      <c r="C599" s="4"/>
      <c r="D599" s="4"/>
      <c r="E599" s="4"/>
      <c r="F599" s="4"/>
      <c r="G599" s="4"/>
      <c r="H599" s="4"/>
      <c r="I599" s="4"/>
      <c r="J599" s="4"/>
      <c r="K599" s="4"/>
      <c r="L599" s="4"/>
      <c r="M599" s="4"/>
      <c r="N599" s="4"/>
      <c r="O599" s="4"/>
      <c r="P599" s="4"/>
      <c r="Q599" s="4"/>
      <c r="R599" s="4"/>
      <c r="S599" s="4"/>
      <c r="T599" s="4"/>
      <c r="U599" s="4"/>
      <c r="V599" s="4"/>
      <c r="W599" s="4"/>
      <c r="X599" s="4"/>
      <c r="Y599" s="4"/>
      <c r="Z599" s="4"/>
      <c r="AA599" s="4"/>
      <c r="AB599" s="4"/>
      <c r="AC599" s="4"/>
      <c r="AD599" s="4"/>
      <c r="AE599" s="4"/>
      <c r="AF599" s="81"/>
      <c r="AG599" s="81"/>
      <c r="AH599" s="81"/>
      <c r="AI599" s="4"/>
      <c r="AJ599" s="81"/>
      <c r="AK599" s="81"/>
      <c r="AL599" s="81"/>
      <c r="AM599" s="43">
        <v>583</v>
      </c>
      <c r="AN599">
        <v>260.1649776763627</v>
      </c>
      <c r="AO599">
        <v>78.987353603280383</v>
      </c>
      <c r="AP599">
        <v>603.63618964045975</v>
      </c>
      <c r="AQ599">
        <v>448.55543649384708</v>
      </c>
      <c r="AR599">
        <v>69.854437785965686</v>
      </c>
      <c r="AS599">
        <v>614.21993547516661</v>
      </c>
      <c r="AT599">
        <v>39.296882548140253</v>
      </c>
      <c r="AU599">
        <v>70.696489688354319</v>
      </c>
      <c r="AV599"/>
      <c r="AW599"/>
      <c r="FY599" s="211">
        <v>594</v>
      </c>
      <c r="FZ599">
        <v>12.861801780098602</v>
      </c>
      <c r="GA599">
        <v>46.067311183817033</v>
      </c>
      <c r="GB599">
        <v>79.052360211516103</v>
      </c>
      <c r="GC599">
        <v>46.571705861191674</v>
      </c>
      <c r="GD599">
        <v>16.506339311227862</v>
      </c>
      <c r="GE599">
        <v>31.593303200763472</v>
      </c>
      <c r="GF599">
        <v>96.529893299196956</v>
      </c>
      <c r="GG599">
        <v>66.977422694283902</v>
      </c>
      <c r="GH599">
        <v>6.3252659759878807</v>
      </c>
      <c r="GI599">
        <v>53.180635729751003</v>
      </c>
      <c r="GJ599"/>
      <c r="GK599"/>
      <c r="GL599"/>
      <c r="GM599"/>
    </row>
    <row r="600" spans="1:195" s="7" customFormat="1">
      <c r="A600" s="4"/>
      <c r="B600" s="4"/>
      <c r="C600" s="4"/>
      <c r="D600" s="4"/>
      <c r="E600" s="4"/>
      <c r="F600" s="4"/>
      <c r="G600" s="4"/>
      <c r="H600" s="4"/>
      <c r="I600" s="4"/>
      <c r="J600" s="4"/>
      <c r="K600" s="4"/>
      <c r="L600" s="4"/>
      <c r="M600" s="4"/>
      <c r="N600" s="4"/>
      <c r="O600" s="4"/>
      <c r="P600" s="4"/>
      <c r="Q600" s="4"/>
      <c r="R600" s="4"/>
      <c r="S600" s="4"/>
      <c r="T600" s="4"/>
      <c r="U600" s="4"/>
      <c r="V600" s="4"/>
      <c r="W600" s="4"/>
      <c r="X600" s="4"/>
      <c r="Y600" s="4"/>
      <c r="Z600" s="4"/>
      <c r="AA600" s="4"/>
      <c r="AB600" s="4"/>
      <c r="AC600" s="4"/>
      <c r="AD600" s="4"/>
      <c r="AE600" s="4"/>
      <c r="AF600" s="81"/>
      <c r="AG600" s="81"/>
      <c r="AH600" s="81"/>
      <c r="AI600" s="4"/>
      <c r="AJ600" s="81"/>
      <c r="AK600" s="81"/>
      <c r="AL600" s="81"/>
      <c r="AM600" s="43">
        <v>584</v>
      </c>
      <c r="AN600">
        <v>245.510727999832</v>
      </c>
      <c r="AO600">
        <v>78.431182604919556</v>
      </c>
      <c r="AP600">
        <v>546.78921100839739</v>
      </c>
      <c r="AQ600">
        <v>407.72288846084172</v>
      </c>
      <c r="AR600">
        <v>70.040320205414915</v>
      </c>
      <c r="AS600">
        <v>613.8815231562952</v>
      </c>
      <c r="AT600" t="e">
        <v>#DIV/0!</v>
      </c>
      <c r="AU600" t="e">
        <v>#DIV/0!</v>
      </c>
      <c r="AV600"/>
      <c r="AW600"/>
      <c r="FY600" s="211">
        <v>595</v>
      </c>
      <c r="FZ600">
        <v>14.381905307600647</v>
      </c>
      <c r="GA600">
        <v>40.686082538601887</v>
      </c>
      <c r="GB600">
        <v>73.203045393361577</v>
      </c>
      <c r="GC600">
        <v>49.285819725059739</v>
      </c>
      <c r="GD600">
        <v>19.363696468606221</v>
      </c>
      <c r="GE600">
        <v>23.347856702757223</v>
      </c>
      <c r="GF600">
        <v>33.18450353870152</v>
      </c>
      <c r="GG600">
        <v>31.731423927520382</v>
      </c>
      <c r="GH600">
        <v>21.832199417821759</v>
      </c>
      <c r="GI600">
        <v>42.236591405321825</v>
      </c>
      <c r="GJ600"/>
      <c r="GK600"/>
      <c r="GL600"/>
      <c r="GM600"/>
    </row>
    <row r="601" spans="1:195" s="7" customFormat="1">
      <c r="A601" s="4"/>
      <c r="B601" s="4"/>
      <c r="C601" s="4"/>
      <c r="D601" s="4"/>
      <c r="E601" s="4"/>
      <c r="F601" s="4"/>
      <c r="G601" s="4"/>
      <c r="H601" s="4"/>
      <c r="I601" s="4"/>
      <c r="J601" s="4"/>
      <c r="K601" s="4"/>
      <c r="L601" s="4"/>
      <c r="M601" s="4"/>
      <c r="N601" s="4"/>
      <c r="O601" s="4"/>
      <c r="P601" s="4"/>
      <c r="Q601" s="4"/>
      <c r="R601" s="4"/>
      <c r="S601" s="4"/>
      <c r="T601" s="4"/>
      <c r="U601" s="4"/>
      <c r="V601" s="4"/>
      <c r="W601" s="4"/>
      <c r="X601" s="4"/>
      <c r="Y601" s="4"/>
      <c r="Z601" s="4"/>
      <c r="AA601" s="4"/>
      <c r="AB601" s="4"/>
      <c r="AC601" s="4"/>
      <c r="AD601" s="4"/>
      <c r="AE601" s="4"/>
      <c r="AF601" s="81"/>
      <c r="AG601" s="81"/>
      <c r="AH601" s="81"/>
      <c r="AI601" s="4"/>
      <c r="AJ601" s="81"/>
      <c r="AK601" s="81"/>
      <c r="AL601" s="81"/>
      <c r="AM601" s="43">
        <v>585</v>
      </c>
      <c r="AN601">
        <v>245.78602731393488</v>
      </c>
      <c r="AO601">
        <v>83.880592949848932</v>
      </c>
      <c r="AP601">
        <v>635.31119272465298</v>
      </c>
      <c r="AQ601">
        <v>448.22495410951581</v>
      </c>
      <c r="AR601">
        <v>75.412455181416178</v>
      </c>
      <c r="AS601">
        <v>605.06066323847438</v>
      </c>
      <c r="AT601">
        <v>42.660658867059119</v>
      </c>
      <c r="AU601">
        <v>110.72789063758033</v>
      </c>
      <c r="AV601"/>
      <c r="AW601"/>
      <c r="FY601" s="211">
        <v>596</v>
      </c>
      <c r="FZ601">
        <v>28.130876456598017</v>
      </c>
      <c r="GA601">
        <v>68.779306114529859</v>
      </c>
      <c r="GB601">
        <v>73.052549672994957</v>
      </c>
      <c r="GC601">
        <v>38.521451576392636</v>
      </c>
      <c r="GD601">
        <v>16.529705227168755</v>
      </c>
      <c r="GE601">
        <v>52.242777878780515</v>
      </c>
      <c r="GF601">
        <v>68.637680365353091</v>
      </c>
      <c r="GG601">
        <v>29.960680741791197</v>
      </c>
      <c r="GH601">
        <v>22.333027641506426</v>
      </c>
      <c r="GI601">
        <v>50.054220554607895</v>
      </c>
      <c r="GJ601"/>
      <c r="GK601"/>
      <c r="GL601"/>
      <c r="GM601"/>
    </row>
    <row r="602" spans="1:195" s="7" customFormat="1">
      <c r="A602" s="4"/>
      <c r="B602" s="4"/>
      <c r="C602" s="4"/>
      <c r="D602" s="4"/>
      <c r="E602" s="4"/>
      <c r="F602" s="4"/>
      <c r="G602" s="4"/>
      <c r="H602" s="4"/>
      <c r="I602" s="4"/>
      <c r="J602" s="4"/>
      <c r="K602" s="4"/>
      <c r="L602" s="4"/>
      <c r="M602" s="4"/>
      <c r="N602" s="4"/>
      <c r="O602" s="4"/>
      <c r="P602" s="4"/>
      <c r="Q602" s="4"/>
      <c r="R602" s="4"/>
      <c r="S602" s="4"/>
      <c r="T602" s="4"/>
      <c r="U602" s="4"/>
      <c r="V602" s="4"/>
      <c r="W602" s="4"/>
      <c r="X602" s="4"/>
      <c r="Y602" s="4"/>
      <c r="Z602" s="4"/>
      <c r="AA602" s="4"/>
      <c r="AB602" s="4"/>
      <c r="AC602" s="4"/>
      <c r="AD602" s="4"/>
      <c r="AE602" s="4"/>
      <c r="AF602" s="81"/>
      <c r="AG602" s="81"/>
      <c r="AH602" s="81"/>
      <c r="AI602" s="4"/>
      <c r="AJ602" s="81"/>
      <c r="AK602" s="81"/>
      <c r="AL602" s="81"/>
      <c r="AM602" s="43">
        <v>586</v>
      </c>
      <c r="AN602">
        <v>248.76850199483971</v>
      </c>
      <c r="AO602">
        <v>93.828559376177779</v>
      </c>
      <c r="AP602">
        <v>617.87636905465172</v>
      </c>
      <c r="AQ602">
        <v>475.87684718895861</v>
      </c>
      <c r="AR602">
        <v>84.866419281620324</v>
      </c>
      <c r="AS602">
        <v>645.04743760779013</v>
      </c>
      <c r="AT602">
        <v>46.980730751535816</v>
      </c>
      <c r="AU602">
        <v>102.33839089111856</v>
      </c>
      <c r="AV602"/>
      <c r="AW602"/>
      <c r="FY602" s="211">
        <v>597</v>
      </c>
      <c r="FZ602">
        <v>32.55902540442456</v>
      </c>
      <c r="GA602">
        <v>66.799134253732063</v>
      </c>
      <c r="GB602">
        <v>89.237742103371474</v>
      </c>
      <c r="GC602">
        <v>54.579903882614161</v>
      </c>
      <c r="GD602">
        <v>31.354878796896429</v>
      </c>
      <c r="GE602">
        <v>50.363423784137915</v>
      </c>
      <c r="GF602">
        <v>39.501713046034382</v>
      </c>
      <c r="GG602">
        <v>35.677897180823891</v>
      </c>
      <c r="GH602">
        <v>22.412763246527199</v>
      </c>
      <c r="GI602">
        <v>58.184350757768101</v>
      </c>
      <c r="GJ602"/>
      <c r="GK602"/>
      <c r="GL602"/>
      <c r="GM602"/>
    </row>
    <row r="603" spans="1:195" s="7" customFormat="1">
      <c r="A603" s="4"/>
      <c r="B603" s="4"/>
      <c r="C603" s="4"/>
      <c r="D603" s="4"/>
      <c r="E603" s="4"/>
      <c r="F603" s="4"/>
      <c r="G603" s="4"/>
      <c r="H603" s="4"/>
      <c r="I603" s="4"/>
      <c r="J603" s="4"/>
      <c r="K603" s="4"/>
      <c r="L603" s="4"/>
      <c r="M603" s="4"/>
      <c r="N603" s="4"/>
      <c r="O603" s="4"/>
      <c r="P603" s="4"/>
      <c r="Q603" s="4"/>
      <c r="R603" s="4"/>
      <c r="S603" s="4"/>
      <c r="T603" s="4"/>
      <c r="U603" s="4"/>
      <c r="V603" s="4"/>
      <c r="W603" s="4"/>
      <c r="X603" s="4"/>
      <c r="Y603" s="4"/>
      <c r="Z603" s="4"/>
      <c r="AA603" s="4"/>
      <c r="AB603" s="4"/>
      <c r="AC603" s="4"/>
      <c r="AD603" s="4"/>
      <c r="AE603" s="4"/>
      <c r="AF603" s="81"/>
      <c r="AG603" s="81"/>
      <c r="AH603" s="81"/>
      <c r="AI603" s="4"/>
      <c r="AJ603" s="81"/>
      <c r="AK603" s="81"/>
      <c r="AL603" s="81"/>
      <c r="AM603" s="43">
        <v>587</v>
      </c>
      <c r="AN603">
        <v>304.4910872226518</v>
      </c>
      <c r="AO603">
        <v>100.4689353793342</v>
      </c>
      <c r="AP603">
        <v>691.05549317623502</v>
      </c>
      <c r="AQ603">
        <v>521.45558107817556</v>
      </c>
      <c r="AR603">
        <v>89.83600275989852</v>
      </c>
      <c r="AS603">
        <v>710.83985071546431</v>
      </c>
      <c r="AT603">
        <v>48.263162262446315</v>
      </c>
      <c r="AU603">
        <v>105.17067527888537</v>
      </c>
      <c r="AV603"/>
      <c r="AW603"/>
      <c r="FY603" s="211">
        <v>598</v>
      </c>
      <c r="FZ603">
        <v>19.974476001532082</v>
      </c>
      <c r="GA603">
        <v>73.486084773652081</v>
      </c>
      <c r="GB603">
        <v>93.853865233317038</v>
      </c>
      <c r="GC603">
        <v>49.976155005753846</v>
      </c>
      <c r="GD603">
        <v>16.940145125830227</v>
      </c>
      <c r="GE603">
        <v>36.184984256756394</v>
      </c>
      <c r="GF603">
        <v>46.284227329888559</v>
      </c>
      <c r="GG603">
        <v>29.368824318555454</v>
      </c>
      <c r="GH603">
        <v>29.456448446771098</v>
      </c>
      <c r="GI603">
        <v>51.32547281083626</v>
      </c>
      <c r="GJ603"/>
      <c r="GK603"/>
      <c r="GL603"/>
      <c r="GM603"/>
    </row>
    <row r="604" spans="1:195" s="7" customFormat="1">
      <c r="A604" s="4"/>
      <c r="B604" s="4"/>
      <c r="C604" s="4"/>
      <c r="D604" s="4"/>
      <c r="E604" s="4"/>
      <c r="F604" s="4"/>
      <c r="G604" s="4"/>
      <c r="H604" s="4"/>
      <c r="I604" s="4"/>
      <c r="J604" s="4"/>
      <c r="K604" s="4"/>
      <c r="L604" s="4"/>
      <c r="M604" s="4"/>
      <c r="N604" s="4"/>
      <c r="O604" s="4"/>
      <c r="P604" s="4"/>
      <c r="Q604" s="4"/>
      <c r="R604" s="4"/>
      <c r="S604" s="4"/>
      <c r="T604" s="4"/>
      <c r="U604" s="4"/>
      <c r="V604" s="4"/>
      <c r="W604" s="4"/>
      <c r="X604" s="4"/>
      <c r="Y604" s="4"/>
      <c r="Z604" s="4"/>
      <c r="AA604" s="4"/>
      <c r="AB604" s="4"/>
      <c r="AC604" s="4"/>
      <c r="AD604" s="4"/>
      <c r="AE604" s="4"/>
      <c r="AF604" s="81"/>
      <c r="AG604" s="81"/>
      <c r="AH604" s="81"/>
      <c r="AI604" s="4"/>
      <c r="AJ604" s="81"/>
      <c r="AK604" s="81"/>
      <c r="AL604" s="81"/>
      <c r="AM604" s="43">
        <v>588</v>
      </c>
      <c r="AN604">
        <v>242.84288134128624</v>
      </c>
      <c r="AO604">
        <v>89.898201777909179</v>
      </c>
      <c r="AP604">
        <v>669.67505805920632</v>
      </c>
      <c r="AQ604">
        <v>504.49196377112889</v>
      </c>
      <c r="AR604">
        <v>81.361694045285745</v>
      </c>
      <c r="AS604">
        <v>692.00206921344216</v>
      </c>
      <c r="AT604">
        <v>46.452332371674949</v>
      </c>
      <c r="AU604">
        <v>50.940438188584423</v>
      </c>
      <c r="AV604"/>
      <c r="AW604"/>
      <c r="FY604" s="211">
        <v>599</v>
      </c>
      <c r="FZ604">
        <v>14.968738191565357</v>
      </c>
      <c r="GA604">
        <v>55.637097163751562</v>
      </c>
      <c r="GB604">
        <v>81.198092735508354</v>
      </c>
      <c r="GC604">
        <v>41.150400153364068</v>
      </c>
      <c r="GD604">
        <v>11.889887032401191</v>
      </c>
      <c r="GE604">
        <v>33.376028411620204</v>
      </c>
      <c r="GF604">
        <v>71.891721960440663</v>
      </c>
      <c r="GG604">
        <v>33.553687890575823</v>
      </c>
      <c r="GH604">
        <v>1.1972011685190063</v>
      </c>
      <c r="GI604">
        <v>46.050802127787158</v>
      </c>
      <c r="GJ604"/>
      <c r="GK604"/>
      <c r="GL604"/>
      <c r="GM604"/>
    </row>
    <row r="605" spans="1:195" s="7" customFormat="1">
      <c r="A605" s="4"/>
      <c r="B605" s="4"/>
      <c r="C605" s="4"/>
      <c r="D605" s="4"/>
      <c r="E605" s="4"/>
      <c r="F605" s="4"/>
      <c r="G605" s="4"/>
      <c r="H605" s="4"/>
      <c r="I605" s="4"/>
      <c r="J605" s="4"/>
      <c r="K605" s="4"/>
      <c r="L605" s="4"/>
      <c r="M605" s="4"/>
      <c r="N605" s="4"/>
      <c r="O605" s="4"/>
      <c r="P605" s="4"/>
      <c r="Q605" s="4"/>
      <c r="R605" s="4"/>
      <c r="S605" s="4"/>
      <c r="T605" s="4"/>
      <c r="U605" s="4"/>
      <c r="V605" s="4"/>
      <c r="W605" s="4"/>
      <c r="X605" s="4"/>
      <c r="Y605" s="4"/>
      <c r="Z605" s="4"/>
      <c r="AA605" s="4"/>
      <c r="AB605" s="4"/>
      <c r="AC605" s="4"/>
      <c r="AD605" s="4"/>
      <c r="AE605" s="4"/>
      <c r="AF605" s="81"/>
      <c r="AG605" s="81"/>
      <c r="AH605" s="81"/>
      <c r="AI605" s="4"/>
      <c r="AJ605" s="81"/>
      <c r="AK605" s="81"/>
      <c r="AL605" s="81"/>
      <c r="AM605" s="43">
        <v>589</v>
      </c>
      <c r="AN605">
        <v>249.42927914384276</v>
      </c>
      <c r="AO605">
        <v>84.66529255917186</v>
      </c>
      <c r="AP605">
        <v>620.50646618594078</v>
      </c>
      <c r="AQ605">
        <v>454.94358322569497</v>
      </c>
      <c r="AR605">
        <v>75.300432473835912</v>
      </c>
      <c r="AS605">
        <v>597.38979536455747</v>
      </c>
      <c r="AT605">
        <v>39.976920687266436</v>
      </c>
      <c r="AU605">
        <v>81.485330822076406</v>
      </c>
      <c r="AV605"/>
      <c r="AW605"/>
      <c r="FY605" s="211">
        <v>600</v>
      </c>
      <c r="FZ605">
        <v>15.364999326144424</v>
      </c>
      <c r="GA605">
        <v>47.404146283889972</v>
      </c>
      <c r="GB605">
        <v>82.00657426331739</v>
      </c>
      <c r="GC605">
        <v>45.254437841283476</v>
      </c>
      <c r="GD605">
        <v>18.662330881300949</v>
      </c>
      <c r="GE605">
        <v>37.527575679891363</v>
      </c>
      <c r="GF605">
        <v>65.027125670053422</v>
      </c>
      <c r="GG605">
        <v>51.173694161000505</v>
      </c>
      <c r="GH605">
        <v>19.274743287950415</v>
      </c>
      <c r="GI605">
        <v>51.425121974815028</v>
      </c>
      <c r="GJ605"/>
      <c r="GK605"/>
      <c r="GL605"/>
      <c r="GM605"/>
    </row>
    <row r="606" spans="1:195" s="7" customFormat="1">
      <c r="A606" s="4"/>
      <c r="B606" s="4"/>
      <c r="C606" s="4"/>
      <c r="D606" s="4"/>
      <c r="E606" s="4"/>
      <c r="F606" s="4"/>
      <c r="G606" s="4"/>
      <c r="H606" s="4"/>
      <c r="I606" s="4"/>
      <c r="J606" s="4"/>
      <c r="K606" s="4"/>
      <c r="L606" s="4"/>
      <c r="M606" s="4"/>
      <c r="N606" s="4"/>
      <c r="O606" s="4"/>
      <c r="P606" s="4"/>
      <c r="Q606" s="4"/>
      <c r="R606" s="4"/>
      <c r="S606" s="4"/>
      <c r="T606" s="4"/>
      <c r="U606" s="4"/>
      <c r="V606" s="4"/>
      <c r="W606" s="4"/>
      <c r="X606" s="4"/>
      <c r="Y606" s="4"/>
      <c r="Z606" s="4"/>
      <c r="AA606" s="4"/>
      <c r="AB606" s="4"/>
      <c r="AC606" s="4"/>
      <c r="AD606" s="4"/>
      <c r="AE606" s="4"/>
      <c r="AF606" s="81"/>
      <c r="AG606" s="81"/>
      <c r="AH606" s="81"/>
      <c r="AI606" s="4"/>
      <c r="AJ606" s="81"/>
      <c r="AK606" s="81"/>
      <c r="AL606" s="81"/>
      <c r="AM606" s="43">
        <v>590</v>
      </c>
      <c r="AN606">
        <v>209.95951327933281</v>
      </c>
      <c r="AO606">
        <v>74.799940133138449</v>
      </c>
      <c r="AP606">
        <v>543.94771994978112</v>
      </c>
      <c r="AQ606">
        <v>398.74774692409949</v>
      </c>
      <c r="AR606">
        <v>66.483194792264229</v>
      </c>
      <c r="AS606">
        <v>561.58554772136438</v>
      </c>
      <c r="AT606">
        <v>38.595078708507025</v>
      </c>
      <c r="AU606">
        <v>143.668041465572</v>
      </c>
      <c r="AV606"/>
      <c r="AW606"/>
      <c r="FY606" s="211">
        <v>601</v>
      </c>
      <c r="FZ606">
        <v>35.37707375463124</v>
      </c>
      <c r="GA606">
        <v>69.857889694971789</v>
      </c>
      <c r="GB606">
        <v>75.791887429546321</v>
      </c>
      <c r="GC606">
        <v>46.404062008579672</v>
      </c>
      <c r="GD606">
        <v>22.786769464894487</v>
      </c>
      <c r="GE606">
        <v>46.52778668553227</v>
      </c>
      <c r="GF606">
        <v>57.195127527362629</v>
      </c>
      <c r="GG606">
        <v>49.981109138477159</v>
      </c>
      <c r="GH606">
        <v>39.73626351714735</v>
      </c>
      <c r="GI606">
        <v>56.456042590471277</v>
      </c>
      <c r="GJ606"/>
      <c r="GK606"/>
      <c r="GL606"/>
      <c r="GM606"/>
    </row>
    <row r="607" spans="1:195" s="7" customFormat="1">
      <c r="A607" s="4"/>
      <c r="B607" s="4"/>
      <c r="C607" s="4"/>
      <c r="D607" s="4"/>
      <c r="E607" s="4"/>
      <c r="F607" s="4"/>
      <c r="G607" s="4"/>
      <c r="H607" s="4"/>
      <c r="I607" s="4"/>
      <c r="J607" s="4"/>
      <c r="K607" s="4"/>
      <c r="L607" s="4"/>
      <c r="M607" s="4"/>
      <c r="N607" s="4"/>
      <c r="O607" s="4"/>
      <c r="P607" s="4"/>
      <c r="Q607" s="4"/>
      <c r="R607" s="4"/>
      <c r="S607" s="4"/>
      <c r="T607" s="4"/>
      <c r="U607" s="4"/>
      <c r="V607" s="4"/>
      <c r="W607" s="4"/>
      <c r="X607" s="4"/>
      <c r="Y607" s="4"/>
      <c r="Z607" s="4"/>
      <c r="AA607" s="4"/>
      <c r="AB607" s="4"/>
      <c r="AC607" s="4"/>
      <c r="AD607" s="4"/>
      <c r="AE607" s="4"/>
      <c r="AF607" s="81"/>
      <c r="AG607" s="81"/>
      <c r="AH607" s="81"/>
      <c r="AI607" s="4"/>
      <c r="AJ607" s="81"/>
      <c r="AK607" s="81"/>
      <c r="AL607" s="81"/>
      <c r="AM607" s="43">
        <v>591</v>
      </c>
      <c r="AN607">
        <v>224.58913474398133</v>
      </c>
      <c r="AO607">
        <v>76.993083350400497</v>
      </c>
      <c r="AP607">
        <v>570.22725063227529</v>
      </c>
      <c r="AQ607">
        <v>419.39230173551812</v>
      </c>
      <c r="AR607">
        <v>69.928839797272474</v>
      </c>
      <c r="AS607">
        <v>560.43857870019951</v>
      </c>
      <c r="AT607">
        <v>36.335397820957986</v>
      </c>
      <c r="AU607">
        <v>59.785242458708353</v>
      </c>
      <c r="AV607"/>
      <c r="AW607"/>
      <c r="FY607" s="211">
        <v>602</v>
      </c>
      <c r="FZ607">
        <v>21.557198586713568</v>
      </c>
      <c r="GA607">
        <v>67.716543525048721</v>
      </c>
      <c r="GB607">
        <v>58.218100889250316</v>
      </c>
      <c r="GC607">
        <v>31.564882256943548</v>
      </c>
      <c r="GD607">
        <v>15.075253640589658</v>
      </c>
      <c r="GE607">
        <v>42.404125451658274</v>
      </c>
      <c r="GF607">
        <v>67.304746124686773</v>
      </c>
      <c r="GG607">
        <v>16.178072143936305</v>
      </c>
      <c r="GH607">
        <v>0.394538980931325</v>
      </c>
      <c r="GI607">
        <v>40.657053496269405</v>
      </c>
      <c r="GJ607"/>
      <c r="GK607"/>
      <c r="GL607"/>
      <c r="GM607"/>
    </row>
    <row r="608" spans="1:195" s="7" customFormat="1">
      <c r="A608" s="4"/>
      <c r="B608" s="4"/>
      <c r="C608" s="4"/>
      <c r="D608" s="4"/>
      <c r="E608" s="4"/>
      <c r="F608" s="4"/>
      <c r="G608" s="4"/>
      <c r="H608" s="4"/>
      <c r="I608" s="4"/>
      <c r="J608" s="4"/>
      <c r="K608" s="4"/>
      <c r="L608" s="4"/>
      <c r="M608" s="4"/>
      <c r="N608" s="4"/>
      <c r="O608" s="4"/>
      <c r="P608" s="4"/>
      <c r="Q608" s="4"/>
      <c r="R608" s="4"/>
      <c r="S608" s="4"/>
      <c r="T608" s="4"/>
      <c r="U608" s="4"/>
      <c r="V608" s="4"/>
      <c r="W608" s="4"/>
      <c r="X608" s="4"/>
      <c r="Y608" s="4"/>
      <c r="Z608" s="4"/>
      <c r="AA608" s="4"/>
      <c r="AB608" s="4"/>
      <c r="AC608" s="4"/>
      <c r="AD608" s="4"/>
      <c r="AE608" s="4"/>
      <c r="AF608" s="81"/>
      <c r="AG608" s="81"/>
      <c r="AH608" s="81"/>
      <c r="AI608" s="4"/>
      <c r="AJ608" s="81"/>
      <c r="AK608" s="81"/>
      <c r="AL608" s="81"/>
      <c r="AM608" s="43">
        <v>592</v>
      </c>
      <c r="AN608">
        <v>310.21659386204112</v>
      </c>
      <c r="AO608">
        <v>86.230027310828461</v>
      </c>
      <c r="AP608">
        <v>637.03320595186733</v>
      </c>
      <c r="AQ608">
        <v>469.95343147539199</v>
      </c>
      <c r="AR608">
        <v>75.879054388644747</v>
      </c>
      <c r="AS608">
        <v>686.40776721482291</v>
      </c>
      <c r="AT608">
        <v>40.259857297859803</v>
      </c>
      <c r="AU608">
        <v>149.23283308666188</v>
      </c>
      <c r="AV608"/>
      <c r="AW608"/>
      <c r="FY608" s="211">
        <v>603</v>
      </c>
      <c r="FZ608">
        <v>18.73460038903243</v>
      </c>
      <c r="GA608">
        <v>41.959878464084497</v>
      </c>
      <c r="GB608">
        <v>53.938197409871748</v>
      </c>
      <c r="GC608">
        <v>34.908666164708777</v>
      </c>
      <c r="GD608">
        <v>26.014256399242264</v>
      </c>
      <c r="GE608">
        <v>53.616010756313372</v>
      </c>
      <c r="GF608">
        <v>78.906535680884076</v>
      </c>
      <c r="GG608">
        <v>45.911330876964762</v>
      </c>
      <c r="GH608">
        <v>3.4531520924526227</v>
      </c>
      <c r="GI608">
        <v>49.579238244999132</v>
      </c>
      <c r="GJ608"/>
      <c r="GK608"/>
      <c r="GL608"/>
      <c r="GM608"/>
    </row>
    <row r="609" spans="1:195" s="7" customFormat="1">
      <c r="A609" s="4"/>
      <c r="B609" s="4"/>
      <c r="C609" s="4"/>
      <c r="D609" s="4"/>
      <c r="E609" s="4"/>
      <c r="F609" s="4"/>
      <c r="G609" s="4"/>
      <c r="H609" s="4"/>
      <c r="I609" s="4"/>
      <c r="J609" s="4"/>
      <c r="K609" s="4"/>
      <c r="L609" s="4"/>
      <c r="M609" s="4"/>
      <c r="N609" s="4"/>
      <c r="O609" s="4"/>
      <c r="P609" s="4"/>
      <c r="Q609" s="4"/>
      <c r="R609" s="4"/>
      <c r="S609" s="4"/>
      <c r="T609" s="4"/>
      <c r="U609" s="4"/>
      <c r="V609" s="4"/>
      <c r="W609" s="4"/>
      <c r="X609" s="4"/>
      <c r="Y609" s="4"/>
      <c r="Z609" s="4"/>
      <c r="AA609" s="4"/>
      <c r="AB609" s="4"/>
      <c r="AC609" s="4"/>
      <c r="AD609" s="4"/>
      <c r="AE609" s="4"/>
      <c r="AF609" s="81"/>
      <c r="AG609" s="81"/>
      <c r="AH609" s="81"/>
      <c r="AI609" s="4"/>
      <c r="AJ609" s="81"/>
      <c r="AK609" s="81"/>
      <c r="AL609" s="81"/>
      <c r="AM609" s="43">
        <v>593</v>
      </c>
      <c r="AN609">
        <v>297.72444239220931</v>
      </c>
      <c r="AO609">
        <v>105.75827985350413</v>
      </c>
      <c r="AP609">
        <v>786.75385096360685</v>
      </c>
      <c r="AQ609">
        <v>573.47576834010499</v>
      </c>
      <c r="AR609">
        <v>95.798681432969701</v>
      </c>
      <c r="AS609">
        <v>769.23917927152081</v>
      </c>
      <c r="AT609">
        <v>48.080662204135677</v>
      </c>
      <c r="AU609">
        <v>66.265091679380802</v>
      </c>
      <c r="AV609"/>
      <c r="AW609"/>
      <c r="FY609" s="211">
        <v>604</v>
      </c>
      <c r="FZ609">
        <v>15.298738775354428</v>
      </c>
      <c r="GA609">
        <v>65.485311971547858</v>
      </c>
      <c r="GB609">
        <v>75.934666400177179</v>
      </c>
      <c r="GC609">
        <v>36.074063430680916</v>
      </c>
      <c r="GD609">
        <v>17.524097414937987</v>
      </c>
      <c r="GE609">
        <v>35.342713775500037</v>
      </c>
      <c r="GF609">
        <v>107.99603609173707</v>
      </c>
      <c r="GG609">
        <v>86.559631138305988</v>
      </c>
      <c r="GH609">
        <v>8.0797340667711097</v>
      </c>
      <c r="GI609">
        <v>56.894110190645428</v>
      </c>
      <c r="GJ609"/>
      <c r="GK609"/>
      <c r="GL609"/>
      <c r="GM609"/>
    </row>
    <row r="610" spans="1:195" s="7" customFormat="1">
      <c r="A610" s="4"/>
      <c r="B610" s="4"/>
      <c r="C610" s="4"/>
      <c r="D610" s="4"/>
      <c r="E610" s="4"/>
      <c r="F610" s="4"/>
      <c r="G610" s="4"/>
      <c r="H610" s="4"/>
      <c r="I610" s="4"/>
      <c r="J610" s="4"/>
      <c r="K610" s="4"/>
      <c r="L610" s="4"/>
      <c r="M610" s="4"/>
      <c r="N610" s="4"/>
      <c r="O610" s="4"/>
      <c r="P610" s="4"/>
      <c r="Q610" s="4"/>
      <c r="R610" s="4"/>
      <c r="S610" s="4"/>
      <c r="T610" s="4"/>
      <c r="U610" s="4"/>
      <c r="V610" s="4"/>
      <c r="W610" s="4"/>
      <c r="X610" s="4"/>
      <c r="Y610" s="4"/>
      <c r="Z610" s="4"/>
      <c r="AA610" s="4"/>
      <c r="AB610" s="4"/>
      <c r="AC610" s="4"/>
      <c r="AD610" s="4"/>
      <c r="AE610" s="4"/>
      <c r="AF610" s="81"/>
      <c r="AG610" s="81"/>
      <c r="AH610" s="81"/>
      <c r="AI610" s="4"/>
      <c r="AJ610" s="81"/>
      <c r="AK610" s="81"/>
      <c r="AL610" s="81"/>
      <c r="AM610" s="43">
        <v>594</v>
      </c>
      <c r="AN610">
        <v>269.04594216318674</v>
      </c>
      <c r="AO610">
        <v>85.345912718068888</v>
      </c>
      <c r="AP610">
        <v>650.53428916850964</v>
      </c>
      <c r="AQ610">
        <v>455.66603924783453</v>
      </c>
      <c r="AR610">
        <v>77.629388403637051</v>
      </c>
      <c r="AS610">
        <v>665.36248534271738</v>
      </c>
      <c r="AT610">
        <v>40.338806876905245</v>
      </c>
      <c r="AU610">
        <v>20.483186784413288</v>
      </c>
      <c r="AV610"/>
      <c r="AW610"/>
      <c r="FY610" s="211">
        <v>605</v>
      </c>
      <c r="FZ610">
        <v>24.408323989101756</v>
      </c>
      <c r="GA610">
        <v>56.399127171179963</v>
      </c>
      <c r="GB610">
        <v>88.855867629198499</v>
      </c>
      <c r="GC610">
        <v>52.476695503160975</v>
      </c>
      <c r="GD610">
        <v>21.366540994714747</v>
      </c>
      <c r="GE610">
        <v>28.136014191228956</v>
      </c>
      <c r="GF610">
        <v>34.318405416280875</v>
      </c>
      <c r="GG610">
        <v>41.697641615597412</v>
      </c>
      <c r="GH610">
        <v>24.355910415126637</v>
      </c>
      <c r="GI610">
        <v>50.125449153945304</v>
      </c>
      <c r="GJ610"/>
      <c r="GK610"/>
      <c r="GL610"/>
      <c r="GM610"/>
    </row>
    <row r="611" spans="1:195" s="7" customFormat="1">
      <c r="A611" s="4"/>
      <c r="B611" s="4"/>
      <c r="C611" s="4"/>
      <c r="D611" s="4"/>
      <c r="E611" s="4"/>
      <c r="F611" s="4"/>
      <c r="G611" s="4"/>
      <c r="H611" s="4"/>
      <c r="I611" s="4"/>
      <c r="J611" s="4"/>
      <c r="K611" s="4"/>
      <c r="L611" s="4"/>
      <c r="M611" s="4"/>
      <c r="N611" s="4"/>
      <c r="O611" s="4"/>
      <c r="P611" s="4"/>
      <c r="Q611" s="4"/>
      <c r="R611" s="4"/>
      <c r="S611" s="4"/>
      <c r="T611" s="4"/>
      <c r="U611" s="4"/>
      <c r="V611" s="4"/>
      <c r="W611" s="4"/>
      <c r="X611" s="4"/>
      <c r="Y611" s="4"/>
      <c r="Z611" s="4"/>
      <c r="AA611" s="4"/>
      <c r="AB611" s="4"/>
      <c r="AC611" s="4"/>
      <c r="AD611" s="4"/>
      <c r="AE611" s="4"/>
      <c r="AF611" s="81"/>
      <c r="AG611" s="81"/>
      <c r="AH611" s="81"/>
      <c r="AI611" s="4"/>
      <c r="AJ611" s="81"/>
      <c r="AK611" s="81"/>
      <c r="AL611" s="81"/>
      <c r="AM611" s="43">
        <v>595</v>
      </c>
      <c r="AN611">
        <v>243.89283839053354</v>
      </c>
      <c r="AO611">
        <v>65.562219245536738</v>
      </c>
      <c r="AP611">
        <v>442.77741842902918</v>
      </c>
      <c r="AQ611">
        <v>349.25312442535272</v>
      </c>
      <c r="AR611">
        <v>60.012325855760714</v>
      </c>
      <c r="AS611">
        <v>502.99553908782059</v>
      </c>
      <c r="AT611">
        <v>31.76801710232813</v>
      </c>
      <c r="AU611">
        <v>62.906950149171159</v>
      </c>
      <c r="AV611"/>
      <c r="AW611"/>
      <c r="FY611" s="211">
        <v>606</v>
      </c>
      <c r="FZ611">
        <v>14.179914912012396</v>
      </c>
      <c r="GA611">
        <v>46.735315230076083</v>
      </c>
      <c r="GB611">
        <v>66.525817502819436</v>
      </c>
      <c r="GC611">
        <v>41.743956080102592</v>
      </c>
      <c r="GD611">
        <v>23.086346350713566</v>
      </c>
      <c r="GE611">
        <v>38.75050053901478</v>
      </c>
      <c r="GF611">
        <v>60.863148316232774</v>
      </c>
      <c r="GG611">
        <v>40.291095817857531</v>
      </c>
      <c r="GH611">
        <v>9.7942419350277117</v>
      </c>
      <c r="GI611">
        <v>47.30449501329668</v>
      </c>
      <c r="GJ611"/>
      <c r="GK611"/>
      <c r="GL611"/>
      <c r="GM611"/>
    </row>
    <row r="612" spans="1:195" s="7" customFormat="1">
      <c r="A612" s="4"/>
      <c r="B612" s="4"/>
      <c r="C612" s="4"/>
      <c r="D612" s="4"/>
      <c r="E612" s="4"/>
      <c r="F612" s="4"/>
      <c r="G612" s="4"/>
      <c r="H612" s="4"/>
      <c r="I612" s="4"/>
      <c r="J612" s="4"/>
      <c r="K612" s="4"/>
      <c r="L612" s="4"/>
      <c r="M612" s="4"/>
      <c r="N612" s="4"/>
      <c r="O612" s="4"/>
      <c r="P612" s="4"/>
      <c r="Q612" s="4"/>
      <c r="R612" s="4"/>
      <c r="S612" s="4"/>
      <c r="T612" s="4"/>
      <c r="U612" s="4"/>
      <c r="V612" s="4"/>
      <c r="W612" s="4"/>
      <c r="X612" s="4"/>
      <c r="Y612" s="4"/>
      <c r="Z612" s="4"/>
      <c r="AA612" s="4"/>
      <c r="AB612" s="4"/>
      <c r="AC612" s="4"/>
      <c r="AD612" s="4"/>
      <c r="AE612" s="4"/>
      <c r="AF612" s="81"/>
      <c r="AG612" s="81"/>
      <c r="AH612" s="81"/>
      <c r="AI612" s="4"/>
      <c r="AJ612" s="81"/>
      <c r="AK612" s="81"/>
      <c r="AL612" s="81"/>
      <c r="AM612" s="43">
        <v>596</v>
      </c>
      <c r="AN612">
        <v>236.01564736265564</v>
      </c>
      <c r="AO612">
        <v>78.722929176243341</v>
      </c>
      <c r="AP612">
        <v>582.94759964108709</v>
      </c>
      <c r="AQ612">
        <v>448.2422762297233</v>
      </c>
      <c r="AR612">
        <v>69.892478287349704</v>
      </c>
      <c r="AS612">
        <v>598.56663795677264</v>
      </c>
      <c r="AT612">
        <v>37.894719695625604</v>
      </c>
      <c r="AU612">
        <v>67.915723251267281</v>
      </c>
      <c r="AV612"/>
      <c r="AW612"/>
      <c r="FY612" s="211">
        <v>607</v>
      </c>
      <c r="FZ612">
        <v>18.113600682340731</v>
      </c>
      <c r="GA612">
        <v>52.011654564713467</v>
      </c>
      <c r="GB612">
        <v>84.647751847333609</v>
      </c>
      <c r="GC612">
        <v>52.354160282034869</v>
      </c>
      <c r="GD612">
        <v>22.313675291666492</v>
      </c>
      <c r="GE612">
        <v>48.752494149504358</v>
      </c>
      <c r="GF612">
        <v>58.598913568228994</v>
      </c>
      <c r="GG612">
        <v>50.235279105185285</v>
      </c>
      <c r="GH612">
        <v>53.250103143854986</v>
      </c>
      <c r="GI612">
        <v>58.730795891192727</v>
      </c>
      <c r="GJ612"/>
      <c r="GK612"/>
      <c r="GL612"/>
      <c r="GM612"/>
    </row>
    <row r="613" spans="1:195" s="7" customFormat="1">
      <c r="A613" s="4"/>
      <c r="B613" s="4"/>
      <c r="C613" s="4"/>
      <c r="D613" s="4"/>
      <c r="E613" s="4"/>
      <c r="F613" s="4"/>
      <c r="G613" s="4"/>
      <c r="H613" s="4"/>
      <c r="I613" s="4"/>
      <c r="J613" s="4"/>
      <c r="K613" s="4"/>
      <c r="L613" s="4"/>
      <c r="M613" s="4"/>
      <c r="N613" s="4"/>
      <c r="O613" s="4"/>
      <c r="P613" s="4"/>
      <c r="Q613" s="4"/>
      <c r="R613" s="4"/>
      <c r="S613" s="4"/>
      <c r="T613" s="4"/>
      <c r="U613" s="4"/>
      <c r="V613" s="4"/>
      <c r="W613" s="4"/>
      <c r="X613" s="4"/>
      <c r="Y613" s="4"/>
      <c r="Z613" s="4"/>
      <c r="AA613" s="4"/>
      <c r="AB613" s="4"/>
      <c r="AC613" s="4"/>
      <c r="AD613" s="4"/>
      <c r="AE613" s="4"/>
      <c r="AF613" s="81"/>
      <c r="AG613" s="81"/>
      <c r="AH613" s="81"/>
      <c r="AI613" s="4"/>
      <c r="AJ613" s="81"/>
      <c r="AK613" s="81"/>
      <c r="AL613" s="81"/>
      <c r="AM613" s="43">
        <v>597</v>
      </c>
      <c r="AN613">
        <v>250.7672229710642</v>
      </c>
      <c r="AO613">
        <v>90.825419762054949</v>
      </c>
      <c r="AP613">
        <v>591.57568798530508</v>
      </c>
      <c r="AQ613">
        <v>480.67083245633023</v>
      </c>
      <c r="AR613">
        <v>83.580828142473081</v>
      </c>
      <c r="AS613">
        <v>688.62380035297156</v>
      </c>
      <c r="AT613">
        <v>46.203847209666854</v>
      </c>
      <c r="AU613">
        <v>119.68002792332712</v>
      </c>
      <c r="AV613"/>
      <c r="AW613"/>
      <c r="FY613" s="211">
        <v>608</v>
      </c>
      <c r="FZ613">
        <v>11.506877988922421</v>
      </c>
      <c r="GA613">
        <v>43.661780675013986</v>
      </c>
      <c r="GB613">
        <v>65.287130371157104</v>
      </c>
      <c r="GC613">
        <v>39.597972815565385</v>
      </c>
      <c r="GD613">
        <v>19.950567979581063</v>
      </c>
      <c r="GE613">
        <v>30.153244489958507</v>
      </c>
      <c r="GF613">
        <v>67.011717732858159</v>
      </c>
      <c r="GG613">
        <v>51.468561998206013</v>
      </c>
      <c r="GH613">
        <v>6.1725147870331556</v>
      </c>
      <c r="GI613">
        <v>45.730869640817026</v>
      </c>
      <c r="GJ613"/>
      <c r="GK613"/>
      <c r="GL613"/>
      <c r="GM613"/>
    </row>
    <row r="614" spans="1:195" s="7" customFormat="1">
      <c r="A614" s="4"/>
      <c r="B614" s="4"/>
      <c r="C614" s="4"/>
      <c r="D614" s="4"/>
      <c r="E614" s="4"/>
      <c r="F614" s="4"/>
      <c r="G614" s="4"/>
      <c r="H614" s="4"/>
      <c r="I614" s="4"/>
      <c r="J614" s="4"/>
      <c r="K614" s="4"/>
      <c r="L614" s="4"/>
      <c r="M614" s="4"/>
      <c r="N614" s="4"/>
      <c r="O614" s="4"/>
      <c r="P614" s="4"/>
      <c r="Q614" s="4"/>
      <c r="R614" s="4"/>
      <c r="S614" s="4"/>
      <c r="T614" s="4"/>
      <c r="U614" s="4"/>
      <c r="V614" s="4"/>
      <c r="W614" s="4"/>
      <c r="X614" s="4"/>
      <c r="Y614" s="4"/>
      <c r="Z614" s="4"/>
      <c r="AA614" s="4"/>
      <c r="AB614" s="4"/>
      <c r="AC614" s="4"/>
      <c r="AD614" s="4"/>
      <c r="AE614" s="4"/>
      <c r="AF614" s="81"/>
      <c r="AG614" s="81"/>
      <c r="AH614" s="81"/>
      <c r="AI614" s="4"/>
      <c r="AJ614" s="81"/>
      <c r="AK614" s="81"/>
      <c r="AL614" s="81"/>
      <c r="AM614" s="43">
        <v>598</v>
      </c>
      <c r="AN614">
        <v>270.74705094480231</v>
      </c>
      <c r="AO614">
        <v>80.680169446464205</v>
      </c>
      <c r="AP614">
        <v>595.42303382966747</v>
      </c>
      <c r="AQ614">
        <v>446.850683302893</v>
      </c>
      <c r="AR614">
        <v>72.546073527192092</v>
      </c>
      <c r="AS614">
        <v>632.95941459005201</v>
      </c>
      <c r="AT614" t="e">
        <v>#DIV/0!</v>
      </c>
      <c r="AU614" t="e">
        <v>#DIV/0!</v>
      </c>
      <c r="AV614"/>
      <c r="AW614"/>
      <c r="FY614" s="211">
        <v>609</v>
      </c>
      <c r="FZ614">
        <v>37.074650966645137</v>
      </c>
      <c r="GA614">
        <v>74.458711790712428</v>
      </c>
      <c r="GB614">
        <v>72.917555187496987</v>
      </c>
      <c r="GC614">
        <v>45.468647175409856</v>
      </c>
      <c r="GD614">
        <v>27.322206901171118</v>
      </c>
      <c r="GE614">
        <v>70.719218590854098</v>
      </c>
      <c r="GF614">
        <v>119.89635877820085</v>
      </c>
      <c r="GG614">
        <v>64.177113539267197</v>
      </c>
      <c r="GH614">
        <v>16.139712504575765</v>
      </c>
      <c r="GI614">
        <v>67.814811705172033</v>
      </c>
      <c r="GJ614"/>
      <c r="GK614"/>
      <c r="GL614"/>
      <c r="GM614"/>
    </row>
    <row r="615" spans="1:195" s="7" customFormat="1">
      <c r="A615" s="4"/>
      <c r="B615" s="4"/>
      <c r="C615" s="4"/>
      <c r="D615" s="4"/>
      <c r="E615" s="4"/>
      <c r="F615" s="4"/>
      <c r="G615" s="4"/>
      <c r="H615" s="4"/>
      <c r="I615" s="4"/>
      <c r="J615" s="4"/>
      <c r="K615" s="4"/>
      <c r="L615" s="4"/>
      <c r="M615" s="4"/>
      <c r="N615" s="4"/>
      <c r="O615" s="4"/>
      <c r="P615" s="4"/>
      <c r="Q615" s="4"/>
      <c r="R615" s="4"/>
      <c r="S615" s="4"/>
      <c r="T615" s="4"/>
      <c r="U615" s="4"/>
      <c r="V615" s="4"/>
      <c r="W615" s="4"/>
      <c r="X615" s="4"/>
      <c r="Y615" s="4"/>
      <c r="Z615" s="4"/>
      <c r="AA615" s="4"/>
      <c r="AB615" s="4"/>
      <c r="AC615" s="4"/>
      <c r="AD615" s="4"/>
      <c r="AE615" s="4"/>
      <c r="AF615" s="81"/>
      <c r="AG615" s="81"/>
      <c r="AH615" s="81"/>
      <c r="AI615" s="4"/>
      <c r="AJ615" s="81"/>
      <c r="AK615" s="81"/>
      <c r="AL615" s="81"/>
      <c r="AM615" s="43">
        <v>599</v>
      </c>
      <c r="AN615">
        <v>212.25880489293067</v>
      </c>
      <c r="AO615">
        <v>74.091807264121286</v>
      </c>
      <c r="AP615">
        <v>564.28268344928176</v>
      </c>
      <c r="AQ615">
        <v>390.9136568355334</v>
      </c>
      <c r="AR615">
        <v>66.106009403256039</v>
      </c>
      <c r="AS615">
        <v>579.43040608568333</v>
      </c>
      <c r="AT615">
        <v>38.206919140305203</v>
      </c>
      <c r="AU615">
        <v>55.11002078654068</v>
      </c>
      <c r="AV615"/>
      <c r="AW615"/>
      <c r="FY615" s="211">
        <v>610</v>
      </c>
      <c r="FZ615">
        <v>9.3169969437190989</v>
      </c>
      <c r="GA615">
        <v>37.486937502305452</v>
      </c>
      <c r="GB615">
        <v>74.279162164941852</v>
      </c>
      <c r="GC615">
        <v>45.689693304051445</v>
      </c>
      <c r="GD615">
        <v>24.442294385329845</v>
      </c>
      <c r="GE615">
        <v>64.026111442457889</v>
      </c>
      <c r="GF615">
        <v>100.82549436404364</v>
      </c>
      <c r="GG615">
        <v>59.631073141141052</v>
      </c>
      <c r="GH615">
        <v>25.217166787404079</v>
      </c>
      <c r="GI615">
        <v>59.612412379726379</v>
      </c>
      <c r="GJ615"/>
      <c r="GK615"/>
      <c r="GL615"/>
      <c r="GM615"/>
    </row>
    <row r="616" spans="1:195" s="7" customFormat="1">
      <c r="A616" s="4"/>
      <c r="B616" s="4"/>
      <c r="C616" s="4"/>
      <c r="D616" s="4"/>
      <c r="E616" s="4"/>
      <c r="F616" s="4"/>
      <c r="G616" s="4"/>
      <c r="H616" s="4"/>
      <c r="I616" s="4"/>
      <c r="J616" s="4"/>
      <c r="K616" s="4"/>
      <c r="L616" s="4"/>
      <c r="M616" s="4"/>
      <c r="N616" s="4"/>
      <c r="O616" s="4"/>
      <c r="P616" s="4"/>
      <c r="Q616" s="4"/>
      <c r="R616" s="4"/>
      <c r="S616" s="4"/>
      <c r="T616" s="4"/>
      <c r="U616" s="4"/>
      <c r="V616" s="4"/>
      <c r="W616" s="4"/>
      <c r="X616" s="4"/>
      <c r="Y616" s="4"/>
      <c r="Z616" s="4"/>
      <c r="AA616" s="4"/>
      <c r="AB616" s="4"/>
      <c r="AC616" s="4"/>
      <c r="AD616" s="4"/>
      <c r="AE616" s="4"/>
      <c r="AF616" s="81"/>
      <c r="AG616" s="81"/>
      <c r="AH616" s="81"/>
      <c r="AI616" s="4"/>
      <c r="AJ616" s="81"/>
      <c r="AK616" s="81"/>
      <c r="AL616" s="81"/>
      <c r="AM616" s="43">
        <v>600</v>
      </c>
      <c r="AN616">
        <v>211.58954004127932</v>
      </c>
      <c r="AO616">
        <v>81.525095712958745</v>
      </c>
      <c r="AP616">
        <v>590.5622948617679</v>
      </c>
      <c r="AQ616">
        <v>433.120749369647</v>
      </c>
      <c r="AR616">
        <v>74.244645881076536</v>
      </c>
      <c r="AS616">
        <v>596.18214467872235</v>
      </c>
      <c r="AT616">
        <v>41.166180357745567</v>
      </c>
      <c r="AU616">
        <v>84.219376426786354</v>
      </c>
      <c r="AV616"/>
      <c r="AW616"/>
      <c r="FY616" s="211">
        <v>611</v>
      </c>
      <c r="FZ616">
        <v>25.448975956830211</v>
      </c>
      <c r="GA616">
        <v>56.152997599432972</v>
      </c>
      <c r="GB616">
        <v>79.240137278467486</v>
      </c>
      <c r="GC616">
        <v>48.615728030920764</v>
      </c>
      <c r="GD616">
        <v>26.263649051187929</v>
      </c>
      <c r="GE616">
        <v>56.400019654668029</v>
      </c>
      <c r="GF616">
        <v>81.976031826375802</v>
      </c>
      <c r="GG616">
        <v>54.206614816572042</v>
      </c>
      <c r="GH616">
        <v>21.422819937734221</v>
      </c>
      <c r="GI616">
        <v>60.882863612458365</v>
      </c>
      <c r="GJ616"/>
      <c r="GK616"/>
      <c r="GL616"/>
      <c r="GM616"/>
    </row>
    <row r="617" spans="1:195" s="7" customFormat="1">
      <c r="A617" s="4"/>
      <c r="B617" s="4"/>
      <c r="C617" s="4"/>
      <c r="D617" s="4"/>
      <c r="E617" s="4"/>
      <c r="F617" s="4"/>
      <c r="G617" s="4"/>
      <c r="H617" s="4"/>
      <c r="I617" s="4"/>
      <c r="J617" s="4"/>
      <c r="K617" s="4"/>
      <c r="L617" s="4"/>
      <c r="M617" s="4"/>
      <c r="N617" s="4"/>
      <c r="O617" s="4"/>
      <c r="P617" s="4"/>
      <c r="Q617" s="4"/>
      <c r="R617" s="4"/>
      <c r="S617" s="4"/>
      <c r="T617" s="4"/>
      <c r="U617" s="4"/>
      <c r="V617" s="4"/>
      <c r="W617" s="4"/>
      <c r="X617" s="4"/>
      <c r="Y617" s="4"/>
      <c r="Z617" s="4"/>
      <c r="AA617" s="4"/>
      <c r="AB617" s="4"/>
      <c r="AC617" s="4"/>
      <c r="AD617" s="4"/>
      <c r="AE617" s="4"/>
      <c r="AF617" s="81"/>
      <c r="AG617" s="81"/>
      <c r="AH617" s="81"/>
      <c r="AI617" s="4"/>
      <c r="AJ617" s="81"/>
      <c r="AK617" s="81"/>
      <c r="AL617" s="81"/>
      <c r="AM617" s="43">
        <v>601</v>
      </c>
      <c r="AN617">
        <v>250.55017764981693</v>
      </c>
      <c r="AO617">
        <v>89.279534636317678</v>
      </c>
      <c r="AP617">
        <v>647.21148813792865</v>
      </c>
      <c r="AQ617">
        <v>500.11401181161415</v>
      </c>
      <c r="AR617">
        <v>80.712985324738398</v>
      </c>
      <c r="AS617">
        <v>640.49549860105026</v>
      </c>
      <c r="AT617">
        <v>42.771233301831295</v>
      </c>
      <c r="AU617">
        <v>55.878684978733808</v>
      </c>
      <c r="AV617"/>
      <c r="AW617"/>
      <c r="FY617" s="211">
        <v>612</v>
      </c>
      <c r="FZ617">
        <v>10.621882799894324</v>
      </c>
      <c r="GA617">
        <v>35.153267044934921</v>
      </c>
      <c r="GB617">
        <v>59.805235214450668</v>
      </c>
      <c r="GC617">
        <v>39.169027972208639</v>
      </c>
      <c r="GD617">
        <v>17.378054008084046</v>
      </c>
      <c r="GE617">
        <v>26.48064439161503</v>
      </c>
      <c r="GF617">
        <v>60.550848052016896</v>
      </c>
      <c r="GG617">
        <v>44.60791307298787</v>
      </c>
      <c r="GH617">
        <v>8.4365615596975889</v>
      </c>
      <c r="GI617">
        <v>40.830744933680471</v>
      </c>
      <c r="GJ617"/>
      <c r="GK617"/>
      <c r="GL617"/>
      <c r="GM617"/>
    </row>
    <row r="618" spans="1:195" s="7" customFormat="1">
      <c r="A618" s="4"/>
      <c r="B618" s="4"/>
      <c r="C618" s="4"/>
      <c r="D618" s="4"/>
      <c r="E618" s="4"/>
      <c r="F618" s="4"/>
      <c r="G618" s="4"/>
      <c r="H618" s="4"/>
      <c r="I618" s="4"/>
      <c r="J618" s="4"/>
      <c r="K618" s="4"/>
      <c r="L618" s="4"/>
      <c r="M618" s="4"/>
      <c r="N618" s="4"/>
      <c r="O618" s="4"/>
      <c r="P618" s="4"/>
      <c r="Q618" s="4"/>
      <c r="R618" s="4"/>
      <c r="S618" s="4"/>
      <c r="T618" s="4"/>
      <c r="U618" s="4"/>
      <c r="V618" s="4"/>
      <c r="W618" s="4"/>
      <c r="X618" s="4"/>
      <c r="Y618" s="4"/>
      <c r="Z618" s="4"/>
      <c r="AA618" s="4"/>
      <c r="AB618" s="4"/>
      <c r="AC618" s="4"/>
      <c r="AD618" s="4"/>
      <c r="AE618" s="4"/>
      <c r="AF618" s="81"/>
      <c r="AG618" s="81"/>
      <c r="AH618" s="81"/>
      <c r="AI618" s="4"/>
      <c r="AJ618" s="81"/>
      <c r="AK618" s="81"/>
      <c r="AL618" s="81"/>
      <c r="AM618" s="43">
        <v>602</v>
      </c>
      <c r="AN618">
        <v>211.37822294591729</v>
      </c>
      <c r="AO618">
        <v>63.924136579334082</v>
      </c>
      <c r="AP618">
        <v>471.5555593815688</v>
      </c>
      <c r="AQ618">
        <v>361.07051509602792</v>
      </c>
      <c r="AR618">
        <v>56.279908864249244</v>
      </c>
      <c r="AS618">
        <v>502.93245851929856</v>
      </c>
      <c r="AT618">
        <v>31.523563492771249</v>
      </c>
      <c r="AU618">
        <v>40.560958604604487</v>
      </c>
      <c r="AV618"/>
      <c r="AW618"/>
      <c r="FY618" s="211">
        <v>613</v>
      </c>
      <c r="FZ618">
        <v>4.5272097111543603</v>
      </c>
      <c r="GA618">
        <v>46.801207968848693</v>
      </c>
      <c r="GB618">
        <v>77.956412045232909</v>
      </c>
      <c r="GC618">
        <v>46.184763657234832</v>
      </c>
      <c r="GD618">
        <v>27.520212567443433</v>
      </c>
      <c r="GE618">
        <v>52.121193973789417</v>
      </c>
      <c r="GF618">
        <v>53.685765602234049</v>
      </c>
      <c r="GG618">
        <v>19.551444035091158</v>
      </c>
      <c r="GH618">
        <v>1.0960715447945946</v>
      </c>
      <c r="GI618">
        <v>48.322990053635657</v>
      </c>
      <c r="GJ618"/>
      <c r="GK618"/>
      <c r="GL618"/>
      <c r="GM618"/>
    </row>
    <row r="619" spans="1:195" s="7" customFormat="1">
      <c r="A619" s="4"/>
      <c r="B619" s="4"/>
      <c r="C619" s="4"/>
      <c r="D619" s="4"/>
      <c r="E619" s="4"/>
      <c r="F619" s="4"/>
      <c r="G619" s="4"/>
      <c r="H619" s="4"/>
      <c r="I619" s="4"/>
      <c r="J619" s="4"/>
      <c r="K619" s="4"/>
      <c r="L619" s="4"/>
      <c r="M619" s="4"/>
      <c r="N619" s="4"/>
      <c r="O619" s="4"/>
      <c r="P619" s="4"/>
      <c r="Q619" s="4"/>
      <c r="R619" s="4"/>
      <c r="S619" s="4"/>
      <c r="T619" s="4"/>
      <c r="U619" s="4"/>
      <c r="V619" s="4"/>
      <c r="W619" s="4"/>
      <c r="X619" s="4"/>
      <c r="Y619" s="4"/>
      <c r="Z619" s="4"/>
      <c r="AA619" s="4"/>
      <c r="AB619" s="4"/>
      <c r="AC619" s="4"/>
      <c r="AD619" s="4"/>
      <c r="AE619" s="4"/>
      <c r="AF619" s="81"/>
      <c r="AG619" s="81"/>
      <c r="AH619" s="81"/>
      <c r="AI619" s="4"/>
      <c r="AJ619" s="81"/>
      <c r="AK619" s="81"/>
      <c r="AL619" s="81"/>
      <c r="AM619" s="43">
        <v>603</v>
      </c>
      <c r="AN619">
        <v>215.39623955997544</v>
      </c>
      <c r="AO619">
        <v>78.981885610733187</v>
      </c>
      <c r="AP619">
        <v>532.25920931277915</v>
      </c>
      <c r="AQ619">
        <v>407.0218664785537</v>
      </c>
      <c r="AR619">
        <v>71.71506441691983</v>
      </c>
      <c r="AS619">
        <v>614.71611988607867</v>
      </c>
      <c r="AT619">
        <v>37.776903056227333</v>
      </c>
      <c r="AU619">
        <v>32.841268475200692</v>
      </c>
      <c r="AV619"/>
      <c r="AW619"/>
      <c r="FY619" s="211">
        <v>614</v>
      </c>
      <c r="FZ619">
        <v>39.184326951270741</v>
      </c>
      <c r="GA619">
        <v>79.319467342252054</v>
      </c>
      <c r="GB619">
        <v>70.925152049938205</v>
      </c>
      <c r="GC619">
        <v>41.468063138975438</v>
      </c>
      <c r="GD619">
        <v>21.781165671347054</v>
      </c>
      <c r="GE619">
        <v>40.661656716870027</v>
      </c>
      <c r="GF619">
        <v>53.892318348960309</v>
      </c>
      <c r="GG619">
        <v>43.262787604416388</v>
      </c>
      <c r="GH619">
        <v>24.946503370045317</v>
      </c>
      <c r="GI619">
        <v>52.160078155727092</v>
      </c>
      <c r="GJ619"/>
      <c r="GK619"/>
      <c r="GL619"/>
      <c r="GM619"/>
    </row>
    <row r="620" spans="1:195" s="7" customFormat="1">
      <c r="A620" s="4"/>
      <c r="B620" s="4"/>
      <c r="C620" s="4"/>
      <c r="D620" s="4"/>
      <c r="E620" s="4"/>
      <c r="F620" s="4"/>
      <c r="G620" s="4"/>
      <c r="H620" s="4"/>
      <c r="I620" s="4"/>
      <c r="J620" s="4"/>
      <c r="K620" s="4"/>
      <c r="L620" s="4"/>
      <c r="M620" s="4"/>
      <c r="N620" s="4"/>
      <c r="O620" s="4"/>
      <c r="P620" s="4"/>
      <c r="Q620" s="4"/>
      <c r="R620" s="4"/>
      <c r="S620" s="4"/>
      <c r="T620" s="4"/>
      <c r="U620" s="4"/>
      <c r="V620" s="4"/>
      <c r="W620" s="4"/>
      <c r="X620" s="4"/>
      <c r="Y620" s="4"/>
      <c r="Z620" s="4"/>
      <c r="AA620" s="4"/>
      <c r="AB620" s="4"/>
      <c r="AC620" s="4"/>
      <c r="AD620" s="4"/>
      <c r="AE620" s="4"/>
      <c r="AF620" s="81"/>
      <c r="AG620" s="81"/>
      <c r="AH620" s="81"/>
      <c r="AI620" s="4"/>
      <c r="AJ620" s="81"/>
      <c r="AK620" s="81"/>
      <c r="AL620" s="81"/>
      <c r="AM620" s="43">
        <v>604</v>
      </c>
      <c r="AN620">
        <v>269.0002521514092</v>
      </c>
      <c r="AO620">
        <v>92.583394348761274</v>
      </c>
      <c r="AP620">
        <v>739.41257483545689</v>
      </c>
      <c r="AQ620">
        <v>505.18910325565804</v>
      </c>
      <c r="AR620">
        <v>84.574832141451239</v>
      </c>
      <c r="AS620">
        <v>692.88352791501995</v>
      </c>
      <c r="AT620">
        <v>44.00368623709079</v>
      </c>
      <c r="AU620">
        <v>0.15719730680255534</v>
      </c>
      <c r="AV620"/>
      <c r="AW620"/>
      <c r="FY620" s="211">
        <v>615</v>
      </c>
      <c r="FZ620">
        <v>16.458498496668494</v>
      </c>
      <c r="GA620">
        <v>51.036445517452066</v>
      </c>
      <c r="GB620">
        <v>72.451589275910791</v>
      </c>
      <c r="GC620">
        <v>44.489058674100676</v>
      </c>
      <c r="GD620">
        <v>17.215326160596813</v>
      </c>
      <c r="GE620">
        <v>30.245532118081297</v>
      </c>
      <c r="GF620">
        <v>93.764412020716918</v>
      </c>
      <c r="GG620">
        <v>61.06551949609117</v>
      </c>
      <c r="GH620">
        <v>1.4397505460873126</v>
      </c>
      <c r="GI620">
        <v>51.907198163540002</v>
      </c>
      <c r="GJ620"/>
      <c r="GK620"/>
      <c r="GL620"/>
      <c r="GM620"/>
    </row>
    <row r="621" spans="1:195" s="7" customFormat="1">
      <c r="A621" s="4"/>
      <c r="B621" s="4"/>
      <c r="C621" s="4"/>
      <c r="D621" s="4"/>
      <c r="E621" s="4"/>
      <c r="F621" s="4"/>
      <c r="G621" s="4"/>
      <c r="H621" s="4"/>
      <c r="I621" s="4"/>
      <c r="J621" s="4"/>
      <c r="K621" s="4"/>
      <c r="L621" s="4"/>
      <c r="M621" s="4"/>
      <c r="N621" s="4"/>
      <c r="O621" s="4"/>
      <c r="P621" s="4"/>
      <c r="Q621" s="4"/>
      <c r="R621" s="4"/>
      <c r="S621" s="4"/>
      <c r="T621" s="4"/>
      <c r="U621" s="4"/>
      <c r="V621" s="4"/>
      <c r="W621" s="4"/>
      <c r="X621" s="4"/>
      <c r="Y621" s="4"/>
      <c r="Z621" s="4"/>
      <c r="AA621" s="4"/>
      <c r="AB621" s="4"/>
      <c r="AC621" s="4"/>
      <c r="AD621" s="4"/>
      <c r="AE621" s="4"/>
      <c r="AF621" s="81"/>
      <c r="AG621" s="81"/>
      <c r="AH621" s="81"/>
      <c r="AI621" s="4"/>
      <c r="AJ621" s="81"/>
      <c r="AK621" s="81"/>
      <c r="AL621" s="81"/>
      <c r="AM621" s="43">
        <v>605</v>
      </c>
      <c r="AN621">
        <v>211.86643344478193</v>
      </c>
      <c r="AO621">
        <v>78.668071890999087</v>
      </c>
      <c r="AP621">
        <v>548.88408918774667</v>
      </c>
      <c r="AQ621">
        <v>422.13997607953513</v>
      </c>
      <c r="AR621">
        <v>72.646915297380701</v>
      </c>
      <c r="AS621">
        <v>600.81684120136583</v>
      </c>
      <c r="AT621">
        <v>37.237065295386017</v>
      </c>
      <c r="AU621">
        <v>75.550392404033516</v>
      </c>
      <c r="AV621"/>
      <c r="AW621"/>
      <c r="FY621" s="211">
        <v>616</v>
      </c>
      <c r="FZ621">
        <v>12.263829156093216</v>
      </c>
      <c r="GA621">
        <v>54.04370981573247</v>
      </c>
      <c r="GB621">
        <v>83.677714726488404</v>
      </c>
      <c r="GC621">
        <v>43.391019361638236</v>
      </c>
      <c r="GD621">
        <v>24.309011894146984</v>
      </c>
      <c r="GE621">
        <v>41.563074834405342</v>
      </c>
      <c r="GF621">
        <v>36.3571868732515</v>
      </c>
      <c r="GG621">
        <v>23.801784633042136</v>
      </c>
      <c r="GH621">
        <v>1.6115365586706771</v>
      </c>
      <c r="GI621">
        <v>45.693934326877972</v>
      </c>
      <c r="GJ621"/>
      <c r="GK621"/>
      <c r="GL621"/>
      <c r="GM621"/>
    </row>
    <row r="622" spans="1:195" s="7" customFormat="1">
      <c r="A622" s="4"/>
      <c r="B622" s="4"/>
      <c r="C622" s="4"/>
      <c r="D622" s="4"/>
      <c r="E622" s="4"/>
      <c r="F622" s="4"/>
      <c r="G622" s="4"/>
      <c r="H622" s="4"/>
      <c r="I622" s="4"/>
      <c r="J622" s="4"/>
      <c r="K622" s="4"/>
      <c r="L622" s="4"/>
      <c r="M622" s="4"/>
      <c r="N622" s="4"/>
      <c r="O622" s="4"/>
      <c r="P622" s="4"/>
      <c r="Q622" s="4"/>
      <c r="R622" s="4"/>
      <c r="S622" s="4"/>
      <c r="T622" s="4"/>
      <c r="U622" s="4"/>
      <c r="V622" s="4"/>
      <c r="W622" s="4"/>
      <c r="X622" s="4"/>
      <c r="Y622" s="4"/>
      <c r="Z622" s="4"/>
      <c r="AA622" s="4"/>
      <c r="AB622" s="4"/>
      <c r="AC622" s="4"/>
      <c r="AD622" s="4"/>
      <c r="AE622" s="4"/>
      <c r="AF622" s="81"/>
      <c r="AG622" s="81"/>
      <c r="AH622" s="81"/>
      <c r="AI622" s="4"/>
      <c r="AJ622" s="81"/>
      <c r="AK622" s="81"/>
      <c r="AL622" s="81"/>
      <c r="AM622" s="43">
        <v>606</v>
      </c>
      <c r="AN622">
        <v>268.82294628285234</v>
      </c>
      <c r="AO622">
        <v>74.330829539779558</v>
      </c>
      <c r="AP622">
        <v>509.4192155528317</v>
      </c>
      <c r="AQ622">
        <v>389.2748316971535</v>
      </c>
      <c r="AR622">
        <v>67.671816675685221</v>
      </c>
      <c r="AS622">
        <v>590.08471359960276</v>
      </c>
      <c r="AT622">
        <v>36.562645628798577</v>
      </c>
      <c r="AU622">
        <v>54.178122237474362</v>
      </c>
      <c r="AV622"/>
      <c r="AW622"/>
      <c r="FY622" s="211">
        <v>617</v>
      </c>
      <c r="FZ622">
        <v>13.129288144695872</v>
      </c>
      <c r="GA622">
        <v>36.899421830063758</v>
      </c>
      <c r="GB622">
        <v>77.631118531647985</v>
      </c>
      <c r="GC622">
        <v>46.602678475239941</v>
      </c>
      <c r="GD622">
        <v>14.759118218599005</v>
      </c>
      <c r="GE622">
        <v>22.898669660546414</v>
      </c>
      <c r="GF622">
        <v>70.932557679565292</v>
      </c>
      <c r="GG622">
        <v>82.491686720409263</v>
      </c>
      <c r="GH622">
        <v>44.128296365469097</v>
      </c>
      <c r="GI622">
        <v>52.483079721878156</v>
      </c>
      <c r="GJ622"/>
      <c r="GK622"/>
      <c r="GL622"/>
      <c r="GM622"/>
    </row>
    <row r="623" spans="1:195" s="7" customFormat="1">
      <c r="A623" s="4"/>
      <c r="B623" s="4"/>
      <c r="C623" s="4"/>
      <c r="D623" s="4"/>
      <c r="E623" s="4"/>
      <c r="F623" s="4"/>
      <c r="G623" s="4"/>
      <c r="H623" s="4"/>
      <c r="I623" s="4"/>
      <c r="J623" s="4"/>
      <c r="K623" s="4"/>
      <c r="L623" s="4"/>
      <c r="M623" s="4"/>
      <c r="N623" s="4"/>
      <c r="O623" s="4"/>
      <c r="P623" s="4"/>
      <c r="Q623" s="4"/>
      <c r="R623" s="4"/>
      <c r="S623" s="4"/>
      <c r="T623" s="4"/>
      <c r="U623" s="4"/>
      <c r="V623" s="4"/>
      <c r="W623" s="4"/>
      <c r="X623" s="4"/>
      <c r="Y623" s="4"/>
      <c r="Z623" s="4"/>
      <c r="AA623" s="4"/>
      <c r="AB623" s="4"/>
      <c r="AC623" s="4"/>
      <c r="AD623" s="4"/>
      <c r="AE623" s="4"/>
      <c r="AF623" s="81"/>
      <c r="AG623" s="81"/>
      <c r="AH623" s="81"/>
      <c r="AI623" s="4"/>
      <c r="AJ623" s="81"/>
      <c r="AK623" s="81"/>
      <c r="AL623" s="81"/>
      <c r="AM623" s="43">
        <v>607</v>
      </c>
      <c r="AN623">
        <v>273.65785726849492</v>
      </c>
      <c r="AO623">
        <v>92.481467999607261</v>
      </c>
      <c r="AP623">
        <v>655.32061728393421</v>
      </c>
      <c r="AQ623">
        <v>499.00842852605547</v>
      </c>
      <c r="AR623">
        <v>83.005635797002242</v>
      </c>
      <c r="AS623">
        <v>703.34295587240831</v>
      </c>
      <c r="AT623">
        <v>45.032984620831407</v>
      </c>
      <c r="AU623">
        <v>65.526147934793997</v>
      </c>
      <c r="AV623"/>
      <c r="AW623"/>
      <c r="FY623" s="211">
        <v>618</v>
      </c>
      <c r="FZ623">
        <v>42.159024918220524</v>
      </c>
      <c r="GA623">
        <v>86.918774659256144</v>
      </c>
      <c r="GB623">
        <v>73.710410262048995</v>
      </c>
      <c r="GC623">
        <v>38.8076011257346</v>
      </c>
      <c r="GD623">
        <v>13.494223732281636</v>
      </c>
      <c r="GE623">
        <v>45.003717969792433</v>
      </c>
      <c r="GF623">
        <v>89.640558566808906</v>
      </c>
      <c r="GG623">
        <v>47.662149896156777</v>
      </c>
      <c r="GH623">
        <v>20.449169115334115</v>
      </c>
      <c r="GI623">
        <v>55.481918883024321</v>
      </c>
      <c r="GJ623"/>
      <c r="GK623"/>
      <c r="GL623"/>
      <c r="GM623"/>
    </row>
    <row r="624" spans="1:195" s="7" customFormat="1">
      <c r="A624" s="4"/>
      <c r="B624" s="4"/>
      <c r="C624" s="4"/>
      <c r="D624" s="4"/>
      <c r="E624" s="4"/>
      <c r="F624" s="4"/>
      <c r="G624" s="4"/>
      <c r="H624" s="4"/>
      <c r="I624" s="4"/>
      <c r="J624" s="4"/>
      <c r="K624" s="4"/>
      <c r="L624" s="4"/>
      <c r="M624" s="4"/>
      <c r="N624" s="4"/>
      <c r="O624" s="4"/>
      <c r="P624" s="4"/>
      <c r="Q624" s="4"/>
      <c r="R624" s="4"/>
      <c r="S624" s="4"/>
      <c r="T624" s="4"/>
      <c r="U624" s="4"/>
      <c r="V624" s="4"/>
      <c r="W624" s="4"/>
      <c r="X624" s="4"/>
      <c r="Y624" s="4"/>
      <c r="Z624" s="4"/>
      <c r="AA624" s="4"/>
      <c r="AB624" s="4"/>
      <c r="AC624" s="4"/>
      <c r="AD624" s="4"/>
      <c r="AE624" s="4"/>
      <c r="AF624" s="81"/>
      <c r="AG624" s="81"/>
      <c r="AH624" s="81"/>
      <c r="AI624" s="4"/>
      <c r="AJ624" s="81"/>
      <c r="AK624" s="81"/>
      <c r="AL624" s="81"/>
      <c r="AM624" s="43">
        <v>608</v>
      </c>
      <c r="AN624">
        <v>217.77611960969315</v>
      </c>
      <c r="AO624">
        <v>72.497343323558525</v>
      </c>
      <c r="AP624">
        <v>514.81482178300951</v>
      </c>
      <c r="AQ624">
        <v>380.54123847911279</v>
      </c>
      <c r="AR624">
        <v>66.241898867565922</v>
      </c>
      <c r="AS624">
        <v>548.19523103878453</v>
      </c>
      <c r="AT624">
        <v>36.593536594881442</v>
      </c>
      <c r="AU624">
        <v>38.04309178628943</v>
      </c>
      <c r="AV624"/>
      <c r="AW624"/>
      <c r="FY624" s="211">
        <v>619</v>
      </c>
      <c r="FZ624">
        <v>27.850637340908676</v>
      </c>
      <c r="GA624">
        <v>55.36037418263939</v>
      </c>
      <c r="GB624">
        <v>85.498626128735495</v>
      </c>
      <c r="GC624">
        <v>51.273587361372002</v>
      </c>
      <c r="GD624">
        <v>18.757137335809489</v>
      </c>
      <c r="GE624">
        <v>30.577761877905573</v>
      </c>
      <c r="GF624">
        <v>33.59107830454473</v>
      </c>
      <c r="GG624">
        <v>33.580304510684186</v>
      </c>
      <c r="GH624">
        <v>28.787019771795684</v>
      </c>
      <c r="GI624">
        <v>48.783495294731132</v>
      </c>
      <c r="GJ624"/>
      <c r="GK624"/>
      <c r="GL624"/>
      <c r="GM624"/>
    </row>
    <row r="625" spans="1:195" s="7" customFormat="1">
      <c r="A625" s="4"/>
      <c r="B625" s="4"/>
      <c r="C625" s="4"/>
      <c r="D625" s="4"/>
      <c r="E625" s="4"/>
      <c r="F625" s="4"/>
      <c r="G625" s="4"/>
      <c r="H625" s="4"/>
      <c r="I625" s="4"/>
      <c r="J625" s="4"/>
      <c r="K625" s="4"/>
      <c r="L625" s="4"/>
      <c r="M625" s="4"/>
      <c r="N625" s="4"/>
      <c r="O625" s="4"/>
      <c r="P625" s="4"/>
      <c r="Q625" s="4"/>
      <c r="R625" s="4"/>
      <c r="S625" s="4"/>
      <c r="T625" s="4"/>
      <c r="U625" s="4"/>
      <c r="V625" s="4"/>
      <c r="W625" s="4"/>
      <c r="X625" s="4"/>
      <c r="Y625" s="4"/>
      <c r="Z625" s="4"/>
      <c r="AA625" s="4"/>
      <c r="AB625" s="4"/>
      <c r="AC625" s="4"/>
      <c r="AD625" s="4"/>
      <c r="AE625" s="4"/>
      <c r="AF625" s="81"/>
      <c r="AG625" s="81"/>
      <c r="AH625" s="81"/>
      <c r="AI625" s="4"/>
      <c r="AJ625" s="81"/>
      <c r="AK625" s="81"/>
      <c r="AL625" s="81"/>
      <c r="AM625" s="43">
        <v>609</v>
      </c>
      <c r="AN625">
        <v>316.98143803791947</v>
      </c>
      <c r="AO625">
        <v>107.96483167476435</v>
      </c>
      <c r="AP625">
        <v>786.3232486041469</v>
      </c>
      <c r="AQ625">
        <v>595.98898713950541</v>
      </c>
      <c r="AR625">
        <v>96.766561890078108</v>
      </c>
      <c r="AS625">
        <v>800.17000547981615</v>
      </c>
      <c r="AT625">
        <v>49.578541190387249</v>
      </c>
      <c r="AU625">
        <v>103.53344742558635</v>
      </c>
      <c r="AV625"/>
      <c r="AW625"/>
      <c r="FY625" s="211">
        <v>620</v>
      </c>
      <c r="FZ625">
        <v>9.0430428247040613</v>
      </c>
      <c r="GA625">
        <v>36.570043933950465</v>
      </c>
      <c r="GB625">
        <v>65.685168254717951</v>
      </c>
      <c r="GC625">
        <v>38.02143072443522</v>
      </c>
      <c r="GD625">
        <v>19.663937706471724</v>
      </c>
      <c r="GE625">
        <v>38.3342172562228</v>
      </c>
      <c r="GF625">
        <v>42.266720305509352</v>
      </c>
      <c r="GG625">
        <v>49.957480690626014</v>
      </c>
      <c r="GH625">
        <v>43.98469058854829</v>
      </c>
      <c r="GI625">
        <v>46.336738768217806</v>
      </c>
      <c r="GJ625"/>
      <c r="GK625"/>
      <c r="GL625"/>
      <c r="GM625"/>
    </row>
    <row r="626" spans="1:195" s="7" customFormat="1">
      <c r="A626" s="4"/>
      <c r="B626" s="4"/>
      <c r="C626" s="4"/>
      <c r="D626" s="4"/>
      <c r="E626" s="4"/>
      <c r="F626" s="4"/>
      <c r="G626" s="4"/>
      <c r="H626" s="4"/>
      <c r="I626" s="4"/>
      <c r="J626" s="4"/>
      <c r="K626" s="4"/>
      <c r="L626" s="4"/>
      <c r="M626" s="4"/>
      <c r="N626" s="4"/>
      <c r="O626" s="4"/>
      <c r="P626" s="4"/>
      <c r="Q626" s="4"/>
      <c r="R626" s="4"/>
      <c r="S626" s="4"/>
      <c r="T626" s="4"/>
      <c r="U626" s="4"/>
      <c r="V626" s="4"/>
      <c r="W626" s="4"/>
      <c r="X626" s="4"/>
      <c r="Y626" s="4"/>
      <c r="Z626" s="4"/>
      <c r="AA626" s="4"/>
      <c r="AB626" s="4"/>
      <c r="AC626" s="4"/>
      <c r="AD626" s="4"/>
      <c r="AE626" s="4"/>
      <c r="AF626" s="81"/>
      <c r="AG626" s="81"/>
      <c r="AH626" s="81"/>
      <c r="AI626" s="4"/>
      <c r="AJ626" s="81"/>
      <c r="AK626" s="81"/>
      <c r="AL626" s="81"/>
      <c r="AM626" s="43">
        <v>610</v>
      </c>
      <c r="AN626">
        <v>277.26685863972756</v>
      </c>
      <c r="AO626">
        <v>93.575589304626035</v>
      </c>
      <c r="AP626">
        <v>647.00804225940783</v>
      </c>
      <c r="AQ626">
        <v>500.52734241512076</v>
      </c>
      <c r="AR626">
        <v>83.698402362159484</v>
      </c>
      <c r="AS626">
        <v>710.58202266918761</v>
      </c>
      <c r="AT626">
        <v>47.222709947312353</v>
      </c>
      <c r="AU626">
        <v>84.301222313332829</v>
      </c>
      <c r="AV626"/>
      <c r="AW626"/>
      <c r="FY626" s="211">
        <v>621</v>
      </c>
      <c r="FZ626">
        <v>22.67782735875797</v>
      </c>
      <c r="GA626">
        <v>39.100016487431695</v>
      </c>
      <c r="GB626">
        <v>67.288763531735341</v>
      </c>
      <c r="GC626">
        <v>47.509284434392463</v>
      </c>
      <c r="GD626">
        <v>37.168212214102908</v>
      </c>
      <c r="GE626">
        <v>77.567348990101294</v>
      </c>
      <c r="GF626">
        <v>90.390690956674362</v>
      </c>
      <c r="GG626">
        <v>59.5518083901731</v>
      </c>
      <c r="GH626">
        <v>20.17984431819394</v>
      </c>
      <c r="GI626">
        <v>67.067831345249658</v>
      </c>
      <c r="GJ626"/>
      <c r="GK626"/>
      <c r="GL626"/>
      <c r="GM626"/>
    </row>
    <row r="627" spans="1:195" s="7" customFormat="1">
      <c r="A627" s="4"/>
      <c r="B627" s="4"/>
      <c r="C627" s="4"/>
      <c r="D627" s="4"/>
      <c r="E627" s="4"/>
      <c r="F627" s="4"/>
      <c r="G627" s="4"/>
      <c r="H627" s="4"/>
      <c r="I627" s="4"/>
      <c r="J627" s="4"/>
      <c r="K627" s="4"/>
      <c r="L627" s="4"/>
      <c r="M627" s="4"/>
      <c r="N627" s="4"/>
      <c r="O627" s="4"/>
      <c r="P627" s="4"/>
      <c r="Q627" s="4"/>
      <c r="R627" s="4"/>
      <c r="S627" s="4"/>
      <c r="T627" s="4"/>
      <c r="U627" s="4"/>
      <c r="V627" s="4"/>
      <c r="W627" s="4"/>
      <c r="X627" s="4"/>
      <c r="Y627" s="4"/>
      <c r="Z627" s="4"/>
      <c r="AA627" s="4"/>
      <c r="AB627" s="4"/>
      <c r="AC627" s="4"/>
      <c r="AD627" s="4"/>
      <c r="AE627" s="4"/>
      <c r="AF627" s="81"/>
      <c r="AG627" s="81"/>
      <c r="AH627" s="81"/>
      <c r="AI627" s="4"/>
      <c r="AJ627" s="81"/>
      <c r="AK627" s="81"/>
      <c r="AL627" s="81"/>
      <c r="AM627" s="43">
        <v>611</v>
      </c>
      <c r="AN627">
        <v>258.43659143758566</v>
      </c>
      <c r="AO627">
        <v>97.336469754776729</v>
      </c>
      <c r="AP627">
        <v>683.34743026527951</v>
      </c>
      <c r="AQ627">
        <v>510.60983776464781</v>
      </c>
      <c r="AR627">
        <v>88.013178195653325</v>
      </c>
      <c r="AS627">
        <v>723.09598765004523</v>
      </c>
      <c r="AT627">
        <v>46.956520132627908</v>
      </c>
      <c r="AU627">
        <v>77.636887549846094</v>
      </c>
      <c r="AV627"/>
      <c r="AW627"/>
      <c r="FY627" s="211">
        <v>622</v>
      </c>
      <c r="FZ627">
        <v>12.900203549865507</v>
      </c>
      <c r="GA627">
        <v>32.990630328322041</v>
      </c>
      <c r="GB627">
        <v>70.518694597730018</v>
      </c>
      <c r="GC627">
        <v>42.94152924350923</v>
      </c>
      <c r="GD627">
        <v>19.959036584517772</v>
      </c>
      <c r="GE627">
        <v>48.559764527947927</v>
      </c>
      <c r="GF627">
        <v>62.281507255828366</v>
      </c>
      <c r="GG627">
        <v>45.794382065109431</v>
      </c>
      <c r="GH627">
        <v>34.008263976504793</v>
      </c>
      <c r="GI627">
        <v>50.064194410076787</v>
      </c>
      <c r="GJ627"/>
      <c r="GK627"/>
      <c r="GL627"/>
      <c r="GM627"/>
    </row>
    <row r="628" spans="1:195" s="7" customFormat="1">
      <c r="A628" s="4"/>
      <c r="B628" s="4"/>
      <c r="C628" s="4"/>
      <c r="D628" s="4"/>
      <c r="E628" s="4"/>
      <c r="F628" s="4"/>
      <c r="G628" s="4"/>
      <c r="H628" s="4"/>
      <c r="I628" s="4"/>
      <c r="J628" s="4"/>
      <c r="K628" s="4"/>
      <c r="L628" s="4"/>
      <c r="M628" s="4"/>
      <c r="N628" s="4"/>
      <c r="O628" s="4"/>
      <c r="P628" s="4"/>
      <c r="Q628" s="4"/>
      <c r="R628" s="4"/>
      <c r="S628" s="4"/>
      <c r="T628" s="4"/>
      <c r="U628" s="4"/>
      <c r="V628" s="4"/>
      <c r="W628" s="4"/>
      <c r="X628" s="4"/>
      <c r="Y628" s="4"/>
      <c r="Z628" s="4"/>
      <c r="AA628" s="4"/>
      <c r="AB628" s="4"/>
      <c r="AC628" s="4"/>
      <c r="AD628" s="4"/>
      <c r="AE628" s="4"/>
      <c r="AF628" s="81"/>
      <c r="AG628" s="81"/>
      <c r="AH628" s="81"/>
      <c r="AI628" s="4"/>
      <c r="AJ628" s="81"/>
      <c r="AK628" s="81"/>
      <c r="AL628" s="81"/>
      <c r="AM628" s="43">
        <v>612</v>
      </c>
      <c r="AN628">
        <v>205.36233281077679</v>
      </c>
      <c r="AO628">
        <v>63.890534082178007</v>
      </c>
      <c r="AP628">
        <v>453.66291907244783</v>
      </c>
      <c r="AQ628">
        <v>343.03417904957041</v>
      </c>
      <c r="AR628">
        <v>58.342629633048425</v>
      </c>
      <c r="AS628">
        <v>514.78460830255949</v>
      </c>
      <c r="AT628">
        <v>33.605539573932681</v>
      </c>
      <c r="AU628">
        <v>37.425318195279033</v>
      </c>
      <c r="AV628"/>
      <c r="AW628"/>
      <c r="FY628" s="211">
        <v>623</v>
      </c>
      <c r="FZ628">
        <v>9.4312895833509316</v>
      </c>
      <c r="GA628">
        <v>58.26804117068135</v>
      </c>
      <c r="GB628">
        <v>90.532597855466094</v>
      </c>
      <c r="GC628">
        <v>46.880765013158872</v>
      </c>
      <c r="GD628">
        <v>14.202167829109467</v>
      </c>
      <c r="GE628">
        <v>21.656074174914519</v>
      </c>
      <c r="GF628">
        <v>37.408074517139589</v>
      </c>
      <c r="GG628">
        <v>41.680469650022033</v>
      </c>
      <c r="GH628">
        <v>32.334196329547218</v>
      </c>
      <c r="GI628">
        <v>46.046123778677909</v>
      </c>
      <c r="GJ628"/>
      <c r="GK628"/>
      <c r="GL628"/>
      <c r="GM628"/>
    </row>
    <row r="629" spans="1:195" s="7" customFormat="1">
      <c r="A629" s="4"/>
      <c r="B629" s="4"/>
      <c r="C629" s="4"/>
      <c r="D629" s="4"/>
      <c r="E629" s="4"/>
      <c r="F629" s="4"/>
      <c r="G629" s="4"/>
      <c r="H629" s="4"/>
      <c r="I629" s="4"/>
      <c r="J629" s="4"/>
      <c r="K629" s="4"/>
      <c r="L629" s="4"/>
      <c r="M629" s="4"/>
      <c r="N629" s="4"/>
      <c r="O629" s="4"/>
      <c r="P629" s="4"/>
      <c r="Q629" s="4"/>
      <c r="R629" s="4"/>
      <c r="S629" s="4"/>
      <c r="T629" s="4"/>
      <c r="U629" s="4"/>
      <c r="V629" s="4"/>
      <c r="W629" s="4"/>
      <c r="X629" s="4"/>
      <c r="Y629" s="4"/>
      <c r="Z629" s="4"/>
      <c r="AA629" s="4"/>
      <c r="AB629" s="4"/>
      <c r="AC629" s="4"/>
      <c r="AD629" s="4"/>
      <c r="AE629" s="4"/>
      <c r="AF629" s="81"/>
      <c r="AG629" s="81"/>
      <c r="AH629" s="81"/>
      <c r="AI629" s="4"/>
      <c r="AJ629" s="81"/>
      <c r="AK629" s="81"/>
      <c r="AL629" s="81"/>
      <c r="AM629" s="43">
        <v>613</v>
      </c>
      <c r="AN629">
        <v>291.50207085323825</v>
      </c>
      <c r="AO629">
        <v>74.736164615490111</v>
      </c>
      <c r="AP629">
        <v>463.54633431157811</v>
      </c>
      <c r="AQ629">
        <v>377.76727115945909</v>
      </c>
      <c r="AR629">
        <v>67.58900832934124</v>
      </c>
      <c r="AS629">
        <v>626.42503684673318</v>
      </c>
      <c r="AT629">
        <v>35.34686304497783</v>
      </c>
      <c r="AU629">
        <v>69.145690348594613</v>
      </c>
      <c r="AV629"/>
      <c r="AW629"/>
      <c r="FY629" s="211">
        <v>624</v>
      </c>
      <c r="FZ629">
        <v>25.82669372902658</v>
      </c>
      <c r="GA629">
        <v>62.233136995382978</v>
      </c>
      <c r="GB629">
        <v>68.838500412964081</v>
      </c>
      <c r="GC629">
        <v>36.983235173748788</v>
      </c>
      <c r="GD629">
        <v>18.968805684962518</v>
      </c>
      <c r="GE629">
        <v>53.015969142385224</v>
      </c>
      <c r="GF629">
        <v>89.232157214461893</v>
      </c>
      <c r="GG629">
        <v>55.365527570633859</v>
      </c>
      <c r="GH629">
        <v>21.898131921743051</v>
      </c>
      <c r="GI629">
        <v>54.319066689664758</v>
      </c>
      <c r="GJ629"/>
      <c r="GK629"/>
      <c r="GL629"/>
      <c r="GM629"/>
    </row>
    <row r="630" spans="1:195" s="7" customFormat="1">
      <c r="A630" s="4"/>
      <c r="B630" s="4"/>
      <c r="C630" s="4"/>
      <c r="D630" s="4"/>
      <c r="E630" s="4"/>
      <c r="F630" s="4"/>
      <c r="G630" s="4"/>
      <c r="H630" s="4"/>
      <c r="I630" s="4"/>
      <c r="J630" s="4"/>
      <c r="K630" s="4"/>
      <c r="L630" s="4"/>
      <c r="M630" s="4"/>
      <c r="N630" s="4"/>
      <c r="O630" s="4"/>
      <c r="P630" s="4"/>
      <c r="Q630" s="4"/>
      <c r="R630" s="4"/>
      <c r="S630" s="4"/>
      <c r="T630" s="4"/>
      <c r="U630" s="4"/>
      <c r="V630" s="4"/>
      <c r="W630" s="4"/>
      <c r="X630" s="4"/>
      <c r="Y630" s="4"/>
      <c r="Z630" s="4"/>
      <c r="AA630" s="4"/>
      <c r="AB630" s="4"/>
      <c r="AC630" s="4"/>
      <c r="AD630" s="4"/>
      <c r="AE630" s="4"/>
      <c r="AF630" s="81"/>
      <c r="AG630" s="81"/>
      <c r="AH630" s="81"/>
      <c r="AI630" s="4"/>
      <c r="AJ630" s="81"/>
      <c r="AK630" s="81"/>
      <c r="AL630" s="81"/>
      <c r="AM630" s="43">
        <v>614</v>
      </c>
      <c r="AN630">
        <v>240.35330952749399</v>
      </c>
      <c r="AO630">
        <v>82.657418894194578</v>
      </c>
      <c r="AP630">
        <v>608.46085645979065</v>
      </c>
      <c r="AQ630">
        <v>467.60151934980263</v>
      </c>
      <c r="AR630">
        <v>75.065192351237513</v>
      </c>
      <c r="AS630">
        <v>621.90289499469566</v>
      </c>
      <c r="AT630">
        <v>39.957899514289259</v>
      </c>
      <c r="AU630">
        <v>28.599747449138864</v>
      </c>
      <c r="AV630"/>
      <c r="AW630"/>
      <c r="FY630" s="211">
        <v>625</v>
      </c>
      <c r="FZ630">
        <v>7.9906391628074909</v>
      </c>
      <c r="GA630">
        <v>21.833026360682151</v>
      </c>
      <c r="GB630">
        <v>68.537606796013577</v>
      </c>
      <c r="GC630">
        <v>47.293832540676334</v>
      </c>
      <c r="GD630">
        <v>16.855982252899643</v>
      </c>
      <c r="GE630">
        <v>29.903074307126474</v>
      </c>
      <c r="GF630">
        <v>56.557456194913691</v>
      </c>
      <c r="GG630">
        <v>55.113434329665182</v>
      </c>
      <c r="GH630">
        <v>41.548379366996144</v>
      </c>
      <c r="GI630">
        <v>46.466776485203532</v>
      </c>
      <c r="GJ630"/>
      <c r="GK630"/>
      <c r="GL630"/>
      <c r="GM630"/>
    </row>
    <row r="631" spans="1:195" s="7" customFormat="1">
      <c r="A631" s="4"/>
      <c r="B631" s="4"/>
      <c r="C631" s="4"/>
      <c r="D631" s="4"/>
      <c r="E631" s="4"/>
      <c r="F631" s="4"/>
      <c r="G631" s="4"/>
      <c r="H631" s="4"/>
      <c r="I631" s="4"/>
      <c r="J631" s="4"/>
      <c r="K631" s="4"/>
      <c r="L631" s="4"/>
      <c r="M631" s="4"/>
      <c r="N631" s="4"/>
      <c r="O631" s="4"/>
      <c r="P631" s="4"/>
      <c r="Q631" s="4"/>
      <c r="R631" s="4"/>
      <c r="S631" s="4"/>
      <c r="T631" s="4"/>
      <c r="U631" s="4"/>
      <c r="V631" s="4"/>
      <c r="W631" s="4"/>
      <c r="X631" s="4"/>
      <c r="Y631" s="4"/>
      <c r="Z631" s="4"/>
      <c r="AA631" s="4"/>
      <c r="AB631" s="4"/>
      <c r="AC631" s="4"/>
      <c r="AD631" s="4"/>
      <c r="AE631" s="4"/>
      <c r="AF631" s="81"/>
      <c r="AG631" s="81"/>
      <c r="AH631" s="81"/>
      <c r="AI631" s="4"/>
      <c r="AJ631" s="81"/>
      <c r="AK631" s="81"/>
      <c r="AL631" s="81"/>
      <c r="AM631" s="43">
        <v>615</v>
      </c>
      <c r="AN631">
        <v>242.85580855004588</v>
      </c>
      <c r="AO631">
        <v>84.228817103239095</v>
      </c>
      <c r="AP631">
        <v>640.72488288831687</v>
      </c>
      <c r="AQ631">
        <v>440.07333046924555</v>
      </c>
      <c r="AR631">
        <v>76.161659316775925</v>
      </c>
      <c r="AS631">
        <v>622.84002986926328</v>
      </c>
      <c r="AT631">
        <v>41.963818775572307</v>
      </c>
      <c r="AU631">
        <v>5.3883299158442579</v>
      </c>
      <c r="AV631"/>
      <c r="AW631"/>
      <c r="FY631" s="211">
        <v>626</v>
      </c>
      <c r="FZ631">
        <v>18.484545754778061</v>
      </c>
      <c r="GA631">
        <v>50.072336644421441</v>
      </c>
      <c r="GB631">
        <v>73.129370389126848</v>
      </c>
      <c r="GC631">
        <v>44.117964065825078</v>
      </c>
      <c r="GD631">
        <v>21.253568741143816</v>
      </c>
      <c r="GE631">
        <v>66.730456740546174</v>
      </c>
      <c r="GF631">
        <v>106.64002985332047</v>
      </c>
      <c r="GG631">
        <v>58.858819195008998</v>
      </c>
      <c r="GH631">
        <v>36.431031752585803</v>
      </c>
      <c r="GI631">
        <v>63.012645647858967</v>
      </c>
      <c r="GJ631"/>
      <c r="GK631"/>
      <c r="GL631"/>
      <c r="GM631"/>
    </row>
    <row r="632" spans="1:195" s="7" customFormat="1">
      <c r="A632" s="4"/>
      <c r="B632" s="4"/>
      <c r="C632" s="4"/>
      <c r="D632" s="4"/>
      <c r="E632" s="4"/>
      <c r="F632" s="4"/>
      <c r="G632" s="4"/>
      <c r="H632" s="4"/>
      <c r="I632" s="4"/>
      <c r="J632" s="4"/>
      <c r="K632" s="4"/>
      <c r="L632" s="4"/>
      <c r="M632" s="4"/>
      <c r="N632" s="4"/>
      <c r="O632" s="4"/>
      <c r="P632" s="4"/>
      <c r="Q632" s="4"/>
      <c r="R632" s="4"/>
      <c r="S632" s="4"/>
      <c r="T632" s="4"/>
      <c r="U632" s="4"/>
      <c r="V632" s="4"/>
      <c r="W632" s="4"/>
      <c r="X632" s="4"/>
      <c r="Y632" s="4"/>
      <c r="Z632" s="4"/>
      <c r="AA632" s="4"/>
      <c r="AB632" s="4"/>
      <c r="AC632" s="4"/>
      <c r="AD632" s="4"/>
      <c r="AE632" s="4"/>
      <c r="AF632" s="81"/>
      <c r="AG632" s="81"/>
      <c r="AH632" s="81"/>
      <c r="AI632" s="4"/>
      <c r="AJ632" s="81"/>
      <c r="AK632" s="81"/>
      <c r="AL632" s="81"/>
      <c r="AM632" s="43">
        <v>616</v>
      </c>
      <c r="AN632">
        <v>235.8717659623548</v>
      </c>
      <c r="AO632">
        <v>70.883920257752607</v>
      </c>
      <c r="AP632">
        <v>461.28584608686634</v>
      </c>
      <c r="AQ632">
        <v>366.71280218034696</v>
      </c>
      <c r="AR632">
        <v>65.282623359187852</v>
      </c>
      <c r="AS632">
        <v>572.85251703238521</v>
      </c>
      <c r="AT632">
        <v>34.423873129701597</v>
      </c>
      <c r="AU632">
        <v>75.948806963490696</v>
      </c>
      <c r="AV632"/>
      <c r="AW632"/>
      <c r="FY632" s="211">
        <v>627</v>
      </c>
      <c r="FZ632">
        <v>14.089266307803905</v>
      </c>
      <c r="GA632">
        <v>61.257930808571921</v>
      </c>
      <c r="GB632">
        <v>77.119989088736844</v>
      </c>
      <c r="GC632">
        <v>45.837150032908816</v>
      </c>
      <c r="GD632">
        <v>19.799078097420164</v>
      </c>
      <c r="GE632">
        <v>38.196997532350274</v>
      </c>
      <c r="GF632">
        <v>74.946237134651241</v>
      </c>
      <c r="GG632">
        <v>35.303938673006535</v>
      </c>
      <c r="GH632">
        <v>2.8592900937743595</v>
      </c>
      <c r="GI632">
        <v>49.596136943460301</v>
      </c>
      <c r="GJ632"/>
      <c r="GK632"/>
      <c r="GL632"/>
      <c r="GM632"/>
    </row>
    <row r="633" spans="1:195" s="7" customFormat="1">
      <c r="A633" s="4"/>
      <c r="B633" s="4"/>
      <c r="C633" s="4"/>
      <c r="D633" s="4"/>
      <c r="E633" s="4"/>
      <c r="F633" s="4"/>
      <c r="G633" s="4"/>
      <c r="H633" s="4"/>
      <c r="I633" s="4"/>
      <c r="J633" s="4"/>
      <c r="K633" s="4"/>
      <c r="L633" s="4"/>
      <c r="M633" s="4"/>
      <c r="N633" s="4"/>
      <c r="O633" s="4"/>
      <c r="P633" s="4"/>
      <c r="Q633" s="4"/>
      <c r="R633" s="4"/>
      <c r="S633" s="4"/>
      <c r="T633" s="4"/>
      <c r="U633" s="4"/>
      <c r="V633" s="4"/>
      <c r="W633" s="4"/>
      <c r="X633" s="4"/>
      <c r="Y633" s="4"/>
      <c r="Z633" s="4"/>
      <c r="AA633" s="4"/>
      <c r="AB633" s="4"/>
      <c r="AC633" s="4"/>
      <c r="AD633" s="4"/>
      <c r="AE633" s="4"/>
      <c r="AF633" s="81"/>
      <c r="AG633" s="81"/>
      <c r="AH633" s="81"/>
      <c r="AI633" s="4"/>
      <c r="AJ633" s="81"/>
      <c r="AK633" s="81"/>
      <c r="AL633" s="81"/>
      <c r="AM633" s="43">
        <v>617</v>
      </c>
      <c r="AN633">
        <v>229.12430904412909</v>
      </c>
      <c r="AO633">
        <v>83.788795599226631</v>
      </c>
      <c r="AP633">
        <v>650.26263601955804</v>
      </c>
      <c r="AQ633">
        <v>461.95591534811479</v>
      </c>
      <c r="AR633">
        <v>76.950424081600261</v>
      </c>
      <c r="AS633">
        <v>593.79483906759663</v>
      </c>
      <c r="AT633">
        <v>42.986149756788969</v>
      </c>
      <c r="AU633">
        <v>113.31374256769475</v>
      </c>
      <c r="AV633"/>
      <c r="AW633"/>
      <c r="FY633" s="211">
        <v>628</v>
      </c>
      <c r="FZ633">
        <v>11.234505476166207</v>
      </c>
      <c r="GA633">
        <v>46.479685993485219</v>
      </c>
      <c r="GB633">
        <v>70.047037142795318</v>
      </c>
      <c r="GC633">
        <v>40.468630886504577</v>
      </c>
      <c r="GD633">
        <v>15.333643805436605</v>
      </c>
      <c r="GE633">
        <v>62.143369383705647</v>
      </c>
      <c r="GF633">
        <v>160.74314498809034</v>
      </c>
      <c r="GG633">
        <v>100.10335757040819</v>
      </c>
      <c r="GH633">
        <v>37.021624707504479</v>
      </c>
      <c r="GI633">
        <v>68.061903858918612</v>
      </c>
      <c r="GJ633"/>
      <c r="GK633"/>
      <c r="GL633"/>
      <c r="GM633"/>
    </row>
    <row r="634" spans="1:195" s="7" customFormat="1">
      <c r="A634" s="4"/>
      <c r="B634" s="4"/>
      <c r="C634" s="4"/>
      <c r="D634" s="4"/>
      <c r="E634" s="4"/>
      <c r="F634" s="4"/>
      <c r="G634" s="4"/>
      <c r="H634" s="4"/>
      <c r="I634" s="4"/>
      <c r="J634" s="4"/>
      <c r="K634" s="4"/>
      <c r="L634" s="4"/>
      <c r="M634" s="4"/>
      <c r="N634" s="4"/>
      <c r="O634" s="4"/>
      <c r="P634" s="4"/>
      <c r="Q634" s="4"/>
      <c r="R634" s="4"/>
      <c r="S634" s="4"/>
      <c r="T634" s="4"/>
      <c r="U634" s="4"/>
      <c r="V634" s="4"/>
      <c r="W634" s="4"/>
      <c r="X634" s="4"/>
      <c r="Y634" s="4"/>
      <c r="Z634" s="4"/>
      <c r="AA634" s="4"/>
      <c r="AB634" s="4"/>
      <c r="AC634" s="4"/>
      <c r="AD634" s="4"/>
      <c r="AE634" s="4"/>
      <c r="AF634" s="81"/>
      <c r="AG634" s="81"/>
      <c r="AH634" s="81"/>
      <c r="AI634" s="4"/>
      <c r="AJ634" s="81"/>
      <c r="AK634" s="81"/>
      <c r="AL634" s="81"/>
      <c r="AM634" s="43">
        <v>618</v>
      </c>
      <c r="AN634">
        <v>266.93096042681253</v>
      </c>
      <c r="AO634">
        <v>89.481764181961196</v>
      </c>
      <c r="AP634">
        <v>716.75168827811012</v>
      </c>
      <c r="AQ634">
        <v>513.32754912865857</v>
      </c>
      <c r="AR634">
        <v>79.401421782738495</v>
      </c>
      <c r="AS634">
        <v>657.85131600859097</v>
      </c>
      <c r="AT634">
        <v>41.879685975253111</v>
      </c>
      <c r="AU634">
        <v>58.801659229265027</v>
      </c>
      <c r="AV634"/>
      <c r="AW634"/>
      <c r="FY634" s="211">
        <v>629</v>
      </c>
      <c r="FZ634">
        <v>14.47265584757945</v>
      </c>
      <c r="GA634">
        <v>51.075900201682671</v>
      </c>
      <c r="GB634">
        <v>84.57590886506091</v>
      </c>
      <c r="GC634">
        <v>47.168020580457984</v>
      </c>
      <c r="GD634">
        <v>18.603749142696536</v>
      </c>
      <c r="GE634">
        <v>43.390408699479359</v>
      </c>
      <c r="GF634">
        <v>70.764064600651992</v>
      </c>
      <c r="GG634">
        <v>37.393969803308067</v>
      </c>
      <c r="GH634">
        <v>8.9292939346514419</v>
      </c>
      <c r="GI634">
        <v>51.02720180215028</v>
      </c>
      <c r="GJ634"/>
      <c r="GK634"/>
      <c r="GL634"/>
      <c r="GM634"/>
    </row>
    <row r="635" spans="1:195" s="7" customFormat="1">
      <c r="A635" s="4"/>
      <c r="B635" s="4"/>
      <c r="C635" s="4"/>
      <c r="D635" s="4"/>
      <c r="E635" s="4"/>
      <c r="F635" s="4"/>
      <c r="G635" s="4"/>
      <c r="H635" s="4"/>
      <c r="I635" s="4"/>
      <c r="J635" s="4"/>
      <c r="K635" s="4"/>
      <c r="L635" s="4"/>
      <c r="M635" s="4"/>
      <c r="N635" s="4"/>
      <c r="O635" s="4"/>
      <c r="P635" s="4"/>
      <c r="Q635" s="4"/>
      <c r="R635" s="4"/>
      <c r="S635" s="4"/>
      <c r="T635" s="4"/>
      <c r="U635" s="4"/>
      <c r="V635" s="4"/>
      <c r="W635" s="4"/>
      <c r="X635" s="4"/>
      <c r="Y635" s="4"/>
      <c r="Z635" s="4"/>
      <c r="AA635" s="4"/>
      <c r="AB635" s="4"/>
      <c r="AC635" s="4"/>
      <c r="AD635" s="4"/>
      <c r="AE635" s="4"/>
      <c r="AF635" s="81"/>
      <c r="AG635" s="81"/>
      <c r="AH635" s="81"/>
      <c r="AI635" s="4"/>
      <c r="AJ635" s="81"/>
      <c r="AK635" s="81"/>
      <c r="AL635" s="81"/>
      <c r="AM635" s="43">
        <v>619</v>
      </c>
      <c r="AN635">
        <v>202.08424050174852</v>
      </c>
      <c r="AO635">
        <v>76.516406837940963</v>
      </c>
      <c r="AP635">
        <v>538.51133652520912</v>
      </c>
      <c r="AQ635">
        <v>414.06002210912635</v>
      </c>
      <c r="AR635">
        <v>69.89673567377767</v>
      </c>
      <c r="AS635">
        <v>572.60419934067795</v>
      </c>
      <c r="AT635">
        <v>38.441935658575169</v>
      </c>
      <c r="AU635">
        <v>60.503973038457517</v>
      </c>
      <c r="AV635"/>
      <c r="AW635"/>
      <c r="FY635" s="211">
        <v>630</v>
      </c>
      <c r="FZ635">
        <v>29.128345285760361</v>
      </c>
      <c r="GA635">
        <v>64.58691567543579</v>
      </c>
      <c r="GB635">
        <v>65.32593145841652</v>
      </c>
      <c r="GC635">
        <v>39.322407564647975</v>
      </c>
      <c r="GD635">
        <v>16.329352989253948</v>
      </c>
      <c r="GE635">
        <v>34.718256427044643</v>
      </c>
      <c r="GF635">
        <v>73.365356169313046</v>
      </c>
      <c r="GG635">
        <v>43.108979718472888</v>
      </c>
      <c r="GH635">
        <v>12.270689552267857</v>
      </c>
      <c r="GI635">
        <v>48.296064531198589</v>
      </c>
      <c r="GJ635"/>
      <c r="GK635"/>
      <c r="GL635"/>
      <c r="GM635"/>
    </row>
    <row r="636" spans="1:195" s="7" customFormat="1">
      <c r="A636" s="4"/>
      <c r="B636" s="4"/>
      <c r="C636" s="4"/>
      <c r="D636" s="4"/>
      <c r="E636" s="4"/>
      <c r="F636" s="4"/>
      <c r="G636" s="4"/>
      <c r="H636" s="4"/>
      <c r="I636" s="4"/>
      <c r="J636" s="4"/>
      <c r="K636" s="4"/>
      <c r="L636" s="4"/>
      <c r="M636" s="4"/>
      <c r="N636" s="4"/>
      <c r="O636" s="4"/>
      <c r="P636" s="4"/>
      <c r="Q636" s="4"/>
      <c r="R636" s="4"/>
      <c r="S636" s="4"/>
      <c r="T636" s="4"/>
      <c r="U636" s="4"/>
      <c r="V636" s="4"/>
      <c r="W636" s="4"/>
      <c r="X636" s="4"/>
      <c r="Y636" s="4"/>
      <c r="Z636" s="4"/>
      <c r="AA636" s="4"/>
      <c r="AB636" s="4"/>
      <c r="AC636" s="4"/>
      <c r="AD636" s="4"/>
      <c r="AE636" s="4"/>
      <c r="AF636" s="81"/>
      <c r="AG636" s="81"/>
      <c r="AH636" s="81"/>
      <c r="AI636" s="4"/>
      <c r="AJ636" s="81"/>
      <c r="AK636" s="81"/>
      <c r="AL636" s="81"/>
      <c r="AM636" s="43">
        <v>620</v>
      </c>
      <c r="AN636">
        <v>218.34754250400221</v>
      </c>
      <c r="AO636">
        <v>73.08554689506505</v>
      </c>
      <c r="AP636">
        <v>514.29739386370875</v>
      </c>
      <c r="AQ636">
        <v>389.86347105340371</v>
      </c>
      <c r="AR636">
        <v>66.216490627482415</v>
      </c>
      <c r="AS636">
        <v>580.61122419254298</v>
      </c>
      <c r="AT636">
        <v>38.589947292354793</v>
      </c>
      <c r="AU636">
        <v>177.48501125825018</v>
      </c>
      <c r="AV636"/>
      <c r="AW636"/>
      <c r="FY636" s="211">
        <v>631</v>
      </c>
      <c r="FZ636">
        <v>11.147007824132917</v>
      </c>
      <c r="GA636">
        <v>41.303502381249722</v>
      </c>
      <c r="GB636">
        <v>60.677246897050622</v>
      </c>
      <c r="GC636">
        <v>33.213668548808251</v>
      </c>
      <c r="GD636">
        <v>18.094414017259069</v>
      </c>
      <c r="GE636">
        <v>53.165198796937624</v>
      </c>
      <c r="GF636">
        <v>94.859206731629357</v>
      </c>
      <c r="GG636">
        <v>70.117873641231242</v>
      </c>
      <c r="GH636">
        <v>39.200959391837841</v>
      </c>
      <c r="GI636">
        <v>55.582792957247797</v>
      </c>
      <c r="GJ636"/>
      <c r="GK636"/>
      <c r="GL636"/>
      <c r="GM636"/>
    </row>
    <row r="637" spans="1:195" s="7" customFormat="1">
      <c r="A637" s="4"/>
      <c r="B637" s="4"/>
      <c r="C637" s="4"/>
      <c r="D637" s="4"/>
      <c r="E637" s="4"/>
      <c r="F637" s="4"/>
      <c r="G637" s="4"/>
      <c r="H637" s="4"/>
      <c r="I637" s="4"/>
      <c r="J637" s="4"/>
      <c r="K637" s="4"/>
      <c r="L637" s="4"/>
      <c r="M637" s="4"/>
      <c r="N637" s="4"/>
      <c r="O637" s="4"/>
      <c r="P637" s="4"/>
      <c r="Q637" s="4"/>
      <c r="R637" s="4"/>
      <c r="S637" s="4"/>
      <c r="T637" s="4"/>
      <c r="U637" s="4"/>
      <c r="V637" s="4"/>
      <c r="W637" s="4"/>
      <c r="X637" s="4"/>
      <c r="Y637" s="4"/>
      <c r="Z637" s="4"/>
      <c r="AA637" s="4"/>
      <c r="AB637" s="4"/>
      <c r="AC637" s="4"/>
      <c r="AD637" s="4"/>
      <c r="AE637" s="4"/>
      <c r="AF637" s="81"/>
      <c r="AG637" s="81"/>
      <c r="AH637" s="81"/>
      <c r="AI637" s="4"/>
      <c r="AJ637" s="81"/>
      <c r="AK637" s="81"/>
      <c r="AL637" s="81"/>
      <c r="AM637" s="43">
        <v>621</v>
      </c>
      <c r="AN637">
        <v>232.82829297490616</v>
      </c>
      <c r="AO637">
        <v>108.35058627251055</v>
      </c>
      <c r="AP637">
        <v>697.22527479574251</v>
      </c>
      <c r="AQ637">
        <v>528.5016280268128</v>
      </c>
      <c r="AR637">
        <v>97.618360882195205</v>
      </c>
      <c r="AS637">
        <v>702.08574391792911</v>
      </c>
      <c r="AT637">
        <v>54.049701927845753</v>
      </c>
      <c r="AU637">
        <v>116.71421125346978</v>
      </c>
      <c r="AV637"/>
      <c r="AW637"/>
      <c r="FY637" s="211">
        <v>632</v>
      </c>
      <c r="FZ637">
        <v>22.5873306107278</v>
      </c>
      <c r="GA637">
        <v>58.136229521525607</v>
      </c>
      <c r="GB637">
        <v>58.424497635041888</v>
      </c>
      <c r="GC637">
        <v>36.014808560755206</v>
      </c>
      <c r="GD637">
        <v>26.691930268993186</v>
      </c>
      <c r="GE637">
        <v>57.575554061400638</v>
      </c>
      <c r="GF637">
        <v>90.013638475144276</v>
      </c>
      <c r="GG637">
        <v>58.138037686559336</v>
      </c>
      <c r="GH637">
        <v>16.110943855319594</v>
      </c>
      <c r="GI637">
        <v>56.26388850285128</v>
      </c>
      <c r="GJ637"/>
      <c r="GK637"/>
      <c r="GL637"/>
      <c r="GM637"/>
    </row>
    <row r="638" spans="1:195" s="7" customFormat="1">
      <c r="A638" s="4"/>
      <c r="B638" s="4"/>
      <c r="C638" s="4"/>
      <c r="D638" s="4"/>
      <c r="E638" s="4"/>
      <c r="F638" s="4"/>
      <c r="G638" s="4"/>
      <c r="H638" s="4"/>
      <c r="I638" s="4"/>
      <c r="J638" s="4"/>
      <c r="K638" s="4"/>
      <c r="L638" s="4"/>
      <c r="M638" s="4"/>
      <c r="N638" s="4"/>
      <c r="O638" s="4"/>
      <c r="P638" s="4"/>
      <c r="Q638" s="4"/>
      <c r="R638" s="4"/>
      <c r="S638" s="4"/>
      <c r="T638" s="4"/>
      <c r="U638" s="4"/>
      <c r="V638" s="4"/>
      <c r="W638" s="4"/>
      <c r="X638" s="4"/>
      <c r="Y638" s="4"/>
      <c r="Z638" s="4"/>
      <c r="AA638" s="4"/>
      <c r="AB638" s="4"/>
      <c r="AC638" s="4"/>
      <c r="AD638" s="4"/>
      <c r="AE638" s="4"/>
      <c r="AF638" s="81"/>
      <c r="AG638" s="81"/>
      <c r="AH638" s="81"/>
      <c r="AI638" s="4"/>
      <c r="AJ638" s="81"/>
      <c r="AK638" s="81"/>
      <c r="AL638" s="81"/>
      <c r="AM638" s="43">
        <v>622</v>
      </c>
      <c r="AN638">
        <v>242.79467962924491</v>
      </c>
      <c r="AO638">
        <v>78.614162605088595</v>
      </c>
      <c r="AP638">
        <v>547.25361416015699</v>
      </c>
      <c r="AQ638">
        <v>420.01820653941189</v>
      </c>
      <c r="AR638">
        <v>70.996347190251441</v>
      </c>
      <c r="AS638">
        <v>609.50003895766758</v>
      </c>
      <c r="AT638">
        <v>36.402172808392997</v>
      </c>
      <c r="AU638">
        <v>44.896086232217989</v>
      </c>
      <c r="AV638"/>
      <c r="AW638"/>
      <c r="FY638" s="211">
        <v>633</v>
      </c>
      <c r="FZ638">
        <v>3.403178264169834</v>
      </c>
      <c r="GA638">
        <v>36.876760993156871</v>
      </c>
      <c r="GB638">
        <v>67.000466962995461</v>
      </c>
      <c r="GC638">
        <v>41.164404961995899</v>
      </c>
      <c r="GD638">
        <v>17.239375575587331</v>
      </c>
      <c r="GE638">
        <v>33.707294212859104</v>
      </c>
      <c r="GF638">
        <v>49.724084889631058</v>
      </c>
      <c r="GG638">
        <v>33.863308834198129</v>
      </c>
      <c r="GH638">
        <v>27.26823711956116</v>
      </c>
      <c r="GI638">
        <v>42.402728210203591</v>
      </c>
      <c r="GJ638"/>
      <c r="GK638"/>
      <c r="GL638"/>
      <c r="GM638"/>
    </row>
    <row r="639" spans="1:195" s="7" customFormat="1">
      <c r="A639" s="4"/>
      <c r="B639" s="4"/>
      <c r="C639" s="4"/>
      <c r="D639" s="4"/>
      <c r="E639" s="4"/>
      <c r="F639" s="4"/>
      <c r="G639" s="4"/>
      <c r="H639" s="4"/>
      <c r="I639" s="4"/>
      <c r="J639" s="4"/>
      <c r="K639" s="4"/>
      <c r="L639" s="4"/>
      <c r="M639" s="4"/>
      <c r="N639" s="4"/>
      <c r="O639" s="4"/>
      <c r="P639" s="4"/>
      <c r="Q639" s="4"/>
      <c r="R639" s="4"/>
      <c r="S639" s="4"/>
      <c r="T639" s="4"/>
      <c r="U639" s="4"/>
      <c r="V639" s="4"/>
      <c r="W639" s="4"/>
      <c r="X639" s="4"/>
      <c r="Y639" s="4"/>
      <c r="Z639" s="4"/>
      <c r="AA639" s="4"/>
      <c r="AB639" s="4"/>
      <c r="AC639" s="4"/>
      <c r="AD639" s="4"/>
      <c r="AE639" s="4"/>
      <c r="AF639" s="81"/>
      <c r="AG639" s="81"/>
      <c r="AH639" s="81"/>
      <c r="AI639" s="4"/>
      <c r="AJ639" s="81"/>
      <c r="AK639" s="81"/>
      <c r="AL639" s="81"/>
      <c r="AM639" s="43">
        <v>623</v>
      </c>
      <c r="AN639">
        <v>251.61282204190206</v>
      </c>
      <c r="AO639">
        <v>72.18171138668211</v>
      </c>
      <c r="AP639">
        <v>542.55126175516352</v>
      </c>
      <c r="AQ639">
        <v>398.43979990206799</v>
      </c>
      <c r="AR639">
        <v>65.878215326099735</v>
      </c>
      <c r="AS639">
        <v>584.03568862496684</v>
      </c>
      <c r="AT639">
        <v>35.861887661659729</v>
      </c>
      <c r="AU639">
        <v>100.0031787588606</v>
      </c>
      <c r="AV639"/>
      <c r="AW639"/>
      <c r="FY639" s="211">
        <v>634</v>
      </c>
      <c r="FZ639">
        <v>10.532720983417001</v>
      </c>
      <c r="GA639">
        <v>48.548068546856342</v>
      </c>
      <c r="GB639">
        <v>59.575723592950673</v>
      </c>
      <c r="GC639">
        <v>35.517110985455872</v>
      </c>
      <c r="GD639">
        <v>27.082353431078364</v>
      </c>
      <c r="GE639">
        <v>67.31374592685782</v>
      </c>
      <c r="GF639">
        <v>111.43030287343754</v>
      </c>
      <c r="GG639">
        <v>67.18612370502089</v>
      </c>
      <c r="GH639">
        <v>19.516301975213398</v>
      </c>
      <c r="GI639">
        <v>59.902192101343871</v>
      </c>
      <c r="GJ639"/>
      <c r="GK639"/>
      <c r="GL639"/>
      <c r="GM639"/>
    </row>
    <row r="640" spans="1:195" s="7" customFormat="1">
      <c r="A640" s="4"/>
      <c r="B640" s="4"/>
      <c r="C640" s="4"/>
      <c r="D640" s="4"/>
      <c r="E640" s="4"/>
      <c r="F640" s="4"/>
      <c r="G640" s="4"/>
      <c r="H640" s="4"/>
      <c r="I640" s="4"/>
      <c r="J640" s="4"/>
      <c r="K640" s="4"/>
      <c r="L640" s="4"/>
      <c r="M640" s="4"/>
      <c r="N640" s="4"/>
      <c r="O640" s="4"/>
      <c r="P640" s="4"/>
      <c r="Q640" s="4"/>
      <c r="R640" s="4"/>
      <c r="S640" s="4"/>
      <c r="T640" s="4"/>
      <c r="U640" s="4"/>
      <c r="V640" s="4"/>
      <c r="W640" s="4"/>
      <c r="X640" s="4"/>
      <c r="Y640" s="4"/>
      <c r="Z640" s="4"/>
      <c r="AA640" s="4"/>
      <c r="AB640" s="4"/>
      <c r="AC640" s="4"/>
      <c r="AD640" s="4"/>
      <c r="AE640" s="4"/>
      <c r="AF640" s="81"/>
      <c r="AG640" s="81"/>
      <c r="AH640" s="81"/>
      <c r="AI640" s="4"/>
      <c r="AJ640" s="81"/>
      <c r="AK640" s="81"/>
      <c r="AL640" s="81"/>
      <c r="AM640" s="43">
        <v>624</v>
      </c>
      <c r="AN640">
        <v>264.73136226248289</v>
      </c>
      <c r="AO640">
        <v>85.962521020495643</v>
      </c>
      <c r="AP640">
        <v>645.21634862985889</v>
      </c>
      <c r="AQ640">
        <v>486.68122453497375</v>
      </c>
      <c r="AR640">
        <v>77.179049437139582</v>
      </c>
      <c r="AS640">
        <v>622.9888389656262</v>
      </c>
      <c r="AT640" t="e">
        <v>#DIV/0!</v>
      </c>
      <c r="AU640" t="e">
        <v>#DIV/0!</v>
      </c>
      <c r="AV640"/>
      <c r="AW640"/>
      <c r="FY640" s="211">
        <v>635</v>
      </c>
      <c r="FZ640">
        <v>15.90881377318793</v>
      </c>
      <c r="GA640">
        <v>43.050042871257901</v>
      </c>
      <c r="GB640">
        <v>75.481743575625742</v>
      </c>
      <c r="GC640">
        <v>47.706699921927779</v>
      </c>
      <c r="GD640">
        <v>26.239904362443564</v>
      </c>
      <c r="GE640">
        <v>67.883700311654721</v>
      </c>
      <c r="GF640">
        <v>76.48951116432778</v>
      </c>
      <c r="GG640">
        <v>41.636510468852343</v>
      </c>
      <c r="GH640">
        <v>34.979633591509213</v>
      </c>
      <c r="GI640">
        <v>59.505732033291068</v>
      </c>
      <c r="GJ640"/>
      <c r="GK640"/>
      <c r="GL640"/>
      <c r="GM640"/>
    </row>
    <row r="641" spans="1:195" s="7" customFormat="1">
      <c r="A641" s="4"/>
      <c r="B641" s="4"/>
      <c r="C641" s="4"/>
      <c r="D641" s="4"/>
      <c r="E641" s="4"/>
      <c r="F641" s="4"/>
      <c r="G641" s="4"/>
      <c r="H641" s="4"/>
      <c r="I641" s="4"/>
      <c r="J641" s="4"/>
      <c r="K641" s="4"/>
      <c r="L641" s="4"/>
      <c r="M641" s="4"/>
      <c r="N641" s="4"/>
      <c r="O641" s="4"/>
      <c r="P641" s="4"/>
      <c r="Q641" s="4"/>
      <c r="R641" s="4"/>
      <c r="S641" s="4"/>
      <c r="T641" s="4"/>
      <c r="U641" s="4"/>
      <c r="V641" s="4"/>
      <c r="W641" s="4"/>
      <c r="X641" s="4"/>
      <c r="Y641" s="4"/>
      <c r="Z641" s="4"/>
      <c r="AA641" s="4"/>
      <c r="AB641" s="4"/>
      <c r="AC641" s="4"/>
      <c r="AD641" s="4"/>
      <c r="AE641" s="4"/>
      <c r="AF641" s="81"/>
      <c r="AG641" s="81"/>
      <c r="AH641" s="81"/>
      <c r="AI641" s="4"/>
      <c r="AJ641" s="81"/>
      <c r="AK641" s="81"/>
      <c r="AL641" s="81"/>
      <c r="AM641" s="43">
        <v>625</v>
      </c>
      <c r="AN641">
        <v>247.76114774202333</v>
      </c>
      <c r="AO641">
        <v>72.117385914814705</v>
      </c>
      <c r="AP641">
        <v>506.29870842949998</v>
      </c>
      <c r="AQ641">
        <v>392.10020779698425</v>
      </c>
      <c r="AR641">
        <v>65.406357045779799</v>
      </c>
      <c r="AS641">
        <v>559.65175114249917</v>
      </c>
      <c r="AT641">
        <v>34.998790800992978</v>
      </c>
      <c r="AU641">
        <v>36.009464172852915</v>
      </c>
      <c r="AV641"/>
      <c r="AW641"/>
      <c r="FY641" s="211">
        <v>636</v>
      </c>
      <c r="FZ641">
        <v>24.003753876767348</v>
      </c>
      <c r="GA641">
        <v>49.252673216680563</v>
      </c>
      <c r="GB641">
        <v>72.756311680320593</v>
      </c>
      <c r="GC641">
        <v>43.564998997573106</v>
      </c>
      <c r="GD641">
        <v>23.852578546540823</v>
      </c>
      <c r="GE641">
        <v>69.199913274980133</v>
      </c>
      <c r="GF641">
        <v>96.983117776013614</v>
      </c>
      <c r="GG641">
        <v>42.979539585777438</v>
      </c>
      <c r="GH641">
        <v>12.77867701555784</v>
      </c>
      <c r="GI641">
        <v>60.015710702167709</v>
      </c>
      <c r="GJ641"/>
      <c r="GK641"/>
      <c r="GL641"/>
      <c r="GM641"/>
    </row>
    <row r="642" spans="1:195" s="7" customFormat="1">
      <c r="A642" s="4"/>
      <c r="B642" s="4"/>
      <c r="C642" s="4"/>
      <c r="D642" s="4"/>
      <c r="E642" s="4"/>
      <c r="F642" s="4"/>
      <c r="G642" s="4"/>
      <c r="H642" s="4"/>
      <c r="I642" s="4"/>
      <c r="J642" s="4"/>
      <c r="K642" s="4"/>
      <c r="L642" s="4"/>
      <c r="M642" s="4"/>
      <c r="N642" s="4"/>
      <c r="O642" s="4"/>
      <c r="P642" s="4"/>
      <c r="Q642" s="4"/>
      <c r="R642" s="4"/>
      <c r="S642" s="4"/>
      <c r="T642" s="4"/>
      <c r="U642" s="4"/>
      <c r="V642" s="4"/>
      <c r="W642" s="4"/>
      <c r="X642" s="4"/>
      <c r="Y642" s="4"/>
      <c r="Z642" s="4"/>
      <c r="AA642" s="4"/>
      <c r="AB642" s="4"/>
      <c r="AC642" s="4"/>
      <c r="AD642" s="4"/>
      <c r="AE642" s="4"/>
      <c r="AF642" s="81"/>
      <c r="AG642" s="81"/>
      <c r="AH642" s="81"/>
      <c r="AI642" s="4"/>
      <c r="AJ642" s="81"/>
      <c r="AK642" s="81"/>
      <c r="AL642" s="81"/>
      <c r="AM642" s="43">
        <v>626</v>
      </c>
      <c r="AN642">
        <v>270.11267713481936</v>
      </c>
      <c r="AO642">
        <v>101.16436836259824</v>
      </c>
      <c r="AP642">
        <v>735.5853854965851</v>
      </c>
      <c r="AQ642">
        <v>538.73076878461575</v>
      </c>
      <c r="AR642">
        <v>89.144385264564434</v>
      </c>
      <c r="AS642">
        <v>718.83319840247248</v>
      </c>
      <c r="AT642">
        <v>47.210006456570234</v>
      </c>
      <c r="AU642">
        <v>102.64534863049754</v>
      </c>
      <c r="AV642"/>
      <c r="AW642"/>
      <c r="FY642" s="211">
        <v>637</v>
      </c>
      <c r="FZ642">
        <v>16.105087043560481</v>
      </c>
      <c r="GA642">
        <v>40.470608085960457</v>
      </c>
      <c r="GB642">
        <v>98.559850011492401</v>
      </c>
      <c r="GC642">
        <v>67.84020931564109</v>
      </c>
      <c r="GD642">
        <v>22.565742198344772</v>
      </c>
      <c r="GE642">
        <v>30.451009043143557</v>
      </c>
      <c r="GF642">
        <v>76.591093351767498</v>
      </c>
      <c r="GG642">
        <v>57.26436094737474</v>
      </c>
      <c r="GH642">
        <v>18.315094134396681</v>
      </c>
      <c r="GI642">
        <v>59.407269417106953</v>
      </c>
      <c r="GJ642"/>
      <c r="GK642"/>
      <c r="GL642"/>
      <c r="GM642"/>
    </row>
    <row r="643" spans="1:195" s="7" customFormat="1">
      <c r="A643" s="4"/>
      <c r="B643" s="4"/>
      <c r="C643" s="4"/>
      <c r="D643" s="4"/>
      <c r="E643" s="4"/>
      <c r="F643" s="4"/>
      <c r="G643" s="4"/>
      <c r="H643" s="4"/>
      <c r="I643" s="4"/>
      <c r="J643" s="4"/>
      <c r="K643" s="4"/>
      <c r="L643" s="4"/>
      <c r="M643" s="4"/>
      <c r="N643" s="4"/>
      <c r="O643" s="4"/>
      <c r="P643" s="4"/>
      <c r="Q643" s="4"/>
      <c r="R643" s="4"/>
      <c r="S643" s="4"/>
      <c r="T643" s="4"/>
      <c r="U643" s="4"/>
      <c r="V643" s="4"/>
      <c r="W643" s="4"/>
      <c r="X643" s="4"/>
      <c r="Y643" s="4"/>
      <c r="Z643" s="4"/>
      <c r="AA643" s="4"/>
      <c r="AB643" s="4"/>
      <c r="AC643" s="4"/>
      <c r="AD643" s="4"/>
      <c r="AE643" s="4"/>
      <c r="AF643" s="81"/>
      <c r="AG643" s="81"/>
      <c r="AH643" s="81"/>
      <c r="AI643" s="4"/>
      <c r="AJ643" s="81"/>
      <c r="AK643" s="81"/>
      <c r="AL643" s="81"/>
      <c r="AM643" s="43">
        <v>627</v>
      </c>
      <c r="AN643">
        <v>290.89394121373567</v>
      </c>
      <c r="AO643">
        <v>78.389158923484672</v>
      </c>
      <c r="AP643">
        <v>566.01116426010572</v>
      </c>
      <c r="AQ643">
        <v>419.00601471268436</v>
      </c>
      <c r="AR643">
        <v>70.325435852568063</v>
      </c>
      <c r="AS643">
        <v>631.92369198509709</v>
      </c>
      <c r="AT643" t="e">
        <v>#DIV/0!</v>
      </c>
      <c r="AU643" t="e">
        <v>#DIV/0!</v>
      </c>
      <c r="AV643"/>
      <c r="AW643"/>
      <c r="FY643" s="211">
        <v>638</v>
      </c>
      <c r="FZ643">
        <v>7.7762575195268715</v>
      </c>
      <c r="GA643">
        <v>47.307599660407192</v>
      </c>
      <c r="GB643">
        <v>80.418655698491179</v>
      </c>
      <c r="GC643">
        <v>40.39830773472444</v>
      </c>
      <c r="GD643">
        <v>22.028960783851865</v>
      </c>
      <c r="GE643">
        <v>52.481225901099592</v>
      </c>
      <c r="GF643">
        <v>67.010013187160368</v>
      </c>
      <c r="GG643">
        <v>47.119055631902526</v>
      </c>
      <c r="GH643">
        <v>22.398126456335781</v>
      </c>
      <c r="GI643">
        <v>52.679178923335655</v>
      </c>
      <c r="GJ643"/>
      <c r="GK643"/>
      <c r="GL643"/>
      <c r="GM643"/>
    </row>
    <row r="644" spans="1:195" s="7" customFormat="1">
      <c r="A644" s="4"/>
      <c r="B644" s="4"/>
      <c r="C644" s="4"/>
      <c r="D644" s="4"/>
      <c r="E644" s="4"/>
      <c r="F644" s="4"/>
      <c r="G644" s="4"/>
      <c r="H644" s="4"/>
      <c r="I644" s="4"/>
      <c r="J644" s="4"/>
      <c r="K644" s="4"/>
      <c r="L644" s="4"/>
      <c r="M644" s="4"/>
      <c r="N644" s="4"/>
      <c r="O644" s="4"/>
      <c r="P644" s="4"/>
      <c r="Q644" s="4"/>
      <c r="R644" s="4"/>
      <c r="S644" s="4"/>
      <c r="T644" s="4"/>
      <c r="U644" s="4"/>
      <c r="V644" s="4"/>
      <c r="W644" s="4"/>
      <c r="X644" s="4"/>
      <c r="Y644" s="4"/>
      <c r="Z644" s="4"/>
      <c r="AA644" s="4"/>
      <c r="AB644" s="4"/>
      <c r="AC644" s="4"/>
      <c r="AD644" s="4"/>
      <c r="AE644" s="4"/>
      <c r="AF644" s="81"/>
      <c r="AG644" s="81"/>
      <c r="AH644" s="81"/>
      <c r="AI644" s="4"/>
      <c r="AJ644" s="81"/>
      <c r="AK644" s="81"/>
      <c r="AL644" s="81"/>
      <c r="AM644" s="43">
        <v>628</v>
      </c>
      <c r="AN644">
        <v>287.64498969869561</v>
      </c>
      <c r="AO644">
        <v>109.32268721608048</v>
      </c>
      <c r="AP644">
        <v>869.32045371864729</v>
      </c>
      <c r="AQ644">
        <v>611.63690381301524</v>
      </c>
      <c r="AR644">
        <v>96.737956471905619</v>
      </c>
      <c r="AS644">
        <v>767.36949651229293</v>
      </c>
      <c r="AT644">
        <v>54.78786048044001</v>
      </c>
      <c r="AU644">
        <v>174.40173844597888</v>
      </c>
      <c r="AV644"/>
      <c r="AW644"/>
      <c r="FY644" s="211">
        <v>639</v>
      </c>
      <c r="FZ644">
        <v>18.851854152637245</v>
      </c>
      <c r="GA644">
        <v>50.858860854615273</v>
      </c>
      <c r="GB644">
        <v>87.965231185652101</v>
      </c>
      <c r="GC644">
        <v>50.518937724812318</v>
      </c>
      <c r="GD644">
        <v>20.793916802069038</v>
      </c>
      <c r="GE644">
        <v>57.88136287075956</v>
      </c>
      <c r="GF644">
        <v>92.530484968963222</v>
      </c>
      <c r="GG644">
        <v>59.887540456080096</v>
      </c>
      <c r="GH644">
        <v>35.414276712899962</v>
      </c>
      <c r="GI644">
        <v>62.37749351271259</v>
      </c>
      <c r="GJ644"/>
      <c r="GK644"/>
      <c r="GL644"/>
      <c r="GM644"/>
    </row>
    <row r="645" spans="1:195" s="7" customFormat="1">
      <c r="A645" s="4"/>
      <c r="B645" s="4"/>
      <c r="C645" s="4"/>
      <c r="D645" s="4"/>
      <c r="E645" s="4"/>
      <c r="F645" s="4"/>
      <c r="G645" s="4"/>
      <c r="H645" s="4"/>
      <c r="I645" s="4"/>
      <c r="J645" s="4"/>
      <c r="K645" s="4"/>
      <c r="L645" s="4"/>
      <c r="M645" s="4"/>
      <c r="N645" s="4"/>
      <c r="O645" s="4"/>
      <c r="P645" s="4"/>
      <c r="Q645" s="4"/>
      <c r="R645" s="4"/>
      <c r="S645" s="4"/>
      <c r="T645" s="4"/>
      <c r="U645" s="4"/>
      <c r="V645" s="4"/>
      <c r="W645" s="4"/>
      <c r="X645" s="4"/>
      <c r="Y645" s="4"/>
      <c r="Z645" s="4"/>
      <c r="AA645" s="4"/>
      <c r="AB645" s="4"/>
      <c r="AC645" s="4"/>
      <c r="AD645" s="4"/>
      <c r="AE645" s="4"/>
      <c r="AF645" s="81"/>
      <c r="AG645" s="81"/>
      <c r="AH645" s="81"/>
      <c r="AI645" s="4"/>
      <c r="AJ645" s="81"/>
      <c r="AK645" s="81"/>
      <c r="AL645" s="81"/>
      <c r="AM645" s="43">
        <v>629</v>
      </c>
      <c r="AN645">
        <v>240.90920882082304</v>
      </c>
      <c r="AO645">
        <v>80.172999949326453</v>
      </c>
      <c r="AP645">
        <v>569.01697830699959</v>
      </c>
      <c r="AQ645">
        <v>427.40117347771871</v>
      </c>
      <c r="AR645">
        <v>72.159745756033672</v>
      </c>
      <c r="AS645">
        <v>598.27100531463691</v>
      </c>
      <c r="AT645">
        <v>37.972133641328377</v>
      </c>
      <c r="AU645">
        <v>67.232289367821636</v>
      </c>
      <c r="AV645"/>
      <c r="AW645"/>
      <c r="FY645" s="211">
        <v>640</v>
      </c>
      <c r="FZ645">
        <v>12.630160464093574</v>
      </c>
      <c r="GA645">
        <v>39.24588365715195</v>
      </c>
      <c r="GB645">
        <v>70.358765561573477</v>
      </c>
      <c r="GC645">
        <v>43.887657820185474</v>
      </c>
      <c r="GD645">
        <v>21.399746929261976</v>
      </c>
      <c r="GE645">
        <v>34.577271351307012</v>
      </c>
      <c r="GF645">
        <v>69.395043010069472</v>
      </c>
      <c r="GG645">
        <v>80.679670571813872</v>
      </c>
      <c r="GH645">
        <v>47.150728989756267</v>
      </c>
      <c r="GI645">
        <v>55.46083229127769</v>
      </c>
      <c r="GJ645"/>
      <c r="GK645"/>
      <c r="GL645"/>
      <c r="GM645"/>
    </row>
    <row r="646" spans="1:195" s="7" customFormat="1">
      <c r="A646" s="4"/>
      <c r="B646" s="4"/>
      <c r="C646" s="4"/>
      <c r="D646" s="4"/>
      <c r="E646" s="4"/>
      <c r="F646" s="4"/>
      <c r="G646" s="4"/>
      <c r="H646" s="4"/>
      <c r="I646" s="4"/>
      <c r="J646" s="4"/>
      <c r="K646" s="4"/>
      <c r="L646" s="4"/>
      <c r="M646" s="4"/>
      <c r="N646" s="4"/>
      <c r="O646" s="4"/>
      <c r="P646" s="4"/>
      <c r="Q646" s="4"/>
      <c r="R646" s="4"/>
      <c r="S646" s="4"/>
      <c r="T646" s="4"/>
      <c r="U646" s="4"/>
      <c r="V646" s="4"/>
      <c r="W646" s="4"/>
      <c r="X646" s="4"/>
      <c r="Y646" s="4"/>
      <c r="Z646" s="4"/>
      <c r="AA646" s="4"/>
      <c r="AB646" s="4"/>
      <c r="AC646" s="4"/>
      <c r="AD646" s="4"/>
      <c r="AE646" s="4"/>
      <c r="AF646" s="81"/>
      <c r="AG646" s="81"/>
      <c r="AH646" s="81"/>
      <c r="AI646" s="4"/>
      <c r="AJ646" s="81"/>
      <c r="AK646" s="81"/>
      <c r="AL646" s="81"/>
      <c r="AM646" s="43">
        <v>630</v>
      </c>
      <c r="AN646">
        <v>253.7443509824875</v>
      </c>
      <c r="AO646">
        <v>77.439003020874907</v>
      </c>
      <c r="AP646">
        <v>588.00251071913465</v>
      </c>
      <c r="AQ646">
        <v>426.45229937181159</v>
      </c>
      <c r="AR646">
        <v>69.417634604636888</v>
      </c>
      <c r="AS646">
        <v>608.02786658570085</v>
      </c>
      <c r="AT646" t="e">
        <v>#DIV/0!</v>
      </c>
      <c r="AU646" t="e">
        <v>#DIV/0!</v>
      </c>
      <c r="AV646"/>
      <c r="AW646"/>
      <c r="FY646" s="211">
        <v>641</v>
      </c>
      <c r="FZ646">
        <v>8.5062973366314356</v>
      </c>
      <c r="GA646">
        <v>43.890262436284111</v>
      </c>
      <c r="GB646">
        <v>74.235228703045038</v>
      </c>
      <c r="GC646">
        <v>41.769316139423573</v>
      </c>
      <c r="GD646">
        <v>14.953455131979343</v>
      </c>
      <c r="GE646">
        <v>27.613158401540041</v>
      </c>
      <c r="GF646">
        <v>68.807395480679958</v>
      </c>
      <c r="GG646">
        <v>45.109407276223074</v>
      </c>
      <c r="GH646">
        <v>6.3205420910502177</v>
      </c>
      <c r="GI646">
        <v>44.848186683076008</v>
      </c>
      <c r="GJ646"/>
      <c r="GK646"/>
      <c r="GL646"/>
      <c r="GM646"/>
    </row>
    <row r="647" spans="1:195" s="7" customFormat="1">
      <c r="A647" s="4"/>
      <c r="B647" s="4"/>
      <c r="C647" s="4"/>
      <c r="D647" s="4"/>
      <c r="E647" s="4"/>
      <c r="F647" s="4"/>
      <c r="G647" s="4"/>
      <c r="H647" s="4"/>
      <c r="I647" s="4"/>
      <c r="J647" s="4"/>
      <c r="K647" s="4"/>
      <c r="L647" s="4"/>
      <c r="M647" s="4"/>
      <c r="N647" s="4"/>
      <c r="O647" s="4"/>
      <c r="P647" s="4"/>
      <c r="Q647" s="4"/>
      <c r="R647" s="4"/>
      <c r="S647" s="4"/>
      <c r="T647" s="4"/>
      <c r="U647" s="4"/>
      <c r="V647" s="4"/>
      <c r="W647" s="4"/>
      <c r="X647" s="4"/>
      <c r="Y647" s="4"/>
      <c r="Z647" s="4"/>
      <c r="AA647" s="4"/>
      <c r="AB647" s="4"/>
      <c r="AC647" s="4"/>
      <c r="AD647" s="4"/>
      <c r="AE647" s="4"/>
      <c r="AF647" s="81"/>
      <c r="AG647" s="81"/>
      <c r="AH647" s="81"/>
      <c r="AI647" s="4"/>
      <c r="AJ647" s="81"/>
      <c r="AK647" s="81"/>
      <c r="AL647" s="81"/>
      <c r="AM647" s="43">
        <v>631</v>
      </c>
      <c r="AN647">
        <v>238.83660523568574</v>
      </c>
      <c r="AO647">
        <v>90.079392784115015</v>
      </c>
      <c r="AP647">
        <v>674.67839682681347</v>
      </c>
      <c r="AQ647">
        <v>477.36187118738451</v>
      </c>
      <c r="AR647">
        <v>79.9824164243431</v>
      </c>
      <c r="AS647">
        <v>620.03979597574391</v>
      </c>
      <c r="AT647">
        <v>45.549115752235544</v>
      </c>
      <c r="AU647">
        <v>131.94683184850172</v>
      </c>
      <c r="AV647"/>
      <c r="AW647"/>
      <c r="FY647" s="211">
        <v>642</v>
      </c>
      <c r="FZ647">
        <v>14.885210582703365</v>
      </c>
      <c r="GA647">
        <v>38.689155860345508</v>
      </c>
      <c r="GB647">
        <v>58.906609407658053</v>
      </c>
      <c r="GC647">
        <v>45.136301365171008</v>
      </c>
      <c r="GD647">
        <v>26.299649643724116</v>
      </c>
      <c r="GE647">
        <v>56.165123097992662</v>
      </c>
      <c r="GF647">
        <v>84.884534550868395</v>
      </c>
      <c r="GG647">
        <v>64.480277364268957</v>
      </c>
      <c r="GH647">
        <v>49.399886373856667</v>
      </c>
      <c r="GI647">
        <v>59.244618901444156</v>
      </c>
      <c r="GJ647"/>
      <c r="GK647"/>
      <c r="GL647"/>
      <c r="GM647"/>
    </row>
    <row r="648" spans="1:195" s="7" customFormat="1">
      <c r="A648" s="4"/>
      <c r="B648" s="4"/>
      <c r="C648" s="4"/>
      <c r="D648" s="4"/>
      <c r="E648" s="4"/>
      <c r="F648" s="4"/>
      <c r="G648" s="4"/>
      <c r="H648" s="4"/>
      <c r="I648" s="4"/>
      <c r="J648" s="4"/>
      <c r="K648" s="4"/>
      <c r="L648" s="4"/>
      <c r="M648" s="4"/>
      <c r="N648" s="4"/>
      <c r="O648" s="4"/>
      <c r="P648" s="4"/>
      <c r="Q648" s="4"/>
      <c r="R648" s="4"/>
      <c r="S648" s="4"/>
      <c r="T648" s="4"/>
      <c r="U648" s="4"/>
      <c r="V648" s="4"/>
      <c r="W648" s="4"/>
      <c r="X648" s="4"/>
      <c r="Y648" s="4"/>
      <c r="Z648" s="4"/>
      <c r="AA648" s="4"/>
      <c r="AB648" s="4"/>
      <c r="AC648" s="4"/>
      <c r="AD648" s="4"/>
      <c r="AE648" s="4"/>
      <c r="AF648" s="81"/>
      <c r="AG648" s="81"/>
      <c r="AH648" s="81"/>
      <c r="AI648" s="4"/>
      <c r="AJ648" s="81"/>
      <c r="AK648" s="81"/>
      <c r="AL648" s="81"/>
      <c r="AM648" s="43">
        <v>632</v>
      </c>
      <c r="AN648">
        <v>291.69873527740299</v>
      </c>
      <c r="AO648">
        <v>90.097443965674799</v>
      </c>
      <c r="AP648">
        <v>639.24175164631276</v>
      </c>
      <c r="AQ648">
        <v>479.95685917831884</v>
      </c>
      <c r="AR648">
        <v>81.296321845610152</v>
      </c>
      <c r="AS648">
        <v>674.06229215568442</v>
      </c>
      <c r="AT648">
        <v>42.216475852918208</v>
      </c>
      <c r="AU648">
        <v>105.07851169503019</v>
      </c>
      <c r="AV648"/>
      <c r="AW648"/>
      <c r="FY648" s="211">
        <v>643</v>
      </c>
      <c r="FZ648">
        <v>7.8691612017370911</v>
      </c>
      <c r="GA648">
        <v>40.831397521000845</v>
      </c>
      <c r="GB648">
        <v>95.175237683617667</v>
      </c>
      <c r="GC648">
        <v>52.117078670892603</v>
      </c>
      <c r="GD648">
        <v>13.235123913561061</v>
      </c>
      <c r="GE648">
        <v>47.585112599366177</v>
      </c>
      <c r="GF648">
        <v>115.69719238285759</v>
      </c>
      <c r="GG648">
        <v>64.009257574498733</v>
      </c>
      <c r="GH648">
        <v>16.46050918860719</v>
      </c>
      <c r="GI648">
        <v>60.510867133911212</v>
      </c>
      <c r="GJ648"/>
      <c r="GK648"/>
      <c r="GL648"/>
      <c r="GM648"/>
    </row>
    <row r="649" spans="1:195" s="7" customFormat="1">
      <c r="A649" s="4"/>
      <c r="B649" s="4"/>
      <c r="C649" s="4"/>
      <c r="D649" s="4"/>
      <c r="E649" s="4"/>
      <c r="F649" s="4"/>
      <c r="G649" s="4"/>
      <c r="H649" s="4"/>
      <c r="I649" s="4"/>
      <c r="J649" s="4"/>
      <c r="K649" s="4"/>
      <c r="L649" s="4"/>
      <c r="M649" s="4"/>
      <c r="N649" s="4"/>
      <c r="O649" s="4"/>
      <c r="P649" s="4"/>
      <c r="Q649" s="4"/>
      <c r="R649" s="4"/>
      <c r="S649" s="4"/>
      <c r="T649" s="4"/>
      <c r="U649" s="4"/>
      <c r="V649" s="4"/>
      <c r="W649" s="4"/>
      <c r="X649" s="4"/>
      <c r="Y649" s="4"/>
      <c r="Z649" s="4"/>
      <c r="AA649" s="4"/>
      <c r="AB649" s="4"/>
      <c r="AC649" s="4"/>
      <c r="AD649" s="4"/>
      <c r="AE649" s="4"/>
      <c r="AF649" s="81"/>
      <c r="AG649" s="81"/>
      <c r="AH649" s="81"/>
      <c r="AI649" s="4"/>
      <c r="AJ649" s="81"/>
      <c r="AK649" s="81"/>
      <c r="AL649" s="81"/>
      <c r="AM649" s="43">
        <v>633</v>
      </c>
      <c r="AN649">
        <v>223.32773743084118</v>
      </c>
      <c r="AO649">
        <v>66.20647337613336</v>
      </c>
      <c r="AP649">
        <v>458.84346819461695</v>
      </c>
      <c r="AQ649">
        <v>352.64984002435841</v>
      </c>
      <c r="AR649">
        <v>59.303132193485453</v>
      </c>
      <c r="AS649">
        <v>503.41842335466401</v>
      </c>
      <c r="AT649">
        <v>32.515422453755981</v>
      </c>
      <c r="AU649">
        <v>58.056084580658194</v>
      </c>
      <c r="AV649"/>
      <c r="AW649"/>
      <c r="FY649" s="211">
        <v>644</v>
      </c>
      <c r="FZ649">
        <v>16.924823895549252</v>
      </c>
      <c r="GA649">
        <v>43.693275356751528</v>
      </c>
      <c r="GB649">
        <v>60.248246145403371</v>
      </c>
      <c r="GC649">
        <v>32.575045947861831</v>
      </c>
      <c r="GD649">
        <v>16.149916263256937</v>
      </c>
      <c r="GE649">
        <v>57.190494324390343</v>
      </c>
      <c r="GF649">
        <v>74.985116658180118</v>
      </c>
      <c r="GG649">
        <v>25.645785537854106</v>
      </c>
      <c r="GH649">
        <v>11.418710963899132</v>
      </c>
      <c r="GI649">
        <v>44.873380092461623</v>
      </c>
      <c r="GJ649"/>
      <c r="GK649"/>
      <c r="GL649"/>
      <c r="GM649"/>
    </row>
    <row r="650" spans="1:195" s="7" customFormat="1">
      <c r="A650" s="4"/>
      <c r="B650" s="4"/>
      <c r="C650" s="4"/>
      <c r="D650" s="4"/>
      <c r="E650" s="4"/>
      <c r="F650" s="4"/>
      <c r="G650" s="4"/>
      <c r="H650" s="4"/>
      <c r="I650" s="4"/>
      <c r="J650" s="4"/>
      <c r="K650" s="4"/>
      <c r="L650" s="4"/>
      <c r="M650" s="4"/>
      <c r="N650" s="4"/>
      <c r="O650" s="4"/>
      <c r="P650" s="4"/>
      <c r="Q650" s="4"/>
      <c r="R650" s="4"/>
      <c r="S650" s="4"/>
      <c r="T650" s="4"/>
      <c r="U650" s="4"/>
      <c r="V650" s="4"/>
      <c r="W650" s="4"/>
      <c r="X650" s="4"/>
      <c r="Y650" s="4"/>
      <c r="Z650" s="4"/>
      <c r="AA650" s="4"/>
      <c r="AB650" s="4"/>
      <c r="AC650" s="4"/>
      <c r="AD650" s="4"/>
      <c r="AE650" s="4"/>
      <c r="AF650" s="81"/>
      <c r="AG650" s="81"/>
      <c r="AH650" s="81"/>
      <c r="AI650" s="4"/>
      <c r="AJ650" s="81"/>
      <c r="AK650" s="81"/>
      <c r="AL650" s="81"/>
      <c r="AM650" s="43">
        <v>634</v>
      </c>
      <c r="AN650">
        <v>270.83891564534844</v>
      </c>
      <c r="AO650">
        <v>95.672799084390718</v>
      </c>
      <c r="AP650">
        <v>678.18533079067436</v>
      </c>
      <c r="AQ650">
        <v>506.60464412163185</v>
      </c>
      <c r="AR650">
        <v>85.565658630675728</v>
      </c>
      <c r="AS650">
        <v>705.27595205033208</v>
      </c>
      <c r="AT650">
        <v>46.694609561755215</v>
      </c>
      <c r="AU650">
        <v>3.6256061384891876</v>
      </c>
      <c r="AV650"/>
      <c r="AW650"/>
      <c r="FY650" s="211">
        <v>645</v>
      </c>
      <c r="FZ650">
        <v>25.759992872598076</v>
      </c>
      <c r="GA650">
        <v>68.43780822309391</v>
      </c>
      <c r="GB650">
        <v>77.233291771727707</v>
      </c>
      <c r="GC650">
        <v>44.926277485088804</v>
      </c>
      <c r="GD650">
        <v>17.995156965056402</v>
      </c>
      <c r="GE650">
        <v>25.3924173461271</v>
      </c>
      <c r="GF650">
        <v>63.58011591881214</v>
      </c>
      <c r="GG650">
        <v>56.006805931796251</v>
      </c>
      <c r="GH650">
        <v>18.330564613680025</v>
      </c>
      <c r="GI650">
        <v>50.171346164381369</v>
      </c>
      <c r="GJ650"/>
      <c r="GK650"/>
      <c r="GL650"/>
      <c r="GM650"/>
    </row>
    <row r="651" spans="1:195" s="7" customFormat="1">
      <c r="A651" s="4"/>
      <c r="B651" s="4"/>
      <c r="C651" s="4"/>
      <c r="D651" s="4"/>
      <c r="E651" s="4"/>
      <c r="F651" s="4"/>
      <c r="G651" s="4"/>
      <c r="H651" s="4"/>
      <c r="I651" s="4"/>
      <c r="J651" s="4"/>
      <c r="K651" s="4"/>
      <c r="L651" s="4"/>
      <c r="M651" s="4"/>
      <c r="N651" s="4"/>
      <c r="O651" s="4"/>
      <c r="P651" s="4"/>
      <c r="Q651" s="4"/>
      <c r="R651" s="4"/>
      <c r="S651" s="4"/>
      <c r="T651" s="4"/>
      <c r="U651" s="4"/>
      <c r="V651" s="4"/>
      <c r="W651" s="4"/>
      <c r="X651" s="4"/>
      <c r="Y651" s="4"/>
      <c r="Z651" s="4"/>
      <c r="AA651" s="4"/>
      <c r="AB651" s="4"/>
      <c r="AC651" s="4"/>
      <c r="AD651" s="4"/>
      <c r="AE651" s="4"/>
      <c r="AF651" s="81"/>
      <c r="AG651" s="81"/>
      <c r="AH651" s="81"/>
      <c r="AI651" s="4"/>
      <c r="AJ651" s="81"/>
      <c r="AK651" s="81"/>
      <c r="AL651" s="81"/>
      <c r="AM651" s="43">
        <v>635</v>
      </c>
      <c r="AN651">
        <v>246.93658196461007</v>
      </c>
      <c r="AO651">
        <v>94.236159867103694</v>
      </c>
      <c r="AP651">
        <v>631.58025461215175</v>
      </c>
      <c r="AQ651">
        <v>488.88229207407807</v>
      </c>
      <c r="AR651">
        <v>83.691246180776687</v>
      </c>
      <c r="AS651">
        <v>689.67586496844274</v>
      </c>
      <c r="AT651">
        <v>46.03521157010757</v>
      </c>
      <c r="AU651">
        <v>57.623466364249687</v>
      </c>
      <c r="AV651"/>
      <c r="AW651"/>
      <c r="FY651" s="211">
        <v>646</v>
      </c>
      <c r="FZ651">
        <v>22.196644673835877</v>
      </c>
      <c r="GA651">
        <v>61.399687792505077</v>
      </c>
      <c r="GB651">
        <v>76.362437346223516</v>
      </c>
      <c r="GC651">
        <v>42.930975529354647</v>
      </c>
      <c r="GD651">
        <v>14.925837110657184</v>
      </c>
      <c r="GE651">
        <v>47.800241693300009</v>
      </c>
      <c r="GF651">
        <v>97.179741964201114</v>
      </c>
      <c r="GG651">
        <v>42.755718291448346</v>
      </c>
      <c r="GH651">
        <v>8.9003756070562066</v>
      </c>
      <c r="GI651">
        <v>52.988360630112787</v>
      </c>
      <c r="GJ651"/>
      <c r="GK651"/>
      <c r="GL651"/>
      <c r="GM651"/>
    </row>
    <row r="652" spans="1:195" s="7" customFormat="1">
      <c r="A652" s="4"/>
      <c r="B652" s="4"/>
      <c r="C652" s="4"/>
      <c r="D652" s="4"/>
      <c r="E652" s="4"/>
      <c r="F652" s="4"/>
      <c r="G652" s="4"/>
      <c r="H652" s="4"/>
      <c r="I652" s="4"/>
      <c r="J652" s="4"/>
      <c r="K652" s="4"/>
      <c r="L652" s="4"/>
      <c r="M652" s="4"/>
      <c r="N652" s="4"/>
      <c r="O652" s="4"/>
      <c r="P652" s="4"/>
      <c r="Q652" s="4"/>
      <c r="R652" s="4"/>
      <c r="S652" s="4"/>
      <c r="T652" s="4"/>
      <c r="U652" s="4"/>
      <c r="V652" s="4"/>
      <c r="W652" s="4"/>
      <c r="X652" s="4"/>
      <c r="Y652" s="4"/>
      <c r="Z652" s="4"/>
      <c r="AA652" s="4"/>
      <c r="AB652" s="4"/>
      <c r="AC652" s="4"/>
      <c r="AD652" s="4"/>
      <c r="AE652" s="4"/>
      <c r="AF652" s="81"/>
      <c r="AG652" s="81"/>
      <c r="AH652" s="81"/>
      <c r="AI652" s="4"/>
      <c r="AJ652" s="81"/>
      <c r="AK652" s="81"/>
      <c r="AL652" s="81"/>
      <c r="AM652" s="43">
        <v>636</v>
      </c>
      <c r="AN652">
        <v>245.12241838973145</v>
      </c>
      <c r="AO652">
        <v>96.249679179748611</v>
      </c>
      <c r="AP652">
        <v>667.22418765583791</v>
      </c>
      <c r="AQ652">
        <v>495.38727467237914</v>
      </c>
      <c r="AR652">
        <v>85.228319988935723</v>
      </c>
      <c r="AS652">
        <v>629.13323203747802</v>
      </c>
      <c r="AT652">
        <v>44.773018409010973</v>
      </c>
      <c r="AU652">
        <v>77.832248141966218</v>
      </c>
      <c r="AV652"/>
      <c r="AW652"/>
      <c r="FY652" s="211">
        <v>647</v>
      </c>
      <c r="FZ652">
        <v>9.3923657736153778</v>
      </c>
      <c r="GA652">
        <v>47.419666846548012</v>
      </c>
      <c r="GB652">
        <v>67.244235586106328</v>
      </c>
      <c r="GC652">
        <v>42.59337584579518</v>
      </c>
      <c r="GD652">
        <v>17.854665344652574</v>
      </c>
      <c r="GE652">
        <v>26.908971415440902</v>
      </c>
      <c r="GF652">
        <v>56.873791877359253</v>
      </c>
      <c r="GG652">
        <v>34.40197920444183</v>
      </c>
      <c r="GH652">
        <v>9.5739732107552378</v>
      </c>
      <c r="GI652">
        <v>43.046213195188244</v>
      </c>
      <c r="GJ652"/>
      <c r="GK652"/>
      <c r="GL652"/>
      <c r="GM652"/>
    </row>
    <row r="653" spans="1:195" s="7" customFormat="1">
      <c r="A653" s="4"/>
      <c r="B653" s="4"/>
      <c r="C653" s="4"/>
      <c r="D653" s="4"/>
      <c r="E653" s="4"/>
      <c r="F653" s="4"/>
      <c r="G653" s="4"/>
      <c r="H653" s="4"/>
      <c r="I653" s="4"/>
      <c r="J653" s="4"/>
      <c r="K653" s="4"/>
      <c r="L653" s="4"/>
      <c r="M653" s="4"/>
      <c r="N653" s="4"/>
      <c r="O653" s="4"/>
      <c r="P653" s="4"/>
      <c r="Q653" s="4"/>
      <c r="R653" s="4"/>
      <c r="S653" s="4"/>
      <c r="T653" s="4"/>
      <c r="U653" s="4"/>
      <c r="V653" s="4"/>
      <c r="W653" s="4"/>
      <c r="X653" s="4"/>
      <c r="Y653" s="4"/>
      <c r="Z653" s="4"/>
      <c r="AA653" s="4"/>
      <c r="AB653" s="4"/>
      <c r="AC653" s="4"/>
      <c r="AD653" s="4"/>
      <c r="AE653" s="4"/>
      <c r="AF653" s="81"/>
      <c r="AG653" s="81"/>
      <c r="AH653" s="81"/>
      <c r="AI653" s="4"/>
      <c r="AJ653" s="81"/>
      <c r="AK653" s="81"/>
      <c r="AL653" s="81"/>
      <c r="AM653" s="43">
        <v>637</v>
      </c>
      <c r="AN653">
        <v>273.99587053571429</v>
      </c>
      <c r="AO653">
        <v>93.112368796105926</v>
      </c>
      <c r="AP653">
        <v>652.0374960211318</v>
      </c>
      <c r="AQ653">
        <v>487.57032354878862</v>
      </c>
      <c r="AR653">
        <v>85.025350658041148</v>
      </c>
      <c r="AS653">
        <v>709.47840701714892</v>
      </c>
      <c r="AT653">
        <v>46.440991038304581</v>
      </c>
      <c r="AU653">
        <v>65.554263724917718</v>
      </c>
      <c r="AV653"/>
      <c r="AW653"/>
      <c r="FY653" s="211">
        <v>648</v>
      </c>
      <c r="FZ653">
        <v>31.316780417973739</v>
      </c>
      <c r="GA653">
        <v>85.833981966376626</v>
      </c>
      <c r="GB653">
        <v>72.586022302740787</v>
      </c>
      <c r="GC653">
        <v>38.097423096219124</v>
      </c>
      <c r="GD653">
        <v>19.143316740642586</v>
      </c>
      <c r="GE653">
        <v>42.88768713652091</v>
      </c>
      <c r="GF653">
        <v>84.84199642432273</v>
      </c>
      <c r="GG653">
        <v>53.20926821772818</v>
      </c>
      <c r="GH653">
        <v>14.831414725898785</v>
      </c>
      <c r="GI653">
        <v>55.308048863202423</v>
      </c>
      <c r="GJ653"/>
      <c r="GK653"/>
      <c r="GL653"/>
      <c r="GM653"/>
    </row>
    <row r="654" spans="1:195" s="7" customFormat="1">
      <c r="A654" s="4"/>
      <c r="B654" s="4"/>
      <c r="C654" s="4"/>
      <c r="D654" s="4"/>
      <c r="E654" s="4"/>
      <c r="F654" s="4"/>
      <c r="G654" s="4"/>
      <c r="H654" s="4"/>
      <c r="I654" s="4"/>
      <c r="J654" s="4"/>
      <c r="K654" s="4"/>
      <c r="L654" s="4"/>
      <c r="M654" s="4"/>
      <c r="N654" s="4"/>
      <c r="O654" s="4"/>
      <c r="P654" s="4"/>
      <c r="Q654" s="4"/>
      <c r="R654" s="4"/>
      <c r="S654" s="4"/>
      <c r="T654" s="4"/>
      <c r="U654" s="4"/>
      <c r="V654" s="4"/>
      <c r="W654" s="4"/>
      <c r="X654" s="4"/>
      <c r="Y654" s="4"/>
      <c r="Z654" s="4"/>
      <c r="AA654" s="4"/>
      <c r="AB654" s="4"/>
      <c r="AC654" s="4"/>
      <c r="AD654" s="4"/>
      <c r="AE654" s="4"/>
      <c r="AF654" s="81"/>
      <c r="AG654" s="81"/>
      <c r="AH654" s="81"/>
      <c r="AI654" s="4"/>
      <c r="AJ654" s="81"/>
      <c r="AK654" s="81"/>
      <c r="AL654" s="81"/>
      <c r="AM654" s="43">
        <v>638</v>
      </c>
      <c r="AN654">
        <v>219.22637355649536</v>
      </c>
      <c r="AO654">
        <v>82.357642907947692</v>
      </c>
      <c r="AP654">
        <v>574.0983440649851</v>
      </c>
      <c r="AQ654">
        <v>439.61738149683549</v>
      </c>
      <c r="AR654">
        <v>74.541136448997094</v>
      </c>
      <c r="AS654">
        <v>626.25521352488988</v>
      </c>
      <c r="AT654">
        <v>44.498587892785906</v>
      </c>
      <c r="AU654">
        <v>104.7994670720324</v>
      </c>
      <c r="AV654"/>
      <c r="AW654"/>
      <c r="FY654" s="211">
        <v>649</v>
      </c>
      <c r="FZ654">
        <v>15.207152207329425</v>
      </c>
      <c r="GA654">
        <v>63.463660386356224</v>
      </c>
      <c r="GB654">
        <v>57.178844938884183</v>
      </c>
      <c r="GC654">
        <v>27.563636810179418</v>
      </c>
      <c r="GD654">
        <v>23.960337103194913</v>
      </c>
      <c r="GE654">
        <v>70.018696184031711</v>
      </c>
      <c r="GF654">
        <v>95.158187715551563</v>
      </c>
      <c r="GG654">
        <v>55.69811133918077</v>
      </c>
      <c r="GH654">
        <v>32.282066926725406</v>
      </c>
      <c r="GI654">
        <v>56.696823696094512</v>
      </c>
      <c r="GJ654"/>
      <c r="GK654"/>
      <c r="GL654"/>
      <c r="GM654"/>
    </row>
    <row r="655" spans="1:195" s="7" customFormat="1">
      <c r="A655" s="4"/>
      <c r="B655" s="4"/>
      <c r="C655" s="4"/>
      <c r="D655" s="4"/>
      <c r="E655" s="4"/>
      <c r="F655" s="4"/>
      <c r="G655" s="4"/>
      <c r="H655" s="4"/>
      <c r="I655" s="4"/>
      <c r="J655" s="4"/>
      <c r="K655" s="4"/>
      <c r="L655" s="4"/>
      <c r="M655" s="4"/>
      <c r="N655" s="4"/>
      <c r="O655" s="4"/>
      <c r="P655" s="4"/>
      <c r="Q655" s="4"/>
      <c r="R655" s="4"/>
      <c r="S655" s="4"/>
      <c r="T655" s="4"/>
      <c r="U655" s="4"/>
      <c r="V655" s="4"/>
      <c r="W655" s="4"/>
      <c r="X655" s="4"/>
      <c r="Y655" s="4"/>
      <c r="Z655" s="4"/>
      <c r="AA655" s="4"/>
      <c r="AB655" s="4"/>
      <c r="AC655" s="4"/>
      <c r="AD655" s="4"/>
      <c r="AE655" s="4"/>
      <c r="AF655" s="81"/>
      <c r="AG655" s="81"/>
      <c r="AH655" s="81"/>
      <c r="AI655" s="4"/>
      <c r="AJ655" s="81"/>
      <c r="AK655" s="81"/>
      <c r="AL655" s="81"/>
      <c r="AM655" s="43">
        <v>639</v>
      </c>
      <c r="AN655">
        <v>320.76109968991176</v>
      </c>
      <c r="AO655">
        <v>98.204049476059296</v>
      </c>
      <c r="AP655">
        <v>715.48968349598636</v>
      </c>
      <c r="AQ655">
        <v>537.07995924120132</v>
      </c>
      <c r="AR655">
        <v>88.018922483212378</v>
      </c>
      <c r="AS655">
        <v>747.72898577445608</v>
      </c>
      <c r="AT655">
        <v>47.2197884072595</v>
      </c>
      <c r="AU655">
        <v>100.40787176241054</v>
      </c>
      <c r="AV655"/>
      <c r="AW655"/>
      <c r="FY655" s="211">
        <v>650</v>
      </c>
      <c r="FZ655">
        <v>17.466290830135915</v>
      </c>
      <c r="GA655">
        <v>53.262939738525333</v>
      </c>
      <c r="GB655">
        <v>103.59124352644693</v>
      </c>
      <c r="GC655">
        <v>65.194418965718597</v>
      </c>
      <c r="GD655">
        <v>30.432640321371224</v>
      </c>
      <c r="GE655">
        <v>61.405077538554892</v>
      </c>
      <c r="GF655">
        <v>97.235728450249582</v>
      </c>
      <c r="GG655">
        <v>57.874644969128759</v>
      </c>
      <c r="GH655">
        <v>17.486074022881894</v>
      </c>
      <c r="GI655">
        <v>71.087465449371436</v>
      </c>
      <c r="GJ655"/>
      <c r="GK655"/>
      <c r="GL655"/>
      <c r="GM655"/>
    </row>
    <row r="656" spans="1:195" s="7" customFormat="1">
      <c r="A656" s="4"/>
      <c r="B656" s="4"/>
      <c r="C656" s="4"/>
      <c r="D656" s="4"/>
      <c r="E656" s="4"/>
      <c r="F656" s="4"/>
      <c r="G656" s="4"/>
      <c r="H656" s="4"/>
      <c r="I656" s="4"/>
      <c r="J656" s="4"/>
      <c r="K656" s="4"/>
      <c r="L656" s="4"/>
      <c r="M656" s="4"/>
      <c r="N656" s="4"/>
      <c r="O656" s="4"/>
      <c r="P656" s="4"/>
      <c r="Q656" s="4"/>
      <c r="R656" s="4"/>
      <c r="S656" s="4"/>
      <c r="T656" s="4"/>
      <c r="U656" s="4"/>
      <c r="V656" s="4"/>
      <c r="W656" s="4"/>
      <c r="X656" s="4"/>
      <c r="Y656" s="4"/>
      <c r="Z656" s="4"/>
      <c r="AA656" s="4"/>
      <c r="AB656" s="4"/>
      <c r="AC656" s="4"/>
      <c r="AD656" s="4"/>
      <c r="AE656" s="4"/>
      <c r="AF656" s="81"/>
      <c r="AG656" s="81"/>
      <c r="AH656" s="81"/>
      <c r="AI656" s="4"/>
      <c r="AJ656" s="81"/>
      <c r="AK656" s="81"/>
      <c r="AL656" s="81"/>
      <c r="AM656" s="43">
        <v>640</v>
      </c>
      <c r="AN656">
        <v>217.77005075043817</v>
      </c>
      <c r="AO656">
        <v>89.047526689776078</v>
      </c>
      <c r="AP656">
        <v>656.2213011461738</v>
      </c>
      <c r="AQ656">
        <v>474.78576064649076</v>
      </c>
      <c r="AR656">
        <v>81.453868571244229</v>
      </c>
      <c r="AS656">
        <v>644.91280138091736</v>
      </c>
      <c r="AT656">
        <v>44.609844319393623</v>
      </c>
      <c r="AU656">
        <v>94.191805802106984</v>
      </c>
      <c r="AV656"/>
      <c r="AW656"/>
      <c r="FY656" s="211">
        <v>651</v>
      </c>
      <c r="FZ656">
        <v>7.5542221408061323</v>
      </c>
      <c r="GA656">
        <v>36.976361378303316</v>
      </c>
      <c r="GB656">
        <v>73.957588138255389</v>
      </c>
      <c r="GC656">
        <v>44.467214044423606</v>
      </c>
      <c r="GD656">
        <v>26.563628760357059</v>
      </c>
      <c r="GE656">
        <v>72.101577959825207</v>
      </c>
      <c r="GF656">
        <v>118.73052210061302</v>
      </c>
      <c r="GG656">
        <v>70.020774385044078</v>
      </c>
      <c r="GH656">
        <v>25.318446089467553</v>
      </c>
      <c r="GI656">
        <v>65.658198995629448</v>
      </c>
      <c r="GJ656"/>
      <c r="GK656"/>
      <c r="GL656"/>
      <c r="GM656"/>
    </row>
    <row r="657" spans="1:195" s="7" customFormat="1">
      <c r="A657" s="4"/>
      <c r="B657" s="4"/>
      <c r="C657" s="4"/>
      <c r="D657" s="4"/>
      <c r="E657" s="4"/>
      <c r="F657" s="4"/>
      <c r="G657" s="4"/>
      <c r="H657" s="4"/>
      <c r="I657" s="4"/>
      <c r="J657" s="4"/>
      <c r="K657" s="4"/>
      <c r="L657" s="4"/>
      <c r="M657" s="4"/>
      <c r="N657" s="4"/>
      <c r="O657" s="4"/>
      <c r="P657" s="4"/>
      <c r="Q657" s="4"/>
      <c r="R657" s="4"/>
      <c r="S657" s="4"/>
      <c r="T657" s="4"/>
      <c r="U657" s="4"/>
      <c r="V657" s="4"/>
      <c r="W657" s="4"/>
      <c r="X657" s="4"/>
      <c r="Y657" s="4"/>
      <c r="Z657" s="4"/>
      <c r="AA657" s="4"/>
      <c r="AB657" s="4"/>
      <c r="AC657" s="4"/>
      <c r="AD657" s="4"/>
      <c r="AE657" s="4"/>
      <c r="AF657" s="81"/>
      <c r="AG657" s="81"/>
      <c r="AH657" s="81"/>
      <c r="AI657" s="4"/>
      <c r="AJ657" s="81"/>
      <c r="AK657" s="81"/>
      <c r="AL657" s="81"/>
      <c r="AM657" s="43">
        <v>641</v>
      </c>
      <c r="AN657">
        <v>208.64288508041872</v>
      </c>
      <c r="AO657">
        <v>71.069372652608223</v>
      </c>
      <c r="AP657">
        <v>525.97883018006632</v>
      </c>
      <c r="AQ657">
        <v>376.05324967993283</v>
      </c>
      <c r="AR657">
        <v>64.253821463325124</v>
      </c>
      <c r="AS657">
        <v>544.10355921598887</v>
      </c>
      <c r="AT657">
        <v>38.809572955812264</v>
      </c>
      <c r="AU657">
        <v>71.835519534742204</v>
      </c>
      <c r="AV657"/>
      <c r="AW657"/>
      <c r="FY657" s="211">
        <v>652</v>
      </c>
      <c r="FZ657">
        <v>10.460124647836221</v>
      </c>
      <c r="GA657">
        <v>58.188645451749082</v>
      </c>
      <c r="GB657">
        <v>89.026170650081951</v>
      </c>
      <c r="GC657">
        <v>47.386483256507674</v>
      </c>
      <c r="GD657">
        <v>23.270668916542299</v>
      </c>
      <c r="GE657">
        <v>49.138657975309783</v>
      </c>
      <c r="GF657">
        <v>74.568752170097682</v>
      </c>
      <c r="GG657">
        <v>45.299464497496736</v>
      </c>
      <c r="GH657">
        <v>9.910991716374534</v>
      </c>
      <c r="GI657">
        <v>56.001682723045789</v>
      </c>
      <c r="GJ657"/>
      <c r="GK657"/>
      <c r="GL657"/>
      <c r="GM657"/>
    </row>
    <row r="658" spans="1:195" s="7" customFormat="1">
      <c r="A658" s="4"/>
      <c r="B658" s="4"/>
      <c r="C658" s="4"/>
      <c r="D658" s="4"/>
      <c r="E658" s="4"/>
      <c r="F658" s="4"/>
      <c r="G658" s="4"/>
      <c r="H658" s="4"/>
      <c r="I658" s="4"/>
      <c r="J658" s="4"/>
      <c r="K658" s="4"/>
      <c r="L658" s="4"/>
      <c r="M658" s="4"/>
      <c r="N658" s="4"/>
      <c r="O658" s="4"/>
      <c r="P658" s="4"/>
      <c r="Q658" s="4"/>
      <c r="R658" s="4"/>
      <c r="S658" s="4"/>
      <c r="T658" s="4"/>
      <c r="U658" s="4"/>
      <c r="V658" s="4"/>
      <c r="W658" s="4"/>
      <c r="X658" s="4"/>
      <c r="Y658" s="4"/>
      <c r="Z658" s="4"/>
      <c r="AA658" s="4"/>
      <c r="AB658" s="4"/>
      <c r="AC658" s="4"/>
      <c r="AD658" s="4"/>
      <c r="AE658" s="4"/>
      <c r="AF658" s="81"/>
      <c r="AG658" s="81"/>
      <c r="AH658" s="81"/>
      <c r="AI658" s="4"/>
      <c r="AJ658" s="81"/>
      <c r="AK658" s="81"/>
      <c r="AL658" s="81"/>
      <c r="AM658" s="43">
        <v>642</v>
      </c>
      <c r="AN658">
        <v>268.32832456547999</v>
      </c>
      <c r="AO658">
        <v>94.424849642463599</v>
      </c>
      <c r="AP658">
        <v>655.95148074992585</v>
      </c>
      <c r="AQ658">
        <v>498.09136714803287</v>
      </c>
      <c r="AR658">
        <v>84.247135620973907</v>
      </c>
      <c r="AS658">
        <v>655.33414818104052</v>
      </c>
      <c r="AT658">
        <v>45.520161631840104</v>
      </c>
      <c r="AU658">
        <v>108.49450853416654</v>
      </c>
      <c r="AV658"/>
      <c r="AW658"/>
      <c r="FY658" s="211">
        <v>653</v>
      </c>
      <c r="FZ658">
        <v>26.933733751306722</v>
      </c>
      <c r="GA658">
        <v>61.964657620886108</v>
      </c>
      <c r="GB658">
        <v>101.03228476061312</v>
      </c>
      <c r="GC658">
        <v>55.921755031700897</v>
      </c>
      <c r="GD658">
        <v>28.753628377034069</v>
      </c>
      <c r="GE658">
        <v>61.250521288219574</v>
      </c>
      <c r="GF658">
        <v>47.56375848386228</v>
      </c>
      <c r="GG658">
        <v>27.723882888634925</v>
      </c>
      <c r="GH658">
        <v>17.665026134550338</v>
      </c>
      <c r="GI658">
        <v>60.376571692974203</v>
      </c>
      <c r="GJ658"/>
      <c r="GK658"/>
      <c r="GL658"/>
      <c r="GM658"/>
    </row>
    <row r="659" spans="1:195" s="7" customFormat="1">
      <c r="A659" s="4"/>
      <c r="B659" s="4"/>
      <c r="C659" s="4"/>
      <c r="D659" s="4"/>
      <c r="E659" s="4"/>
      <c r="F659" s="4"/>
      <c r="G659" s="4"/>
      <c r="H659" s="4"/>
      <c r="I659" s="4"/>
      <c r="J659" s="4"/>
      <c r="K659" s="4"/>
      <c r="L659" s="4"/>
      <c r="M659" s="4"/>
      <c r="N659" s="4"/>
      <c r="O659" s="4"/>
      <c r="P659" s="4"/>
      <c r="Q659" s="4"/>
      <c r="R659" s="4"/>
      <c r="S659" s="4"/>
      <c r="T659" s="4"/>
      <c r="U659" s="4"/>
      <c r="V659" s="4"/>
      <c r="W659" s="4"/>
      <c r="X659" s="4"/>
      <c r="Y659" s="4"/>
      <c r="Z659" s="4"/>
      <c r="AA659" s="4"/>
      <c r="AB659" s="4"/>
      <c r="AC659" s="4"/>
      <c r="AD659" s="4"/>
      <c r="AE659" s="4"/>
      <c r="AF659" s="81"/>
      <c r="AG659" s="81"/>
      <c r="AH659" s="81"/>
      <c r="AI659" s="4"/>
      <c r="AJ659" s="81"/>
      <c r="AK659" s="81"/>
      <c r="AL659" s="81"/>
      <c r="AM659" s="43">
        <v>643</v>
      </c>
      <c r="AN659">
        <v>254.71167711001604</v>
      </c>
      <c r="AO659">
        <v>97.080477398916983</v>
      </c>
      <c r="AP659">
        <v>740.36618159457885</v>
      </c>
      <c r="AQ659">
        <v>513.49093787005017</v>
      </c>
      <c r="AR659">
        <v>86.322907162502887</v>
      </c>
      <c r="AS659">
        <v>683.68142046492005</v>
      </c>
      <c r="AT659">
        <v>46.558088978839386</v>
      </c>
      <c r="AU659">
        <v>163.201002822455</v>
      </c>
      <c r="AV659"/>
      <c r="AW659"/>
      <c r="FY659" s="211">
        <v>654</v>
      </c>
      <c r="FZ659">
        <v>12.040646604838145</v>
      </c>
      <c r="GA659">
        <v>42.53060479355846</v>
      </c>
      <c r="GB659">
        <v>62.411996836291486</v>
      </c>
      <c r="GC659">
        <v>37.444010789496396</v>
      </c>
      <c r="GD659">
        <v>18.481045484629593</v>
      </c>
      <c r="GE659">
        <v>50.821890147581357</v>
      </c>
      <c r="GF659">
        <v>87.976006814428999</v>
      </c>
      <c r="GG659">
        <v>43.212834823649821</v>
      </c>
      <c r="GH659">
        <v>13.329199287396669</v>
      </c>
      <c r="GI659">
        <v>49.175432618567029</v>
      </c>
      <c r="GJ659"/>
      <c r="GK659"/>
      <c r="GL659"/>
      <c r="GM659"/>
    </row>
    <row r="660" spans="1:195" s="7" customFormat="1">
      <c r="A660" s="4"/>
      <c r="B660" s="4"/>
      <c r="C660" s="4"/>
      <c r="D660" s="4"/>
      <c r="E660" s="4"/>
      <c r="F660" s="4"/>
      <c r="G660" s="4"/>
      <c r="H660" s="4"/>
      <c r="I660" s="4"/>
      <c r="J660" s="4"/>
      <c r="K660" s="4"/>
      <c r="L660" s="4"/>
      <c r="M660" s="4"/>
      <c r="N660" s="4"/>
      <c r="O660" s="4"/>
      <c r="P660" s="4"/>
      <c r="Q660" s="4"/>
      <c r="R660" s="4"/>
      <c r="S660" s="4"/>
      <c r="T660" s="4"/>
      <c r="U660" s="4"/>
      <c r="V660" s="4"/>
      <c r="W660" s="4"/>
      <c r="X660" s="4"/>
      <c r="Y660" s="4"/>
      <c r="Z660" s="4"/>
      <c r="AA660" s="4"/>
      <c r="AB660" s="4"/>
      <c r="AC660" s="4"/>
      <c r="AD660" s="4"/>
      <c r="AE660" s="4"/>
      <c r="AF660" s="81"/>
      <c r="AG660" s="81"/>
      <c r="AH660" s="81"/>
      <c r="AI660" s="4"/>
      <c r="AJ660" s="81"/>
      <c r="AK660" s="81"/>
      <c r="AL660" s="81"/>
      <c r="AM660" s="43">
        <v>644</v>
      </c>
      <c r="AN660">
        <v>222.03174931392988</v>
      </c>
      <c r="AO660">
        <v>70.620829172425161</v>
      </c>
      <c r="AP660">
        <v>498.86323584668759</v>
      </c>
      <c r="AQ660">
        <v>383.70479518560825</v>
      </c>
      <c r="AR660">
        <v>62.156882962429385</v>
      </c>
      <c r="AS660">
        <v>538.5647142959474</v>
      </c>
      <c r="AT660">
        <v>32.920438281207446</v>
      </c>
      <c r="AU660">
        <v>66.100688847648044</v>
      </c>
      <c r="AV660"/>
      <c r="AW660"/>
      <c r="FY660" s="211">
        <v>655</v>
      </c>
      <c r="FZ660">
        <v>13.439920449976032</v>
      </c>
      <c r="GA660">
        <v>39.586879662729032</v>
      </c>
      <c r="GB660">
        <v>82.969358708058436</v>
      </c>
      <c r="GC660">
        <v>53.391239440962629</v>
      </c>
      <c r="GD660">
        <v>17.622566766243455</v>
      </c>
      <c r="GE660">
        <v>38.536211130212024</v>
      </c>
      <c r="GF660">
        <v>77.81672543891932</v>
      </c>
      <c r="GG660">
        <v>44.208706928130397</v>
      </c>
      <c r="GH660">
        <v>18.632548255922103</v>
      </c>
      <c r="GI660">
        <v>52.71775664311717</v>
      </c>
      <c r="GJ660"/>
      <c r="GK660"/>
      <c r="GL660"/>
      <c r="GM660"/>
    </row>
    <row r="661" spans="1:195" s="7" customFormat="1">
      <c r="A661" s="4"/>
      <c r="B661" s="4"/>
      <c r="C661" s="4"/>
      <c r="D661" s="4"/>
      <c r="E661" s="4"/>
      <c r="F661" s="4"/>
      <c r="G661" s="4"/>
      <c r="H661" s="4"/>
      <c r="I661" s="4"/>
      <c r="J661" s="4"/>
      <c r="K661" s="4"/>
      <c r="L661" s="4"/>
      <c r="M661" s="4"/>
      <c r="N661" s="4"/>
      <c r="O661" s="4"/>
      <c r="P661" s="4"/>
      <c r="Q661" s="4"/>
      <c r="R661" s="4"/>
      <c r="S661" s="4"/>
      <c r="T661" s="4"/>
      <c r="U661" s="4"/>
      <c r="V661" s="4"/>
      <c r="W661" s="4"/>
      <c r="X661" s="4"/>
      <c r="Y661" s="4"/>
      <c r="Z661" s="4"/>
      <c r="AA661" s="4"/>
      <c r="AB661" s="4"/>
      <c r="AC661" s="4"/>
      <c r="AD661" s="4"/>
      <c r="AE661" s="4"/>
      <c r="AF661" s="81"/>
      <c r="AG661" s="81"/>
      <c r="AH661" s="81"/>
      <c r="AI661" s="4"/>
      <c r="AJ661" s="81"/>
      <c r="AK661" s="81"/>
      <c r="AL661" s="81"/>
      <c r="AM661" s="43">
        <v>645</v>
      </c>
      <c r="AN661">
        <v>244.38592974353543</v>
      </c>
      <c r="AO661">
        <v>79.373613638891229</v>
      </c>
      <c r="AP661">
        <v>605.36487604631327</v>
      </c>
      <c r="AQ661">
        <v>447.83377729236167</v>
      </c>
      <c r="AR661">
        <v>72.722861994328795</v>
      </c>
      <c r="AS661">
        <v>626.10841172366099</v>
      </c>
      <c r="AT661" t="e">
        <v>#DIV/0!</v>
      </c>
      <c r="AU661" t="e">
        <v>#DIV/0!</v>
      </c>
      <c r="AV661"/>
      <c r="AW661"/>
      <c r="FY661" s="211">
        <v>656</v>
      </c>
      <c r="FZ661">
        <v>16.853018639507706</v>
      </c>
      <c r="GA661">
        <v>53.227964368242851</v>
      </c>
      <c r="GB661">
        <v>86.501860204205286</v>
      </c>
      <c r="GC661">
        <v>53.667626670238441</v>
      </c>
      <c r="GD661">
        <v>28.236100865421484</v>
      </c>
      <c r="GE661">
        <v>57.638526159631098</v>
      </c>
      <c r="GF661">
        <v>112.64776928812439</v>
      </c>
      <c r="GG661">
        <v>80.792758518792184</v>
      </c>
      <c r="GH661">
        <v>22.296847154272307</v>
      </c>
      <c r="GI661">
        <v>69.295635626250146</v>
      </c>
      <c r="GJ661"/>
      <c r="GK661"/>
      <c r="GL661"/>
      <c r="GM661"/>
    </row>
    <row r="662" spans="1:195" s="7" customFormat="1">
      <c r="A662" s="4"/>
      <c r="B662" s="4"/>
      <c r="C662" s="4"/>
      <c r="D662" s="4"/>
      <c r="E662" s="4"/>
      <c r="F662" s="4"/>
      <c r="G662" s="4"/>
      <c r="H662" s="4"/>
      <c r="I662" s="4"/>
      <c r="J662" s="4"/>
      <c r="K662" s="4"/>
      <c r="L662" s="4"/>
      <c r="M662" s="4"/>
      <c r="N662" s="28"/>
      <c r="O662" s="4"/>
      <c r="P662" s="4"/>
      <c r="Q662" s="4"/>
      <c r="R662" s="4"/>
      <c r="S662" s="4"/>
      <c r="T662" s="4"/>
      <c r="U662" s="4"/>
      <c r="V662" s="4"/>
      <c r="W662" s="4"/>
      <c r="X662" s="4"/>
      <c r="Y662" s="4"/>
      <c r="Z662" s="4"/>
      <c r="AA662" s="4"/>
      <c r="AB662" s="4"/>
      <c r="AC662" s="4"/>
      <c r="AD662" s="4"/>
      <c r="AE662" s="4"/>
      <c r="AF662" s="81"/>
      <c r="AG662" s="81"/>
      <c r="AH662" s="81"/>
      <c r="AI662" s="4"/>
      <c r="AJ662" s="81"/>
      <c r="AK662" s="81"/>
      <c r="AL662" s="81"/>
      <c r="AM662" s="43">
        <v>646</v>
      </c>
      <c r="AN662">
        <v>277.5279715244464</v>
      </c>
      <c r="AO662">
        <v>83.861262667273621</v>
      </c>
      <c r="AP662">
        <v>635.15897420648969</v>
      </c>
      <c r="AQ662">
        <v>467.44002063869476</v>
      </c>
      <c r="AR662">
        <v>74.397147993995929</v>
      </c>
      <c r="AS662">
        <v>626.42182766001997</v>
      </c>
      <c r="AT662">
        <v>38.550405055939898</v>
      </c>
      <c r="AU662">
        <v>82.02444485027543</v>
      </c>
      <c r="AV662"/>
      <c r="AW662"/>
      <c r="FY662" s="211">
        <v>657</v>
      </c>
      <c r="FZ662">
        <v>21.631467308550093</v>
      </c>
      <c r="GA662">
        <v>51.413583210455343</v>
      </c>
      <c r="GB662">
        <v>70.745175770614068</v>
      </c>
      <c r="GC662">
        <v>38.412034259247797</v>
      </c>
      <c r="GD662">
        <v>20.65257846964203</v>
      </c>
      <c r="GE662">
        <v>72.234236715418277</v>
      </c>
      <c r="GF662">
        <v>82.222005886599462</v>
      </c>
      <c r="GG662">
        <v>12.502838837932265</v>
      </c>
      <c r="GH662">
        <v>2.4111128382174094</v>
      </c>
      <c r="GI662">
        <v>51.179933307734274</v>
      </c>
      <c r="GJ662"/>
      <c r="GK662"/>
      <c r="GL662"/>
      <c r="GM662"/>
    </row>
    <row r="663" spans="1:195" s="7" customFormat="1">
      <c r="A663" s="4"/>
      <c r="B663" s="4"/>
      <c r="C663" s="4"/>
      <c r="D663" s="4"/>
      <c r="E663" s="4"/>
      <c r="F663" s="4"/>
      <c r="G663" s="4"/>
      <c r="H663" s="4"/>
      <c r="I663" s="4"/>
      <c r="J663" s="4"/>
      <c r="K663" s="4"/>
      <c r="L663" s="4"/>
      <c r="M663" s="4"/>
      <c r="N663" s="28"/>
      <c r="O663" s="4"/>
      <c r="P663" s="4"/>
      <c r="Q663" s="4"/>
      <c r="R663" s="4"/>
      <c r="S663" s="4"/>
      <c r="T663" s="4"/>
      <c r="U663" s="4"/>
      <c r="V663" s="4"/>
      <c r="W663" s="4"/>
      <c r="X663" s="4"/>
      <c r="Y663" s="4"/>
      <c r="Z663" s="4"/>
      <c r="AA663" s="4"/>
      <c r="AB663" s="4"/>
      <c r="AC663" s="4"/>
      <c r="AD663" s="4"/>
      <c r="AE663" s="4"/>
      <c r="AF663" s="81"/>
      <c r="AG663" s="81"/>
      <c r="AH663" s="81"/>
      <c r="AI663" s="4"/>
      <c r="AJ663" s="81"/>
      <c r="AK663" s="81"/>
      <c r="AL663" s="81"/>
      <c r="AM663" s="43">
        <v>647</v>
      </c>
      <c r="AN663">
        <v>247.45386512851528</v>
      </c>
      <c r="AO663">
        <v>68.090217147324239</v>
      </c>
      <c r="AP663">
        <v>484.47237752674641</v>
      </c>
      <c r="AQ663">
        <v>355.30923829990297</v>
      </c>
      <c r="AR663">
        <v>61.363708453320335</v>
      </c>
      <c r="AS663">
        <v>600.29229390099147</v>
      </c>
      <c r="AT663">
        <v>35.354990990007984</v>
      </c>
      <c r="AU663">
        <v>58.103702199748099</v>
      </c>
      <c r="AV663"/>
      <c r="AW663"/>
      <c r="FY663" s="211">
        <v>658</v>
      </c>
      <c r="FZ663">
        <v>17.76274388122367</v>
      </c>
      <c r="GA663">
        <v>56.524105488574733</v>
      </c>
      <c r="GB663">
        <v>81.792134769286264</v>
      </c>
      <c r="GC663">
        <v>49.24592167746566</v>
      </c>
      <c r="GD663">
        <v>18.480462402955862</v>
      </c>
      <c r="GE663">
        <v>69.877221631535704</v>
      </c>
      <c r="GF663">
        <v>117.49929819350801</v>
      </c>
      <c r="GG663">
        <v>66.914810344863923</v>
      </c>
      <c r="GH663">
        <v>58.958455953616259</v>
      </c>
      <c r="GI663">
        <v>67.673605206611057</v>
      </c>
      <c r="GJ663"/>
      <c r="GK663"/>
      <c r="GL663"/>
      <c r="GM663"/>
    </row>
    <row r="664" spans="1:195" s="7" customFormat="1">
      <c r="A664" s="4"/>
      <c r="B664" s="4"/>
      <c r="C664" s="4"/>
      <c r="D664" s="4"/>
      <c r="E664" s="4"/>
      <c r="F664" s="4"/>
      <c r="G664" s="4"/>
      <c r="H664" s="4"/>
      <c r="I664" s="4"/>
      <c r="J664" s="4"/>
      <c r="K664" s="4"/>
      <c r="L664" s="4"/>
      <c r="M664" s="4"/>
      <c r="N664" s="28"/>
      <c r="O664" s="4"/>
      <c r="P664" s="4"/>
      <c r="Q664" s="4"/>
      <c r="R664" s="4"/>
      <c r="S664" s="4"/>
      <c r="T664" s="4"/>
      <c r="U664" s="4"/>
      <c r="V664" s="4"/>
      <c r="W664" s="4"/>
      <c r="X664" s="4"/>
      <c r="Y664" s="4"/>
      <c r="Z664" s="4"/>
      <c r="AA664" s="4"/>
      <c r="AB664" s="4"/>
      <c r="AC664" s="4"/>
      <c r="AD664" s="4"/>
      <c r="AE664" s="4"/>
      <c r="AF664" s="81"/>
      <c r="AG664" s="81"/>
      <c r="AH664" s="81"/>
      <c r="AI664" s="4"/>
      <c r="AJ664" s="81"/>
      <c r="AK664" s="81"/>
      <c r="AL664" s="81"/>
      <c r="AM664" s="43">
        <v>648</v>
      </c>
      <c r="AN664">
        <v>280.64175027284966</v>
      </c>
      <c r="AO664">
        <v>88.876474617749295</v>
      </c>
      <c r="AP664">
        <v>686.0339079333362</v>
      </c>
      <c r="AQ664">
        <v>498.055939891626</v>
      </c>
      <c r="AR664">
        <v>79.768923560164467</v>
      </c>
      <c r="AS664">
        <v>656.30999163042486</v>
      </c>
      <c r="AT664" t="e">
        <v>#DIV/0!</v>
      </c>
      <c r="AU664" t="e">
        <v>#DIV/0!</v>
      </c>
      <c r="AV664"/>
      <c r="AW664"/>
      <c r="FY664" s="211">
        <v>659</v>
      </c>
      <c r="FZ664">
        <v>9.9206041871348312</v>
      </c>
      <c r="GA664">
        <v>36.297809236273899</v>
      </c>
      <c r="GB664">
        <v>45.503895086139678</v>
      </c>
      <c r="GC664">
        <v>32.678896028910053</v>
      </c>
      <c r="GD664">
        <v>17.07669215519056</v>
      </c>
      <c r="GE664">
        <v>37.379849734327713</v>
      </c>
      <c r="GF664">
        <v>64.511741026934487</v>
      </c>
      <c r="GG664">
        <v>34.458041322823426</v>
      </c>
      <c r="GH664">
        <v>20.493524464833122</v>
      </c>
      <c r="GI664">
        <v>40.385189318123231</v>
      </c>
      <c r="GJ664"/>
      <c r="GK664"/>
      <c r="GL664"/>
      <c r="GM664"/>
    </row>
    <row r="665" spans="1:195" s="7" customFormat="1">
      <c r="A665" s="4"/>
      <c r="B665" s="4"/>
      <c r="C665" s="4"/>
      <c r="D665" s="4"/>
      <c r="E665" s="4"/>
      <c r="F665" s="4"/>
      <c r="G665" s="4"/>
      <c r="H665" s="4"/>
      <c r="I665" s="4"/>
      <c r="J665" s="4"/>
      <c r="K665" s="4"/>
      <c r="L665" s="4"/>
      <c r="M665" s="4"/>
      <c r="N665" s="28"/>
      <c r="O665" s="4"/>
      <c r="P665" s="4"/>
      <c r="Q665" s="4"/>
      <c r="R665" s="4"/>
      <c r="S665" s="4"/>
      <c r="T665" s="4"/>
      <c r="U665" s="4"/>
      <c r="V665" s="4"/>
      <c r="W665" s="4"/>
      <c r="X665" s="4"/>
      <c r="Y665" s="4"/>
      <c r="Z665" s="4"/>
      <c r="AA665" s="4"/>
      <c r="AB665" s="4"/>
      <c r="AC665" s="4"/>
      <c r="AD665" s="4"/>
      <c r="AE665" s="4"/>
      <c r="AF665" s="81"/>
      <c r="AG665" s="81"/>
      <c r="AH665" s="81"/>
      <c r="AI665" s="4"/>
      <c r="AJ665" s="81"/>
      <c r="AK665" s="81"/>
      <c r="AL665" s="81"/>
      <c r="AM665" s="43">
        <v>649</v>
      </c>
      <c r="AN665">
        <v>276.14756094178216</v>
      </c>
      <c r="AO665">
        <v>90.31554689134289</v>
      </c>
      <c r="AP665">
        <v>656.82809206615616</v>
      </c>
      <c r="AQ665">
        <v>497.22751730752805</v>
      </c>
      <c r="AR665">
        <v>80.086546685164976</v>
      </c>
      <c r="AS665">
        <v>669.48082684113683</v>
      </c>
      <c r="AT665">
        <v>44.060258775802787</v>
      </c>
      <c r="AU665">
        <v>105.61962552178828</v>
      </c>
      <c r="AV665"/>
      <c r="AW665"/>
      <c r="FY665" s="211">
        <v>660</v>
      </c>
      <c r="FZ665">
        <v>33.43021392520594</v>
      </c>
      <c r="GA665">
        <v>65.042857694409633</v>
      </c>
      <c r="GB665">
        <v>57.525925021443797</v>
      </c>
      <c r="GC665">
        <v>36.965452347382609</v>
      </c>
      <c r="GD665">
        <v>21.069098152538409</v>
      </c>
      <c r="GE665">
        <v>49.089782695786305</v>
      </c>
      <c r="GF665">
        <v>72.582499206892905</v>
      </c>
      <c r="GG665">
        <v>37.639274560438956</v>
      </c>
      <c r="GH665">
        <v>15.683964904660815</v>
      </c>
      <c r="GI665">
        <v>50.018789368055806</v>
      </c>
      <c r="GJ665"/>
      <c r="GK665"/>
      <c r="GL665"/>
      <c r="GM665"/>
    </row>
    <row r="666" spans="1:195" s="7" customFormat="1">
      <c r="A666" s="4"/>
      <c r="B666" s="4"/>
      <c r="C666" s="4"/>
      <c r="D666" s="4"/>
      <c r="E666" s="4"/>
      <c r="F666" s="4"/>
      <c r="G666" s="4"/>
      <c r="H666" s="4"/>
      <c r="I666" s="4"/>
      <c r="J666" s="4"/>
      <c r="K666" s="4"/>
      <c r="L666" s="4"/>
      <c r="M666" s="4"/>
      <c r="N666" s="28"/>
      <c r="O666" s="4"/>
      <c r="P666" s="4"/>
      <c r="Q666" s="4"/>
      <c r="R666" s="4"/>
      <c r="S666" s="4"/>
      <c r="T666" s="4"/>
      <c r="U666" s="4"/>
      <c r="V666" s="4"/>
      <c r="W666" s="4"/>
      <c r="X666" s="4"/>
      <c r="Y666" s="4"/>
      <c r="Z666" s="4"/>
      <c r="AA666" s="4"/>
      <c r="AB666" s="4"/>
      <c r="AC666" s="4"/>
      <c r="AD666" s="4"/>
      <c r="AE666" s="4"/>
      <c r="AF666" s="81"/>
      <c r="AG666" s="81"/>
      <c r="AH666" s="81"/>
      <c r="AI666" s="4"/>
      <c r="AJ666" s="81"/>
      <c r="AK666" s="81"/>
      <c r="AL666" s="81"/>
      <c r="AM666" s="43">
        <v>650</v>
      </c>
      <c r="AN666">
        <v>325.73343767028882</v>
      </c>
      <c r="AO666">
        <v>112.86471222349394</v>
      </c>
      <c r="AP666">
        <v>769.2790227239376</v>
      </c>
      <c r="AQ666">
        <v>575.03652381238453</v>
      </c>
      <c r="AR666">
        <v>101.74325919435191</v>
      </c>
      <c r="AS666">
        <v>839.41348090840813</v>
      </c>
      <c r="AT666">
        <v>53.677769340397042</v>
      </c>
      <c r="AU666">
        <v>108.40963065971776</v>
      </c>
      <c r="AV666"/>
      <c r="AW666"/>
      <c r="FY666" s="211">
        <v>661</v>
      </c>
      <c r="FZ666">
        <v>8.7430079703338919</v>
      </c>
      <c r="GA666">
        <v>48.818849755854245</v>
      </c>
      <c r="GB666">
        <v>91.120421089731778</v>
      </c>
      <c r="GC666">
        <v>52.513441224309844</v>
      </c>
      <c r="GD666">
        <v>18.292269321751753</v>
      </c>
      <c r="GE666">
        <v>34.046684656926004</v>
      </c>
      <c r="GF666">
        <v>65.557267892908641</v>
      </c>
      <c r="GG666">
        <v>46.191624316672005</v>
      </c>
      <c r="GH666">
        <v>19.493343498359462</v>
      </c>
      <c r="GI666">
        <v>52.22648524953788</v>
      </c>
      <c r="GJ666"/>
      <c r="GK666"/>
      <c r="GL666"/>
      <c r="GM666"/>
    </row>
    <row r="667" spans="1:195" s="7" customFormat="1">
      <c r="A667" s="4"/>
      <c r="B667" s="4"/>
      <c r="C667" s="4"/>
      <c r="D667" s="4"/>
      <c r="E667" s="4"/>
      <c r="F667" s="4"/>
      <c r="G667" s="4"/>
      <c r="H667" s="4"/>
      <c r="I667" s="4"/>
      <c r="J667" s="4"/>
      <c r="K667" s="4"/>
      <c r="L667" s="4"/>
      <c r="M667" s="4"/>
      <c r="N667" s="28"/>
      <c r="O667" s="4"/>
      <c r="P667" s="4"/>
      <c r="Q667" s="4"/>
      <c r="R667" s="4"/>
      <c r="S667" s="4"/>
      <c r="T667" s="4"/>
      <c r="U667" s="4"/>
      <c r="V667" s="4"/>
      <c r="W667" s="4"/>
      <c r="X667" s="4"/>
      <c r="Y667" s="4"/>
      <c r="Z667" s="4"/>
      <c r="AA667" s="4"/>
      <c r="AB667" s="4"/>
      <c r="AC667" s="4"/>
      <c r="AD667" s="4"/>
      <c r="AE667" s="4"/>
      <c r="AF667" s="81"/>
      <c r="AG667" s="81"/>
      <c r="AH667" s="81"/>
      <c r="AI667" s="4"/>
      <c r="AJ667" s="81"/>
      <c r="AK667" s="81"/>
      <c r="AL667" s="81"/>
      <c r="AM667" s="43">
        <v>651</v>
      </c>
      <c r="AN667">
        <v>280.25618083933011</v>
      </c>
      <c r="AO667">
        <v>105.21433483354136</v>
      </c>
      <c r="AP667">
        <v>737.8588361170797</v>
      </c>
      <c r="AQ667">
        <v>541.34853399272481</v>
      </c>
      <c r="AR667">
        <v>93.778987284151853</v>
      </c>
      <c r="AS667">
        <v>760.17243053172376</v>
      </c>
      <c r="AT667">
        <v>49.07010612564585</v>
      </c>
      <c r="AU667">
        <v>114.74847206506985</v>
      </c>
      <c r="AV667"/>
      <c r="AW667"/>
      <c r="FY667" s="211">
        <v>662</v>
      </c>
      <c r="FZ667">
        <v>23.935804370613116</v>
      </c>
      <c r="GA667">
        <v>50.069474292276347</v>
      </c>
      <c r="GB667">
        <v>70.574515023188766</v>
      </c>
      <c r="GC667">
        <v>42.197542888382131</v>
      </c>
      <c r="GD667">
        <v>13.31534760882772</v>
      </c>
      <c r="GE667">
        <v>20.224797288605899</v>
      </c>
      <c r="GF667">
        <v>38.977957731348461</v>
      </c>
      <c r="GG667">
        <v>42.331531570002248</v>
      </c>
      <c r="GH667">
        <v>29.579074596392253</v>
      </c>
      <c r="GI667">
        <v>42.040456167137705</v>
      </c>
      <c r="GJ667"/>
      <c r="GK667"/>
      <c r="GL667"/>
      <c r="GM667"/>
    </row>
    <row r="668" spans="1:195" s="7" customFormat="1">
      <c r="A668" s="4"/>
      <c r="B668" s="4"/>
      <c r="C668" s="4"/>
      <c r="D668" s="4"/>
      <c r="E668" s="4"/>
      <c r="F668" s="4"/>
      <c r="G668" s="4"/>
      <c r="H668" s="4"/>
      <c r="I668" s="4"/>
      <c r="J668" s="4"/>
      <c r="K668" s="4"/>
      <c r="L668" s="4"/>
      <c r="M668" s="4"/>
      <c r="N668" s="28"/>
      <c r="O668" s="4"/>
      <c r="P668" s="4"/>
      <c r="Q668" s="4"/>
      <c r="R668" s="4"/>
      <c r="S668" s="4"/>
      <c r="T668" s="4"/>
      <c r="U668" s="4"/>
      <c r="V668" s="4"/>
      <c r="W668" s="4"/>
      <c r="X668" s="4"/>
      <c r="Y668" s="4"/>
      <c r="Z668" s="4"/>
      <c r="AA668" s="4"/>
      <c r="AB668" s="4"/>
      <c r="AC668" s="4"/>
      <c r="AD668" s="4"/>
      <c r="AE668" s="4"/>
      <c r="AF668" s="81"/>
      <c r="AG668" s="81"/>
      <c r="AH668" s="81"/>
      <c r="AI668" s="4"/>
      <c r="AJ668" s="81"/>
      <c r="AK668" s="81"/>
      <c r="AL668" s="81"/>
      <c r="AM668" s="43">
        <v>652</v>
      </c>
      <c r="AN668">
        <v>272.56468345576343</v>
      </c>
      <c r="AO668">
        <v>88.645096179488633</v>
      </c>
      <c r="AP668">
        <v>622.72049290853806</v>
      </c>
      <c r="AQ668">
        <v>463.25164200504179</v>
      </c>
      <c r="AR668">
        <v>80.143517060787786</v>
      </c>
      <c r="AS668">
        <v>648.27163634670876</v>
      </c>
      <c r="AT668">
        <v>42.477515214283947</v>
      </c>
      <c r="AU668">
        <v>77.241065268149654</v>
      </c>
      <c r="AV668"/>
      <c r="AW668"/>
      <c r="FY668" s="211">
        <v>663</v>
      </c>
      <c r="FZ668">
        <v>17.603336605849154</v>
      </c>
      <c r="GA668">
        <v>60.632624521941999</v>
      </c>
      <c r="GB668">
        <v>81.556754306277853</v>
      </c>
      <c r="GC668">
        <v>50.276391781235091</v>
      </c>
      <c r="GD668">
        <v>18.750718616153293</v>
      </c>
      <c r="GE668">
        <v>44.914040781944962</v>
      </c>
      <c r="GF668">
        <v>106.17198589014207</v>
      </c>
      <c r="GG668">
        <v>53.549473187708607</v>
      </c>
      <c r="GH668">
        <v>10.013104707529942</v>
      </c>
      <c r="GI668">
        <v>58.115323048109829</v>
      </c>
      <c r="GJ668"/>
      <c r="GK668"/>
      <c r="GL668"/>
      <c r="GM668"/>
    </row>
    <row r="669" spans="1:195" s="7" customFormat="1">
      <c r="A669" s="4"/>
      <c r="B669" s="4"/>
      <c r="C669" s="4"/>
      <c r="D669" s="4"/>
      <c r="E669" s="4"/>
      <c r="F669" s="4"/>
      <c r="G669" s="4"/>
      <c r="H669" s="4"/>
      <c r="I669" s="4"/>
      <c r="J669" s="4"/>
      <c r="K669" s="4"/>
      <c r="L669" s="4"/>
      <c r="M669" s="4"/>
      <c r="N669" s="28"/>
      <c r="O669" s="4"/>
      <c r="P669" s="4"/>
      <c r="Q669" s="4"/>
      <c r="R669" s="4"/>
      <c r="S669" s="4"/>
      <c r="T669" s="4"/>
      <c r="U669" s="4"/>
      <c r="V669" s="4"/>
      <c r="W669" s="4"/>
      <c r="X669" s="4"/>
      <c r="Y669" s="4"/>
      <c r="Z669" s="4"/>
      <c r="AA669" s="4"/>
      <c r="AB669" s="4"/>
      <c r="AC669" s="4"/>
      <c r="AD669" s="4"/>
      <c r="AE669" s="4"/>
      <c r="AF669" s="81"/>
      <c r="AG669" s="81"/>
      <c r="AH669" s="81"/>
      <c r="AI669" s="4"/>
      <c r="AJ669" s="81"/>
      <c r="AK669" s="81"/>
      <c r="AL669" s="81"/>
      <c r="AM669" s="43">
        <v>653</v>
      </c>
      <c r="AN669">
        <v>247.59070686470812</v>
      </c>
      <c r="AO669">
        <v>95.259034475292125</v>
      </c>
      <c r="AP669">
        <v>625.81398140329179</v>
      </c>
      <c r="AQ669">
        <v>489.18582002978229</v>
      </c>
      <c r="AR669">
        <v>86.482927664903741</v>
      </c>
      <c r="AS669">
        <v>684.04689691256249</v>
      </c>
      <c r="AT669">
        <v>47.158713035883899</v>
      </c>
      <c r="AU669">
        <v>60.506818568576087</v>
      </c>
      <c r="AV669"/>
      <c r="AW669"/>
      <c r="FY669" s="211">
        <v>664</v>
      </c>
      <c r="FZ669">
        <v>20.388768413618465</v>
      </c>
      <c r="GA669">
        <v>53.553393570360669</v>
      </c>
      <c r="GB669">
        <v>88.654897853758911</v>
      </c>
      <c r="GC669">
        <v>53.94768276387839</v>
      </c>
      <c r="GD669">
        <v>17.762594767668755</v>
      </c>
      <c r="GE669">
        <v>23.428955648726646</v>
      </c>
      <c r="GF669">
        <v>86.214720643502787</v>
      </c>
      <c r="GG669">
        <v>77.159467783526793</v>
      </c>
      <c r="GH669">
        <v>19.407096403719329</v>
      </c>
      <c r="GI669">
        <v>57.891117597715919</v>
      </c>
      <c r="GJ669"/>
      <c r="GK669"/>
      <c r="GL669"/>
      <c r="GM669"/>
    </row>
    <row r="670" spans="1:195" s="7" customFormat="1">
      <c r="A670" s="4"/>
      <c r="B670" s="4"/>
      <c r="C670" s="4"/>
      <c r="D670" s="4"/>
      <c r="E670" s="4"/>
      <c r="F670" s="4"/>
      <c r="G670" s="4"/>
      <c r="H670" s="4"/>
      <c r="I670" s="4"/>
      <c r="J670" s="4"/>
      <c r="K670" s="4"/>
      <c r="L670" s="4"/>
      <c r="M670" s="4"/>
      <c r="N670" s="28"/>
      <c r="O670" s="4"/>
      <c r="P670" s="4"/>
      <c r="Q670" s="4"/>
      <c r="R670" s="4"/>
      <c r="S670" s="4"/>
      <c r="T670" s="4"/>
      <c r="U670" s="4"/>
      <c r="V670" s="4"/>
      <c r="W670" s="4"/>
      <c r="X670" s="4"/>
      <c r="Y670" s="4"/>
      <c r="Z670" s="4"/>
      <c r="AA670" s="4"/>
      <c r="AB670" s="4"/>
      <c r="AC670" s="4"/>
      <c r="AD670" s="4"/>
      <c r="AE670" s="4"/>
      <c r="AF670" s="81"/>
      <c r="AG670" s="81"/>
      <c r="AH670" s="81"/>
      <c r="AI670" s="4"/>
      <c r="AJ670" s="81"/>
      <c r="AK670" s="81"/>
      <c r="AL670" s="81"/>
      <c r="AM670" s="43">
        <v>654</v>
      </c>
      <c r="AN670">
        <v>220.7176350833717</v>
      </c>
      <c r="AO670">
        <v>77.751142662465668</v>
      </c>
      <c r="AP670">
        <v>555.94397276866312</v>
      </c>
      <c r="AQ670">
        <v>417.42366820043793</v>
      </c>
      <c r="AR670">
        <v>69.085732866744436</v>
      </c>
      <c r="AS670">
        <v>592.79645469209765</v>
      </c>
      <c r="AT670">
        <v>39.198396516804003</v>
      </c>
      <c r="AU670">
        <v>72.207148998393052</v>
      </c>
      <c r="AV670"/>
      <c r="AW670"/>
      <c r="FY670" s="211">
        <v>665</v>
      </c>
      <c r="FZ670">
        <v>10.865745784286492</v>
      </c>
      <c r="GA670">
        <v>55.334823921039053</v>
      </c>
      <c r="GB670">
        <v>82.919918188104603</v>
      </c>
      <c r="GC670">
        <v>48.5835967532201</v>
      </c>
      <c r="GD670">
        <v>17.695543226997891</v>
      </c>
      <c r="GE670">
        <v>39.951914198390867</v>
      </c>
      <c r="GF670">
        <v>78.851434167368112</v>
      </c>
      <c r="GG670">
        <v>55.435274375709405</v>
      </c>
      <c r="GH670">
        <v>35.191852502517278</v>
      </c>
      <c r="GI670">
        <v>55.358989059990407</v>
      </c>
      <c r="GJ670"/>
      <c r="GK670"/>
      <c r="GL670"/>
      <c r="GM670"/>
    </row>
    <row r="671" spans="1:195" s="7" customFormat="1">
      <c r="A671" s="4"/>
      <c r="B671" s="4"/>
      <c r="C671" s="4"/>
      <c r="D671" s="4"/>
      <c r="E671" s="4"/>
      <c r="F671" s="4"/>
      <c r="G671" s="4"/>
      <c r="H671" s="4"/>
      <c r="I671" s="4"/>
      <c r="J671" s="4"/>
      <c r="K671" s="4"/>
      <c r="L671" s="4"/>
      <c r="M671" s="4"/>
      <c r="N671" s="28"/>
      <c r="O671" s="4"/>
      <c r="P671" s="4"/>
      <c r="Q671" s="4"/>
      <c r="R671" s="4"/>
      <c r="S671" s="4"/>
      <c r="T671" s="4"/>
      <c r="U671" s="4"/>
      <c r="V671" s="4"/>
      <c r="W671" s="4"/>
      <c r="X671" s="4"/>
      <c r="Y671" s="4"/>
      <c r="Z671" s="4"/>
      <c r="AA671" s="4"/>
      <c r="AB671" s="4"/>
      <c r="AC671" s="4"/>
      <c r="AD671" s="4"/>
      <c r="AE671" s="4"/>
      <c r="AF671" s="81"/>
      <c r="AG671" s="81"/>
      <c r="AH671" s="81"/>
      <c r="AI671" s="4"/>
      <c r="AJ671" s="81"/>
      <c r="AK671" s="81"/>
      <c r="AL671" s="81"/>
      <c r="AM671" s="43">
        <v>655</v>
      </c>
      <c r="AN671">
        <v>243.07447662271392</v>
      </c>
      <c r="AO671">
        <v>83.393243988779361</v>
      </c>
      <c r="AP671">
        <v>594.09161177803333</v>
      </c>
      <c r="AQ671">
        <v>438.9219134242706</v>
      </c>
      <c r="AR671">
        <v>74.752197836987364</v>
      </c>
      <c r="AS671">
        <v>618.40997114677998</v>
      </c>
      <c r="AT671">
        <v>40.30438613903393</v>
      </c>
      <c r="AU671">
        <v>105.22927442399597</v>
      </c>
      <c r="AV671"/>
      <c r="AW671"/>
      <c r="FY671" s="211">
        <v>666</v>
      </c>
      <c r="FZ671">
        <v>19.324008635394502</v>
      </c>
      <c r="GA671">
        <v>51.966621121371702</v>
      </c>
      <c r="GB671">
        <v>72.064925886240147</v>
      </c>
      <c r="GC671">
        <v>39.021604007504351</v>
      </c>
      <c r="GD671">
        <v>17.573652200965096</v>
      </c>
      <c r="GE671">
        <v>45.901558956221585</v>
      </c>
      <c r="GF671">
        <v>83.874818124923948</v>
      </c>
      <c r="GG671">
        <v>86.645905193368321</v>
      </c>
      <c r="GH671">
        <v>62.675634461413253</v>
      </c>
      <c r="GI671">
        <v>58.905191685262068</v>
      </c>
      <c r="GJ671"/>
      <c r="GK671"/>
      <c r="GL671"/>
      <c r="GM671"/>
    </row>
    <row r="672" spans="1:195" s="7" customFormat="1">
      <c r="A672" s="4"/>
      <c r="B672" s="4"/>
      <c r="C672" s="4"/>
      <c r="D672" s="4"/>
      <c r="E672" s="4"/>
      <c r="F672" s="4"/>
      <c r="G672" s="4"/>
      <c r="H672" s="4"/>
      <c r="I672" s="4"/>
      <c r="J672" s="4"/>
      <c r="K672" s="4"/>
      <c r="L672" s="4"/>
      <c r="M672" s="4"/>
      <c r="N672" s="28"/>
      <c r="O672" s="4"/>
      <c r="P672" s="4"/>
      <c r="Q672" s="4"/>
      <c r="R672" s="4"/>
      <c r="S672" s="4"/>
      <c r="T672" s="4"/>
      <c r="U672" s="4"/>
      <c r="V672" s="4"/>
      <c r="W672" s="4"/>
      <c r="X672" s="4"/>
      <c r="Y672" s="4"/>
      <c r="Z672" s="4"/>
      <c r="AA672" s="4"/>
      <c r="AB672" s="4"/>
      <c r="AC672" s="4"/>
      <c r="AD672" s="4"/>
      <c r="AE672" s="4"/>
      <c r="AF672" s="81"/>
      <c r="AG672" s="81"/>
      <c r="AH672" s="81"/>
      <c r="AI672" s="4"/>
      <c r="AJ672" s="81"/>
      <c r="AK672" s="81"/>
      <c r="AL672" s="81"/>
      <c r="AM672" s="43">
        <v>656</v>
      </c>
      <c r="AN672">
        <v>282.89946439623361</v>
      </c>
      <c r="AO672">
        <v>111.11175323213592</v>
      </c>
      <c r="AP672">
        <v>797.67426660132446</v>
      </c>
      <c r="AQ672">
        <v>581.15810749468596</v>
      </c>
      <c r="AR672">
        <v>100.57462378591723</v>
      </c>
      <c r="AS672">
        <v>832.22395152423746</v>
      </c>
      <c r="AT672">
        <v>55.354540028366735</v>
      </c>
      <c r="AU672">
        <v>119.13795259334461</v>
      </c>
      <c r="AV672"/>
      <c r="AW672"/>
      <c r="FY672" s="211">
        <v>667</v>
      </c>
      <c r="FZ672">
        <v>16.025861230792252</v>
      </c>
      <c r="GA672">
        <v>48.764595698832146</v>
      </c>
      <c r="GB672">
        <v>63.100799767571701</v>
      </c>
      <c r="GC672">
        <v>36.597487693496454</v>
      </c>
      <c r="GD672">
        <v>20.004349925149267</v>
      </c>
      <c r="GE672">
        <v>30.191125138508575</v>
      </c>
      <c r="GF672">
        <v>27.585995805701913</v>
      </c>
      <c r="GG672">
        <v>39.729942866240407</v>
      </c>
      <c r="GH672">
        <v>33.626628211708919</v>
      </c>
      <c r="GI672">
        <v>41.479923694296019</v>
      </c>
      <c r="GJ672"/>
      <c r="GK672"/>
      <c r="GL672"/>
      <c r="GM672"/>
    </row>
    <row r="673" spans="1:195" s="7" customFormat="1">
      <c r="A673" s="4"/>
      <c r="B673" s="4"/>
      <c r="C673" s="4"/>
      <c r="D673" s="4"/>
      <c r="E673" s="4"/>
      <c r="F673" s="4"/>
      <c r="G673" s="4"/>
      <c r="H673" s="4"/>
      <c r="I673" s="4"/>
      <c r="J673" s="4"/>
      <c r="K673" s="4"/>
      <c r="L673" s="4"/>
      <c r="M673" s="4"/>
      <c r="N673" s="28"/>
      <c r="O673" s="4"/>
      <c r="P673" s="4"/>
      <c r="Q673" s="4"/>
      <c r="R673" s="4"/>
      <c r="S673" s="4"/>
      <c r="T673" s="4"/>
      <c r="U673" s="4"/>
      <c r="V673" s="4"/>
      <c r="W673" s="4"/>
      <c r="X673" s="4"/>
      <c r="Y673" s="4"/>
      <c r="Z673" s="4"/>
      <c r="AA673" s="4"/>
      <c r="AB673" s="4"/>
      <c r="AC673" s="4"/>
      <c r="AD673" s="4"/>
      <c r="AE673" s="4"/>
      <c r="AF673" s="81"/>
      <c r="AG673" s="81"/>
      <c r="AH673" s="81"/>
      <c r="AI673" s="4"/>
      <c r="AJ673" s="81"/>
      <c r="AK673" s="81"/>
      <c r="AL673" s="81"/>
      <c r="AM673" s="43">
        <v>657</v>
      </c>
      <c r="AN673">
        <v>254.79335077277341</v>
      </c>
      <c r="AO673">
        <v>80.335161796388959</v>
      </c>
      <c r="AP673">
        <v>539.95015192976621</v>
      </c>
      <c r="AQ673">
        <v>423.40496660441102</v>
      </c>
      <c r="AR673">
        <v>70.525614731374546</v>
      </c>
      <c r="AS673">
        <v>612.41217418874112</v>
      </c>
      <c r="AT673">
        <v>38.189048794842194</v>
      </c>
      <c r="AU673">
        <v>55.793786593210115</v>
      </c>
      <c r="AV673"/>
      <c r="AW673"/>
      <c r="FY673" s="211">
        <v>668</v>
      </c>
      <c r="FZ673">
        <v>16.174759312026879</v>
      </c>
      <c r="GA673">
        <v>56.249639392198141</v>
      </c>
      <c r="GB673">
        <v>73.747766021540855</v>
      </c>
      <c r="GC673">
        <v>42.760654782452214</v>
      </c>
      <c r="GD673">
        <v>15.600807214410073</v>
      </c>
      <c r="GE673">
        <v>36.940400997540024</v>
      </c>
      <c r="GF673">
        <v>85.79954961389592</v>
      </c>
      <c r="GG673">
        <v>55.143636906746046</v>
      </c>
      <c r="GH673">
        <v>22.166144593486948</v>
      </c>
      <c r="GI673">
        <v>51.296413155935262</v>
      </c>
      <c r="GJ673"/>
      <c r="GK673"/>
      <c r="GL673"/>
      <c r="GM673"/>
    </row>
    <row r="674" spans="1:195" s="7" customFormat="1">
      <c r="A674" s="4"/>
      <c r="B674" s="4"/>
      <c r="C674" s="4"/>
      <c r="D674" s="4"/>
      <c r="E674" s="4"/>
      <c r="F674" s="4"/>
      <c r="G674" s="4"/>
      <c r="H674" s="4"/>
      <c r="I674" s="4"/>
      <c r="J674" s="4"/>
      <c r="K674" s="4"/>
      <c r="L674" s="4"/>
      <c r="M674" s="4"/>
      <c r="N674" s="28"/>
      <c r="O674" s="4"/>
      <c r="P674" s="4"/>
      <c r="Q674" s="4"/>
      <c r="R674" s="4"/>
      <c r="S674" s="4"/>
      <c r="T674" s="4"/>
      <c r="U674" s="4"/>
      <c r="V674" s="4"/>
      <c r="W674" s="4"/>
      <c r="X674" s="4"/>
      <c r="Y674" s="4"/>
      <c r="Z674" s="4"/>
      <c r="AA674" s="4"/>
      <c r="AB674" s="4"/>
      <c r="AC674" s="4"/>
      <c r="AD674" s="4"/>
      <c r="AE674" s="4"/>
      <c r="AF674" s="81"/>
      <c r="AG674" s="81"/>
      <c r="AH674" s="81"/>
      <c r="AI674" s="4"/>
      <c r="AJ674" s="81"/>
      <c r="AK674" s="81"/>
      <c r="AL674" s="81"/>
      <c r="AM674" s="43">
        <v>658</v>
      </c>
      <c r="AN674">
        <v>287.35780525050643</v>
      </c>
      <c r="AO674">
        <v>106.49741828431135</v>
      </c>
      <c r="AP674">
        <v>799.42263001338279</v>
      </c>
      <c r="AQ674">
        <v>604.72875954964115</v>
      </c>
      <c r="AR674">
        <v>93.508039154601775</v>
      </c>
      <c r="AS674">
        <v>785.06035560885562</v>
      </c>
      <c r="AT674">
        <v>53.722262710069543</v>
      </c>
      <c r="AU674">
        <v>160.74947518407049</v>
      </c>
      <c r="AV674"/>
      <c r="AW674"/>
      <c r="FY674" s="211">
        <v>669</v>
      </c>
      <c r="FZ674">
        <v>17.189245180668884</v>
      </c>
      <c r="GA674">
        <v>59.75706191018547</v>
      </c>
      <c r="GB674">
        <v>111.73519921611232</v>
      </c>
      <c r="GC674">
        <v>61.77975122553412</v>
      </c>
      <c r="GD674">
        <v>21.542675988168337</v>
      </c>
      <c r="GE674">
        <v>57.609596079276933</v>
      </c>
      <c r="GF674">
        <v>93.026828834754909</v>
      </c>
      <c r="GG674">
        <v>40.068007376180987</v>
      </c>
      <c r="GH674">
        <v>6.7471922837437157</v>
      </c>
      <c r="GI674">
        <v>63.583472282608142</v>
      </c>
      <c r="GJ674"/>
      <c r="GK674"/>
      <c r="GL674"/>
      <c r="GM674"/>
    </row>
    <row r="675" spans="1:195" s="7" customFormat="1">
      <c r="A675" s="4"/>
      <c r="B675" s="4"/>
      <c r="C675" s="4"/>
      <c r="D675" s="4"/>
      <c r="E675" s="4"/>
      <c r="F675" s="4"/>
      <c r="G675" s="4"/>
      <c r="H675" s="4"/>
      <c r="I675" s="4"/>
      <c r="J675" s="4"/>
      <c r="K675" s="4"/>
      <c r="L675" s="4"/>
      <c r="M675" s="4"/>
      <c r="N675" s="28"/>
      <c r="O675" s="4"/>
      <c r="P675" s="4"/>
      <c r="Q675" s="4"/>
      <c r="R675" s="4"/>
      <c r="S675" s="4"/>
      <c r="T675" s="4"/>
      <c r="U675" s="4"/>
      <c r="V675" s="4"/>
      <c r="W675" s="4"/>
      <c r="X675" s="4"/>
      <c r="Y675" s="4"/>
      <c r="Z675" s="4"/>
      <c r="AA675" s="4"/>
      <c r="AB675" s="4"/>
      <c r="AC675" s="4"/>
      <c r="AD675" s="4"/>
      <c r="AE675" s="4"/>
      <c r="AF675" s="81"/>
      <c r="AG675" s="81"/>
      <c r="AH675" s="81"/>
      <c r="AI675" s="4"/>
      <c r="AJ675" s="81"/>
      <c r="AK675" s="81"/>
      <c r="AL675" s="81"/>
      <c r="AM675" s="43">
        <v>659</v>
      </c>
      <c r="AN675">
        <v>199.5400400945382</v>
      </c>
      <c r="AO675">
        <v>63.922335739941659</v>
      </c>
      <c r="AP675">
        <v>448.48876667457444</v>
      </c>
      <c r="AQ675">
        <v>338.70624256069101</v>
      </c>
      <c r="AR675">
        <v>56.518554434879384</v>
      </c>
      <c r="AS675">
        <v>495.25650029705014</v>
      </c>
      <c r="AT675">
        <v>30.101198019098494</v>
      </c>
      <c r="AU675">
        <v>54.101505890758993</v>
      </c>
      <c r="AV675"/>
      <c r="AW675"/>
      <c r="FY675" s="211">
        <v>670</v>
      </c>
      <c r="FZ675">
        <v>19.747130741052874</v>
      </c>
      <c r="GA675">
        <v>61.140521276449419</v>
      </c>
      <c r="GB675">
        <v>77.602993352848998</v>
      </c>
      <c r="GC675">
        <v>45.000632219735493</v>
      </c>
      <c r="GD675">
        <v>20.131232643477013</v>
      </c>
      <c r="GE675">
        <v>37.947571559888161</v>
      </c>
      <c r="GF675">
        <v>61.566209135574908</v>
      </c>
      <c r="GG675">
        <v>74.004139171456202</v>
      </c>
      <c r="GH675">
        <v>62.962586359626528</v>
      </c>
      <c r="GI675">
        <v>58.036321695243245</v>
      </c>
      <c r="GJ675"/>
      <c r="GK675"/>
      <c r="GL675"/>
      <c r="GM675"/>
    </row>
    <row r="676" spans="1:195" s="7" customFormat="1">
      <c r="A676" s="4"/>
      <c r="B676" s="4"/>
      <c r="C676" s="4"/>
      <c r="D676" s="4"/>
      <c r="E676" s="4"/>
      <c r="F676" s="4"/>
      <c r="G676" s="4"/>
      <c r="H676" s="4"/>
      <c r="I676" s="4"/>
      <c r="J676" s="4"/>
      <c r="K676" s="4"/>
      <c r="L676" s="4"/>
      <c r="M676" s="4"/>
      <c r="N676" s="28"/>
      <c r="O676" s="4"/>
      <c r="P676" s="4"/>
      <c r="Q676" s="4"/>
      <c r="R676" s="4"/>
      <c r="S676" s="4"/>
      <c r="T676" s="4"/>
      <c r="U676" s="4"/>
      <c r="V676" s="4"/>
      <c r="W676" s="4"/>
      <c r="X676" s="4"/>
      <c r="Y676" s="4"/>
      <c r="Z676" s="4"/>
      <c r="AA676" s="4"/>
      <c r="AB676" s="4"/>
      <c r="AC676" s="4"/>
      <c r="AD676" s="4"/>
      <c r="AE676" s="4"/>
      <c r="AF676" s="81"/>
      <c r="AG676" s="81"/>
      <c r="AH676" s="81"/>
      <c r="AI676" s="4"/>
      <c r="AJ676" s="81"/>
      <c r="AK676" s="81"/>
      <c r="AL676" s="81"/>
      <c r="AM676" s="43">
        <v>660</v>
      </c>
      <c r="AN676">
        <v>209.2520236372838</v>
      </c>
      <c r="AO676">
        <v>79.995663006314402</v>
      </c>
      <c r="AP676">
        <v>577.7844322921145</v>
      </c>
      <c r="AQ676">
        <v>439.04785787681516</v>
      </c>
      <c r="AR676">
        <v>71.554744314076103</v>
      </c>
      <c r="AS676">
        <v>526.81099232416182</v>
      </c>
      <c r="AT676">
        <v>37.690841759475745</v>
      </c>
      <c r="AU676">
        <v>82.61581389762847</v>
      </c>
      <c r="AV676"/>
      <c r="AW676"/>
      <c r="FY676" s="211">
        <v>671</v>
      </c>
      <c r="FZ676">
        <v>27.578645712067761</v>
      </c>
      <c r="GA676">
        <v>61.904968621899194</v>
      </c>
      <c r="GB676">
        <v>63.733200532034729</v>
      </c>
      <c r="GC676">
        <v>37.376424915232775</v>
      </c>
      <c r="GD676">
        <v>18.962666840673954</v>
      </c>
      <c r="GE676">
        <v>39.583809005662118</v>
      </c>
      <c r="GF676">
        <v>113.22271260382655</v>
      </c>
      <c r="GG676">
        <v>103.43185588328932</v>
      </c>
      <c r="GH676">
        <v>39.010865268591786</v>
      </c>
      <c r="GI676">
        <v>61.464232038140551</v>
      </c>
      <c r="GJ676"/>
      <c r="GK676"/>
      <c r="GL676"/>
      <c r="GM676"/>
    </row>
    <row r="677" spans="1:195" s="7" customFormat="1">
      <c r="A677" s="4"/>
      <c r="B677" s="4"/>
      <c r="C677" s="4"/>
      <c r="D677" s="4"/>
      <c r="E677" s="4"/>
      <c r="F677" s="4"/>
      <c r="G677" s="4"/>
      <c r="H677" s="4"/>
      <c r="I677" s="4"/>
      <c r="J677" s="4"/>
      <c r="K677" s="4"/>
      <c r="L677" s="4"/>
      <c r="M677" s="4"/>
      <c r="N677" s="28"/>
      <c r="O677" s="4"/>
      <c r="P677" s="4"/>
      <c r="Q677" s="4"/>
      <c r="R677" s="4"/>
      <c r="S677" s="4"/>
      <c r="T677" s="4"/>
      <c r="U677" s="4"/>
      <c r="V677" s="4"/>
      <c r="W677" s="4"/>
      <c r="X677" s="4"/>
      <c r="Y677" s="4"/>
      <c r="Z677" s="4"/>
      <c r="AA677" s="4"/>
      <c r="AB677" s="4"/>
      <c r="AC677" s="4"/>
      <c r="AD677" s="4"/>
      <c r="AE677" s="4"/>
      <c r="AF677" s="81"/>
      <c r="AG677" s="81"/>
      <c r="AH677" s="81"/>
      <c r="AI677" s="4"/>
      <c r="AJ677" s="81"/>
      <c r="AK677" s="81"/>
      <c r="AL677" s="81"/>
      <c r="AM677" s="43">
        <v>661</v>
      </c>
      <c r="AN677">
        <v>279.9805841542377</v>
      </c>
      <c r="AO677">
        <v>82.248285413422352</v>
      </c>
      <c r="AP677">
        <v>594.57612295966021</v>
      </c>
      <c r="AQ677">
        <v>437.00339497638549</v>
      </c>
      <c r="AR677">
        <v>74.394578820845055</v>
      </c>
      <c r="AS677">
        <v>665.96972326524929</v>
      </c>
      <c r="AT677">
        <v>40.077352877781287</v>
      </c>
      <c r="AU677">
        <v>60.354623173389214</v>
      </c>
      <c r="AV677"/>
      <c r="AW677"/>
      <c r="FY677" s="211">
        <v>672</v>
      </c>
      <c r="FZ677">
        <v>32.044712862278431</v>
      </c>
      <c r="GA677">
        <v>66.128271194797804</v>
      </c>
      <c r="GB677">
        <v>59.206200294628069</v>
      </c>
      <c r="GC677">
        <v>36.70585287509148</v>
      </c>
      <c r="GD677">
        <v>16.329691107280787</v>
      </c>
      <c r="GE677">
        <v>50.492505448792713</v>
      </c>
      <c r="GF677">
        <v>76.564251273234134</v>
      </c>
      <c r="GG677">
        <v>21.471398446094881</v>
      </c>
      <c r="GH677">
        <v>10.272038163112024</v>
      </c>
      <c r="GI677">
        <v>46.256897968247998</v>
      </c>
      <c r="GJ677"/>
      <c r="GK677"/>
      <c r="GL677"/>
      <c r="GM677"/>
    </row>
    <row r="678" spans="1:195" s="7" customFormat="1">
      <c r="A678" s="4"/>
      <c r="B678" s="4"/>
      <c r="C678" s="4"/>
      <c r="D678" s="4"/>
      <c r="E678" s="4"/>
      <c r="F678" s="4"/>
      <c r="G678" s="4"/>
      <c r="H678" s="4"/>
      <c r="I678" s="4"/>
      <c r="J678" s="4"/>
      <c r="K678" s="4"/>
      <c r="L678" s="4"/>
      <c r="M678" s="4"/>
      <c r="N678" s="28"/>
      <c r="O678" s="4"/>
      <c r="P678" s="4"/>
      <c r="Q678" s="4"/>
      <c r="R678" s="4"/>
      <c r="S678" s="4"/>
      <c r="T678" s="4"/>
      <c r="U678" s="4"/>
      <c r="V678" s="4"/>
      <c r="W678" s="4"/>
      <c r="X678" s="4"/>
      <c r="Y678" s="4"/>
      <c r="Z678" s="4"/>
      <c r="AA678" s="4"/>
      <c r="AB678" s="4"/>
      <c r="AC678" s="4"/>
      <c r="AD678" s="4"/>
      <c r="AE678" s="4"/>
      <c r="AF678" s="81"/>
      <c r="AG678" s="81"/>
      <c r="AH678" s="81"/>
      <c r="AI678" s="4"/>
      <c r="AJ678" s="81"/>
      <c r="AK678" s="81"/>
      <c r="AL678" s="81"/>
      <c r="AM678" s="43">
        <v>662</v>
      </c>
      <c r="AN678">
        <v>196.10933882443723</v>
      </c>
      <c r="AO678">
        <v>65.807334562289014</v>
      </c>
      <c r="AP678">
        <v>494.56591740060259</v>
      </c>
      <c r="AQ678">
        <v>373.24650153677464</v>
      </c>
      <c r="AR678">
        <v>60.338050355276131</v>
      </c>
      <c r="AS678">
        <v>496.48330178480177</v>
      </c>
      <c r="AT678">
        <v>31.412238313436465</v>
      </c>
      <c r="AU678">
        <v>36.17627952416106</v>
      </c>
      <c r="AV678"/>
      <c r="AW678"/>
      <c r="FY678" s="211">
        <v>673</v>
      </c>
      <c r="FZ678">
        <v>25.765870534382721</v>
      </c>
      <c r="GA678">
        <v>59.758287195464689</v>
      </c>
      <c r="GB678">
        <v>54.014472671305931</v>
      </c>
      <c r="GC678">
        <v>28.947344059570561</v>
      </c>
      <c r="GD678">
        <v>11.759353260391471</v>
      </c>
      <c r="GE678">
        <v>32.645997498668208</v>
      </c>
      <c r="GF678">
        <v>78.054468666264</v>
      </c>
      <c r="GG678">
        <v>53.547418411898079</v>
      </c>
      <c r="GH678">
        <v>21.266617771452268</v>
      </c>
      <c r="GI678">
        <v>43.553652854278795</v>
      </c>
      <c r="GJ678"/>
      <c r="GK678"/>
      <c r="GL678"/>
      <c r="GM678"/>
    </row>
    <row r="679" spans="1:195" s="7" customFormat="1">
      <c r="A679" s="4"/>
      <c r="B679" s="4"/>
      <c r="C679" s="4"/>
      <c r="D679" s="4"/>
      <c r="E679" s="4"/>
      <c r="F679" s="4"/>
      <c r="G679" s="4"/>
      <c r="H679" s="4"/>
      <c r="I679" s="4"/>
      <c r="J679" s="4"/>
      <c r="K679" s="4"/>
      <c r="L679" s="4"/>
      <c r="M679" s="4"/>
      <c r="N679" s="28"/>
      <c r="O679" s="4"/>
      <c r="P679" s="4"/>
      <c r="Q679" s="4"/>
      <c r="R679" s="4"/>
      <c r="S679" s="4"/>
      <c r="T679" s="4"/>
      <c r="U679" s="4"/>
      <c r="V679" s="4"/>
      <c r="W679" s="4"/>
      <c r="X679" s="4"/>
      <c r="Y679" s="4"/>
      <c r="Z679" s="4"/>
      <c r="AA679" s="4"/>
      <c r="AB679" s="4"/>
      <c r="AC679" s="4"/>
      <c r="AD679" s="4"/>
      <c r="AE679" s="4"/>
      <c r="AF679" s="81"/>
      <c r="AG679" s="81"/>
      <c r="AH679" s="81"/>
      <c r="AI679" s="4"/>
      <c r="AJ679" s="81"/>
      <c r="AK679" s="81"/>
      <c r="AL679" s="81"/>
      <c r="AM679" s="43">
        <v>663</v>
      </c>
      <c r="AN679">
        <v>284.11271850787136</v>
      </c>
      <c r="AO679">
        <v>92.225827504277873</v>
      </c>
      <c r="AP679">
        <v>688.98117868177928</v>
      </c>
      <c r="AQ679">
        <v>501.58375344689273</v>
      </c>
      <c r="AR679">
        <v>82.313096057620726</v>
      </c>
      <c r="AS679">
        <v>729.94071411134394</v>
      </c>
      <c r="AT679">
        <v>44.813811003754005</v>
      </c>
      <c r="AU679">
        <v>66.978527407563718</v>
      </c>
      <c r="AV679"/>
      <c r="AW679"/>
      <c r="FY679" s="211">
        <v>674</v>
      </c>
      <c r="FZ679">
        <v>24.105824848012041</v>
      </c>
      <c r="GA679">
        <v>60.125753870845244</v>
      </c>
      <c r="GB679">
        <v>54.741458750840266</v>
      </c>
      <c r="GC679">
        <v>25.73973808534252</v>
      </c>
      <c r="GD679">
        <v>16.745647690682375</v>
      </c>
      <c r="GE679">
        <v>60.622286103817672</v>
      </c>
      <c r="GF679">
        <v>131.20886345411358</v>
      </c>
      <c r="GG679">
        <v>74.295418825783202</v>
      </c>
      <c r="GH679">
        <v>8.0066423232445096</v>
      </c>
      <c r="GI679">
        <v>55.893951633923905</v>
      </c>
      <c r="GJ679"/>
      <c r="GK679"/>
      <c r="GL679"/>
      <c r="GM679"/>
    </row>
    <row r="680" spans="1:195" s="7" customFormat="1">
      <c r="A680" s="4"/>
      <c r="B680" s="4"/>
      <c r="C680" s="105"/>
      <c r="D680" s="4"/>
      <c r="E680" s="4"/>
      <c r="F680" s="4"/>
      <c r="G680" s="4"/>
      <c r="H680" s="4"/>
      <c r="I680" s="4"/>
      <c r="J680" s="4"/>
      <c r="K680" s="4"/>
      <c r="L680" s="4"/>
      <c r="M680" s="4"/>
      <c r="N680" s="28"/>
      <c r="O680" s="4"/>
      <c r="P680" s="4"/>
      <c r="Q680" s="4"/>
      <c r="R680" s="4"/>
      <c r="S680" s="4"/>
      <c r="T680" s="4"/>
      <c r="U680" s="4"/>
      <c r="V680" s="4"/>
      <c r="W680" s="4"/>
      <c r="X680" s="4"/>
      <c r="Y680" s="4"/>
      <c r="Z680" s="4"/>
      <c r="AA680" s="4"/>
      <c r="AB680" s="4"/>
      <c r="AC680" s="4"/>
      <c r="AD680" s="4"/>
      <c r="AE680" s="4"/>
      <c r="AF680" s="81"/>
      <c r="AG680" s="81"/>
      <c r="AH680" s="81"/>
      <c r="AI680" s="4"/>
      <c r="AJ680" s="81"/>
      <c r="AK680" s="81"/>
      <c r="AL680" s="81"/>
      <c r="AM680" s="43">
        <v>664</v>
      </c>
      <c r="AN680">
        <v>247.17988906846858</v>
      </c>
      <c r="AO680">
        <v>93.25311198573209</v>
      </c>
      <c r="AP680">
        <v>716.75723616737992</v>
      </c>
      <c r="AQ680">
        <v>498.40869544647671</v>
      </c>
      <c r="AR680">
        <v>85.530776734757652</v>
      </c>
      <c r="AS680">
        <v>663.96437757688568</v>
      </c>
      <c r="AT680">
        <v>46.534715807482208</v>
      </c>
      <c r="AU680">
        <v>4.8740485849361468</v>
      </c>
      <c r="AV680"/>
      <c r="AW680"/>
      <c r="FY680" s="211">
        <v>675</v>
      </c>
      <c r="FZ680">
        <v>12.865478813703687</v>
      </c>
      <c r="GA680">
        <v>60.414283656976096</v>
      </c>
      <c r="GB680">
        <v>71.953875796231145</v>
      </c>
      <c r="GC680">
        <v>37.966899604450944</v>
      </c>
      <c r="GD680">
        <v>14.807919410986042</v>
      </c>
      <c r="GE680">
        <v>26.457319633805255</v>
      </c>
      <c r="GF680">
        <v>59.170215318362885</v>
      </c>
      <c r="GG680">
        <v>58.960142349323888</v>
      </c>
      <c r="GH680">
        <v>38.949185175861082</v>
      </c>
      <c r="GI680">
        <v>48.173244214593225</v>
      </c>
      <c r="GJ680"/>
      <c r="GK680"/>
      <c r="GL680"/>
      <c r="GM680"/>
    </row>
    <row r="681" spans="1:195" s="7" customFormat="1">
      <c r="A681" s="4"/>
      <c r="B681" s="4"/>
      <c r="C681" s="105"/>
      <c r="D681" s="4"/>
      <c r="E681" s="4"/>
      <c r="F681" s="4"/>
      <c r="G681" s="4"/>
      <c r="H681" s="4"/>
      <c r="I681" s="4"/>
      <c r="J681" s="4"/>
      <c r="K681" s="4"/>
      <c r="L681" s="4"/>
      <c r="M681" s="4"/>
      <c r="N681" s="28"/>
      <c r="O681" s="4"/>
      <c r="P681" s="4"/>
      <c r="Q681" s="4"/>
      <c r="R681" s="4"/>
      <c r="S681" s="4"/>
      <c r="T681" s="4"/>
      <c r="U681" s="4"/>
      <c r="V681" s="4"/>
      <c r="W681" s="4"/>
      <c r="X681" s="4"/>
      <c r="Y681" s="4"/>
      <c r="Z681" s="4"/>
      <c r="AA681" s="4"/>
      <c r="AB681" s="4"/>
      <c r="AC681" s="4"/>
      <c r="AD681" s="4"/>
      <c r="AE681" s="4"/>
      <c r="AF681" s="81"/>
      <c r="AG681" s="81"/>
      <c r="AH681" s="81"/>
      <c r="AI681" s="4"/>
      <c r="AJ681" s="81"/>
      <c r="AK681" s="81"/>
      <c r="AL681" s="81"/>
      <c r="AM681" s="43">
        <v>665</v>
      </c>
      <c r="AN681">
        <v>266.65800026447783</v>
      </c>
      <c r="AO681">
        <v>87.385664338058518</v>
      </c>
      <c r="AP681">
        <v>650.96302331481877</v>
      </c>
      <c r="AQ681">
        <v>480.18909217762422</v>
      </c>
      <c r="AR681">
        <v>78.301710639619131</v>
      </c>
      <c r="AS681">
        <v>626.053445242571</v>
      </c>
      <c r="AT681">
        <v>42.506346376847695</v>
      </c>
      <c r="AU681">
        <v>124.1833071361326</v>
      </c>
      <c r="AV681"/>
      <c r="AW681"/>
      <c r="FY681" s="211">
        <v>676</v>
      </c>
      <c r="FZ681">
        <v>11.686367385919704</v>
      </c>
      <c r="GA681">
        <v>43.242437598300228</v>
      </c>
      <c r="GB681">
        <v>91.177853071751017</v>
      </c>
      <c r="GC681">
        <v>50.838218626615571</v>
      </c>
      <c r="GD681">
        <v>13.580488965824518</v>
      </c>
      <c r="GE681">
        <v>36.080339031791489</v>
      </c>
      <c r="GF681">
        <v>82.888195273674242</v>
      </c>
      <c r="GG681">
        <v>46.472289092635414</v>
      </c>
      <c r="GH681">
        <v>9.166683693190814</v>
      </c>
      <c r="GI681">
        <v>51.991823556635936</v>
      </c>
      <c r="GJ681"/>
      <c r="GK681"/>
      <c r="GL681"/>
      <c r="GM681"/>
    </row>
    <row r="682" spans="1:195" s="7" customFormat="1">
      <c r="A682" s="4"/>
      <c r="B682" s="4"/>
      <c r="C682" s="105"/>
      <c r="D682" s="4"/>
      <c r="E682" s="4"/>
      <c r="F682" s="4"/>
      <c r="G682" s="4"/>
      <c r="H682" s="4"/>
      <c r="I682" s="4"/>
      <c r="J682" s="4"/>
      <c r="K682" s="4"/>
      <c r="L682" s="4"/>
      <c r="M682" s="4"/>
      <c r="N682" s="28"/>
      <c r="O682" s="4"/>
      <c r="P682" s="4"/>
      <c r="Q682" s="4"/>
      <c r="R682" s="4"/>
      <c r="S682" s="4"/>
      <c r="T682" s="4"/>
      <c r="U682" s="4"/>
      <c r="V682" s="4"/>
      <c r="W682" s="4"/>
      <c r="X682" s="4"/>
      <c r="Y682" s="4"/>
      <c r="Z682" s="4"/>
      <c r="AA682" s="4"/>
      <c r="AB682" s="4"/>
      <c r="AC682" s="4"/>
      <c r="AD682" s="4"/>
      <c r="AE682" s="4"/>
      <c r="AF682" s="81"/>
      <c r="AG682" s="81"/>
      <c r="AH682" s="81"/>
      <c r="AI682" s="4"/>
      <c r="AJ682" s="81"/>
      <c r="AK682" s="81"/>
      <c r="AL682" s="81"/>
      <c r="AM682" s="43">
        <v>666</v>
      </c>
      <c r="AN682">
        <v>247.43251601292545</v>
      </c>
      <c r="AO682">
        <v>93.270212907303318</v>
      </c>
      <c r="AP682">
        <v>722.42413778198193</v>
      </c>
      <c r="AQ682">
        <v>537.95392027266496</v>
      </c>
      <c r="AR682">
        <v>84.504627753028203</v>
      </c>
      <c r="AS682">
        <v>663.03937167786796</v>
      </c>
      <c r="AT682">
        <v>44.951163992616763</v>
      </c>
      <c r="AU682">
        <v>41.386817131111144</v>
      </c>
      <c r="AV682"/>
      <c r="AW682"/>
      <c r="FY682" s="211">
        <v>677</v>
      </c>
      <c r="FZ682">
        <v>28.758997158636209</v>
      </c>
      <c r="GA682">
        <v>60.90086037314294</v>
      </c>
      <c r="GB682">
        <v>54.064249214246921</v>
      </c>
      <c r="GC682">
        <v>33.36925073407599</v>
      </c>
      <c r="GD682">
        <v>19.750610970743612</v>
      </c>
      <c r="GE682">
        <v>51.603670283180598</v>
      </c>
      <c r="GF682">
        <v>92.72376606665668</v>
      </c>
      <c r="GG682">
        <v>50.200276874381082</v>
      </c>
      <c r="GH682">
        <v>15.653839865327242</v>
      </c>
      <c r="GI682">
        <v>52.59654080138133</v>
      </c>
      <c r="GJ682"/>
      <c r="GK682"/>
      <c r="GL682"/>
      <c r="GM682"/>
    </row>
    <row r="683" spans="1:195" s="7" customFormat="1">
      <c r="A683" s="4"/>
      <c r="B683" s="4"/>
      <c r="C683" s="105"/>
      <c r="D683" s="4"/>
      <c r="E683" s="4"/>
      <c r="F683" s="4"/>
      <c r="G683" s="4"/>
      <c r="H683" s="4"/>
      <c r="I683" s="4"/>
      <c r="J683" s="4"/>
      <c r="K683" s="4"/>
      <c r="L683" s="4"/>
      <c r="M683" s="4"/>
      <c r="N683" s="28"/>
      <c r="O683" s="4"/>
      <c r="P683" s="4"/>
      <c r="Q683" s="4"/>
      <c r="R683" s="4"/>
      <c r="S683" s="4"/>
      <c r="T683" s="4"/>
      <c r="U683" s="4"/>
      <c r="V683" s="4"/>
      <c r="W683" s="4"/>
      <c r="X683" s="4"/>
      <c r="Y683" s="4"/>
      <c r="Z683" s="4"/>
      <c r="AA683" s="4"/>
      <c r="AB683" s="4"/>
      <c r="AC683" s="4"/>
      <c r="AD683" s="4"/>
      <c r="AE683" s="4"/>
      <c r="AF683" s="81"/>
      <c r="AG683" s="81"/>
      <c r="AH683" s="81"/>
      <c r="AI683" s="4"/>
      <c r="AJ683" s="81"/>
      <c r="AK683" s="81"/>
      <c r="AL683" s="81"/>
      <c r="AM683" s="43">
        <v>667</v>
      </c>
      <c r="AN683">
        <v>223.68352059684025</v>
      </c>
      <c r="AO683">
        <v>64.643368157666018</v>
      </c>
      <c r="AP683">
        <v>449.73459877605723</v>
      </c>
      <c r="AQ683">
        <v>357.10671003229766</v>
      </c>
      <c r="AR683">
        <v>59.434008677220412</v>
      </c>
      <c r="AS683">
        <v>543.84545093020063</v>
      </c>
      <c r="AT683">
        <v>32.051869710056536</v>
      </c>
      <c r="AU683">
        <v>77.966760291804079</v>
      </c>
      <c r="AV683"/>
      <c r="AW683"/>
      <c r="FY683" s="211">
        <v>678</v>
      </c>
      <c r="FZ683">
        <v>21.065837689241697</v>
      </c>
      <c r="GA683">
        <v>67.188993439496983</v>
      </c>
      <c r="GB683">
        <v>81.161363059830364</v>
      </c>
      <c r="GC683">
        <v>47.900562900611867</v>
      </c>
      <c r="GD683">
        <v>24.102138432230255</v>
      </c>
      <c r="GE683">
        <v>40.97978262073854</v>
      </c>
      <c r="GF683">
        <v>70.133899637200983</v>
      </c>
      <c r="GG683">
        <v>40.149086935674269</v>
      </c>
      <c r="GH683">
        <v>1.7228784443269651</v>
      </c>
      <c r="GI683">
        <v>53.008390638270043</v>
      </c>
      <c r="GJ683"/>
      <c r="GK683"/>
      <c r="GL683"/>
      <c r="GM683"/>
    </row>
    <row r="684" spans="1:195" s="7" customFormat="1">
      <c r="A684" s="4"/>
      <c r="B684" s="4"/>
      <c r="C684" s="105"/>
      <c r="D684" s="4"/>
      <c r="E684" s="4"/>
      <c r="F684" s="28"/>
      <c r="G684" s="28"/>
      <c r="H684" s="83"/>
      <c r="I684" s="4"/>
      <c r="J684" s="4"/>
      <c r="K684" s="4"/>
      <c r="L684" s="4"/>
      <c r="M684" s="4"/>
      <c r="N684" s="28"/>
      <c r="O684" s="4"/>
      <c r="P684" s="4"/>
      <c r="Q684" s="4"/>
      <c r="R684" s="4"/>
      <c r="S684" s="4"/>
      <c r="T684" s="4"/>
      <c r="U684" s="4"/>
      <c r="V684" s="4"/>
      <c r="W684" s="4"/>
      <c r="X684" s="4"/>
      <c r="Y684" s="4"/>
      <c r="Z684" s="4"/>
      <c r="AA684" s="4"/>
      <c r="AB684" s="4"/>
      <c r="AC684" s="4"/>
      <c r="AD684" s="4"/>
      <c r="AE684" s="4"/>
      <c r="AF684" s="81"/>
      <c r="AG684" s="81"/>
      <c r="AH684" s="81"/>
      <c r="AI684" s="4"/>
      <c r="AJ684" s="81"/>
      <c r="AK684" s="81"/>
      <c r="AL684" s="81"/>
      <c r="AM684" s="43">
        <v>668</v>
      </c>
      <c r="AN684">
        <v>271.88530182509749</v>
      </c>
      <c r="AO684">
        <v>80.561858590951331</v>
      </c>
      <c r="AP684">
        <v>614.49331143703466</v>
      </c>
      <c r="AQ684">
        <v>455.87977199023237</v>
      </c>
      <c r="AR684">
        <v>72.458004700692072</v>
      </c>
      <c r="AS684">
        <v>630.71137026643123</v>
      </c>
      <c r="AT684">
        <v>38.652371192488822</v>
      </c>
      <c r="AU684">
        <v>64.373714215476525</v>
      </c>
      <c r="AV684"/>
      <c r="AW684"/>
      <c r="FY684" s="211">
        <v>679</v>
      </c>
      <c r="FZ684">
        <v>15.766361133764136</v>
      </c>
      <c r="GA684">
        <v>46.913280987853838</v>
      </c>
      <c r="GB684">
        <v>56.410033759304234</v>
      </c>
      <c r="GC684">
        <v>37.309546159717392</v>
      </c>
      <c r="GD684">
        <v>32.839888057175266</v>
      </c>
      <c r="GE684">
        <v>89.019007377421161</v>
      </c>
      <c r="GF684">
        <v>117.53032655280941</v>
      </c>
      <c r="GG684">
        <v>52.670616511573463</v>
      </c>
      <c r="GH684">
        <v>18.566615752000814</v>
      </c>
      <c r="GI684">
        <v>64.695226488934409</v>
      </c>
      <c r="GJ684"/>
      <c r="GK684"/>
      <c r="GL684"/>
      <c r="GM684"/>
    </row>
    <row r="685" spans="1:195" s="7" customFormat="1">
      <c r="A685" s="4"/>
      <c r="B685" s="4"/>
      <c r="C685" s="105"/>
      <c r="D685" s="4"/>
      <c r="E685" s="4"/>
      <c r="F685" s="28"/>
      <c r="G685" s="28"/>
      <c r="H685" s="83"/>
      <c r="I685" s="4"/>
      <c r="J685" s="4"/>
      <c r="K685" s="4"/>
      <c r="L685" s="4"/>
      <c r="M685" s="4"/>
      <c r="N685" s="28"/>
      <c r="O685" s="4"/>
      <c r="P685" s="4"/>
      <c r="Q685" s="4"/>
      <c r="R685" s="4"/>
      <c r="S685" s="4"/>
      <c r="T685" s="4"/>
      <c r="U685" s="4"/>
      <c r="V685" s="4"/>
      <c r="W685" s="4"/>
      <c r="X685" s="4"/>
      <c r="Y685" s="4"/>
      <c r="Z685" s="4"/>
      <c r="AA685" s="4"/>
      <c r="AB685" s="4"/>
      <c r="AC685" s="4"/>
      <c r="AD685" s="4"/>
      <c r="AE685" s="4"/>
      <c r="AF685" s="81"/>
      <c r="AG685" s="81"/>
      <c r="AH685" s="81"/>
      <c r="AI685" s="4"/>
      <c r="AJ685" s="81"/>
      <c r="AK685" s="81"/>
      <c r="AL685" s="81"/>
      <c r="AM685" s="43">
        <v>669</v>
      </c>
      <c r="AN685">
        <v>313.89436882703166</v>
      </c>
      <c r="AO685">
        <v>99.498414540333712</v>
      </c>
      <c r="AP685">
        <v>707.31059876819245</v>
      </c>
      <c r="AQ685">
        <v>533.03903037723376</v>
      </c>
      <c r="AR685">
        <v>89.33838211976618</v>
      </c>
      <c r="AS685">
        <v>760.82003793667207</v>
      </c>
      <c r="AT685">
        <v>49.645389263945816</v>
      </c>
      <c r="AU685">
        <v>65.951576095635488</v>
      </c>
      <c r="AV685"/>
      <c r="AW685"/>
      <c r="FY685" s="211">
        <v>680</v>
      </c>
      <c r="FZ685">
        <v>10.591060416584988</v>
      </c>
      <c r="GA685">
        <v>41.598416451924251</v>
      </c>
      <c r="GB685">
        <v>85.944462858626622</v>
      </c>
      <c r="GC685">
        <v>49.131549798140632</v>
      </c>
      <c r="GD685">
        <v>14.467069580705463</v>
      </c>
      <c r="GE685">
        <v>18.007400367012306</v>
      </c>
      <c r="GF685">
        <v>53.172624932238158</v>
      </c>
      <c r="GG685">
        <v>66.344105866419241</v>
      </c>
      <c r="GH685">
        <v>36.142346280316559</v>
      </c>
      <c r="GI685">
        <v>48.576810933629829</v>
      </c>
      <c r="GJ685"/>
      <c r="GK685"/>
      <c r="GL685"/>
      <c r="GM685"/>
    </row>
    <row r="686" spans="1:195" s="7" customFormat="1">
      <c r="A686" s="4"/>
      <c r="B686" s="4"/>
      <c r="C686" s="105"/>
      <c r="D686" s="4"/>
      <c r="E686" s="4"/>
      <c r="F686" s="28"/>
      <c r="G686" s="28"/>
      <c r="H686" s="83"/>
      <c r="I686" s="4"/>
      <c r="J686" s="4"/>
      <c r="K686" s="4"/>
      <c r="L686" s="4"/>
      <c r="M686" s="4"/>
      <c r="N686" s="28"/>
      <c r="O686" s="4"/>
      <c r="P686" s="4"/>
      <c r="Q686" s="4"/>
      <c r="R686" s="4"/>
      <c r="S686" s="4"/>
      <c r="T686" s="4"/>
      <c r="U686" s="4"/>
      <c r="V686" s="4"/>
      <c r="W686" s="4"/>
      <c r="X686" s="4"/>
      <c r="Y686" s="4"/>
      <c r="Z686" s="4"/>
      <c r="AA686" s="4"/>
      <c r="AB686" s="4"/>
      <c r="AC686" s="4"/>
      <c r="AD686" s="4"/>
      <c r="AE686" s="4"/>
      <c r="AF686" s="81"/>
      <c r="AG686" s="81"/>
      <c r="AH686" s="81"/>
      <c r="AI686" s="4"/>
      <c r="AJ686" s="81"/>
      <c r="AK686" s="81"/>
      <c r="AL686" s="81"/>
      <c r="AM686" s="43">
        <v>670</v>
      </c>
      <c r="AN686">
        <v>256.32409897874561</v>
      </c>
      <c r="AO686">
        <v>92.368057790256969</v>
      </c>
      <c r="AP686">
        <v>698.61478708835875</v>
      </c>
      <c r="AQ686">
        <v>518.13933815535279</v>
      </c>
      <c r="AR686">
        <v>83.877580790466553</v>
      </c>
      <c r="AS686">
        <v>664.09936131246172</v>
      </c>
      <c r="AT686">
        <v>45.197969950536525</v>
      </c>
      <c r="AU686">
        <v>96.506636745038634</v>
      </c>
      <c r="AV686"/>
      <c r="AW686"/>
      <c r="FY686" s="211">
        <v>681</v>
      </c>
      <c r="FZ686">
        <v>9.0930650583049975</v>
      </c>
      <c r="GA686">
        <v>39.775441141077252</v>
      </c>
      <c r="GB686">
        <v>77.888670589784084</v>
      </c>
      <c r="GC686">
        <v>43.313337755197196</v>
      </c>
      <c r="GD686">
        <v>14.077387405990191</v>
      </c>
      <c r="GE686">
        <v>50.540295844587163</v>
      </c>
      <c r="GF686">
        <v>77.847054967456742</v>
      </c>
      <c r="GG686">
        <v>22.579778894401898</v>
      </c>
      <c r="GH686">
        <v>8.5501919756238927</v>
      </c>
      <c r="GI686">
        <v>46.521276186901318</v>
      </c>
      <c r="GJ686"/>
      <c r="GK686"/>
      <c r="GL686"/>
      <c r="GM686"/>
    </row>
    <row r="687" spans="1:195" s="7" customFormat="1">
      <c r="A687" s="4"/>
      <c r="B687" s="4"/>
      <c r="C687" s="105"/>
      <c r="D687" s="4"/>
      <c r="E687" s="4"/>
      <c r="F687" s="28"/>
      <c r="G687" s="28"/>
      <c r="H687" s="83"/>
      <c r="I687" s="4"/>
      <c r="J687" s="4"/>
      <c r="K687" s="4"/>
      <c r="L687" s="4"/>
      <c r="M687" s="4"/>
      <c r="N687" s="28"/>
      <c r="O687" s="4"/>
      <c r="P687" s="4"/>
      <c r="Q687" s="4"/>
      <c r="R687" s="4"/>
      <c r="S687" s="4"/>
      <c r="T687" s="4"/>
      <c r="U687" s="4"/>
      <c r="V687" s="4"/>
      <c r="W687" s="4"/>
      <c r="X687" s="4"/>
      <c r="Y687" s="4"/>
      <c r="Z687" s="4"/>
      <c r="AA687" s="4"/>
      <c r="AB687" s="4"/>
      <c r="AC687" s="4"/>
      <c r="AD687" s="4"/>
      <c r="AE687" s="4"/>
      <c r="AF687" s="81"/>
      <c r="AG687" s="81"/>
      <c r="AH687" s="81"/>
      <c r="AI687" s="4"/>
      <c r="AJ687" s="81"/>
      <c r="AK687" s="81"/>
      <c r="AL687" s="81"/>
      <c r="AM687" s="43">
        <v>671</v>
      </c>
      <c r="AN687">
        <v>260.37752147729623</v>
      </c>
      <c r="AO687">
        <v>98.57098513691399</v>
      </c>
      <c r="AP687">
        <v>787.04651026964893</v>
      </c>
      <c r="AQ687">
        <v>566.26938142141876</v>
      </c>
      <c r="AR687">
        <v>89.926031019486572</v>
      </c>
      <c r="AS687">
        <v>722.97028564338075</v>
      </c>
      <c r="AT687">
        <v>47.614073003361433</v>
      </c>
      <c r="AU687">
        <v>98.710297211644061</v>
      </c>
      <c r="AV687"/>
      <c r="AW687"/>
      <c r="FY687" s="211">
        <v>682</v>
      </c>
      <c r="FZ687">
        <v>33.385929854724992</v>
      </c>
      <c r="GA687">
        <v>75.310936222145813</v>
      </c>
      <c r="GB687">
        <v>72.500457797250547</v>
      </c>
      <c r="GC687">
        <v>39.648591426899827</v>
      </c>
      <c r="GD687">
        <v>14.998560713775781</v>
      </c>
      <c r="GE687">
        <v>39.937198346523083</v>
      </c>
      <c r="GF687">
        <v>91.373864197265206</v>
      </c>
      <c r="GG687">
        <v>63.031835694943688</v>
      </c>
      <c r="GH687">
        <v>27.54605977652523</v>
      </c>
      <c r="GI687">
        <v>55.805526707416107</v>
      </c>
      <c r="GJ687"/>
      <c r="GK687"/>
      <c r="GL687"/>
      <c r="GM687"/>
    </row>
    <row r="688" spans="1:195" s="7" customFormat="1">
      <c r="A688" s="4"/>
      <c r="B688" s="4"/>
      <c r="C688" s="105"/>
      <c r="D688" s="4"/>
      <c r="E688" s="4"/>
      <c r="F688" s="28"/>
      <c r="G688" s="28"/>
      <c r="H688" s="83"/>
      <c r="I688" s="4"/>
      <c r="J688" s="4"/>
      <c r="K688" s="4"/>
      <c r="L688" s="4"/>
      <c r="M688" s="4"/>
      <c r="N688" s="28"/>
      <c r="O688" s="4"/>
      <c r="P688" s="4"/>
      <c r="Q688" s="4"/>
      <c r="R688" s="4"/>
      <c r="S688" s="4"/>
      <c r="T688" s="4"/>
      <c r="U688" s="4"/>
      <c r="V688" s="4"/>
      <c r="W688" s="4"/>
      <c r="X688" s="4"/>
      <c r="Y688" s="4"/>
      <c r="Z688" s="4"/>
      <c r="AA688" s="4"/>
      <c r="AB688" s="4"/>
      <c r="AC688" s="4"/>
      <c r="AD688" s="4"/>
      <c r="AE688" s="4"/>
      <c r="AF688" s="81"/>
      <c r="AG688" s="81"/>
      <c r="AH688" s="81"/>
      <c r="AI688" s="4"/>
      <c r="AJ688" s="81"/>
      <c r="AK688" s="81"/>
      <c r="AL688" s="81"/>
      <c r="AM688" s="43">
        <v>672</v>
      </c>
      <c r="AN688">
        <v>250.87628126733793</v>
      </c>
      <c r="AO688">
        <v>72.75130515123908</v>
      </c>
      <c r="AP688">
        <v>534.00608370882094</v>
      </c>
      <c r="AQ688">
        <v>415.47181963355837</v>
      </c>
      <c r="AR688">
        <v>63.890720854949322</v>
      </c>
      <c r="AS688">
        <v>535.47378461468236</v>
      </c>
      <c r="AT688">
        <v>34.445892460782517</v>
      </c>
      <c r="AU688">
        <v>60.544625460036706</v>
      </c>
      <c r="AV688"/>
      <c r="AW688"/>
      <c r="FY688" s="211">
        <v>683</v>
      </c>
      <c r="FZ688">
        <v>16.492177586936734</v>
      </c>
      <c r="GA688">
        <v>47.248586674669454</v>
      </c>
      <c r="GB688">
        <v>90.851691729717913</v>
      </c>
      <c r="GC688">
        <v>57.697969505199566</v>
      </c>
      <c r="GD688">
        <v>29.742987738316607</v>
      </c>
      <c r="GE688">
        <v>54.938464947866819</v>
      </c>
      <c r="GF688">
        <v>56.749213308855481</v>
      </c>
      <c r="GG688">
        <v>41.893482753356018</v>
      </c>
      <c r="GH688">
        <v>30.751514251347352</v>
      </c>
      <c r="GI688">
        <v>60.600606539652588</v>
      </c>
      <c r="GJ688"/>
      <c r="GK688"/>
      <c r="GL688"/>
      <c r="GM688"/>
    </row>
    <row r="689" spans="1:195" s="7" customFormat="1">
      <c r="A689" s="4"/>
      <c r="B689" s="4"/>
      <c r="C689" s="105"/>
      <c r="D689" s="4"/>
      <c r="E689" s="4"/>
      <c r="F689" s="28"/>
      <c r="G689" s="28"/>
      <c r="H689" s="83"/>
      <c r="I689" s="4"/>
      <c r="J689" s="4"/>
      <c r="K689" s="4"/>
      <c r="L689" s="4"/>
      <c r="M689" s="4"/>
      <c r="N689" s="28"/>
      <c r="O689" s="4"/>
      <c r="P689" s="4"/>
      <c r="Q689" s="4"/>
      <c r="R689" s="4"/>
      <c r="S689" s="4"/>
      <c r="T689" s="4"/>
      <c r="U689" s="4"/>
      <c r="V689" s="4"/>
      <c r="W689" s="4"/>
      <c r="X689" s="4"/>
      <c r="Y689" s="4"/>
      <c r="Z689" s="4"/>
      <c r="AA689" s="4"/>
      <c r="AB689" s="4"/>
      <c r="AC689" s="4"/>
      <c r="AD689" s="4"/>
      <c r="AE689" s="4"/>
      <c r="AF689" s="81"/>
      <c r="AG689" s="81"/>
      <c r="AH689" s="81"/>
      <c r="AI689" s="4"/>
      <c r="AJ689" s="81"/>
      <c r="AK689" s="81"/>
      <c r="AL689" s="81"/>
      <c r="AM689" s="43">
        <v>673</v>
      </c>
      <c r="AN689">
        <v>210.27797919451251</v>
      </c>
      <c r="AO689">
        <v>68.751771751279279</v>
      </c>
      <c r="AP689">
        <v>554.18187651381254</v>
      </c>
      <c r="AQ689">
        <v>409.3134829236767</v>
      </c>
      <c r="AR689">
        <v>62.045031711033353</v>
      </c>
      <c r="AS689">
        <v>532.46863655702714</v>
      </c>
      <c r="AT689">
        <v>33.894368202364042</v>
      </c>
      <c r="AU689">
        <v>56.789390629945338</v>
      </c>
      <c r="AV689"/>
      <c r="AW689"/>
      <c r="FY689" s="211">
        <v>684</v>
      </c>
      <c r="FZ689">
        <v>18.413783666316824</v>
      </c>
      <c r="GA689">
        <v>51.370860364378771</v>
      </c>
      <c r="GB689">
        <v>67.389504891746697</v>
      </c>
      <c r="GC689">
        <v>36.532419370639538</v>
      </c>
      <c r="GD689">
        <v>18.402509827388233</v>
      </c>
      <c r="GE689">
        <v>45.407129550244356</v>
      </c>
      <c r="GF689">
        <v>64.377882650585846</v>
      </c>
      <c r="GG689">
        <v>42.823982414324604</v>
      </c>
      <c r="GH689">
        <v>21.582909445920478</v>
      </c>
      <c r="GI689">
        <v>47.267545127415708</v>
      </c>
      <c r="GJ689"/>
      <c r="GK689"/>
      <c r="GL689"/>
      <c r="GM689"/>
    </row>
    <row r="690" spans="1:195" s="7" customFormat="1">
      <c r="A690" s="4"/>
      <c r="B690" s="4"/>
      <c r="C690" s="105"/>
      <c r="D690" s="4"/>
      <c r="E690" s="4"/>
      <c r="F690" s="28"/>
      <c r="G690" s="28"/>
      <c r="H690" s="83"/>
      <c r="I690" s="4"/>
      <c r="J690" s="4"/>
      <c r="K690" s="4"/>
      <c r="L690" s="4"/>
      <c r="M690" s="4"/>
      <c r="N690" s="28"/>
      <c r="O690" s="4"/>
      <c r="P690" s="4"/>
      <c r="Q690" s="4"/>
      <c r="R690" s="4"/>
      <c r="S690" s="4"/>
      <c r="T690" s="4"/>
      <c r="U690" s="4"/>
      <c r="V690" s="4"/>
      <c r="W690" s="4"/>
      <c r="X690" s="4"/>
      <c r="Y690" s="4"/>
      <c r="Z690" s="4"/>
      <c r="AA690" s="4"/>
      <c r="AB690" s="4"/>
      <c r="AC690" s="4"/>
      <c r="AD690" s="4"/>
      <c r="AE690" s="4"/>
      <c r="AF690" s="81"/>
      <c r="AG690" s="81"/>
      <c r="AH690" s="81"/>
      <c r="AI690" s="4"/>
      <c r="AJ690" s="81"/>
      <c r="AK690" s="81"/>
      <c r="AL690" s="81"/>
      <c r="AM690" s="43">
        <v>674</v>
      </c>
      <c r="AN690">
        <v>251.63595532062695</v>
      </c>
      <c r="AO690">
        <v>89.824633215554996</v>
      </c>
      <c r="AP690">
        <v>709.41519199563231</v>
      </c>
      <c r="AQ690">
        <v>511.48558558660528</v>
      </c>
      <c r="AR690">
        <v>80.243494010504932</v>
      </c>
      <c r="AS690">
        <v>639.21543549502712</v>
      </c>
      <c r="AT690" t="e">
        <v>#DIV/0!</v>
      </c>
      <c r="AU690" t="e">
        <v>#DIV/0!</v>
      </c>
      <c r="AV690"/>
      <c r="AW690"/>
      <c r="FY690" s="211">
        <v>685</v>
      </c>
      <c r="FZ690">
        <v>18.892539942302541</v>
      </c>
      <c r="GA690">
        <v>47.91571032941053</v>
      </c>
      <c r="GB690">
        <v>107.06467200379862</v>
      </c>
      <c r="GC690">
        <v>64.269457678824182</v>
      </c>
      <c r="GD690">
        <v>21.479701240071947</v>
      </c>
      <c r="GE690">
        <v>47.781342513378661</v>
      </c>
      <c r="GF690">
        <v>79.631920952579847</v>
      </c>
      <c r="GG690">
        <v>40.194063039530533</v>
      </c>
      <c r="GH690">
        <v>8.9710319959151583</v>
      </c>
      <c r="GI690">
        <v>60.943063538816752</v>
      </c>
      <c r="GJ690"/>
      <c r="GK690"/>
      <c r="GL690"/>
      <c r="GM690"/>
    </row>
    <row r="691" spans="1:195" s="7" customFormat="1">
      <c r="A691" s="4"/>
      <c r="B691" s="4"/>
      <c r="C691" s="105"/>
      <c r="D691" s="4"/>
      <c r="E691" s="4"/>
      <c r="F691" s="28"/>
      <c r="G691" s="28"/>
      <c r="H691" s="83"/>
      <c r="I691" s="4"/>
      <c r="J691" s="4"/>
      <c r="K691" s="4"/>
      <c r="L691" s="4"/>
      <c r="M691" s="4"/>
      <c r="N691" s="28"/>
      <c r="O691" s="4"/>
      <c r="P691" s="4"/>
      <c r="Q691" s="4"/>
      <c r="R691" s="4"/>
      <c r="S691" s="4"/>
      <c r="T691" s="4"/>
      <c r="U691" s="4"/>
      <c r="V691" s="4"/>
      <c r="W691" s="4"/>
      <c r="X691" s="4"/>
      <c r="Y691" s="4"/>
      <c r="Z691" s="4"/>
      <c r="AA691" s="4"/>
      <c r="AB691" s="4"/>
      <c r="AC691" s="4"/>
      <c r="AD691" s="4"/>
      <c r="AE691" s="4"/>
      <c r="AF691" s="81"/>
      <c r="AG691" s="81"/>
      <c r="AH691" s="81"/>
      <c r="AI691" s="4"/>
      <c r="AJ691" s="81"/>
      <c r="AK691" s="81"/>
      <c r="AL691" s="81"/>
      <c r="AM691" s="43">
        <v>675</v>
      </c>
      <c r="AN691">
        <v>216.28535643451264</v>
      </c>
      <c r="AO691">
        <v>76.550657967694505</v>
      </c>
      <c r="AP691">
        <v>597.85665768412753</v>
      </c>
      <c r="AQ691">
        <v>429.71856397429423</v>
      </c>
      <c r="AR691">
        <v>69.393692964066744</v>
      </c>
      <c r="AS691">
        <v>558.01500397076984</v>
      </c>
      <c r="AT691">
        <v>41.552232260866184</v>
      </c>
      <c r="AU691">
        <v>91.173012561669168</v>
      </c>
      <c r="AV691"/>
      <c r="AW691"/>
      <c r="FY691" s="211">
        <v>686</v>
      </c>
      <c r="FZ691">
        <v>17.121894809884051</v>
      </c>
      <c r="GA691">
        <v>47.436588951047995</v>
      </c>
      <c r="GB691">
        <v>72.801252973981107</v>
      </c>
      <c r="GC691">
        <v>39.531525249740241</v>
      </c>
      <c r="GD691">
        <v>18.006144234959113</v>
      </c>
      <c r="GE691">
        <v>39.320869164165764</v>
      </c>
      <c r="GF691">
        <v>56.688075417596593</v>
      </c>
      <c r="GG691">
        <v>33.67838849833354</v>
      </c>
      <c r="GH691">
        <v>6.2442574633566785</v>
      </c>
      <c r="GI691">
        <v>44.484487629130641</v>
      </c>
      <c r="GJ691"/>
      <c r="GK691"/>
      <c r="GL691"/>
      <c r="GM691"/>
    </row>
    <row r="692" spans="1:195" s="7" customFormat="1">
      <c r="A692" s="4"/>
      <c r="B692" s="4"/>
      <c r="C692" s="105"/>
      <c r="D692" s="4"/>
      <c r="E692" s="4"/>
      <c r="F692" s="28"/>
      <c r="G692" s="28"/>
      <c r="H692" s="83"/>
      <c r="I692" s="4"/>
      <c r="J692" s="4"/>
      <c r="K692" s="4"/>
      <c r="L692" s="4"/>
      <c r="M692" s="4"/>
      <c r="N692" s="28"/>
      <c r="O692" s="4"/>
      <c r="P692" s="4"/>
      <c r="Q692" s="4"/>
      <c r="R692" s="4"/>
      <c r="S692" s="4"/>
      <c r="T692" s="4"/>
      <c r="U692" s="4"/>
      <c r="V692" s="4"/>
      <c r="W692" s="4"/>
      <c r="X692" s="4"/>
      <c r="Y692" s="4"/>
      <c r="Z692" s="4"/>
      <c r="AA692" s="4"/>
      <c r="AB692" s="4"/>
      <c r="AC692" s="4"/>
      <c r="AD692" s="4"/>
      <c r="AE692" s="4"/>
      <c r="AF692" s="81"/>
      <c r="AG692" s="81"/>
      <c r="AH692" s="81"/>
      <c r="AI692" s="4"/>
      <c r="AJ692" s="81"/>
      <c r="AK692" s="81"/>
      <c r="AL692" s="81"/>
      <c r="AM692" s="43">
        <v>676</v>
      </c>
      <c r="AN692">
        <v>232.07187418159077</v>
      </c>
      <c r="AO692">
        <v>82.574522654827376</v>
      </c>
      <c r="AP692">
        <v>615.14686230459677</v>
      </c>
      <c r="AQ692">
        <v>437.12469629633893</v>
      </c>
      <c r="AR692">
        <v>74.009961834725445</v>
      </c>
      <c r="AS692">
        <v>592.53731089218888</v>
      </c>
      <c r="AT692">
        <v>40.937218519562585</v>
      </c>
      <c r="AU692">
        <v>87.088816505220905</v>
      </c>
      <c r="AV692"/>
      <c r="AW692"/>
      <c r="FY692" s="211">
        <v>687</v>
      </c>
      <c r="FZ692">
        <v>9.2002977817022327</v>
      </c>
      <c r="GA692">
        <v>49.388381086591409</v>
      </c>
      <c r="GB692">
        <v>69.546061166726602</v>
      </c>
      <c r="GC692">
        <v>35.873803299748971</v>
      </c>
      <c r="GD692">
        <v>19.560394330906764</v>
      </c>
      <c r="GE692">
        <v>55.014160080316373</v>
      </c>
      <c r="GF692">
        <v>72.508904534181212</v>
      </c>
      <c r="GG692">
        <v>48.578822689459656</v>
      </c>
      <c r="GH692">
        <v>37.05863888383054</v>
      </c>
      <c r="GI692">
        <v>52.067221837961036</v>
      </c>
      <c r="GJ692"/>
      <c r="GK692"/>
      <c r="GL692"/>
      <c r="GM692"/>
    </row>
    <row r="693" spans="1:195" s="7" customFormat="1">
      <c r="A693" s="4"/>
      <c r="B693" s="4"/>
      <c r="C693" s="105"/>
      <c r="D693" s="4"/>
      <c r="E693" s="4"/>
      <c r="F693" s="28"/>
      <c r="G693" s="28"/>
      <c r="H693" s="83"/>
      <c r="I693" s="4"/>
      <c r="J693" s="4"/>
      <c r="K693" s="4"/>
      <c r="L693" s="4"/>
      <c r="M693" s="4"/>
      <c r="N693" s="28"/>
      <c r="O693" s="4"/>
      <c r="P693" s="4"/>
      <c r="Q693" s="4"/>
      <c r="R693" s="4"/>
      <c r="S693" s="4"/>
      <c r="T693" s="4"/>
      <c r="U693" s="4"/>
      <c r="V693" s="4"/>
      <c r="W693" s="4"/>
      <c r="X693" s="4"/>
      <c r="Y693" s="4"/>
      <c r="Z693" s="4"/>
      <c r="AA693" s="4"/>
      <c r="AB693" s="4"/>
      <c r="AC693" s="4"/>
      <c r="AD693" s="4"/>
      <c r="AE693" s="4"/>
      <c r="AF693" s="81"/>
      <c r="AG693" s="81"/>
      <c r="AH693" s="81"/>
      <c r="AI693" s="4"/>
      <c r="AJ693" s="81"/>
      <c r="AK693" s="81"/>
      <c r="AL693" s="81"/>
      <c r="AM693" s="43">
        <v>677</v>
      </c>
      <c r="AN693">
        <v>241.05116913928549</v>
      </c>
      <c r="AO693">
        <v>84.571940814396541</v>
      </c>
      <c r="AP693">
        <v>627.33594050909642</v>
      </c>
      <c r="AQ693">
        <v>459.62206234177262</v>
      </c>
      <c r="AR693">
        <v>75.144268039965709</v>
      </c>
      <c r="AS693">
        <v>571.13862245474888</v>
      </c>
      <c r="AT693">
        <v>39.05592040410982</v>
      </c>
      <c r="AU693">
        <v>45.791418086100954</v>
      </c>
      <c r="AV693"/>
      <c r="AW693"/>
      <c r="FY693" s="211">
        <v>688</v>
      </c>
      <c r="FZ693">
        <v>25.860220963116497</v>
      </c>
      <c r="GA693">
        <v>64.645652917813749</v>
      </c>
      <c r="GB693">
        <v>89.514497695738655</v>
      </c>
      <c r="GC693">
        <v>50.868682868012812</v>
      </c>
      <c r="GD693">
        <v>13.769775505926278</v>
      </c>
      <c r="GE693">
        <v>35.608965309931456</v>
      </c>
      <c r="GF693">
        <v>79.274725893669071</v>
      </c>
      <c r="GG693">
        <v>40.774385853444116</v>
      </c>
      <c r="GH693">
        <v>12.482074774183985</v>
      </c>
      <c r="GI693">
        <v>54.015739054849284</v>
      </c>
      <c r="GJ693"/>
      <c r="GK693"/>
      <c r="GL693"/>
      <c r="GM693"/>
    </row>
    <row r="694" spans="1:195" s="7" customFormat="1">
      <c r="A694" s="4"/>
      <c r="B694" s="4"/>
      <c r="C694" s="105"/>
      <c r="D694" s="4"/>
      <c r="E694" s="4"/>
      <c r="F694" s="28"/>
      <c r="G694" s="28"/>
      <c r="H694" s="83"/>
      <c r="I694" s="4"/>
      <c r="J694" s="4"/>
      <c r="K694" s="4"/>
      <c r="L694" s="4"/>
      <c r="M694" s="4"/>
      <c r="N694" s="28"/>
      <c r="O694" s="4"/>
      <c r="P694" s="4"/>
      <c r="Q694" s="4"/>
      <c r="R694" s="4"/>
      <c r="S694" s="4"/>
      <c r="T694" s="4"/>
      <c r="U694" s="4"/>
      <c r="V694" s="4"/>
      <c r="W694" s="4"/>
      <c r="X694" s="4"/>
      <c r="Y694" s="4"/>
      <c r="Z694" s="4"/>
      <c r="AA694" s="4"/>
      <c r="AB694" s="4"/>
      <c r="AC694" s="4"/>
      <c r="AD694" s="4"/>
      <c r="AE694" s="4"/>
      <c r="AF694" s="81"/>
      <c r="AG694" s="81"/>
      <c r="AH694" s="81"/>
      <c r="AI694" s="4"/>
      <c r="AJ694" s="81"/>
      <c r="AK694" s="81"/>
      <c r="AL694" s="81"/>
      <c r="AM694" s="43">
        <v>678</v>
      </c>
      <c r="AN694">
        <v>276.71004507745499</v>
      </c>
      <c r="AO694">
        <v>83.579302557192975</v>
      </c>
      <c r="AP694">
        <v>589.66016872711657</v>
      </c>
      <c r="AQ694">
        <v>447.41293379762203</v>
      </c>
      <c r="AR694">
        <v>75.888777587440259</v>
      </c>
      <c r="AS694">
        <v>651.48354940152444</v>
      </c>
      <c r="AT694">
        <v>41.246365540745224</v>
      </c>
      <c r="AU694">
        <v>-0.5308649339517304</v>
      </c>
      <c r="AV694"/>
      <c r="AW694"/>
      <c r="FY694" s="211">
        <v>689</v>
      </c>
      <c r="FZ694">
        <v>23.02026786238828</v>
      </c>
      <c r="GA694">
        <v>64.176692616011067</v>
      </c>
      <c r="GB694">
        <v>73.462791003991043</v>
      </c>
      <c r="GC694">
        <v>38.535099346746051</v>
      </c>
      <c r="GD694">
        <v>14.117695066389283</v>
      </c>
      <c r="GE694">
        <v>41.064422271361337</v>
      </c>
      <c r="GF694">
        <v>83.774359207963883</v>
      </c>
      <c r="GG694">
        <v>53.729825719306426</v>
      </c>
      <c r="GH694">
        <v>24.468886221587219</v>
      </c>
      <c r="GI694">
        <v>52.259204603613398</v>
      </c>
      <c r="GJ694"/>
      <c r="GK694"/>
      <c r="GL694"/>
      <c r="GM694"/>
    </row>
    <row r="695" spans="1:195" s="7" customFormat="1">
      <c r="A695" s="4"/>
      <c r="B695" s="4"/>
      <c r="C695" s="105"/>
      <c r="D695" s="4"/>
      <c r="E695" s="4"/>
      <c r="F695" s="28"/>
      <c r="G695" s="28"/>
      <c r="H695" s="83"/>
      <c r="I695" s="4"/>
      <c r="J695" s="4"/>
      <c r="K695" s="4"/>
      <c r="L695" s="4"/>
      <c r="M695" s="4"/>
      <c r="N695" s="28"/>
      <c r="O695" s="4"/>
      <c r="P695" s="4"/>
      <c r="Q695" s="4"/>
      <c r="R695" s="4"/>
      <c r="S695" s="4"/>
      <c r="T695" s="4"/>
      <c r="U695" s="4"/>
      <c r="V695" s="4"/>
      <c r="W695" s="4"/>
      <c r="X695" s="4"/>
      <c r="Y695" s="4"/>
      <c r="Z695" s="4"/>
      <c r="AA695" s="4"/>
      <c r="AB695" s="4"/>
      <c r="AC695" s="4"/>
      <c r="AD695" s="4"/>
      <c r="AE695" s="4"/>
      <c r="AF695" s="81"/>
      <c r="AG695" s="81"/>
      <c r="AH695" s="81"/>
      <c r="AI695" s="4"/>
      <c r="AJ695" s="81"/>
      <c r="AK695" s="81"/>
      <c r="AL695" s="81"/>
      <c r="AM695" s="43">
        <v>679</v>
      </c>
      <c r="AN695">
        <v>325.78730897209607</v>
      </c>
      <c r="AO695">
        <v>102.98119308589739</v>
      </c>
      <c r="AP695">
        <v>683.73418786679019</v>
      </c>
      <c r="AQ695">
        <v>531.72090278055418</v>
      </c>
      <c r="AR695">
        <v>91.026276045711512</v>
      </c>
      <c r="AS695">
        <v>757.5790412218164</v>
      </c>
      <c r="AT695">
        <v>48.275381365404648</v>
      </c>
      <c r="AU695">
        <v>86.158697069801448</v>
      </c>
      <c r="AV695"/>
      <c r="AW695"/>
      <c r="FY695" s="211">
        <v>690</v>
      </c>
      <c r="FZ695">
        <v>43.796313744867895</v>
      </c>
      <c r="GA695">
        <v>84.730071350800046</v>
      </c>
      <c r="GB695">
        <v>66.246186031408001</v>
      </c>
      <c r="GC695">
        <v>40.332728625992694</v>
      </c>
      <c r="GD695">
        <v>22.237560305433956</v>
      </c>
      <c r="GE695">
        <v>31.961374335580473</v>
      </c>
      <c r="GF695">
        <v>73.854117882309467</v>
      </c>
      <c r="GG695">
        <v>90.273101235951501</v>
      </c>
      <c r="GH695">
        <v>50.392446970884933</v>
      </c>
      <c r="GI695">
        <v>60.582003459355839</v>
      </c>
      <c r="GJ695"/>
      <c r="GK695"/>
      <c r="GL695"/>
      <c r="GM695"/>
    </row>
    <row r="696" spans="1:195" s="7" customFormat="1">
      <c r="A696" s="4"/>
      <c r="B696" s="4"/>
      <c r="C696" s="105"/>
      <c r="D696" s="4"/>
      <c r="E696" s="4"/>
      <c r="F696" s="28"/>
      <c r="G696" s="28"/>
      <c r="H696" s="83"/>
      <c r="I696" s="4"/>
      <c r="J696" s="4"/>
      <c r="K696" s="4"/>
      <c r="L696" s="4"/>
      <c r="M696" s="4"/>
      <c r="N696" s="28"/>
      <c r="O696" s="4"/>
      <c r="P696" s="4"/>
      <c r="Q696" s="4"/>
      <c r="R696" s="4"/>
      <c r="S696" s="4"/>
      <c r="T696" s="4"/>
      <c r="U696" s="4"/>
      <c r="V696" s="4"/>
      <c r="W696" s="4"/>
      <c r="X696" s="4"/>
      <c r="Y696" s="4"/>
      <c r="Z696" s="4"/>
      <c r="AA696" s="4"/>
      <c r="AB696" s="4"/>
      <c r="AC696" s="4"/>
      <c r="AD696" s="4"/>
      <c r="AE696" s="4"/>
      <c r="AF696" s="81"/>
      <c r="AG696" s="81"/>
      <c r="AH696" s="81"/>
      <c r="AI696" s="4"/>
      <c r="AJ696" s="81"/>
      <c r="AK696" s="81"/>
      <c r="AL696" s="81"/>
      <c r="AM696" s="43">
        <v>680</v>
      </c>
      <c r="AN696">
        <v>247.83681743913797</v>
      </c>
      <c r="AO696">
        <v>76.030372375488952</v>
      </c>
      <c r="AP696">
        <v>578.93208965874146</v>
      </c>
      <c r="AQ696">
        <v>423.97584748559808</v>
      </c>
      <c r="AR696">
        <v>70.181018939379598</v>
      </c>
      <c r="AS696">
        <v>623.41430921436142</v>
      </c>
      <c r="AT696">
        <v>38.189140923248587</v>
      </c>
      <c r="AU696">
        <v>48.785323788019795</v>
      </c>
      <c r="AV696"/>
      <c r="AW696"/>
      <c r="FY696" s="211">
        <v>691</v>
      </c>
      <c r="FZ696">
        <v>17.472044744105286</v>
      </c>
      <c r="GA696">
        <v>55.990613000532051</v>
      </c>
      <c r="GB696">
        <v>82.08970140763131</v>
      </c>
      <c r="GC696">
        <v>43.623780201441626</v>
      </c>
      <c r="GD696">
        <v>17.122746221882547</v>
      </c>
      <c r="GE696">
        <v>37.393761934407344</v>
      </c>
      <c r="GF696">
        <v>98.44728392115934</v>
      </c>
      <c r="GG696">
        <v>83.097314815118168</v>
      </c>
      <c r="GH696">
        <v>25.849826561551755</v>
      </c>
      <c r="GI696">
        <v>59.185967117679652</v>
      </c>
      <c r="GJ696"/>
      <c r="GK696"/>
      <c r="GL696"/>
      <c r="GM696"/>
    </row>
    <row r="697" spans="1:195" s="7" customFormat="1">
      <c r="A697" s="4"/>
      <c r="B697" s="4"/>
      <c r="C697" s="105"/>
      <c r="D697" s="4"/>
      <c r="E697" s="4"/>
      <c r="F697" s="28"/>
      <c r="G697" s="28"/>
      <c r="H697" s="83"/>
      <c r="I697" s="4"/>
      <c r="J697" s="4"/>
      <c r="K697" s="4"/>
      <c r="L697" s="4"/>
      <c r="M697" s="4"/>
      <c r="N697" s="28"/>
      <c r="O697" s="4"/>
      <c r="P697" s="4"/>
      <c r="Q697" s="4"/>
      <c r="R697" s="4"/>
      <c r="S697" s="4"/>
      <c r="T697" s="4"/>
      <c r="U697" s="4"/>
      <c r="V697" s="4"/>
      <c r="W697" s="4"/>
      <c r="X697" s="4"/>
      <c r="Y697" s="4"/>
      <c r="Z697" s="4"/>
      <c r="AA697" s="4"/>
      <c r="AB697" s="4"/>
      <c r="AC697" s="4"/>
      <c r="AD697" s="4"/>
      <c r="AE697" s="4"/>
      <c r="AF697" s="81"/>
      <c r="AG697" s="81"/>
      <c r="AH697" s="81"/>
      <c r="AI697" s="4"/>
      <c r="AJ697" s="81"/>
      <c r="AK697" s="81"/>
      <c r="AL697" s="81"/>
      <c r="AM697" s="43">
        <v>681</v>
      </c>
      <c r="AN697">
        <v>275.60485999467016</v>
      </c>
      <c r="AO697">
        <v>72.325862421562704</v>
      </c>
      <c r="AP697">
        <v>514.52385706295036</v>
      </c>
      <c r="AQ697">
        <v>390.18649981932475</v>
      </c>
      <c r="AR697">
        <v>63.654648403408075</v>
      </c>
      <c r="AS697">
        <v>578.82956670191868</v>
      </c>
      <c r="AT697">
        <v>34.223608050307433</v>
      </c>
      <c r="AU697">
        <v>56.038771834442628</v>
      </c>
      <c r="AV697"/>
      <c r="AW697"/>
      <c r="FY697" s="211">
        <v>692</v>
      </c>
      <c r="FZ697">
        <v>7.1339596324799857</v>
      </c>
      <c r="GA697">
        <v>44.884092015874245</v>
      </c>
      <c r="GB697">
        <v>55.102046123929391</v>
      </c>
      <c r="GC697">
        <v>30.184565803357838</v>
      </c>
      <c r="GD697">
        <v>14.160955880351667</v>
      </c>
      <c r="GE697">
        <v>38.869905210082862</v>
      </c>
      <c r="GF697">
        <v>79.677039511735614</v>
      </c>
      <c r="GG697">
        <v>51.145881477571656</v>
      </c>
      <c r="GH697">
        <v>24.601874458701172</v>
      </c>
      <c r="GI697">
        <v>43.746219080019614</v>
      </c>
      <c r="GJ697"/>
      <c r="GK697"/>
      <c r="GL697"/>
      <c r="GM697"/>
    </row>
    <row r="698" spans="1:195" s="7" customFormat="1">
      <c r="A698" s="4"/>
      <c r="B698" s="4"/>
      <c r="C698" s="105"/>
      <c r="D698" s="4"/>
      <c r="E698" s="4"/>
      <c r="F698" s="28"/>
      <c r="G698" s="28"/>
      <c r="H698" s="83"/>
      <c r="I698" s="4"/>
      <c r="J698" s="4"/>
      <c r="K698" s="4"/>
      <c r="L698" s="4"/>
      <c r="M698" s="4"/>
      <c r="N698" s="28"/>
      <c r="O698" s="4"/>
      <c r="P698" s="4"/>
      <c r="Q698" s="4"/>
      <c r="R698" s="4"/>
      <c r="S698" s="4"/>
      <c r="T698" s="4"/>
      <c r="U698" s="4"/>
      <c r="V698" s="4"/>
      <c r="W698" s="4"/>
      <c r="X698" s="4"/>
      <c r="Y698" s="4"/>
      <c r="Z698" s="4"/>
      <c r="AA698" s="4"/>
      <c r="AB698" s="4"/>
      <c r="AC698" s="4"/>
      <c r="AD698" s="4"/>
      <c r="AE698" s="4"/>
      <c r="AF698" s="81"/>
      <c r="AG698" s="81"/>
      <c r="AH698" s="81"/>
      <c r="AI698" s="4"/>
      <c r="AJ698" s="81"/>
      <c r="AK698" s="81"/>
      <c r="AL698" s="81"/>
      <c r="AM698" s="43">
        <v>682</v>
      </c>
      <c r="AN698">
        <v>250.61312711119157</v>
      </c>
      <c r="AO698">
        <v>89.200200184520156</v>
      </c>
      <c r="AP698">
        <v>707.92450033808768</v>
      </c>
      <c r="AQ698">
        <v>513.53896073747035</v>
      </c>
      <c r="AR698">
        <v>79.919652345969311</v>
      </c>
      <c r="AS698">
        <v>622.54210358171781</v>
      </c>
      <c r="AT698">
        <v>43.618789628573381</v>
      </c>
      <c r="AU698">
        <v>41.364580390987982</v>
      </c>
      <c r="AV698"/>
      <c r="AW698"/>
      <c r="FY698" s="211">
        <v>693</v>
      </c>
      <c r="FZ698">
        <v>18.533814880863666</v>
      </c>
      <c r="GA698">
        <v>68.317104823461364</v>
      </c>
      <c r="GB698">
        <v>70.852226761202417</v>
      </c>
      <c r="GC698">
        <v>40.854764492292453</v>
      </c>
      <c r="GD698">
        <v>23.214059594713174</v>
      </c>
      <c r="GE698">
        <v>70.416873932361497</v>
      </c>
      <c r="GF698">
        <v>121.15847419840178</v>
      </c>
      <c r="GG698">
        <v>47.264738989031386</v>
      </c>
      <c r="GH698">
        <v>10.119941583623016</v>
      </c>
      <c r="GI698">
        <v>61.778027615791977</v>
      </c>
      <c r="GJ698"/>
      <c r="GK698"/>
      <c r="GL698"/>
      <c r="GM698"/>
    </row>
    <row r="699" spans="1:195" s="7" customFormat="1">
      <c r="A699" s="4"/>
      <c r="B699" s="4"/>
      <c r="C699" s="105"/>
      <c r="D699" s="4"/>
      <c r="E699" s="4"/>
      <c r="F699" s="28"/>
      <c r="G699" s="28"/>
      <c r="H699" s="83"/>
      <c r="I699" s="4"/>
      <c r="J699" s="4"/>
      <c r="K699" s="4"/>
      <c r="L699" s="4"/>
      <c r="M699" s="4"/>
      <c r="N699" s="28"/>
      <c r="O699" s="4"/>
      <c r="P699" s="4"/>
      <c r="Q699" s="4"/>
      <c r="R699" s="4"/>
      <c r="S699" s="4"/>
      <c r="T699" s="4"/>
      <c r="U699" s="4"/>
      <c r="V699" s="4"/>
      <c r="W699" s="4"/>
      <c r="X699" s="4"/>
      <c r="Y699" s="4"/>
      <c r="Z699" s="4"/>
      <c r="AA699" s="4"/>
      <c r="AB699" s="4"/>
      <c r="AC699" s="4"/>
      <c r="AD699" s="4"/>
      <c r="AE699" s="4"/>
      <c r="AF699" s="81"/>
      <c r="AG699" s="81"/>
      <c r="AH699" s="81"/>
      <c r="AI699" s="4"/>
      <c r="AJ699" s="81"/>
      <c r="AK699" s="81"/>
      <c r="AL699" s="81"/>
      <c r="AM699" s="43">
        <v>683</v>
      </c>
      <c r="AN699">
        <v>259.76288258753823</v>
      </c>
      <c r="AO699">
        <v>95.207193378043144</v>
      </c>
      <c r="AP699">
        <v>619.8656365603498</v>
      </c>
      <c r="AQ699">
        <v>486.96669503591852</v>
      </c>
      <c r="AR699">
        <v>86.308086512255315</v>
      </c>
      <c r="AS699">
        <v>709.18909980922103</v>
      </c>
      <c r="AT699">
        <v>46.837838424833699</v>
      </c>
      <c r="AU699">
        <v>76.305650791908064</v>
      </c>
      <c r="AV699"/>
      <c r="AW699"/>
      <c r="FY699" s="211">
        <v>694</v>
      </c>
      <c r="FZ699">
        <v>15.307009781085871</v>
      </c>
      <c r="GA699">
        <v>48.320916096633667</v>
      </c>
      <c r="GB699">
        <v>78.693494098404287</v>
      </c>
      <c r="GC699">
        <v>50.61837803305761</v>
      </c>
      <c r="GD699">
        <v>24.485806122963105</v>
      </c>
      <c r="GE699">
        <v>33.033993156369739</v>
      </c>
      <c r="GF699">
        <v>36.498210301131728</v>
      </c>
      <c r="GG699">
        <v>45.313603234461468</v>
      </c>
      <c r="GH699">
        <v>34.490319938654011</v>
      </c>
      <c r="GI699">
        <v>50.489858646174504</v>
      </c>
      <c r="GJ699"/>
      <c r="GK699"/>
      <c r="GL699"/>
      <c r="GM699"/>
    </row>
    <row r="700" spans="1:195" s="7" customFormat="1">
      <c r="A700" s="4"/>
      <c r="B700" s="4"/>
      <c r="C700" s="105"/>
      <c r="D700" s="4"/>
      <c r="E700" s="4"/>
      <c r="F700" s="28"/>
      <c r="G700" s="28"/>
      <c r="H700" s="83"/>
      <c r="I700" s="4"/>
      <c r="J700" s="4"/>
      <c r="K700" s="4"/>
      <c r="L700" s="4"/>
      <c r="M700" s="4"/>
      <c r="N700" s="28"/>
      <c r="O700" s="4"/>
      <c r="P700" s="4"/>
      <c r="Q700" s="4"/>
      <c r="R700" s="4"/>
      <c r="S700" s="4"/>
      <c r="T700" s="4"/>
      <c r="U700" s="4"/>
      <c r="V700" s="4"/>
      <c r="W700" s="4"/>
      <c r="X700" s="4"/>
      <c r="Y700" s="4"/>
      <c r="Z700" s="4"/>
      <c r="AA700" s="4"/>
      <c r="AB700" s="4"/>
      <c r="AC700" s="4"/>
      <c r="AD700" s="4"/>
      <c r="AE700" s="4"/>
      <c r="AF700" s="81"/>
      <c r="AG700" s="81"/>
      <c r="AH700" s="81"/>
      <c r="AI700" s="4"/>
      <c r="AJ700" s="81"/>
      <c r="AK700" s="81"/>
      <c r="AL700" s="81"/>
      <c r="AM700" s="43">
        <v>684</v>
      </c>
      <c r="AN700">
        <v>230.39662751583174</v>
      </c>
      <c r="AO700">
        <v>73.62379044916716</v>
      </c>
      <c r="AP700">
        <v>531.58360726528258</v>
      </c>
      <c r="AQ700">
        <v>413.56852730896105</v>
      </c>
      <c r="AR700">
        <v>66.529384098053995</v>
      </c>
      <c r="AS700">
        <v>585.0377949241863</v>
      </c>
      <c r="AT700">
        <v>36.091523131975016</v>
      </c>
      <c r="AU700">
        <v>52.845413161316785</v>
      </c>
      <c r="AV700"/>
      <c r="AW700"/>
      <c r="FY700" s="211">
        <v>695</v>
      </c>
      <c r="FZ700">
        <v>14.475271578682303</v>
      </c>
      <c r="GA700">
        <v>54.344124542022442</v>
      </c>
      <c r="GB700">
        <v>105.24455135598168</v>
      </c>
      <c r="GC700">
        <v>58.46248332039653</v>
      </c>
      <c r="GD700">
        <v>19.974695421122536</v>
      </c>
      <c r="GE700">
        <v>27.340167290287734</v>
      </c>
      <c r="GF700">
        <v>46.794875338812538</v>
      </c>
      <c r="GG700">
        <v>52.428356417878916</v>
      </c>
      <c r="GH700">
        <v>27.196494443237636</v>
      </c>
      <c r="GI700">
        <v>54.871268048142419</v>
      </c>
      <c r="GJ700"/>
      <c r="GK700"/>
      <c r="GL700"/>
      <c r="GM700"/>
    </row>
    <row r="701" spans="1:195" s="7" customFormat="1">
      <c r="A701" s="4"/>
      <c r="B701" s="4"/>
      <c r="C701" s="105"/>
      <c r="D701" s="4"/>
      <c r="E701" s="4"/>
      <c r="F701" s="28"/>
      <c r="G701" s="28"/>
      <c r="H701" s="83"/>
      <c r="I701" s="4"/>
      <c r="J701" s="4"/>
      <c r="K701" s="4"/>
      <c r="L701" s="4"/>
      <c r="M701" s="4"/>
      <c r="N701" s="28"/>
      <c r="O701" s="4"/>
      <c r="P701" s="4"/>
      <c r="Q701" s="4"/>
      <c r="R701" s="4"/>
      <c r="S701" s="4"/>
      <c r="T701" s="4"/>
      <c r="U701" s="4"/>
      <c r="V701" s="4"/>
      <c r="W701" s="4"/>
      <c r="X701" s="4"/>
      <c r="Y701" s="4"/>
      <c r="Z701" s="4"/>
      <c r="AA701" s="4"/>
      <c r="AB701" s="4"/>
      <c r="AC701" s="4"/>
      <c r="AD701" s="4"/>
      <c r="AE701" s="4"/>
      <c r="AF701" s="81"/>
      <c r="AG701" s="81"/>
      <c r="AH701" s="81"/>
      <c r="AI701" s="4"/>
      <c r="AJ701" s="81"/>
      <c r="AK701" s="81"/>
      <c r="AL701" s="81"/>
      <c r="AM701" s="43">
        <v>685</v>
      </c>
      <c r="AN701">
        <v>283.52568170431243</v>
      </c>
      <c r="AO701">
        <v>95.74370266221672</v>
      </c>
      <c r="AP701">
        <v>665.4194739157299</v>
      </c>
      <c r="AQ701">
        <v>497.14350323462878</v>
      </c>
      <c r="AR701">
        <v>86.615454997209355</v>
      </c>
      <c r="AS701">
        <v>729.31614792619314</v>
      </c>
      <c r="AT701">
        <v>45.294999382883312</v>
      </c>
      <c r="AU701">
        <v>114.88597872695942</v>
      </c>
      <c r="AV701"/>
      <c r="AW701"/>
      <c r="FY701" s="211">
        <v>696</v>
      </c>
      <c r="FZ701">
        <v>10.662255425337145</v>
      </c>
      <c r="GA701">
        <v>36.133641376331553</v>
      </c>
      <c r="GB701">
        <v>76.66526318556879</v>
      </c>
      <c r="GC701">
        <v>49.482250541989337</v>
      </c>
      <c r="GD701">
        <v>18.482859898180838</v>
      </c>
      <c r="GE701">
        <v>19.484740148375369</v>
      </c>
      <c r="GF701">
        <v>57.793314523085762</v>
      </c>
      <c r="GG701">
        <v>75.299497108454887</v>
      </c>
      <c r="GH701">
        <v>41.053690073678986</v>
      </c>
      <c r="GI701">
        <v>50.713093151416565</v>
      </c>
      <c r="GJ701"/>
      <c r="GK701"/>
      <c r="GL701"/>
      <c r="GM701"/>
    </row>
    <row r="702" spans="1:195" s="7" customFormat="1">
      <c r="A702" s="4"/>
      <c r="B702" s="4"/>
      <c r="C702" s="105"/>
      <c r="D702" s="4"/>
      <c r="E702" s="4"/>
      <c r="F702" s="28"/>
      <c r="G702" s="28"/>
      <c r="H702" s="83"/>
      <c r="I702" s="4"/>
      <c r="J702" s="4"/>
      <c r="K702" s="4"/>
      <c r="L702" s="4"/>
      <c r="M702" s="4"/>
      <c r="N702" s="28"/>
      <c r="O702" s="4"/>
      <c r="P702" s="4"/>
      <c r="Q702" s="4"/>
      <c r="R702" s="4"/>
      <c r="S702" s="4"/>
      <c r="T702" s="4"/>
      <c r="U702" s="4"/>
      <c r="V702" s="4"/>
      <c r="W702" s="4"/>
      <c r="X702" s="4"/>
      <c r="Y702" s="4"/>
      <c r="Z702" s="4"/>
      <c r="AA702" s="4"/>
      <c r="AB702" s="4"/>
      <c r="AC702" s="4"/>
      <c r="AD702" s="4"/>
      <c r="AE702" s="4"/>
      <c r="AF702" s="81"/>
      <c r="AG702" s="81"/>
      <c r="AH702" s="81"/>
      <c r="AI702" s="4"/>
      <c r="AJ702" s="81"/>
      <c r="AK702" s="81"/>
      <c r="AL702" s="81"/>
      <c r="AM702" s="43">
        <v>686</v>
      </c>
      <c r="AN702">
        <v>241.8936693690849</v>
      </c>
      <c r="AO702">
        <v>69.956279401277641</v>
      </c>
      <c r="AP702">
        <v>495.48762549524497</v>
      </c>
      <c r="AQ702">
        <v>375.31348439219573</v>
      </c>
      <c r="AR702">
        <v>63.574760526403871</v>
      </c>
      <c r="AS702">
        <v>584.89501368737922</v>
      </c>
      <c r="AT702" t="e">
        <v>#DIV/0!</v>
      </c>
      <c r="AU702" t="e">
        <v>#DIV/0!</v>
      </c>
      <c r="AV702"/>
      <c r="AW702"/>
      <c r="FY702" s="211">
        <v>697</v>
      </c>
      <c r="FZ702">
        <v>15.378912019079511</v>
      </c>
      <c r="GA702">
        <v>38.391365158444117</v>
      </c>
      <c r="GB702">
        <v>97.675313366372578</v>
      </c>
      <c r="GC702">
        <v>65.82802924450209</v>
      </c>
      <c r="GD702">
        <v>19.387309197042015</v>
      </c>
      <c r="GE702">
        <v>29.748443566738889</v>
      </c>
      <c r="GF702">
        <v>74.285368680436946</v>
      </c>
      <c r="GG702">
        <v>53.406666975202832</v>
      </c>
      <c r="GH702">
        <v>22.013214324906002</v>
      </c>
      <c r="GI702">
        <v>57.095382227005786</v>
      </c>
      <c r="GJ702"/>
      <c r="GK702"/>
      <c r="GL702"/>
      <c r="GM702"/>
    </row>
    <row r="703" spans="1:195" s="7" customFormat="1">
      <c r="A703" s="4"/>
      <c r="B703" s="4"/>
      <c r="C703" s="105"/>
      <c r="D703" s="4"/>
      <c r="E703" s="4"/>
      <c r="F703" s="28"/>
      <c r="G703" s="28"/>
      <c r="H703" s="83"/>
      <c r="I703" s="4"/>
      <c r="J703" s="4"/>
      <c r="K703" s="4"/>
      <c r="L703" s="4"/>
      <c r="M703" s="4"/>
      <c r="N703" s="28"/>
      <c r="O703" s="4"/>
      <c r="P703" s="4"/>
      <c r="Q703" s="4"/>
      <c r="R703" s="4"/>
      <c r="S703" s="4"/>
      <c r="T703" s="4"/>
      <c r="U703" s="4"/>
      <c r="V703" s="4"/>
      <c r="W703" s="4"/>
      <c r="X703" s="4"/>
      <c r="Y703" s="4"/>
      <c r="Z703" s="4"/>
      <c r="AA703" s="4"/>
      <c r="AB703" s="4"/>
      <c r="AC703" s="4"/>
      <c r="AD703" s="4"/>
      <c r="AE703" s="4"/>
      <c r="AF703" s="81"/>
      <c r="AG703" s="81"/>
      <c r="AH703" s="81"/>
      <c r="AI703" s="4"/>
      <c r="AJ703" s="81"/>
      <c r="AK703" s="81"/>
      <c r="AL703" s="81"/>
      <c r="AM703" s="43">
        <v>687</v>
      </c>
      <c r="AN703">
        <v>234.50006457834434</v>
      </c>
      <c r="AO703">
        <v>81.97341921057145</v>
      </c>
      <c r="AP703">
        <v>591.07573935197991</v>
      </c>
      <c r="AQ703">
        <v>448.79668569142484</v>
      </c>
      <c r="AR703">
        <v>73.018348408772511</v>
      </c>
      <c r="AS703">
        <v>585.98635742105205</v>
      </c>
      <c r="AT703">
        <v>41.288444440244568</v>
      </c>
      <c r="AU703">
        <v>82.821301249923138</v>
      </c>
      <c r="AV703"/>
      <c r="AW703"/>
      <c r="FY703" s="211">
        <v>698</v>
      </c>
      <c r="FZ703">
        <v>16.134898438487788</v>
      </c>
      <c r="GA703">
        <v>45.759913883450849</v>
      </c>
      <c r="GB703">
        <v>120.0575333407885</v>
      </c>
      <c r="GC703">
        <v>73.424902908597545</v>
      </c>
      <c r="GD703">
        <v>18.788347211432253</v>
      </c>
      <c r="GE703">
        <v>32.247819025869951</v>
      </c>
      <c r="GF703">
        <v>87.799535255949706</v>
      </c>
      <c r="GG703">
        <v>72.395072789064059</v>
      </c>
      <c r="GH703">
        <v>29.767182547209707</v>
      </c>
      <c r="GI703">
        <v>67.536600747504551</v>
      </c>
      <c r="GJ703"/>
      <c r="GK703"/>
      <c r="GL703"/>
      <c r="GM703"/>
    </row>
    <row r="704" spans="1:195" s="7" customFormat="1">
      <c r="A704" s="4"/>
      <c r="B704" s="4"/>
      <c r="C704" s="105"/>
      <c r="D704" s="4"/>
      <c r="E704" s="4"/>
      <c r="F704" s="28"/>
      <c r="G704" s="28"/>
      <c r="H704" s="83"/>
      <c r="I704" s="4"/>
      <c r="J704" s="4"/>
      <c r="K704" s="4"/>
      <c r="L704" s="4"/>
      <c r="M704" s="4"/>
      <c r="N704" s="28"/>
      <c r="O704" s="4"/>
      <c r="P704" s="4"/>
      <c r="Q704" s="4"/>
      <c r="R704" s="4"/>
      <c r="S704" s="4"/>
      <c r="T704" s="4"/>
      <c r="U704" s="4"/>
      <c r="V704" s="4"/>
      <c r="W704" s="4"/>
      <c r="X704" s="4"/>
      <c r="Y704" s="4"/>
      <c r="Z704" s="4"/>
      <c r="AA704" s="4"/>
      <c r="AB704" s="4"/>
      <c r="AC704" s="4"/>
      <c r="AD704" s="4"/>
      <c r="AE704" s="4"/>
      <c r="AF704" s="81"/>
      <c r="AG704" s="81"/>
      <c r="AH704" s="81"/>
      <c r="AI704" s="4"/>
      <c r="AJ704" s="81"/>
      <c r="AK704" s="81"/>
      <c r="AL704" s="81"/>
      <c r="AM704" s="43">
        <v>688</v>
      </c>
      <c r="AN704">
        <v>251.95116615432025</v>
      </c>
      <c r="AO704">
        <v>86.5996486468363</v>
      </c>
      <c r="AP704">
        <v>660.32618622555231</v>
      </c>
      <c r="AQ704">
        <v>466.81472083668586</v>
      </c>
      <c r="AR704">
        <v>77.300298449229999</v>
      </c>
      <c r="AS704">
        <v>639.25327142057097</v>
      </c>
      <c r="AT704">
        <v>39.509769316201606</v>
      </c>
      <c r="AU704">
        <v>56.841633654158201</v>
      </c>
      <c r="AV704"/>
      <c r="AW704"/>
      <c r="FY704" s="211">
        <v>699</v>
      </c>
      <c r="FZ704">
        <v>20.604625732710261</v>
      </c>
      <c r="GA704">
        <v>52.668391463738331</v>
      </c>
      <c r="GB704">
        <v>60.084412054503979</v>
      </c>
      <c r="GC704">
        <v>36.865227142711788</v>
      </c>
      <c r="GD704">
        <v>21.377361347933135</v>
      </c>
      <c r="GE704">
        <v>44.161780013891949</v>
      </c>
      <c r="GF704">
        <v>73.351891613534477</v>
      </c>
      <c r="GG704">
        <v>54.603533607105575</v>
      </c>
      <c r="GH704">
        <v>23.098057354623343</v>
      </c>
      <c r="GI704">
        <v>49.967411462145208</v>
      </c>
      <c r="GJ704"/>
      <c r="GK704"/>
      <c r="GL704"/>
      <c r="GM704"/>
    </row>
    <row r="705" spans="1:195" s="7" customFormat="1">
      <c r="A705" s="4"/>
      <c r="B705" s="4"/>
      <c r="C705" s="105"/>
      <c r="D705" s="4"/>
      <c r="E705" s="4"/>
      <c r="F705" s="28"/>
      <c r="G705" s="28"/>
      <c r="H705" s="83"/>
      <c r="I705" s="4"/>
      <c r="J705" s="4"/>
      <c r="K705" s="4"/>
      <c r="L705" s="4"/>
      <c r="M705" s="4"/>
      <c r="N705" s="28"/>
      <c r="O705" s="4"/>
      <c r="P705" s="4"/>
      <c r="Q705" s="4"/>
      <c r="R705" s="4"/>
      <c r="S705" s="4"/>
      <c r="T705" s="4"/>
      <c r="U705" s="4"/>
      <c r="V705" s="4"/>
      <c r="W705" s="4"/>
      <c r="X705" s="4"/>
      <c r="Y705" s="4"/>
      <c r="Z705" s="4"/>
      <c r="AA705" s="4"/>
      <c r="AB705" s="4"/>
      <c r="AC705" s="4"/>
      <c r="AD705" s="4"/>
      <c r="AE705" s="4"/>
      <c r="AF705" s="81"/>
      <c r="AG705" s="81"/>
      <c r="AH705" s="81"/>
      <c r="AI705" s="4"/>
      <c r="AJ705" s="81"/>
      <c r="AK705" s="81"/>
      <c r="AL705" s="81"/>
      <c r="AM705" s="43">
        <v>689</v>
      </c>
      <c r="AN705">
        <v>246.73360288879681</v>
      </c>
      <c r="AO705">
        <v>83.746067046963077</v>
      </c>
      <c r="AP705">
        <v>653.06208940104113</v>
      </c>
      <c r="AQ705">
        <v>468.60924391935799</v>
      </c>
      <c r="AR705">
        <v>74.793759272185667</v>
      </c>
      <c r="AS705">
        <v>590.33156283192852</v>
      </c>
      <c r="AT705">
        <v>38.598380834991232</v>
      </c>
      <c r="AU705">
        <v>24.967702805768411</v>
      </c>
      <c r="AV705"/>
      <c r="AW705"/>
      <c r="FY705" s="211">
        <v>700</v>
      </c>
      <c r="FZ705">
        <v>28.98323026281918</v>
      </c>
      <c r="GA705">
        <v>79.925847779324087</v>
      </c>
      <c r="GB705">
        <v>68.810214307153373</v>
      </c>
      <c r="GC705">
        <v>41.902204404681108</v>
      </c>
      <c r="GD705">
        <v>23.275576174778951</v>
      </c>
      <c r="GE705">
        <v>37.842230006926933</v>
      </c>
      <c r="GF705">
        <v>85.813366478164554</v>
      </c>
      <c r="GG705">
        <v>57.545160578727526</v>
      </c>
      <c r="GH705">
        <v>8.6308746367546583</v>
      </c>
      <c r="GI705">
        <v>56.154031367344658</v>
      </c>
      <c r="GJ705"/>
      <c r="GK705"/>
      <c r="GL705"/>
      <c r="GM705"/>
    </row>
    <row r="706" spans="1:195" s="7" customFormat="1">
      <c r="A706" s="4"/>
      <c r="B706" s="4"/>
      <c r="C706" s="105"/>
      <c r="D706" s="4"/>
      <c r="E706" s="4"/>
      <c r="F706" s="28"/>
      <c r="G706" s="28"/>
      <c r="H706" s="83"/>
      <c r="I706" s="4"/>
      <c r="J706" s="4"/>
      <c r="K706" s="4"/>
      <c r="L706" s="4"/>
      <c r="M706" s="4"/>
      <c r="N706" s="28"/>
      <c r="O706" s="4"/>
      <c r="P706" s="4"/>
      <c r="Q706" s="4"/>
      <c r="R706" s="4"/>
      <c r="S706" s="4"/>
      <c r="T706" s="4"/>
      <c r="U706" s="4"/>
      <c r="V706" s="4"/>
      <c r="W706" s="4"/>
      <c r="X706" s="4"/>
      <c r="Y706" s="4"/>
      <c r="Z706" s="4"/>
      <c r="AA706" s="4"/>
      <c r="AB706" s="4"/>
      <c r="AC706" s="4"/>
      <c r="AD706" s="4"/>
      <c r="AE706" s="4"/>
      <c r="AF706" s="81"/>
      <c r="AG706" s="81"/>
      <c r="AH706" s="81"/>
      <c r="AI706" s="4"/>
      <c r="AJ706" s="81"/>
      <c r="AK706" s="81"/>
      <c r="AL706" s="81"/>
      <c r="AM706" s="43">
        <v>690</v>
      </c>
      <c r="AN706">
        <v>273.44658877402304</v>
      </c>
      <c r="AO706">
        <v>97.485710858191297</v>
      </c>
      <c r="AP706">
        <v>769.3150717945648</v>
      </c>
      <c r="AQ706">
        <v>564.40590394258481</v>
      </c>
      <c r="AR706">
        <v>89.479564797554858</v>
      </c>
      <c r="AS706">
        <v>732.96203437203826</v>
      </c>
      <c r="AT706">
        <v>46.764062132578694</v>
      </c>
      <c r="AU706">
        <v>96.465375212981499</v>
      </c>
      <c r="AV706"/>
      <c r="AW706"/>
      <c r="FY706" s="211">
        <v>701</v>
      </c>
      <c r="FZ706">
        <v>27.069390966569514</v>
      </c>
      <c r="GA706">
        <v>60.086906612333053</v>
      </c>
      <c r="GB706">
        <v>58.063725421232434</v>
      </c>
      <c r="GC706">
        <v>35.505952716061813</v>
      </c>
      <c r="GD706">
        <v>16.828486556664142</v>
      </c>
      <c r="GE706">
        <v>32.487370016614783</v>
      </c>
      <c r="GF706">
        <v>57.10842703165158</v>
      </c>
      <c r="GG706">
        <v>26.427313938588664</v>
      </c>
      <c r="GH706">
        <v>1.6897838651337942</v>
      </c>
      <c r="GI706">
        <v>40.769310960908228</v>
      </c>
      <c r="GJ706"/>
      <c r="GK706"/>
      <c r="GL706"/>
      <c r="GM706"/>
    </row>
    <row r="707" spans="1:195" s="7" customFormat="1">
      <c r="A707" s="4"/>
      <c r="B707" s="4"/>
      <c r="C707" s="105"/>
      <c r="D707" s="4"/>
      <c r="E707" s="4"/>
      <c r="F707" s="28"/>
      <c r="G707" s="28"/>
      <c r="H707" s="83"/>
      <c r="I707" s="4"/>
      <c r="J707" s="4"/>
      <c r="K707" s="4"/>
      <c r="L707" s="4"/>
      <c r="M707" s="4"/>
      <c r="N707" s="28"/>
      <c r="O707" s="4"/>
      <c r="P707" s="4"/>
      <c r="Q707" s="4"/>
      <c r="R707" s="4"/>
      <c r="S707" s="4"/>
      <c r="T707" s="4"/>
      <c r="U707" s="4"/>
      <c r="V707" s="4"/>
      <c r="W707" s="4"/>
      <c r="X707" s="4"/>
      <c r="Y707" s="4"/>
      <c r="Z707" s="4"/>
      <c r="AA707" s="4"/>
      <c r="AB707" s="4"/>
      <c r="AC707" s="4"/>
      <c r="AD707" s="4"/>
      <c r="AE707" s="4"/>
      <c r="AF707" s="81"/>
      <c r="AG707" s="81"/>
      <c r="AH707" s="81"/>
      <c r="AI707" s="4"/>
      <c r="AJ707" s="81"/>
      <c r="AK707" s="81"/>
      <c r="AL707" s="81"/>
      <c r="AM707" s="43">
        <v>691</v>
      </c>
      <c r="AN707">
        <v>229.06710013859515</v>
      </c>
      <c r="AO707">
        <v>95.547444095007521</v>
      </c>
      <c r="AP707">
        <v>746.82472674943415</v>
      </c>
      <c r="AQ707">
        <v>520.27303992550912</v>
      </c>
      <c r="AR707">
        <v>87.014509368979574</v>
      </c>
      <c r="AS707">
        <v>656.33356051374517</v>
      </c>
      <c r="AT707">
        <v>46.295474884923742</v>
      </c>
      <c r="AU707">
        <v>10.35437864568862</v>
      </c>
      <c r="AV707"/>
      <c r="AW707"/>
      <c r="FY707" s="211">
        <v>702</v>
      </c>
      <c r="FZ707">
        <v>17.675583412857851</v>
      </c>
      <c r="GA707">
        <v>49.135076047530475</v>
      </c>
      <c r="GB707">
        <v>71.632493300818552</v>
      </c>
      <c r="GC707">
        <v>38.418379046264135</v>
      </c>
      <c r="GD707">
        <v>17.532538688274332</v>
      </c>
      <c r="GE707">
        <v>37.738845547481581</v>
      </c>
      <c r="GF707">
        <v>63.098150446963174</v>
      </c>
      <c r="GG707">
        <v>47.395730659471255</v>
      </c>
      <c r="GH707">
        <v>15.856079675209459</v>
      </c>
      <c r="GI707">
        <v>47.146383677469373</v>
      </c>
      <c r="GJ707"/>
      <c r="GK707"/>
      <c r="GL707"/>
      <c r="GM707"/>
    </row>
    <row r="708" spans="1:195" s="7" customFormat="1">
      <c r="A708" s="4"/>
      <c r="B708" s="4"/>
      <c r="C708" s="105"/>
      <c r="D708" s="4"/>
      <c r="E708" s="4"/>
      <c r="F708" s="28"/>
      <c r="G708" s="28"/>
      <c r="H708" s="83"/>
      <c r="I708" s="4"/>
      <c r="J708" s="4"/>
      <c r="K708" s="4"/>
      <c r="L708" s="4"/>
      <c r="M708" s="4"/>
      <c r="N708" s="28"/>
      <c r="O708" s="4"/>
      <c r="P708" s="4"/>
      <c r="Q708" s="4"/>
      <c r="R708" s="4"/>
      <c r="S708" s="4"/>
      <c r="T708" s="4"/>
      <c r="U708" s="4"/>
      <c r="V708" s="4"/>
      <c r="W708" s="4"/>
      <c r="X708" s="4"/>
      <c r="Y708" s="4"/>
      <c r="Z708" s="4"/>
      <c r="AA708" s="4"/>
      <c r="AB708" s="4"/>
      <c r="AC708" s="4"/>
      <c r="AD708" s="4"/>
      <c r="AE708" s="4"/>
      <c r="AF708" s="81"/>
      <c r="AG708" s="81"/>
      <c r="AH708" s="81"/>
      <c r="AI708" s="4"/>
      <c r="AJ708" s="81"/>
      <c r="AK708" s="81"/>
      <c r="AL708" s="81"/>
      <c r="AM708" s="43">
        <v>692</v>
      </c>
      <c r="AN708">
        <v>238.46895296619886</v>
      </c>
      <c r="AO708">
        <v>68.974246028690018</v>
      </c>
      <c r="AP708">
        <v>525.77642523081533</v>
      </c>
      <c r="AQ708">
        <v>389.50653919410405</v>
      </c>
      <c r="AR708">
        <v>61.432488979132181</v>
      </c>
      <c r="AS708">
        <v>545.04516491422953</v>
      </c>
      <c r="AT708">
        <v>34.147867212025254</v>
      </c>
      <c r="AU708">
        <v>62.292046587385727</v>
      </c>
      <c r="AV708"/>
      <c r="AW708"/>
      <c r="FY708" s="211">
        <v>703</v>
      </c>
      <c r="FZ708">
        <v>26.024627437270766</v>
      </c>
      <c r="GA708">
        <v>51.242821142181953</v>
      </c>
      <c r="GB708">
        <v>82.591583784729011</v>
      </c>
      <c r="GC708">
        <v>50.858733227754634</v>
      </c>
      <c r="GD708">
        <v>15.504499245720126</v>
      </c>
      <c r="GE708">
        <v>30.547912594692932</v>
      </c>
      <c r="GF708">
        <v>73.629664249166652</v>
      </c>
      <c r="GG708">
        <v>46.062114369663746</v>
      </c>
      <c r="GH708">
        <v>9.1537142811832695</v>
      </c>
      <c r="GI708">
        <v>51.498623312069995</v>
      </c>
      <c r="GJ708"/>
      <c r="GK708"/>
      <c r="GL708"/>
      <c r="GM708"/>
    </row>
    <row r="709" spans="1:195" s="7" customFormat="1">
      <c r="A709" s="4"/>
      <c r="B709" s="4"/>
      <c r="C709" s="105"/>
      <c r="D709" s="4"/>
      <c r="E709" s="4"/>
      <c r="F709" s="28"/>
      <c r="G709" s="28"/>
      <c r="H709" s="83"/>
      <c r="I709" s="4"/>
      <c r="J709" s="4"/>
      <c r="K709" s="4"/>
      <c r="L709" s="4"/>
      <c r="M709" s="4"/>
      <c r="N709" s="28"/>
      <c r="O709" s="4"/>
      <c r="P709" s="4"/>
      <c r="Q709" s="4"/>
      <c r="R709" s="4"/>
      <c r="S709" s="4"/>
      <c r="T709" s="4"/>
      <c r="U709" s="4"/>
      <c r="V709" s="4"/>
      <c r="W709" s="4"/>
      <c r="X709" s="4"/>
      <c r="Y709" s="4"/>
      <c r="Z709" s="4"/>
      <c r="AA709" s="4"/>
      <c r="AB709" s="4"/>
      <c r="AC709" s="4"/>
      <c r="AD709" s="4"/>
      <c r="AE709" s="4"/>
      <c r="AF709" s="81"/>
      <c r="AG709" s="81"/>
      <c r="AH709" s="81"/>
      <c r="AI709" s="4"/>
      <c r="AJ709" s="81"/>
      <c r="AK709" s="81"/>
      <c r="AL709" s="81"/>
      <c r="AM709" s="43">
        <v>693</v>
      </c>
      <c r="AN709">
        <v>275.07031042415912</v>
      </c>
      <c r="AO709">
        <v>98.346466784146699</v>
      </c>
      <c r="AP709">
        <v>712.02678494934844</v>
      </c>
      <c r="AQ709">
        <v>532.51002687174275</v>
      </c>
      <c r="AR709">
        <v>86.384176285742797</v>
      </c>
      <c r="AS709">
        <v>711.8360357230614</v>
      </c>
      <c r="AT709">
        <v>47.752068253756441</v>
      </c>
      <c r="AU709">
        <v>99.291267766393048</v>
      </c>
      <c r="AV709"/>
      <c r="AW709"/>
      <c r="FY709" s="211">
        <v>704</v>
      </c>
      <c r="FZ709">
        <v>5.1827463949893637</v>
      </c>
      <c r="GA709">
        <v>39.091606745839343</v>
      </c>
      <c r="GB709">
        <v>54.942072807578555</v>
      </c>
      <c r="GC709">
        <v>31.631484909306902</v>
      </c>
      <c r="GD709">
        <v>15.018367199446661</v>
      </c>
      <c r="GE709">
        <v>46.453929616095493</v>
      </c>
      <c r="GF709">
        <v>61.238347078163358</v>
      </c>
      <c r="GG709">
        <v>16.179097108473204</v>
      </c>
      <c r="GH709">
        <v>13.226252607149327</v>
      </c>
      <c r="GI709">
        <v>38.561394940180634</v>
      </c>
      <c r="GJ709"/>
      <c r="GK709"/>
      <c r="GL709"/>
      <c r="GM709"/>
    </row>
    <row r="710" spans="1:195" s="7" customFormat="1">
      <c r="A710" s="4"/>
      <c r="B710" s="4"/>
      <c r="C710" s="105"/>
      <c r="D710" s="4"/>
      <c r="E710" s="4"/>
      <c r="F710" s="28"/>
      <c r="G710" s="28"/>
      <c r="H710" s="83"/>
      <c r="I710" s="4"/>
      <c r="J710" s="4"/>
      <c r="K710" s="4"/>
      <c r="L710" s="4"/>
      <c r="M710" s="4"/>
      <c r="N710" s="28"/>
      <c r="O710" s="4"/>
      <c r="P710" s="4"/>
      <c r="Q710" s="4"/>
      <c r="R710" s="4"/>
      <c r="S710" s="4"/>
      <c r="T710" s="4"/>
      <c r="U710" s="4"/>
      <c r="V710" s="4"/>
      <c r="W710" s="4"/>
      <c r="X710" s="4"/>
      <c r="Y710" s="4"/>
      <c r="Z710" s="4"/>
      <c r="AA710" s="4"/>
      <c r="AB710" s="4"/>
      <c r="AC710" s="4"/>
      <c r="AD710" s="4"/>
      <c r="AE710" s="4"/>
      <c r="AF710" s="81"/>
      <c r="AG710" s="81"/>
      <c r="AH710" s="81"/>
      <c r="AI710" s="4"/>
      <c r="AJ710" s="81"/>
      <c r="AK710" s="81"/>
      <c r="AL710" s="81"/>
      <c r="AM710" s="43">
        <v>694</v>
      </c>
      <c r="AN710">
        <v>266.46416882825247</v>
      </c>
      <c r="AO710">
        <v>79.161886117691353</v>
      </c>
      <c r="AP710">
        <v>537.61346889904962</v>
      </c>
      <c r="AQ710">
        <v>417.25158940893601</v>
      </c>
      <c r="AR710">
        <v>72.457989867884677</v>
      </c>
      <c r="AS710">
        <v>634.86504205129006</v>
      </c>
      <c r="AT710">
        <v>39.943025533689401</v>
      </c>
      <c r="AU710">
        <v>136.14794613837182</v>
      </c>
      <c r="AV710"/>
      <c r="AW710"/>
      <c r="FY710" s="211">
        <v>705</v>
      </c>
      <c r="FZ710">
        <v>13.494547767623315</v>
      </c>
      <c r="GA710">
        <v>55.633441201571664</v>
      </c>
      <c r="GB710">
        <v>70.727431539173935</v>
      </c>
      <c r="GC710">
        <v>44.836231709473545</v>
      </c>
      <c r="GD710">
        <v>25.876374569375184</v>
      </c>
      <c r="GE710">
        <v>57.738163477631446</v>
      </c>
      <c r="GF710">
        <v>70.320621739341419</v>
      </c>
      <c r="GG710">
        <v>22.210793096972942</v>
      </c>
      <c r="GH710">
        <v>8.7624108866319581</v>
      </c>
      <c r="GI710">
        <v>51.426808011812547</v>
      </c>
      <c r="GJ710"/>
      <c r="GK710"/>
      <c r="GL710"/>
      <c r="GM710"/>
    </row>
    <row r="711" spans="1:195" s="7" customFormat="1">
      <c r="A711" s="4"/>
      <c r="B711" s="4"/>
      <c r="C711" s="105"/>
      <c r="D711" s="4"/>
      <c r="E711" s="4"/>
      <c r="F711" s="28"/>
      <c r="G711" s="28"/>
      <c r="H711" s="83"/>
      <c r="I711" s="4"/>
      <c r="J711" s="4"/>
      <c r="K711" s="4"/>
      <c r="L711" s="4"/>
      <c r="M711" s="4"/>
      <c r="N711" s="28"/>
      <c r="O711" s="4"/>
      <c r="P711" s="4"/>
      <c r="Q711" s="4"/>
      <c r="R711" s="4"/>
      <c r="S711" s="4"/>
      <c r="T711" s="4"/>
      <c r="U711" s="4"/>
      <c r="V711" s="4"/>
      <c r="W711" s="4"/>
      <c r="X711" s="4"/>
      <c r="Y711" s="4"/>
      <c r="Z711" s="4"/>
      <c r="AA711" s="4"/>
      <c r="AB711" s="4"/>
      <c r="AC711" s="4"/>
      <c r="AD711" s="4"/>
      <c r="AE711" s="4"/>
      <c r="AF711" s="81"/>
      <c r="AG711" s="81"/>
      <c r="AH711" s="81"/>
      <c r="AI711" s="4"/>
      <c r="AJ711" s="81"/>
      <c r="AK711" s="81"/>
      <c r="AL711" s="81"/>
      <c r="AM711" s="43">
        <v>695</v>
      </c>
      <c r="AN711">
        <v>238.88765843897795</v>
      </c>
      <c r="AO711">
        <v>85.835510446313222</v>
      </c>
      <c r="AP711">
        <v>618.06031296154413</v>
      </c>
      <c r="AQ711">
        <v>461.13228775656472</v>
      </c>
      <c r="AR711">
        <v>79.309130430205997</v>
      </c>
      <c r="AS711">
        <v>648.74709978627016</v>
      </c>
      <c r="AT711">
        <v>43.408379743280733</v>
      </c>
      <c r="AU711">
        <v>39.601910776843631</v>
      </c>
      <c r="AV711"/>
      <c r="AW711"/>
      <c r="FY711" s="211">
        <v>706</v>
      </c>
      <c r="FZ711">
        <v>13.128649742259533</v>
      </c>
      <c r="GA711">
        <v>60.362171356098912</v>
      </c>
      <c r="GB711">
        <v>53.968718940003335</v>
      </c>
      <c r="GC711">
        <v>28.059226779086572</v>
      </c>
      <c r="GD711">
        <v>20.634355551096121</v>
      </c>
      <c r="GE711">
        <v>43.946990528046804</v>
      </c>
      <c r="GF711">
        <v>79.232511670431805</v>
      </c>
      <c r="GG711">
        <v>52.437797516331713</v>
      </c>
      <c r="GH711">
        <v>12.533546661075238</v>
      </c>
      <c r="GI711">
        <v>46.76051076718943</v>
      </c>
      <c r="GJ711"/>
      <c r="GK711"/>
      <c r="GL711"/>
      <c r="GM711"/>
    </row>
    <row r="712" spans="1:195" s="7" customFormat="1">
      <c r="A712" s="4"/>
      <c r="B712" s="4"/>
      <c r="C712" s="105"/>
      <c r="D712" s="4"/>
      <c r="E712" s="4"/>
      <c r="F712" s="28"/>
      <c r="G712" s="28"/>
      <c r="H712" s="83"/>
      <c r="I712" s="4"/>
      <c r="J712" s="4"/>
      <c r="K712" s="4"/>
      <c r="L712" s="4"/>
      <c r="M712" s="4"/>
      <c r="N712" s="28"/>
      <c r="O712" s="4"/>
      <c r="P712" s="4"/>
      <c r="Q712" s="4"/>
      <c r="R712" s="4"/>
      <c r="S712" s="4"/>
      <c r="T712" s="4"/>
      <c r="U712" s="4"/>
      <c r="V712" s="4"/>
      <c r="W712" s="4"/>
      <c r="X712" s="4"/>
      <c r="Y712" s="4"/>
      <c r="Z712" s="4"/>
      <c r="AA712" s="4"/>
      <c r="AB712" s="4"/>
      <c r="AC712" s="4"/>
      <c r="AD712" s="4"/>
      <c r="AE712" s="4"/>
      <c r="AF712" s="81"/>
      <c r="AG712" s="81"/>
      <c r="AH712" s="81"/>
      <c r="AI712" s="4"/>
      <c r="AJ712" s="81"/>
      <c r="AK712" s="81"/>
      <c r="AL712" s="81"/>
      <c r="AM712" s="43">
        <v>696</v>
      </c>
      <c r="AN712">
        <v>250.82571391315884</v>
      </c>
      <c r="AO712">
        <v>80.198167908289221</v>
      </c>
      <c r="AP712">
        <v>596.47445049089924</v>
      </c>
      <c r="AQ712">
        <v>435.77060543241925</v>
      </c>
      <c r="AR712">
        <v>74.073013189043905</v>
      </c>
      <c r="AS712">
        <v>598.98985436356861</v>
      </c>
      <c r="AT712">
        <v>40.064846768894355</v>
      </c>
      <c r="AU712">
        <v>35.555644610103457</v>
      </c>
      <c r="AV712"/>
      <c r="AW712"/>
      <c r="FY712" s="211">
        <v>707</v>
      </c>
      <c r="FZ712">
        <v>26.310336153171249</v>
      </c>
      <c r="GA712">
        <v>72.670228578004341</v>
      </c>
      <c r="GB712">
        <v>89.963812498863348</v>
      </c>
      <c r="GC712">
        <v>49.217966443787667</v>
      </c>
      <c r="GD712">
        <v>16.062502763630274</v>
      </c>
      <c r="GE712">
        <v>29.991377116991742</v>
      </c>
      <c r="GF712">
        <v>41.172637924613142</v>
      </c>
      <c r="GG712">
        <v>28.340009883191797</v>
      </c>
      <c r="GH712">
        <v>22.695057455674913</v>
      </c>
      <c r="GI712">
        <v>48.287184777257643</v>
      </c>
      <c r="GJ712"/>
      <c r="GK712"/>
      <c r="GL712"/>
      <c r="GM712"/>
    </row>
    <row r="713" spans="1:195" s="7" customFormat="1">
      <c r="A713" s="4"/>
      <c r="B713" s="4"/>
      <c r="C713" s="105"/>
      <c r="D713" s="4"/>
      <c r="E713" s="4"/>
      <c r="F713" s="28"/>
      <c r="G713" s="28"/>
      <c r="H713" s="83"/>
      <c r="I713" s="4"/>
      <c r="J713" s="4"/>
      <c r="K713" s="4"/>
      <c r="L713" s="4"/>
      <c r="M713" s="4"/>
      <c r="N713" s="28"/>
      <c r="O713" s="4"/>
      <c r="P713" s="4"/>
      <c r="Q713" s="4"/>
      <c r="R713" s="4"/>
      <c r="S713" s="4"/>
      <c r="T713" s="4"/>
      <c r="U713" s="4"/>
      <c r="V713" s="4"/>
      <c r="W713" s="4"/>
      <c r="X713" s="4"/>
      <c r="Y713" s="4"/>
      <c r="Z713" s="4"/>
      <c r="AA713" s="4"/>
      <c r="AB713" s="4"/>
      <c r="AC713" s="4"/>
      <c r="AD713" s="4"/>
      <c r="AE713" s="4"/>
      <c r="AF713" s="81"/>
      <c r="AG713" s="81"/>
      <c r="AH713" s="81"/>
      <c r="AI713" s="4"/>
      <c r="AJ713" s="81"/>
      <c r="AK713" s="81"/>
      <c r="AL713" s="81"/>
      <c r="AM713" s="43">
        <v>697</v>
      </c>
      <c r="AN713">
        <v>250.35109723307227</v>
      </c>
      <c r="AO713">
        <v>89.635292438362114</v>
      </c>
      <c r="AP713">
        <v>633.93299413184855</v>
      </c>
      <c r="AQ713">
        <v>473.21000475973074</v>
      </c>
      <c r="AR713">
        <v>81.416776496667296</v>
      </c>
      <c r="AS713">
        <v>695.7283681256306</v>
      </c>
      <c r="AT713">
        <v>44.54389825421395</v>
      </c>
      <c r="AU713">
        <v>38.552210627055537</v>
      </c>
      <c r="AV713"/>
      <c r="AW713"/>
      <c r="FY713" s="211">
        <v>708</v>
      </c>
      <c r="FZ713">
        <v>15.712033801901095</v>
      </c>
      <c r="GA713">
        <v>59.681421836015588</v>
      </c>
      <c r="GB713">
        <v>86.640483423852174</v>
      </c>
      <c r="GC713">
        <v>49.384088933446343</v>
      </c>
      <c r="GD713">
        <v>16.053301880290775</v>
      </c>
      <c r="GE713">
        <v>36.027031318304793</v>
      </c>
      <c r="GF713">
        <v>76.652887920328581</v>
      </c>
      <c r="GG713">
        <v>53.20374680414163</v>
      </c>
      <c r="GH713">
        <v>29.534466648520606</v>
      </c>
      <c r="GI713">
        <v>54.145594164186569</v>
      </c>
      <c r="GJ713"/>
      <c r="GK713"/>
      <c r="GL713"/>
      <c r="GM713"/>
    </row>
    <row r="714" spans="1:195" s="7" customFormat="1">
      <c r="A714" s="4"/>
      <c r="B714" s="4"/>
      <c r="C714" s="105"/>
      <c r="D714" s="4"/>
      <c r="E714" s="4"/>
      <c r="F714" s="28"/>
      <c r="G714" s="28"/>
      <c r="H714" s="83"/>
      <c r="I714" s="4"/>
      <c r="J714" s="4"/>
      <c r="K714" s="4"/>
      <c r="L714" s="4"/>
      <c r="M714" s="4"/>
      <c r="N714" s="28"/>
      <c r="O714" s="4"/>
      <c r="P714" s="4"/>
      <c r="Q714" s="4"/>
      <c r="R714" s="4"/>
      <c r="S714" s="4"/>
      <c r="T714" s="4"/>
      <c r="U714" s="4"/>
      <c r="V714" s="4"/>
      <c r="W714" s="4"/>
      <c r="X714" s="4"/>
      <c r="Y714" s="4"/>
      <c r="Z714" s="4"/>
      <c r="AA714" s="4"/>
      <c r="AB714" s="4"/>
      <c r="AC714" s="4"/>
      <c r="AD714" s="4"/>
      <c r="AE714" s="4"/>
      <c r="AF714" s="81"/>
      <c r="AG714" s="81"/>
      <c r="AH714" s="81"/>
      <c r="AI714" s="4"/>
      <c r="AJ714" s="81"/>
      <c r="AK714" s="81"/>
      <c r="AL714" s="81"/>
      <c r="AM714" s="43">
        <v>698</v>
      </c>
      <c r="AN714">
        <v>281.39901774969121</v>
      </c>
      <c r="AO714">
        <v>107.68316659090765</v>
      </c>
      <c r="AP714">
        <v>795.58992626036957</v>
      </c>
      <c r="AQ714">
        <v>563.91180614835491</v>
      </c>
      <c r="AR714">
        <v>97.881883632706703</v>
      </c>
      <c r="AS714">
        <v>770.74575458477102</v>
      </c>
      <c r="AT714">
        <v>53.558899800755817</v>
      </c>
      <c r="AU714">
        <v>130.82347082980786</v>
      </c>
      <c r="AV714"/>
      <c r="AW714"/>
      <c r="FY714" s="211">
        <v>709</v>
      </c>
      <c r="FZ714">
        <v>11.460638813614942</v>
      </c>
      <c r="GA714">
        <v>41.446738525416563</v>
      </c>
      <c r="GB714">
        <v>70.915336285394659</v>
      </c>
      <c r="GC714">
        <v>48.608197039894272</v>
      </c>
      <c r="GD714">
        <v>25.704184790340197</v>
      </c>
      <c r="GE714">
        <v>46.112313873630931</v>
      </c>
      <c r="GF714">
        <v>61.313353459908058</v>
      </c>
      <c r="GG714">
        <v>49.458547742036608</v>
      </c>
      <c r="GH714">
        <v>36.167609921619757</v>
      </c>
      <c r="GI714">
        <v>53.68828047865788</v>
      </c>
      <c r="GJ714"/>
      <c r="GK714"/>
      <c r="GL714"/>
      <c r="GM714"/>
    </row>
    <row r="715" spans="1:195" s="7" customFormat="1">
      <c r="A715" s="4"/>
      <c r="B715" s="4"/>
      <c r="C715" s="105"/>
      <c r="D715" s="4"/>
      <c r="E715" s="4"/>
      <c r="F715" s="28"/>
      <c r="G715" s="28"/>
      <c r="H715" s="83"/>
      <c r="I715" s="4"/>
      <c r="J715" s="4"/>
      <c r="K715" s="4"/>
      <c r="L715" s="4"/>
      <c r="M715" s="4"/>
      <c r="N715" s="28"/>
      <c r="O715" s="4"/>
      <c r="P715" s="4"/>
      <c r="Q715" s="4"/>
      <c r="R715" s="4"/>
      <c r="S715" s="4"/>
      <c r="T715" s="4"/>
      <c r="U715" s="4"/>
      <c r="V715" s="4"/>
      <c r="W715" s="4"/>
      <c r="X715" s="4"/>
      <c r="Y715" s="4"/>
      <c r="Z715" s="4"/>
      <c r="AA715" s="4"/>
      <c r="AB715" s="4"/>
      <c r="AC715" s="4"/>
      <c r="AD715" s="4"/>
      <c r="AE715" s="4"/>
      <c r="AF715" s="81"/>
      <c r="AG715" s="81"/>
      <c r="AH715" s="81"/>
      <c r="AI715" s="4"/>
      <c r="AJ715" s="81"/>
      <c r="AK715" s="81"/>
      <c r="AL715" s="81"/>
      <c r="AM715" s="43">
        <v>699</v>
      </c>
      <c r="AN715">
        <v>245.11426978423023</v>
      </c>
      <c r="AO715">
        <v>79.119682023309295</v>
      </c>
      <c r="AP715">
        <v>571.77277521710766</v>
      </c>
      <c r="AQ715">
        <v>436.78269179289805</v>
      </c>
      <c r="AR715">
        <v>71.580842594556444</v>
      </c>
      <c r="AS715">
        <v>576.87634243161449</v>
      </c>
      <c r="AT715" t="e">
        <v>#DIV/0!</v>
      </c>
      <c r="AU715" t="e">
        <v>#DIV/0!</v>
      </c>
      <c r="AV715"/>
      <c r="AW715"/>
      <c r="FY715" s="211">
        <v>710</v>
      </c>
      <c r="FZ715">
        <v>12.314722087595918</v>
      </c>
      <c r="GA715">
        <v>53.677787191754824</v>
      </c>
      <c r="GB715">
        <v>80.761447592218943</v>
      </c>
      <c r="GC715">
        <v>49.135064134885482</v>
      </c>
      <c r="GD715">
        <v>23.092221072149627</v>
      </c>
      <c r="GE715">
        <v>47.138322889824657</v>
      </c>
      <c r="GF715">
        <v>105.65890037314584</v>
      </c>
      <c r="GG715">
        <v>80.055654775364957</v>
      </c>
      <c r="GH715">
        <v>30.022946612283878</v>
      </c>
      <c r="GI715">
        <v>62.962348506961561</v>
      </c>
      <c r="GJ715"/>
      <c r="GK715"/>
      <c r="GL715"/>
      <c r="GM715"/>
    </row>
    <row r="716" spans="1:195" s="7" customFormat="1">
      <c r="A716" s="4"/>
      <c r="B716" s="4"/>
      <c r="C716" s="105"/>
      <c r="D716" s="4"/>
      <c r="E716" s="4"/>
      <c r="F716" s="28"/>
      <c r="G716" s="28"/>
      <c r="H716" s="83"/>
      <c r="I716" s="4"/>
      <c r="J716" s="4"/>
      <c r="K716" s="4"/>
      <c r="L716" s="4"/>
      <c r="M716" s="4"/>
      <c r="N716" s="28"/>
      <c r="O716" s="4"/>
      <c r="P716" s="4"/>
      <c r="Q716" s="4"/>
      <c r="R716" s="4"/>
      <c r="S716" s="4"/>
      <c r="T716" s="4"/>
      <c r="U716" s="4"/>
      <c r="V716" s="4"/>
      <c r="W716" s="4"/>
      <c r="X716" s="4"/>
      <c r="Y716" s="4"/>
      <c r="Z716" s="4"/>
      <c r="AA716" s="4"/>
      <c r="AB716" s="4"/>
      <c r="AC716" s="4"/>
      <c r="AD716" s="4"/>
      <c r="AE716" s="4"/>
      <c r="AF716" s="81"/>
      <c r="AG716" s="81"/>
      <c r="AH716" s="81"/>
      <c r="AI716" s="4"/>
      <c r="AJ716" s="81"/>
      <c r="AK716" s="81"/>
      <c r="AL716" s="81"/>
      <c r="AM716" s="43">
        <v>700</v>
      </c>
      <c r="AN716">
        <v>285.16536037677099</v>
      </c>
      <c r="AO716">
        <v>90.778778651523083</v>
      </c>
      <c r="AP716">
        <v>679.36910529552938</v>
      </c>
      <c r="AQ716">
        <v>488.88273599667497</v>
      </c>
      <c r="AR716">
        <v>82.179446235586468</v>
      </c>
      <c r="AS716">
        <v>668.75324242138288</v>
      </c>
      <c r="AT716">
        <v>42.471077912619371</v>
      </c>
      <c r="AU716">
        <v>43.862438244053784</v>
      </c>
      <c r="AV716"/>
      <c r="AW716"/>
      <c r="FY716" s="211">
        <v>711</v>
      </c>
      <c r="FZ716">
        <v>5.1076775508773267</v>
      </c>
      <c r="GA716">
        <v>49.163087414369187</v>
      </c>
      <c r="GB716">
        <v>70.770938017065163</v>
      </c>
      <c r="GC716">
        <v>42.207579920445468</v>
      </c>
      <c r="GD716">
        <v>19.322642156635624</v>
      </c>
      <c r="GE716">
        <v>28.106104968122132</v>
      </c>
      <c r="GF716">
        <v>85.599274802233197</v>
      </c>
      <c r="GG716">
        <v>91.638372843204039</v>
      </c>
      <c r="GH716">
        <v>45.162040067547025</v>
      </c>
      <c r="GI716">
        <v>55.387909010852923</v>
      </c>
      <c r="GJ716"/>
      <c r="GK716"/>
      <c r="GL716"/>
      <c r="GM716"/>
    </row>
    <row r="717" spans="1:195" s="7" customFormat="1">
      <c r="A717" s="4"/>
      <c r="B717" s="4"/>
      <c r="C717" s="105"/>
      <c r="D717" s="4"/>
      <c r="E717" s="4"/>
      <c r="F717" s="28"/>
      <c r="G717" s="28"/>
      <c r="H717" s="83"/>
      <c r="I717" s="4"/>
      <c r="J717" s="4"/>
      <c r="K717" s="4"/>
      <c r="L717" s="4"/>
      <c r="M717" s="4"/>
      <c r="N717" s="28"/>
      <c r="O717" s="4"/>
      <c r="P717" s="4"/>
      <c r="Q717" s="4"/>
      <c r="R717" s="4"/>
      <c r="S717" s="4"/>
      <c r="T717" s="4"/>
      <c r="U717" s="4"/>
      <c r="V717" s="4"/>
      <c r="W717" s="4"/>
      <c r="X717" s="4"/>
      <c r="Y717" s="4"/>
      <c r="Z717" s="4"/>
      <c r="AA717" s="4"/>
      <c r="AB717" s="4"/>
      <c r="AC717" s="4"/>
      <c r="AD717" s="4"/>
      <c r="AE717" s="4"/>
      <c r="AF717" s="81"/>
      <c r="AG717" s="81"/>
      <c r="AH717" s="81"/>
      <c r="AI717" s="4"/>
      <c r="AJ717" s="81"/>
      <c r="AK717" s="81"/>
      <c r="AL717" s="81"/>
      <c r="AM717" s="43">
        <v>701</v>
      </c>
      <c r="AN717">
        <v>243.22571402454324</v>
      </c>
      <c r="AO717">
        <v>63.953302884170022</v>
      </c>
      <c r="AP717">
        <v>463.65346421653015</v>
      </c>
      <c r="AQ717">
        <v>356.03666808575798</v>
      </c>
      <c r="AR717">
        <v>57.69431232511301</v>
      </c>
      <c r="AS717">
        <v>506.89279031839646</v>
      </c>
      <c r="AT717">
        <v>30.82680171275317</v>
      </c>
      <c r="AU717">
        <v>31.441813454844194</v>
      </c>
      <c r="AV717"/>
      <c r="AW717"/>
      <c r="FY717" s="211">
        <v>712</v>
      </c>
      <c r="FZ717">
        <v>7.958340835582046</v>
      </c>
      <c r="GA717">
        <v>30.347002324959565</v>
      </c>
      <c r="GB717">
        <v>79.805857377868833</v>
      </c>
      <c r="GC717">
        <v>50.826673268588934</v>
      </c>
      <c r="GD717">
        <v>26.380322990931361</v>
      </c>
      <c r="GE717">
        <v>60.089819859217933</v>
      </c>
      <c r="GF717">
        <v>65.276266932370916</v>
      </c>
      <c r="GG717">
        <v>51.722754906751213</v>
      </c>
      <c r="GH717">
        <v>46.00865964963306</v>
      </c>
      <c r="GI717">
        <v>58.111644210109802</v>
      </c>
      <c r="GJ717"/>
      <c r="GK717"/>
      <c r="GL717"/>
      <c r="GM717"/>
    </row>
    <row r="718" spans="1:195" s="7" customFormat="1">
      <c r="A718" s="4"/>
      <c r="B718" s="4"/>
      <c r="C718" s="105"/>
      <c r="D718" s="4"/>
      <c r="E718" s="4"/>
      <c r="F718" s="28"/>
      <c r="G718" s="28"/>
      <c r="H718" s="83"/>
      <c r="I718" s="4"/>
      <c r="J718" s="4"/>
      <c r="K718" s="4"/>
      <c r="L718" s="4"/>
      <c r="M718" s="4"/>
      <c r="N718" s="28"/>
      <c r="O718" s="4"/>
      <c r="P718" s="4"/>
      <c r="Q718" s="4"/>
      <c r="R718" s="4"/>
      <c r="S718" s="4"/>
      <c r="T718" s="4"/>
      <c r="U718" s="4"/>
      <c r="V718" s="4"/>
      <c r="W718" s="4"/>
      <c r="X718" s="4"/>
      <c r="Y718" s="4"/>
      <c r="Z718" s="4"/>
      <c r="AA718" s="4"/>
      <c r="AB718" s="4"/>
      <c r="AC718" s="4"/>
      <c r="AD718" s="4"/>
      <c r="AE718" s="4"/>
      <c r="AF718" s="81"/>
      <c r="AG718" s="81"/>
      <c r="AH718" s="81"/>
      <c r="AI718" s="4"/>
      <c r="AJ718" s="81"/>
      <c r="AK718" s="81"/>
      <c r="AL718" s="81"/>
      <c r="AM718" s="43">
        <v>702</v>
      </c>
      <c r="AN718">
        <v>223.06616655993071</v>
      </c>
      <c r="AO718">
        <v>74.625838583092488</v>
      </c>
      <c r="AP718">
        <v>545.54207266949095</v>
      </c>
      <c r="AQ718">
        <v>405.62926050234023</v>
      </c>
      <c r="AR718">
        <v>67.995630356862108</v>
      </c>
      <c r="AS718">
        <v>537.37554902088596</v>
      </c>
      <c r="AT718">
        <v>34.034361962916613</v>
      </c>
      <c r="AU718">
        <v>52.824582804635554</v>
      </c>
      <c r="AV718"/>
      <c r="AW718"/>
      <c r="FY718" s="211">
        <v>713</v>
      </c>
      <c r="FZ718">
        <v>7.7498458968223556</v>
      </c>
      <c r="GA718">
        <v>42.232618707771778</v>
      </c>
      <c r="GB718">
        <v>78.917595313931528</v>
      </c>
      <c r="GC718">
        <v>45.188255445583508</v>
      </c>
      <c r="GD718">
        <v>19.570131077392993</v>
      </c>
      <c r="GE718">
        <v>46.198391528170127</v>
      </c>
      <c r="GF718">
        <v>60.854323620048078</v>
      </c>
      <c r="GG718">
        <v>24.804487274832095</v>
      </c>
      <c r="GH718">
        <v>7.9728971906780384</v>
      </c>
      <c r="GI718">
        <v>47.193328757488963</v>
      </c>
      <c r="GJ718"/>
      <c r="GK718"/>
      <c r="GL718"/>
      <c r="GM718"/>
    </row>
    <row r="719" spans="1:195" s="7" customFormat="1">
      <c r="A719" s="4"/>
      <c r="B719" s="4"/>
      <c r="C719" s="105"/>
      <c r="D719" s="4"/>
      <c r="E719" s="4"/>
      <c r="F719" s="28"/>
      <c r="G719" s="28"/>
      <c r="H719" s="83"/>
      <c r="I719" s="4"/>
      <c r="J719" s="4"/>
      <c r="K719" s="4"/>
      <c r="L719" s="4"/>
      <c r="M719" s="4"/>
      <c r="N719" s="28"/>
      <c r="O719" s="4"/>
      <c r="P719" s="4"/>
      <c r="Q719" s="4"/>
      <c r="R719" s="4"/>
      <c r="S719" s="4"/>
      <c r="T719" s="4"/>
      <c r="U719" s="4"/>
      <c r="V719" s="4"/>
      <c r="W719" s="4"/>
      <c r="X719" s="4"/>
      <c r="Y719" s="4"/>
      <c r="Z719" s="4"/>
      <c r="AA719" s="4"/>
      <c r="AB719" s="4"/>
      <c r="AC719" s="4"/>
      <c r="AD719" s="4"/>
      <c r="AE719" s="4"/>
      <c r="AF719" s="81"/>
      <c r="AG719" s="81"/>
      <c r="AH719" s="81"/>
      <c r="AI719" s="4"/>
      <c r="AJ719" s="81"/>
      <c r="AK719" s="81"/>
      <c r="AL719" s="81"/>
      <c r="AM719" s="43">
        <v>703</v>
      </c>
      <c r="AN719">
        <v>243.3910116798582</v>
      </c>
      <c r="AO719">
        <v>82.719221549632195</v>
      </c>
      <c r="AP719">
        <v>614.44482109633157</v>
      </c>
      <c r="AQ719">
        <v>437.11429364443308</v>
      </c>
      <c r="AR719">
        <v>74.555566101767226</v>
      </c>
      <c r="AS719">
        <v>588.64844833807285</v>
      </c>
      <c r="AT719" t="e">
        <v>#DIV/0!</v>
      </c>
      <c r="AU719" t="e">
        <v>#DIV/0!</v>
      </c>
      <c r="AV719"/>
      <c r="AW719"/>
      <c r="FY719" s="211">
        <v>714</v>
      </c>
      <c r="FZ719">
        <v>18.384375016799133</v>
      </c>
      <c r="GA719">
        <v>46.47480074571132</v>
      </c>
      <c r="GB719">
        <v>64.645162082969463</v>
      </c>
      <c r="GC719">
        <v>37.796953026999589</v>
      </c>
      <c r="GD719">
        <v>23.564559949835346</v>
      </c>
      <c r="GE719">
        <v>59.75418377478362</v>
      </c>
      <c r="GF719">
        <v>85.730236274614555</v>
      </c>
      <c r="GG719">
        <v>66.744345253393931</v>
      </c>
      <c r="GH719">
        <v>39.55524861006311</v>
      </c>
      <c r="GI719">
        <v>57.28783204920019</v>
      </c>
      <c r="GJ719"/>
      <c r="GK719"/>
      <c r="GL719"/>
      <c r="GM719"/>
    </row>
    <row r="720" spans="1:195" s="7" customFormat="1">
      <c r="A720" s="4"/>
      <c r="B720" s="4"/>
      <c r="C720" s="105"/>
      <c r="D720" s="4"/>
      <c r="E720" s="4"/>
      <c r="F720" s="28"/>
      <c r="G720" s="28"/>
      <c r="H720" s="83"/>
      <c r="I720" s="4"/>
      <c r="J720" s="4"/>
      <c r="K720" s="4"/>
      <c r="L720" s="4"/>
      <c r="M720" s="4"/>
      <c r="N720" s="28"/>
      <c r="O720" s="4"/>
      <c r="P720" s="4"/>
      <c r="Q720" s="4"/>
      <c r="R720" s="4"/>
      <c r="S720" s="4"/>
      <c r="T720" s="4"/>
      <c r="U720" s="4"/>
      <c r="V720" s="4"/>
      <c r="W720" s="4"/>
      <c r="X720" s="4"/>
      <c r="Y720" s="4"/>
      <c r="Z720" s="4"/>
      <c r="AA720" s="4"/>
      <c r="AB720" s="4"/>
      <c r="AC720" s="4"/>
      <c r="AD720" s="4"/>
      <c r="AE720" s="4"/>
      <c r="AF720" s="81"/>
      <c r="AG720" s="81"/>
      <c r="AH720" s="81"/>
      <c r="AI720" s="4"/>
      <c r="AJ720" s="81"/>
      <c r="AK720" s="81"/>
      <c r="AL720" s="81"/>
      <c r="AM720" s="43">
        <v>704</v>
      </c>
      <c r="AN720">
        <v>261.18320820957427</v>
      </c>
      <c r="AO720">
        <v>60.355882114674479</v>
      </c>
      <c r="AP720">
        <v>419.07845981731049</v>
      </c>
      <c r="AQ720">
        <v>321.52529940722286</v>
      </c>
      <c r="AR720">
        <v>52.803401821659975</v>
      </c>
      <c r="AS720">
        <v>520.68208596582576</v>
      </c>
      <c r="AT720">
        <v>28.103178743936226</v>
      </c>
      <c r="AU720">
        <v>55.038711645732683</v>
      </c>
      <c r="AV720"/>
      <c r="AW720"/>
      <c r="FY720" s="211">
        <v>715</v>
      </c>
      <c r="FZ720">
        <v>20.503215387741886</v>
      </c>
      <c r="GA720">
        <v>55.648925022428614</v>
      </c>
      <c r="GB720">
        <v>106.53960717120655</v>
      </c>
      <c r="GC720">
        <v>63.439563686582829</v>
      </c>
      <c r="GD720">
        <v>28.452905479717398</v>
      </c>
      <c r="GE720">
        <v>61.641143475699387</v>
      </c>
      <c r="GF720">
        <v>77.487625156914874</v>
      </c>
      <c r="GG720">
        <v>50.289117949745894</v>
      </c>
      <c r="GH720">
        <v>29.126924798202168</v>
      </c>
      <c r="GI720">
        <v>69.02319206487897</v>
      </c>
      <c r="GJ720"/>
      <c r="GK720"/>
      <c r="GL720"/>
      <c r="GM720"/>
    </row>
    <row r="721" spans="1:195" s="7" customFormat="1">
      <c r="A721" s="4"/>
      <c r="B721" s="4"/>
      <c r="C721" s="105"/>
      <c r="D721" s="4"/>
      <c r="E721" s="4"/>
      <c r="F721" s="28"/>
      <c r="G721" s="28"/>
      <c r="H721" s="83"/>
      <c r="I721" s="4"/>
      <c r="J721" s="4"/>
      <c r="K721" s="4"/>
      <c r="L721" s="4"/>
      <c r="M721" s="4"/>
      <c r="N721" s="28"/>
      <c r="O721" s="4"/>
      <c r="P721" s="4"/>
      <c r="Q721" s="4"/>
      <c r="R721" s="4"/>
      <c r="S721" s="4"/>
      <c r="T721" s="4"/>
      <c r="U721" s="4"/>
      <c r="V721" s="4"/>
      <c r="W721" s="4"/>
      <c r="X721" s="4"/>
      <c r="Y721" s="4"/>
      <c r="Z721" s="4"/>
      <c r="AA721" s="4"/>
      <c r="AB721" s="4"/>
      <c r="AC721" s="4"/>
      <c r="AD721" s="4"/>
      <c r="AE721" s="4"/>
      <c r="AF721" s="81"/>
      <c r="AG721" s="81"/>
      <c r="AH721" s="81"/>
      <c r="AI721" s="4"/>
      <c r="AJ721" s="81"/>
      <c r="AK721" s="81"/>
      <c r="AL721" s="81"/>
      <c r="AM721" s="43">
        <v>705</v>
      </c>
      <c r="AN721">
        <v>261.47738346411279</v>
      </c>
      <c r="AO721">
        <v>80.378715855506044</v>
      </c>
      <c r="AP721">
        <v>527.11912345677445</v>
      </c>
      <c r="AQ721">
        <v>421.02682399960798</v>
      </c>
      <c r="AR721">
        <v>71.375476087160962</v>
      </c>
      <c r="AS721">
        <v>623.43710792328454</v>
      </c>
      <c r="AT721">
        <v>38.080224218839525</v>
      </c>
      <c r="AU721">
        <v>49.120153212271084</v>
      </c>
      <c r="AV721"/>
      <c r="AW721"/>
      <c r="FY721" s="211">
        <v>716</v>
      </c>
      <c r="FZ721">
        <v>14.029310878970474</v>
      </c>
      <c r="GA721">
        <v>43.364959371276569</v>
      </c>
      <c r="GB721">
        <v>65.974539466386958</v>
      </c>
      <c r="GC721">
        <v>35.270815130500161</v>
      </c>
      <c r="GD721">
        <v>16.239266024029323</v>
      </c>
      <c r="GE721">
        <v>50.555201527359749</v>
      </c>
      <c r="GF721">
        <v>90.032612553916252</v>
      </c>
      <c r="GG721">
        <v>48.665672571513724</v>
      </c>
      <c r="GH721">
        <v>14.60782806845889</v>
      </c>
      <c r="GI721">
        <v>49.28369292749106</v>
      </c>
      <c r="GJ721"/>
      <c r="GK721"/>
      <c r="GL721"/>
      <c r="GM721"/>
    </row>
    <row r="722" spans="1:195" s="7" customFormat="1">
      <c r="A722" s="4"/>
      <c r="B722" s="4"/>
      <c r="C722" s="105"/>
      <c r="D722" s="4"/>
      <c r="E722" s="4"/>
      <c r="F722" s="28"/>
      <c r="G722" s="28"/>
      <c r="H722" s="83"/>
      <c r="I722" s="4"/>
      <c r="J722" s="4"/>
      <c r="K722" s="4"/>
      <c r="L722" s="4"/>
      <c r="M722" s="4"/>
      <c r="N722" s="28"/>
      <c r="O722" s="4"/>
      <c r="P722" s="4"/>
      <c r="Q722" s="4"/>
      <c r="R722" s="4"/>
      <c r="S722" s="4"/>
      <c r="T722" s="4"/>
      <c r="U722" s="4"/>
      <c r="V722" s="4"/>
      <c r="W722" s="4"/>
      <c r="X722" s="4"/>
      <c r="Y722" s="4"/>
      <c r="Z722" s="4"/>
      <c r="AA722" s="4"/>
      <c r="AB722" s="4"/>
      <c r="AC722" s="4"/>
      <c r="AD722" s="4"/>
      <c r="AE722" s="4"/>
      <c r="AF722" s="81"/>
      <c r="AG722" s="81"/>
      <c r="AH722" s="81"/>
      <c r="AI722" s="4"/>
      <c r="AJ722" s="81"/>
      <c r="AK722" s="81"/>
      <c r="AL722" s="81"/>
      <c r="AM722" s="43">
        <v>706</v>
      </c>
      <c r="AN722">
        <v>266.70096392434067</v>
      </c>
      <c r="AO722">
        <v>74.567688812045247</v>
      </c>
      <c r="AP722">
        <v>554.58063710617444</v>
      </c>
      <c r="AQ722">
        <v>411.06447951161948</v>
      </c>
      <c r="AR722">
        <v>67.250614529129166</v>
      </c>
      <c r="AS722">
        <v>602.26036818235048</v>
      </c>
      <c r="AT722">
        <v>37.878897223919566</v>
      </c>
      <c r="AU722">
        <v>48.312268051360356</v>
      </c>
      <c r="AV722"/>
      <c r="AW722"/>
      <c r="FY722" s="211">
        <v>717</v>
      </c>
      <c r="FZ722">
        <v>33.890060457748945</v>
      </c>
      <c r="GA722">
        <v>66.987201234113783</v>
      </c>
      <c r="GB722">
        <v>46.364270750510514</v>
      </c>
      <c r="GC722">
        <v>28.671089169651978</v>
      </c>
      <c r="GD722">
        <v>23.462046116342471</v>
      </c>
      <c r="GE722">
        <v>49.307748716999868</v>
      </c>
      <c r="GF722">
        <v>74.878411817815575</v>
      </c>
      <c r="GG722">
        <v>43.974109821348364</v>
      </c>
      <c r="GH722">
        <v>6.2463640600590464</v>
      </c>
      <c r="GI722">
        <v>47.212609707133673</v>
      </c>
      <c r="GJ722"/>
      <c r="GK722"/>
      <c r="GL722"/>
      <c r="GM722"/>
    </row>
    <row r="723" spans="1:195" s="7" customFormat="1">
      <c r="A723" s="4"/>
      <c r="B723" s="4"/>
      <c r="C723" s="105"/>
      <c r="D723" s="4"/>
      <c r="E723" s="4"/>
      <c r="F723" s="28"/>
      <c r="G723" s="28"/>
      <c r="H723" s="83"/>
      <c r="I723" s="4"/>
      <c r="J723" s="4"/>
      <c r="K723" s="4"/>
      <c r="L723" s="4"/>
      <c r="M723" s="4"/>
      <c r="N723" s="28"/>
      <c r="O723" s="4"/>
      <c r="P723" s="4"/>
      <c r="Q723" s="4"/>
      <c r="R723" s="4"/>
      <c r="S723" s="4"/>
      <c r="T723" s="4"/>
      <c r="U723" s="4"/>
      <c r="V723" s="4"/>
      <c r="W723" s="4"/>
      <c r="X723" s="4"/>
      <c r="Y723" s="4"/>
      <c r="Z723" s="4"/>
      <c r="AA723" s="4"/>
      <c r="AB723" s="4"/>
      <c r="AC723" s="4"/>
      <c r="AD723" s="4"/>
      <c r="AE723" s="4"/>
      <c r="AF723" s="81"/>
      <c r="AG723" s="81"/>
      <c r="AH723" s="81"/>
      <c r="AI723" s="4"/>
      <c r="AJ723" s="81"/>
      <c r="AK723" s="81"/>
      <c r="AL723" s="81"/>
      <c r="AM723" s="43">
        <v>707</v>
      </c>
      <c r="AN723">
        <v>267.39260358247833</v>
      </c>
      <c r="AO723">
        <v>75.559497797244632</v>
      </c>
      <c r="AP723">
        <v>562.49468363163851</v>
      </c>
      <c r="AQ723">
        <v>424.71111359518608</v>
      </c>
      <c r="AR723">
        <v>68.530964640926257</v>
      </c>
      <c r="AS723">
        <v>614.90332340255054</v>
      </c>
      <c r="AT723">
        <v>37.090702472056023</v>
      </c>
      <c r="AU723">
        <v>65.895600303846393</v>
      </c>
      <c r="AV723"/>
      <c r="AW723"/>
      <c r="FY723" s="211">
        <v>718</v>
      </c>
      <c r="FZ723">
        <v>18.481143079837935</v>
      </c>
      <c r="GA723">
        <v>56.541507449244449</v>
      </c>
      <c r="GB723">
        <v>96.896203867971977</v>
      </c>
      <c r="GC723">
        <v>50.952604655551347</v>
      </c>
      <c r="GD723">
        <v>19.374807701559366</v>
      </c>
      <c r="GE723">
        <v>32.247980756016773</v>
      </c>
      <c r="GF723">
        <v>84.78091535350076</v>
      </c>
      <c r="GG723">
        <v>101.25575425451815</v>
      </c>
      <c r="GH723">
        <v>45.729684509332316</v>
      </c>
      <c r="GI723">
        <v>64.325310019775785</v>
      </c>
      <c r="GJ723"/>
      <c r="GK723"/>
      <c r="GL723"/>
      <c r="GM723"/>
    </row>
    <row r="724" spans="1:195" s="7" customFormat="1">
      <c r="A724" s="4"/>
      <c r="B724" s="4"/>
      <c r="C724" s="105"/>
      <c r="D724" s="4"/>
      <c r="E724" s="4"/>
      <c r="F724" s="28"/>
      <c r="G724" s="28"/>
      <c r="H724" s="83"/>
      <c r="I724" s="4"/>
      <c r="J724" s="4"/>
      <c r="K724" s="4"/>
      <c r="L724" s="4"/>
      <c r="M724" s="4"/>
      <c r="N724" s="28"/>
      <c r="O724" s="4"/>
      <c r="P724" s="4"/>
      <c r="Q724" s="4"/>
      <c r="R724" s="4"/>
      <c r="S724" s="4"/>
      <c r="T724" s="4"/>
      <c r="U724" s="4"/>
      <c r="V724" s="4"/>
      <c r="W724" s="4"/>
      <c r="X724" s="4"/>
      <c r="Y724" s="4"/>
      <c r="Z724" s="4"/>
      <c r="AA724" s="4"/>
      <c r="AB724" s="4"/>
      <c r="AC724" s="4"/>
      <c r="AD724" s="4"/>
      <c r="AE724" s="4"/>
      <c r="AF724" s="81"/>
      <c r="AG724" s="81"/>
      <c r="AH724" s="81"/>
      <c r="AI724" s="4"/>
      <c r="AJ724" s="81"/>
      <c r="AK724" s="81"/>
      <c r="AL724" s="81"/>
      <c r="AM724" s="43">
        <v>708</v>
      </c>
      <c r="AN724">
        <v>267.09509714108384</v>
      </c>
      <c r="AO724">
        <v>85.007458238688784</v>
      </c>
      <c r="AP724">
        <v>643.88498824729072</v>
      </c>
      <c r="AQ724">
        <v>477.03505673098817</v>
      </c>
      <c r="AR724">
        <v>76.673566485681008</v>
      </c>
      <c r="AS724">
        <v>673.74652653086048</v>
      </c>
      <c r="AT724">
        <v>40.81411700967076</v>
      </c>
      <c r="AU724">
        <v>70.637914881785335</v>
      </c>
      <c r="AV724"/>
      <c r="AW724"/>
      <c r="FY724" s="211">
        <v>719</v>
      </c>
      <c r="FZ724">
        <v>18.391295846164095</v>
      </c>
      <c r="GA724">
        <v>47.898608601140694</v>
      </c>
      <c r="GB724">
        <v>98.565387509879514</v>
      </c>
      <c r="GC724">
        <v>62.55508600099337</v>
      </c>
      <c r="GD724">
        <v>24.740193151726135</v>
      </c>
      <c r="GE724">
        <v>42.537016658285687</v>
      </c>
      <c r="GF724">
        <v>43.710765031906071</v>
      </c>
      <c r="GG724">
        <v>18.852823807729514</v>
      </c>
      <c r="GH724">
        <v>10.799349359724278</v>
      </c>
      <c r="GI724">
        <v>53.234699119410834</v>
      </c>
      <c r="GJ724"/>
      <c r="GK724"/>
      <c r="GL724"/>
      <c r="GM724"/>
    </row>
    <row r="725" spans="1:195" s="7" customFormat="1">
      <c r="A725" s="4"/>
      <c r="B725" s="4"/>
      <c r="C725" s="105"/>
      <c r="D725" s="4"/>
      <c r="E725" s="4"/>
      <c r="F725" s="28"/>
      <c r="G725" s="28"/>
      <c r="H725" s="83"/>
      <c r="I725" s="4"/>
      <c r="J725" s="4"/>
      <c r="K725" s="4"/>
      <c r="L725" s="4"/>
      <c r="M725" s="4"/>
      <c r="N725" s="28"/>
      <c r="O725" s="4"/>
      <c r="P725" s="4"/>
      <c r="Q725" s="4"/>
      <c r="R725" s="4"/>
      <c r="S725" s="4"/>
      <c r="T725" s="4"/>
      <c r="U725" s="4"/>
      <c r="V725" s="4"/>
      <c r="W725" s="4"/>
      <c r="X725" s="4"/>
      <c r="Y725" s="4"/>
      <c r="Z725" s="4"/>
      <c r="AA725" s="4"/>
      <c r="AB725" s="4"/>
      <c r="AC725" s="4"/>
      <c r="AD725" s="4"/>
      <c r="AE725" s="4"/>
      <c r="AF725" s="81"/>
      <c r="AG725" s="81"/>
      <c r="AH725" s="81"/>
      <c r="AI725" s="4"/>
      <c r="AJ725" s="81"/>
      <c r="AK725" s="81"/>
      <c r="AL725" s="81"/>
      <c r="AM725" s="43">
        <v>709</v>
      </c>
      <c r="AN725">
        <v>282.84747311305443</v>
      </c>
      <c r="AO725">
        <v>84.265148877309798</v>
      </c>
      <c r="AP725">
        <v>571.45895779116961</v>
      </c>
      <c r="AQ725">
        <v>444.87520093051393</v>
      </c>
      <c r="AR725">
        <v>76.298473402005783</v>
      </c>
      <c r="AS725">
        <v>626.72382215895209</v>
      </c>
      <c r="AT725">
        <v>40.941135584091803</v>
      </c>
      <c r="AU725">
        <v>66.926690674273473</v>
      </c>
      <c r="AV725"/>
      <c r="AW725"/>
      <c r="FY725" s="211">
        <v>720</v>
      </c>
      <c r="FZ725">
        <v>2.7209022878870903</v>
      </c>
      <c r="GA725">
        <v>31.894884607194907</v>
      </c>
      <c r="GB725">
        <v>72.856051172655725</v>
      </c>
      <c r="GC725">
        <v>45.833490471680904</v>
      </c>
      <c r="GD725">
        <v>16.262600237729565</v>
      </c>
      <c r="GE725">
        <v>37.571892888234913</v>
      </c>
      <c r="GF725">
        <v>101.56732144804704</v>
      </c>
      <c r="GG725">
        <v>73.257786219484728</v>
      </c>
      <c r="GH725">
        <v>27.030445084310085</v>
      </c>
      <c r="GI725">
        <v>54.886528503555276</v>
      </c>
      <c r="GJ725"/>
      <c r="GK725"/>
      <c r="GL725"/>
      <c r="GM725"/>
    </row>
    <row r="726" spans="1:195" s="7" customFormat="1">
      <c r="A726" s="4"/>
      <c r="B726" s="4"/>
      <c r="C726" s="105"/>
      <c r="D726" s="4"/>
      <c r="E726" s="4"/>
      <c r="F726" s="28"/>
      <c r="G726" s="28"/>
      <c r="H726" s="83"/>
      <c r="I726" s="4"/>
      <c r="J726" s="4"/>
      <c r="K726" s="4"/>
      <c r="L726" s="4"/>
      <c r="M726" s="4"/>
      <c r="N726" s="28"/>
      <c r="O726" s="4"/>
      <c r="P726" s="4"/>
      <c r="Q726" s="4"/>
      <c r="R726" s="4"/>
      <c r="S726" s="4"/>
      <c r="T726" s="4"/>
      <c r="U726" s="4"/>
      <c r="V726" s="4"/>
      <c r="W726" s="4"/>
      <c r="X726" s="4"/>
      <c r="Y726" s="4"/>
      <c r="Z726" s="4"/>
      <c r="AA726" s="4"/>
      <c r="AB726" s="4"/>
      <c r="AC726" s="4"/>
      <c r="AD726" s="4"/>
      <c r="AE726" s="4"/>
      <c r="AF726" s="81"/>
      <c r="AG726" s="81"/>
      <c r="AH726" s="81"/>
      <c r="AI726" s="4"/>
      <c r="AJ726" s="81"/>
      <c r="AK726" s="81"/>
      <c r="AL726" s="81"/>
      <c r="AM726" s="43">
        <v>710</v>
      </c>
      <c r="AN726">
        <v>299.31628961457739</v>
      </c>
      <c r="AO726">
        <v>99.790769899525372</v>
      </c>
      <c r="AP726">
        <v>738.44403491612059</v>
      </c>
      <c r="AQ726">
        <v>544.8194152361857</v>
      </c>
      <c r="AR726">
        <v>90.320358048460221</v>
      </c>
      <c r="AS726">
        <v>736.93088419107971</v>
      </c>
      <c r="AT726">
        <v>47.875063371559236</v>
      </c>
      <c r="AU726">
        <v>112.44453951215954</v>
      </c>
      <c r="AV726"/>
      <c r="AW726"/>
      <c r="FY726" s="211">
        <v>721</v>
      </c>
      <c r="FZ726">
        <v>13.241380156148139</v>
      </c>
      <c r="GA726">
        <v>38.298863762840327</v>
      </c>
      <c r="GB726">
        <v>64.328311160438133</v>
      </c>
      <c r="GC726">
        <v>40.493794505667779</v>
      </c>
      <c r="GD726">
        <v>16.733804417216824</v>
      </c>
      <c r="GE726">
        <v>37.291930428077869</v>
      </c>
      <c r="GF726">
        <v>57.148046327004671</v>
      </c>
      <c r="GG726">
        <v>25.366903327366636</v>
      </c>
      <c r="GH726">
        <v>11.240131411482537</v>
      </c>
      <c r="GI726">
        <v>41.26697186635672</v>
      </c>
      <c r="GJ726"/>
      <c r="GK726"/>
      <c r="GL726"/>
      <c r="GM726"/>
    </row>
    <row r="727" spans="1:195" s="7" customFormat="1">
      <c r="A727" s="4"/>
      <c r="B727" s="4"/>
      <c r="C727" s="105"/>
      <c r="D727" s="4"/>
      <c r="E727" s="4"/>
      <c r="F727" s="28"/>
      <c r="G727" s="28"/>
      <c r="H727" s="83"/>
      <c r="I727" s="4"/>
      <c r="J727" s="4"/>
      <c r="K727" s="4"/>
      <c r="L727" s="4"/>
      <c r="M727" s="4"/>
      <c r="N727" s="28"/>
      <c r="O727" s="4"/>
      <c r="P727" s="4"/>
      <c r="Q727" s="4"/>
      <c r="R727" s="4"/>
      <c r="S727" s="4"/>
      <c r="T727" s="4"/>
      <c r="U727" s="4"/>
      <c r="V727" s="4"/>
      <c r="W727" s="4"/>
      <c r="X727" s="4"/>
      <c r="Y727" s="4"/>
      <c r="Z727" s="4"/>
      <c r="AA727" s="4"/>
      <c r="AB727" s="4"/>
      <c r="AC727" s="4"/>
      <c r="AD727" s="4"/>
      <c r="AE727" s="4"/>
      <c r="AF727" s="81"/>
      <c r="AG727" s="81"/>
      <c r="AH727" s="81"/>
      <c r="AI727" s="4"/>
      <c r="AJ727" s="81"/>
      <c r="AK727" s="81"/>
      <c r="AL727" s="81"/>
      <c r="AM727" s="43">
        <v>711</v>
      </c>
      <c r="AN727">
        <v>300.46277427006873</v>
      </c>
      <c r="AO727">
        <v>88.267155779701596</v>
      </c>
      <c r="AP727">
        <v>686.00724563466497</v>
      </c>
      <c r="AQ727">
        <v>492.46562675135209</v>
      </c>
      <c r="AR727">
        <v>80.752481559376434</v>
      </c>
      <c r="AS727">
        <v>718.05485219492039</v>
      </c>
      <c r="AT727">
        <v>42.414374455505786</v>
      </c>
      <c r="AU727">
        <v>67.60373839276221</v>
      </c>
      <c r="AV727"/>
      <c r="AW727"/>
      <c r="FY727" s="211">
        <v>722</v>
      </c>
      <c r="FZ727">
        <v>20.526861080553921</v>
      </c>
      <c r="GA727">
        <v>62.309979515505148</v>
      </c>
      <c r="GB727">
        <v>92.803264218783738</v>
      </c>
      <c r="GC727">
        <v>49.328031592820992</v>
      </c>
      <c r="GD727">
        <v>20.070428050343999</v>
      </c>
      <c r="GE727">
        <v>46.708666021939173</v>
      </c>
      <c r="GF727">
        <v>75.312655687979131</v>
      </c>
      <c r="GG727">
        <v>54.872995528271105</v>
      </c>
      <c r="GH727">
        <v>25.113236739725735</v>
      </c>
      <c r="GI727">
        <v>58.609567843257928</v>
      </c>
      <c r="GJ727"/>
      <c r="GK727"/>
      <c r="GL727"/>
      <c r="GM727"/>
    </row>
    <row r="728" spans="1:195" s="7" customFormat="1">
      <c r="A728" s="4"/>
      <c r="B728" s="4"/>
      <c r="C728" s="105"/>
      <c r="D728" s="4"/>
      <c r="E728" s="4"/>
      <c r="F728" s="28"/>
      <c r="G728" s="28"/>
      <c r="H728" s="83"/>
      <c r="I728" s="4"/>
      <c r="J728" s="4"/>
      <c r="K728" s="4"/>
      <c r="L728" s="4"/>
      <c r="M728" s="4"/>
      <c r="N728" s="28"/>
      <c r="O728" s="4"/>
      <c r="P728" s="4"/>
      <c r="Q728" s="4"/>
      <c r="R728" s="4"/>
      <c r="S728" s="4"/>
      <c r="T728" s="4"/>
      <c r="U728" s="4"/>
      <c r="V728" s="4"/>
      <c r="W728" s="4"/>
      <c r="X728" s="4"/>
      <c r="Y728" s="4"/>
      <c r="Z728" s="4"/>
      <c r="AA728" s="4"/>
      <c r="AB728" s="4"/>
      <c r="AC728" s="4"/>
      <c r="AD728" s="4"/>
      <c r="AE728" s="4"/>
      <c r="AF728" s="81"/>
      <c r="AG728" s="81"/>
      <c r="AH728" s="81"/>
      <c r="AI728" s="4"/>
      <c r="AJ728" s="81"/>
      <c r="AK728" s="81"/>
      <c r="AL728" s="81"/>
      <c r="AM728" s="43">
        <v>712</v>
      </c>
      <c r="AN728">
        <v>261.02840167276872</v>
      </c>
      <c r="AO728">
        <v>90.59097083733316</v>
      </c>
      <c r="AP728">
        <v>599.77561315046478</v>
      </c>
      <c r="AQ728">
        <v>476.52734235601361</v>
      </c>
      <c r="AR728">
        <v>81.655970750473884</v>
      </c>
      <c r="AS728">
        <v>682.92040852212779</v>
      </c>
      <c r="AT728">
        <v>45.758381727567517</v>
      </c>
      <c r="AU728">
        <v>85.561169984057798</v>
      </c>
      <c r="AV728"/>
      <c r="AW728"/>
      <c r="FY728" s="211">
        <v>723</v>
      </c>
      <c r="FZ728">
        <v>15.997562144130654</v>
      </c>
      <c r="GA728">
        <v>57.85276382711762</v>
      </c>
      <c r="GB728">
        <v>113.70343104873089</v>
      </c>
      <c r="GC728">
        <v>63.282804188686917</v>
      </c>
      <c r="GD728">
        <v>16.368499641517758</v>
      </c>
      <c r="GE728">
        <v>21.263475136179178</v>
      </c>
      <c r="GF728">
        <v>30.259301990737278</v>
      </c>
      <c r="GG728">
        <v>22.272921895474479</v>
      </c>
      <c r="GH728">
        <v>9.938926676538772</v>
      </c>
      <c r="GI728">
        <v>48.917150071672339</v>
      </c>
      <c r="GJ728"/>
      <c r="GK728"/>
      <c r="GL728"/>
      <c r="GM728"/>
    </row>
    <row r="729" spans="1:195" s="7" customFormat="1">
      <c r="A729" s="4"/>
      <c r="B729" s="4"/>
      <c r="C729" s="105"/>
      <c r="D729" s="4"/>
      <c r="E729" s="4"/>
      <c r="F729" s="28"/>
      <c r="G729" s="28"/>
      <c r="H729" s="83"/>
      <c r="I729" s="4"/>
      <c r="J729" s="4"/>
      <c r="K729" s="4"/>
      <c r="L729" s="4"/>
      <c r="M729" s="4"/>
      <c r="N729" s="28"/>
      <c r="O729" s="4"/>
      <c r="P729" s="4"/>
      <c r="Q729" s="4"/>
      <c r="R729" s="4"/>
      <c r="S729" s="4"/>
      <c r="T729" s="4"/>
      <c r="U729" s="4"/>
      <c r="V729" s="4"/>
      <c r="W729" s="4"/>
      <c r="X729" s="4"/>
      <c r="Y729" s="4"/>
      <c r="Z729" s="4"/>
      <c r="AA729" s="4"/>
      <c r="AB729" s="4"/>
      <c r="AC729" s="4"/>
      <c r="AD729" s="4"/>
      <c r="AE729" s="4"/>
      <c r="AF729" s="81"/>
      <c r="AG729" s="81"/>
      <c r="AH729" s="81"/>
      <c r="AI729" s="4"/>
      <c r="AJ729" s="81"/>
      <c r="AK729" s="81"/>
      <c r="AL729" s="81"/>
      <c r="AM729" s="43">
        <v>713</v>
      </c>
      <c r="AN729">
        <v>221.720638157476</v>
      </c>
      <c r="AO729">
        <v>74.131366614313379</v>
      </c>
      <c r="AP729">
        <v>499.84400017929443</v>
      </c>
      <c r="AQ729">
        <v>380.68187481271951</v>
      </c>
      <c r="AR729">
        <v>66.296322771129169</v>
      </c>
      <c r="AS729">
        <v>565.19508160431656</v>
      </c>
      <c r="AT729">
        <v>35.75205779324763</v>
      </c>
      <c r="AU729">
        <v>84.953200071099886</v>
      </c>
      <c r="AV729"/>
      <c r="AW729"/>
      <c r="FY729" s="211">
        <v>724</v>
      </c>
      <c r="FZ729">
        <v>30.88685296243511</v>
      </c>
      <c r="GA729">
        <v>67.113974674798186</v>
      </c>
      <c r="GB729">
        <v>58.761321984912826</v>
      </c>
      <c r="GC729">
        <v>31.973538920582193</v>
      </c>
      <c r="GD729">
        <v>18.636209922688245</v>
      </c>
      <c r="GE729">
        <v>60.050369847430311</v>
      </c>
      <c r="GF729">
        <v>77.444433092170726</v>
      </c>
      <c r="GG729">
        <v>44.537048859144242</v>
      </c>
      <c r="GH729">
        <v>37.358838926929252</v>
      </c>
      <c r="GI729">
        <v>52.79658672079362</v>
      </c>
      <c r="GJ729"/>
      <c r="GK729"/>
      <c r="GL729"/>
      <c r="GM729"/>
    </row>
    <row r="730" spans="1:195" s="7" customFormat="1">
      <c r="A730" s="4"/>
      <c r="B730" s="4"/>
      <c r="C730" s="105"/>
      <c r="D730" s="4"/>
      <c r="E730" s="4"/>
      <c r="F730" s="28"/>
      <c r="G730" s="28"/>
      <c r="H730" s="83"/>
      <c r="I730" s="4"/>
      <c r="J730" s="4"/>
      <c r="K730" s="4"/>
      <c r="L730" s="4"/>
      <c r="M730" s="4"/>
      <c r="N730" s="28"/>
      <c r="O730" s="4"/>
      <c r="P730" s="4"/>
      <c r="Q730" s="4"/>
      <c r="R730" s="4"/>
      <c r="S730" s="4"/>
      <c r="T730" s="4"/>
      <c r="U730" s="4"/>
      <c r="V730" s="4"/>
      <c r="W730" s="4"/>
      <c r="X730" s="4"/>
      <c r="Y730" s="4"/>
      <c r="Z730" s="4"/>
      <c r="AA730" s="4"/>
      <c r="AB730" s="4"/>
      <c r="AC730" s="4"/>
      <c r="AD730" s="4"/>
      <c r="AE730" s="4"/>
      <c r="AF730" s="81"/>
      <c r="AG730" s="81"/>
      <c r="AH730" s="81"/>
      <c r="AI730" s="4"/>
      <c r="AJ730" s="81"/>
      <c r="AK730" s="81"/>
      <c r="AL730" s="81"/>
      <c r="AM730" s="43">
        <v>714</v>
      </c>
      <c r="AN730">
        <v>268.64604043972099</v>
      </c>
      <c r="AO730">
        <v>90.431296790494358</v>
      </c>
      <c r="AP730">
        <v>646.99969600771328</v>
      </c>
      <c r="AQ730">
        <v>499.9376967843703</v>
      </c>
      <c r="AR730">
        <v>81.457347042710424</v>
      </c>
      <c r="AS730">
        <v>650.29908180726341</v>
      </c>
      <c r="AT730">
        <v>43.728246273426059</v>
      </c>
      <c r="AU730">
        <v>91.588709152520153</v>
      </c>
      <c r="AV730"/>
      <c r="AW730"/>
      <c r="FY730" s="211">
        <v>725</v>
      </c>
      <c r="FZ730">
        <v>25.892480579025158</v>
      </c>
      <c r="GA730">
        <v>70.23797412532285</v>
      </c>
      <c r="GB730">
        <v>78.492953252454654</v>
      </c>
      <c r="GC730">
        <v>43.597726891281511</v>
      </c>
      <c r="GD730">
        <v>19.705731921015872</v>
      </c>
      <c r="GE730">
        <v>47.770948703773399</v>
      </c>
      <c r="GF730">
        <v>61.701650295905914</v>
      </c>
      <c r="GG730">
        <v>36.924269795310444</v>
      </c>
      <c r="GH730">
        <v>30.334843159779702</v>
      </c>
      <c r="GI730">
        <v>52.849497992305537</v>
      </c>
      <c r="GJ730"/>
      <c r="GK730"/>
      <c r="GL730"/>
      <c r="GM730"/>
    </row>
    <row r="731" spans="1:195" s="7" customFormat="1">
      <c r="A731" s="4"/>
      <c r="B731" s="4"/>
      <c r="C731" s="105"/>
      <c r="D731" s="4"/>
      <c r="E731" s="4"/>
      <c r="F731" s="28"/>
      <c r="G731" s="28"/>
      <c r="H731" s="83"/>
      <c r="I731" s="4"/>
      <c r="J731" s="4"/>
      <c r="K731" s="4"/>
      <c r="L731" s="4"/>
      <c r="M731" s="4"/>
      <c r="N731" s="28"/>
      <c r="O731" s="4"/>
      <c r="P731" s="4"/>
      <c r="Q731" s="4"/>
      <c r="R731" s="4"/>
      <c r="S731" s="4"/>
      <c r="T731" s="4"/>
      <c r="U731" s="4"/>
      <c r="V731" s="4"/>
      <c r="W731" s="4"/>
      <c r="X731" s="4"/>
      <c r="Y731" s="4"/>
      <c r="Z731" s="4"/>
      <c r="AA731" s="4"/>
      <c r="AB731" s="4"/>
      <c r="AC731" s="4"/>
      <c r="AD731" s="4"/>
      <c r="AE731" s="4"/>
      <c r="AF731" s="81"/>
      <c r="AG731" s="81"/>
      <c r="AH731" s="81"/>
      <c r="AI731" s="4"/>
      <c r="AJ731" s="81"/>
      <c r="AK731" s="81"/>
      <c r="AL731" s="81"/>
      <c r="AM731" s="43">
        <v>715</v>
      </c>
      <c r="AN731">
        <v>256.82541782717061</v>
      </c>
      <c r="AO731">
        <v>109.90869138306607</v>
      </c>
      <c r="AP731">
        <v>751.114811049845</v>
      </c>
      <c r="AQ731">
        <v>562.15222019311864</v>
      </c>
      <c r="AR731">
        <v>99.063903376776764</v>
      </c>
      <c r="AS731">
        <v>810.64717649937461</v>
      </c>
      <c r="AT731">
        <v>54.771880624185172</v>
      </c>
      <c r="AU731">
        <v>56.242004328038853</v>
      </c>
      <c r="AV731"/>
      <c r="AW731"/>
      <c r="FY731" s="211">
        <v>726</v>
      </c>
      <c r="FZ731">
        <v>29.400936049970667</v>
      </c>
      <c r="GA731">
        <v>60.774423272925951</v>
      </c>
      <c r="GB731">
        <v>63.5610532911344</v>
      </c>
      <c r="GC731">
        <v>36.961249563454672</v>
      </c>
      <c r="GD731">
        <v>24.376808513284551</v>
      </c>
      <c r="GE731">
        <v>55.076694251339859</v>
      </c>
      <c r="GF731">
        <v>65.289948587476005</v>
      </c>
      <c r="GG731">
        <v>35.642810317551692</v>
      </c>
      <c r="GH731">
        <v>9.9960325626708801</v>
      </c>
      <c r="GI731">
        <v>50.037764327422003</v>
      </c>
      <c r="GJ731"/>
      <c r="GK731"/>
      <c r="GL731"/>
      <c r="GM731"/>
    </row>
    <row r="732" spans="1:195" s="7" customFormat="1">
      <c r="A732" s="4"/>
      <c r="B732" s="4"/>
      <c r="C732" s="105"/>
      <c r="D732" s="4"/>
      <c r="E732" s="4"/>
      <c r="F732" s="28"/>
      <c r="G732" s="28"/>
      <c r="H732" s="83"/>
      <c r="I732" s="4"/>
      <c r="J732" s="4"/>
      <c r="K732" s="4"/>
      <c r="L732" s="4"/>
      <c r="M732" s="4"/>
      <c r="N732" s="28"/>
      <c r="O732" s="4"/>
      <c r="P732" s="4"/>
      <c r="Q732" s="4"/>
      <c r="R732" s="4"/>
      <c r="S732" s="4"/>
      <c r="T732" s="4"/>
      <c r="U732" s="4"/>
      <c r="V732" s="4"/>
      <c r="W732" s="4"/>
      <c r="X732" s="4"/>
      <c r="Y732" s="4"/>
      <c r="Z732" s="4"/>
      <c r="AA732" s="4"/>
      <c r="AB732" s="4"/>
      <c r="AC732" s="4"/>
      <c r="AD732" s="4"/>
      <c r="AE732" s="4"/>
      <c r="AF732" s="81"/>
      <c r="AG732" s="81"/>
      <c r="AH732" s="81"/>
      <c r="AI732" s="4"/>
      <c r="AJ732" s="81"/>
      <c r="AK732" s="81"/>
      <c r="AL732" s="81"/>
      <c r="AM732" s="43">
        <v>716</v>
      </c>
      <c r="AN732">
        <v>233.82331388728844</v>
      </c>
      <c r="AO732">
        <v>77.32899880593817</v>
      </c>
      <c r="AP732">
        <v>571.16260410800817</v>
      </c>
      <c r="AQ732">
        <v>428.02389851990318</v>
      </c>
      <c r="AR732">
        <v>69.285634093049737</v>
      </c>
      <c r="AS732">
        <v>601.85050770372663</v>
      </c>
      <c r="AT732">
        <v>38.016778579852769</v>
      </c>
      <c r="AU732">
        <v>66.949277961044999</v>
      </c>
      <c r="AV732"/>
      <c r="AW732"/>
      <c r="FY732" s="211">
        <v>727</v>
      </c>
      <c r="FZ732">
        <v>10.395079322245024</v>
      </c>
      <c r="GA732">
        <v>38.64006298607903</v>
      </c>
      <c r="GB732">
        <v>59.076333950500747</v>
      </c>
      <c r="GC732">
        <v>33.382887576387766</v>
      </c>
      <c r="GD732">
        <v>21.622049527112864</v>
      </c>
      <c r="GE732">
        <v>47.041948444391643</v>
      </c>
      <c r="GF732">
        <v>69.533187238946482</v>
      </c>
      <c r="GG732">
        <v>79.42596975658887</v>
      </c>
      <c r="GH732">
        <v>55.946836119546866</v>
      </c>
      <c r="GI732">
        <v>53.003637455574548</v>
      </c>
      <c r="GJ732"/>
      <c r="GK732"/>
      <c r="GL732"/>
      <c r="GM732"/>
    </row>
    <row r="733" spans="1:195" s="7" customFormat="1">
      <c r="A733" s="4"/>
      <c r="B733" s="4"/>
      <c r="C733" s="105"/>
      <c r="D733" s="4"/>
      <c r="E733" s="4"/>
      <c r="F733" s="28"/>
      <c r="G733" s="28"/>
      <c r="H733" s="83"/>
      <c r="I733" s="4"/>
      <c r="J733" s="4"/>
      <c r="K733" s="4"/>
      <c r="L733" s="4"/>
      <c r="M733" s="4"/>
      <c r="N733" s="28"/>
      <c r="O733" s="4"/>
      <c r="P733" s="4"/>
      <c r="Q733" s="4"/>
      <c r="R733" s="4"/>
      <c r="S733" s="4"/>
      <c r="T733" s="4"/>
      <c r="U733" s="4"/>
      <c r="V733" s="4"/>
      <c r="W733" s="4"/>
      <c r="X733" s="4"/>
      <c r="Y733" s="4"/>
      <c r="Z733" s="4"/>
      <c r="AA733" s="4"/>
      <c r="AB733" s="4"/>
      <c r="AC733" s="4"/>
      <c r="AD733" s="4"/>
      <c r="AE733" s="4"/>
      <c r="AF733" s="81"/>
      <c r="AG733" s="81"/>
      <c r="AH733" s="81"/>
      <c r="AI733" s="4"/>
      <c r="AJ733" s="81"/>
      <c r="AK733" s="81"/>
      <c r="AL733" s="81"/>
      <c r="AM733" s="43">
        <v>717</v>
      </c>
      <c r="AN733">
        <v>266.14407435590255</v>
      </c>
      <c r="AO733">
        <v>74.855783726854327</v>
      </c>
      <c r="AP733">
        <v>536.54645254404454</v>
      </c>
      <c r="AQ733">
        <v>420.99391185172414</v>
      </c>
      <c r="AR733">
        <v>67.748568905189046</v>
      </c>
      <c r="AS733">
        <v>579.91546425744787</v>
      </c>
      <c r="AT733">
        <v>34.256794412314861</v>
      </c>
      <c r="AU733">
        <v>33.02858585872837</v>
      </c>
      <c r="AV733"/>
      <c r="AW733"/>
      <c r="FY733" s="211">
        <v>728</v>
      </c>
      <c r="FZ733">
        <v>24.132941680223691</v>
      </c>
      <c r="GA733">
        <v>50.001259650136511</v>
      </c>
      <c r="GB733">
        <v>65.792561634012031</v>
      </c>
      <c r="GC733">
        <v>46.320471075988486</v>
      </c>
      <c r="GD733">
        <v>17.338427124242859</v>
      </c>
      <c r="GE733">
        <v>23.029358617546851</v>
      </c>
      <c r="GF733">
        <v>82.610634037139832</v>
      </c>
      <c r="GG733">
        <v>66.019945476693692</v>
      </c>
      <c r="GH733">
        <v>16.492334344617156</v>
      </c>
      <c r="GI733">
        <v>50.699663460910472</v>
      </c>
      <c r="GJ733"/>
      <c r="GK733"/>
      <c r="GL733"/>
      <c r="GM733"/>
    </row>
    <row r="734" spans="1:195" s="7" customFormat="1">
      <c r="A734" s="4"/>
      <c r="B734" s="4"/>
      <c r="C734" s="105"/>
      <c r="D734" s="4"/>
      <c r="E734" s="4"/>
      <c r="F734" s="28"/>
      <c r="G734" s="28"/>
      <c r="H734" s="83"/>
      <c r="I734" s="4"/>
      <c r="J734" s="4"/>
      <c r="K734" s="4"/>
      <c r="L734" s="4"/>
      <c r="M734" s="4"/>
      <c r="N734" s="28"/>
      <c r="O734" s="4"/>
      <c r="P734" s="4"/>
      <c r="Q734" s="4"/>
      <c r="R734" s="4"/>
      <c r="S734" s="4"/>
      <c r="T734" s="4"/>
      <c r="U734" s="4"/>
      <c r="V734" s="4"/>
      <c r="W734" s="4"/>
      <c r="X734" s="4"/>
      <c r="Y734" s="4"/>
      <c r="Z734" s="4"/>
      <c r="AA734" s="4"/>
      <c r="AB734" s="4"/>
      <c r="AC734" s="4"/>
      <c r="AD734" s="4"/>
      <c r="AE734" s="4"/>
      <c r="AF734" s="81"/>
      <c r="AG734" s="81"/>
      <c r="AH734" s="81"/>
      <c r="AI734" s="4"/>
      <c r="AJ734" s="81"/>
      <c r="AK734" s="81"/>
      <c r="AL734" s="81"/>
      <c r="AM734" s="43">
        <v>718</v>
      </c>
      <c r="AN734">
        <v>272.14393688404266</v>
      </c>
      <c r="AO734">
        <v>102.93881073574039</v>
      </c>
      <c r="AP734">
        <v>801.99738529541196</v>
      </c>
      <c r="AQ734">
        <v>570.58591164730876</v>
      </c>
      <c r="AR734">
        <v>95.039873146064693</v>
      </c>
      <c r="AS734">
        <v>749.74425628260178</v>
      </c>
      <c r="AT734" t="e">
        <v>#DIV/0!</v>
      </c>
      <c r="AU734" t="e">
        <v>#DIV/0!</v>
      </c>
      <c r="AV734"/>
      <c r="AW734"/>
      <c r="FY734" s="211">
        <v>729</v>
      </c>
      <c r="FZ734">
        <v>26.857031235186227</v>
      </c>
      <c r="GA734">
        <v>74.498402001675245</v>
      </c>
      <c r="GB734">
        <v>71.320193160489922</v>
      </c>
      <c r="GC734">
        <v>42.984945469402909</v>
      </c>
      <c r="GD734">
        <v>27.101185005378927</v>
      </c>
      <c r="GE734">
        <v>69.326802120336808</v>
      </c>
      <c r="GF734">
        <v>99.386710406426644</v>
      </c>
      <c r="GG734">
        <v>43.338154346304172</v>
      </c>
      <c r="GH734">
        <v>15.475343795377611</v>
      </c>
      <c r="GI734">
        <v>61.197394012702773</v>
      </c>
      <c r="GJ734"/>
      <c r="GK734"/>
      <c r="GL734"/>
      <c r="GM734"/>
    </row>
    <row r="735" spans="1:195" s="7" customFormat="1">
      <c r="A735" s="4"/>
      <c r="B735" s="4"/>
      <c r="C735" s="105"/>
      <c r="D735" s="4"/>
      <c r="E735" s="4"/>
      <c r="F735" s="28"/>
      <c r="G735" s="28"/>
      <c r="H735" s="83"/>
      <c r="I735" s="4"/>
      <c r="J735" s="4"/>
      <c r="K735" s="4"/>
      <c r="L735" s="4"/>
      <c r="M735" s="4"/>
      <c r="N735" s="28"/>
      <c r="O735" s="4"/>
      <c r="P735" s="4"/>
      <c r="Q735" s="4"/>
      <c r="R735" s="4"/>
      <c r="S735" s="4"/>
      <c r="T735" s="4"/>
      <c r="U735" s="4"/>
      <c r="V735" s="4"/>
      <c r="W735" s="4"/>
      <c r="X735" s="4"/>
      <c r="Y735" s="4"/>
      <c r="Z735" s="4"/>
      <c r="AA735" s="4"/>
      <c r="AB735" s="4"/>
      <c r="AC735" s="4"/>
      <c r="AD735" s="4"/>
      <c r="AE735" s="4"/>
      <c r="AF735" s="81"/>
      <c r="AG735" s="81"/>
      <c r="AH735" s="81"/>
      <c r="AI735" s="4"/>
      <c r="AJ735" s="81"/>
      <c r="AK735" s="81"/>
      <c r="AL735" s="81"/>
      <c r="AM735" s="43">
        <v>719</v>
      </c>
      <c r="AN735">
        <v>261.26367505299629</v>
      </c>
      <c r="AO735">
        <v>82.614231603096158</v>
      </c>
      <c r="AP735">
        <v>532.59700928591053</v>
      </c>
      <c r="AQ735">
        <v>421.28522508696017</v>
      </c>
      <c r="AR735">
        <v>75.097712049959654</v>
      </c>
      <c r="AS735">
        <v>661.77783565757591</v>
      </c>
      <c r="AT735">
        <v>41.859406419322305</v>
      </c>
      <c r="AU735">
        <v>48.562715672890356</v>
      </c>
      <c r="AV735"/>
      <c r="AW735"/>
      <c r="FY735" s="211">
        <v>730</v>
      </c>
      <c r="FZ735">
        <v>25.402067112510132</v>
      </c>
      <c r="GA735">
        <v>67.88721694861691</v>
      </c>
      <c r="GB735">
        <v>89.755066825867161</v>
      </c>
      <c r="GC735">
        <v>49.883443467049489</v>
      </c>
      <c r="GD735">
        <v>14.54493885401434</v>
      </c>
      <c r="GE735">
        <v>24.818355837848827</v>
      </c>
      <c r="GF735">
        <v>57.728653889250225</v>
      </c>
      <c r="GG735">
        <v>46.049856282900876</v>
      </c>
      <c r="GH735">
        <v>20.57888830868848</v>
      </c>
      <c r="GI735">
        <v>49.833984320923122</v>
      </c>
      <c r="GJ735"/>
      <c r="GK735"/>
      <c r="GL735"/>
      <c r="GM735"/>
    </row>
    <row r="736" spans="1:195" s="7" customFormat="1">
      <c r="A736" s="4"/>
      <c r="B736" s="4"/>
      <c r="C736" s="105"/>
      <c r="D736" s="4"/>
      <c r="E736" s="4"/>
      <c r="F736" s="28"/>
      <c r="G736" s="28"/>
      <c r="H736" s="83"/>
      <c r="I736" s="4"/>
      <c r="J736" s="4"/>
      <c r="K736" s="4"/>
      <c r="L736" s="4"/>
      <c r="M736" s="4"/>
      <c r="N736" s="28"/>
      <c r="O736" s="4"/>
      <c r="P736" s="4"/>
      <c r="Q736" s="4"/>
      <c r="R736" s="4"/>
      <c r="S736" s="4"/>
      <c r="T736" s="4"/>
      <c r="U736" s="4"/>
      <c r="V736" s="4"/>
      <c r="W736" s="4"/>
      <c r="X736" s="4"/>
      <c r="Y736" s="4"/>
      <c r="Z736" s="4"/>
      <c r="AA736" s="4"/>
      <c r="AB736" s="4"/>
      <c r="AC736" s="4"/>
      <c r="AD736" s="4"/>
      <c r="AE736" s="4"/>
      <c r="AF736" s="81"/>
      <c r="AG736" s="81"/>
      <c r="AH736" s="81"/>
      <c r="AI736" s="4"/>
      <c r="AJ736" s="81"/>
      <c r="AK736" s="81"/>
      <c r="AL736" s="81"/>
      <c r="AM736" s="43">
        <v>720</v>
      </c>
      <c r="AN736">
        <v>244.2216093934463</v>
      </c>
      <c r="AO736">
        <v>88.338228954540668</v>
      </c>
      <c r="AP736">
        <v>664.22652970693366</v>
      </c>
      <c r="AQ736">
        <v>463.88190292078019</v>
      </c>
      <c r="AR736">
        <v>78.967375839870357</v>
      </c>
      <c r="AS736">
        <v>619.56976978409784</v>
      </c>
      <c r="AT736" t="e">
        <v>#DIV/0!</v>
      </c>
      <c r="AU736" t="e">
        <v>#DIV/0!</v>
      </c>
      <c r="AV736"/>
      <c r="AW736"/>
      <c r="FY736" s="211">
        <v>731</v>
      </c>
      <c r="FZ736">
        <v>13.116624513281529</v>
      </c>
      <c r="GA736">
        <v>57.66961012184278</v>
      </c>
      <c r="GB736">
        <v>71.14645150182659</v>
      </c>
      <c r="GC736">
        <v>34.012114172711719</v>
      </c>
      <c r="GD736">
        <v>15.859138194886574</v>
      </c>
      <c r="GE736">
        <v>43.579845534825814</v>
      </c>
      <c r="GF736">
        <v>113.16964240251998</v>
      </c>
      <c r="GG736">
        <v>97.547666889001974</v>
      </c>
      <c r="GH736">
        <v>39.790970990418607</v>
      </c>
      <c r="GI736">
        <v>60.044329227305425</v>
      </c>
      <c r="GJ736"/>
      <c r="GK736"/>
      <c r="GL736"/>
      <c r="GM736"/>
    </row>
    <row r="737" spans="1:195" s="7" customFormat="1">
      <c r="A737" s="4"/>
      <c r="B737" s="4"/>
      <c r="C737" s="105"/>
      <c r="D737" s="4"/>
      <c r="E737" s="4"/>
      <c r="F737" s="28"/>
      <c r="G737" s="28"/>
      <c r="H737" s="83"/>
      <c r="I737" s="4"/>
      <c r="J737" s="4"/>
      <c r="K737" s="4"/>
      <c r="L737" s="4"/>
      <c r="M737" s="4"/>
      <c r="N737" s="28"/>
      <c r="O737" s="4"/>
      <c r="P737" s="4"/>
      <c r="Q737" s="4"/>
      <c r="R737" s="4"/>
      <c r="S737" s="4"/>
      <c r="T737" s="4"/>
      <c r="U737" s="4"/>
      <c r="V737" s="4"/>
      <c r="W737" s="4"/>
      <c r="X737" s="4"/>
      <c r="Y737" s="4"/>
      <c r="Z737" s="4"/>
      <c r="AA737" s="4"/>
      <c r="AB737" s="4"/>
      <c r="AC737" s="4"/>
      <c r="AD737" s="4"/>
      <c r="AE737" s="4"/>
      <c r="AF737" s="81"/>
      <c r="AG737" s="81"/>
      <c r="AH737" s="81"/>
      <c r="AI737" s="4"/>
      <c r="AJ737" s="81"/>
      <c r="AK737" s="81"/>
      <c r="AL737" s="81"/>
      <c r="AM737" s="43">
        <v>721</v>
      </c>
      <c r="AN737">
        <v>245.30887885863908</v>
      </c>
      <c r="AO737">
        <v>63.710691317792772</v>
      </c>
      <c r="AP737">
        <v>437.74407979427343</v>
      </c>
      <c r="AQ737">
        <v>345.41013736259958</v>
      </c>
      <c r="AR737">
        <v>57.233142964763147</v>
      </c>
      <c r="AS737">
        <v>530.10314819297662</v>
      </c>
      <c r="AT737">
        <v>30.500352415679995</v>
      </c>
      <c r="AU737">
        <v>49.03581361958274</v>
      </c>
      <c r="AV737"/>
      <c r="AW737"/>
      <c r="FY737" s="211">
        <v>732</v>
      </c>
      <c r="FZ737">
        <v>9.0046166731465132</v>
      </c>
      <c r="GA737">
        <v>39.290762931295006</v>
      </c>
      <c r="GB737">
        <v>63.362741697024518</v>
      </c>
      <c r="GC737">
        <v>42.699083996981599</v>
      </c>
      <c r="GD737">
        <v>23.518145353855083</v>
      </c>
      <c r="GE737">
        <v>39.559046014799115</v>
      </c>
      <c r="GF737">
        <v>50.440111845766211</v>
      </c>
      <c r="GG737">
        <v>35.137984060409444</v>
      </c>
      <c r="GH737">
        <v>19.752210758069445</v>
      </c>
      <c r="GI737">
        <v>45.166959146015365</v>
      </c>
      <c r="GJ737"/>
      <c r="GK737"/>
      <c r="GL737"/>
      <c r="GM737"/>
    </row>
    <row r="738" spans="1:195" s="7" customFormat="1">
      <c r="A738" s="4"/>
      <c r="B738" s="4"/>
      <c r="C738" s="105"/>
      <c r="D738" s="4"/>
      <c r="E738" s="4"/>
      <c r="F738" s="28"/>
      <c r="G738" s="28"/>
      <c r="H738" s="83"/>
      <c r="I738" s="4"/>
      <c r="J738" s="4"/>
      <c r="K738" s="4"/>
      <c r="L738" s="4"/>
      <c r="M738" s="4"/>
      <c r="N738" s="28"/>
      <c r="O738" s="4"/>
      <c r="P738" s="4"/>
      <c r="Q738" s="4"/>
      <c r="R738" s="4"/>
      <c r="S738" s="4"/>
      <c r="T738" s="4"/>
      <c r="U738" s="4"/>
      <c r="V738" s="4"/>
      <c r="W738" s="4"/>
      <c r="X738" s="4"/>
      <c r="Y738" s="4"/>
      <c r="Z738" s="4"/>
      <c r="AA738" s="4"/>
      <c r="AB738" s="4"/>
      <c r="AC738" s="4"/>
      <c r="AD738" s="4"/>
      <c r="AE738" s="4"/>
      <c r="AF738" s="81"/>
      <c r="AG738" s="81"/>
      <c r="AH738" s="81"/>
      <c r="AI738" s="4"/>
      <c r="AJ738" s="81"/>
      <c r="AK738" s="81"/>
      <c r="AL738" s="81"/>
      <c r="AM738" s="43">
        <v>722</v>
      </c>
      <c r="AN738">
        <v>290.30601373114803</v>
      </c>
      <c r="AO738">
        <v>92.973302470281254</v>
      </c>
      <c r="AP738">
        <v>685.92401915283506</v>
      </c>
      <c r="AQ738">
        <v>505.65568627918088</v>
      </c>
      <c r="AR738">
        <v>84.119224414795994</v>
      </c>
      <c r="AS738">
        <v>694.59829249089194</v>
      </c>
      <c r="AT738">
        <v>42.86542945958405</v>
      </c>
      <c r="AU738">
        <v>38.808189730746044</v>
      </c>
      <c r="AV738"/>
      <c r="AW738"/>
      <c r="FY738" s="211">
        <v>733</v>
      </c>
      <c r="FZ738">
        <v>25.381185280406875</v>
      </c>
      <c r="GA738">
        <v>53.322155429264754</v>
      </c>
      <c r="GB738">
        <v>66.202920270921368</v>
      </c>
      <c r="GC738">
        <v>45.743397882687773</v>
      </c>
      <c r="GD738">
        <v>27.750220703646264</v>
      </c>
      <c r="GE738">
        <v>46.662045704258453</v>
      </c>
      <c r="GF738">
        <v>50.927287737409465</v>
      </c>
      <c r="GG738">
        <v>46.635017233759463</v>
      </c>
      <c r="GH738">
        <v>34.487884583986357</v>
      </c>
      <c r="GI738">
        <v>53.51193923451504</v>
      </c>
      <c r="GJ738"/>
      <c r="GK738"/>
      <c r="GL738"/>
      <c r="GM738"/>
    </row>
    <row r="739" spans="1:195" s="7" customFormat="1">
      <c r="A739" s="4"/>
      <c r="B739" s="4"/>
      <c r="C739" s="105"/>
      <c r="D739" s="4"/>
      <c r="E739" s="4"/>
      <c r="F739" s="28"/>
      <c r="G739" s="28"/>
      <c r="H739" s="83"/>
      <c r="I739" s="4"/>
      <c r="J739" s="4"/>
      <c r="K739" s="4"/>
      <c r="L739" s="4"/>
      <c r="M739" s="4"/>
      <c r="N739" s="28"/>
      <c r="O739" s="4"/>
      <c r="P739" s="4"/>
      <c r="Q739" s="4"/>
      <c r="R739" s="4"/>
      <c r="S739" s="4"/>
      <c r="T739" s="4"/>
      <c r="U739" s="4"/>
      <c r="V739" s="4"/>
      <c r="W739" s="4"/>
      <c r="X739" s="4"/>
      <c r="Y739" s="4"/>
      <c r="Z739" s="4"/>
      <c r="AA739" s="4"/>
      <c r="AB739" s="4"/>
      <c r="AC739" s="4"/>
      <c r="AD739" s="4"/>
      <c r="AE739" s="4"/>
      <c r="AF739" s="81"/>
      <c r="AG739" s="81"/>
      <c r="AH739" s="81"/>
      <c r="AI739" s="4"/>
      <c r="AJ739" s="81"/>
      <c r="AK739" s="81"/>
      <c r="AL739" s="81"/>
      <c r="AM739" s="43">
        <v>723</v>
      </c>
      <c r="AN739">
        <v>230.65277295462755</v>
      </c>
      <c r="AO739">
        <v>76.283486985551818</v>
      </c>
      <c r="AP739">
        <v>538.27035403347566</v>
      </c>
      <c r="AQ739">
        <v>399.85683662078588</v>
      </c>
      <c r="AR739">
        <v>69.833945673596418</v>
      </c>
      <c r="AS739">
        <v>603.17604634616441</v>
      </c>
      <c r="AT739">
        <v>42.77895684181911</v>
      </c>
      <c r="AU739">
        <v>102.24072389776248</v>
      </c>
      <c r="AV739"/>
      <c r="AW739"/>
      <c r="FY739" s="211">
        <v>734</v>
      </c>
      <c r="FZ739">
        <v>25.767768698464778</v>
      </c>
      <c r="GA739">
        <v>60.815720574692207</v>
      </c>
      <c r="GB739">
        <v>71.829144631230207</v>
      </c>
      <c r="GC739">
        <v>44.295777836145589</v>
      </c>
      <c r="GD739">
        <v>20.72344457310848</v>
      </c>
      <c r="GE739">
        <v>54.86044376942592</v>
      </c>
      <c r="GF739">
        <v>111.59227190247825</v>
      </c>
      <c r="GG739">
        <v>66.444884995151668</v>
      </c>
      <c r="GH739">
        <v>20.961112487077976</v>
      </c>
      <c r="GI739">
        <v>61.785339678382265</v>
      </c>
      <c r="GJ739"/>
      <c r="GK739"/>
      <c r="GL739"/>
      <c r="GM739"/>
    </row>
    <row r="740" spans="1:195" s="7" customFormat="1">
      <c r="A740" s="4"/>
      <c r="B740" s="4"/>
      <c r="C740" s="105"/>
      <c r="D740" s="4"/>
      <c r="E740" s="4"/>
      <c r="F740" s="28"/>
      <c r="G740" s="28"/>
      <c r="H740" s="83"/>
      <c r="I740" s="4"/>
      <c r="J740" s="4"/>
      <c r="K740" s="4"/>
      <c r="L740" s="4"/>
      <c r="M740" s="4"/>
      <c r="N740" s="28"/>
      <c r="O740" s="4"/>
      <c r="P740" s="4"/>
      <c r="Q740" s="4"/>
      <c r="R740" s="4"/>
      <c r="S740" s="4"/>
      <c r="T740" s="4"/>
      <c r="U740" s="4"/>
      <c r="V740" s="4"/>
      <c r="W740" s="4"/>
      <c r="X740" s="4"/>
      <c r="Y740" s="4"/>
      <c r="Z740" s="4"/>
      <c r="AA740" s="4"/>
      <c r="AB740" s="4"/>
      <c r="AC740" s="4"/>
      <c r="AD740" s="4"/>
      <c r="AE740" s="4"/>
      <c r="AF740" s="81"/>
      <c r="AG740" s="81"/>
      <c r="AH740" s="81"/>
      <c r="AI740" s="4"/>
      <c r="AJ740" s="81"/>
      <c r="AK740" s="81"/>
      <c r="AL740" s="81"/>
      <c r="AM740" s="43">
        <v>724</v>
      </c>
      <c r="AN740">
        <v>246.52761126997711</v>
      </c>
      <c r="AO740">
        <v>83.833510633365364</v>
      </c>
      <c r="AP740">
        <v>625.9521891271537</v>
      </c>
      <c r="AQ740">
        <v>479.55917591188472</v>
      </c>
      <c r="AR740">
        <v>74.280267842264109</v>
      </c>
      <c r="AS740">
        <v>592.38683745058847</v>
      </c>
      <c r="AT740">
        <v>38.690371560122564</v>
      </c>
      <c r="AU740">
        <v>65.78503646358115</v>
      </c>
      <c r="AV740"/>
      <c r="AW740"/>
      <c r="FY740" s="211">
        <v>735</v>
      </c>
      <c r="FZ740">
        <v>20.938755601196537</v>
      </c>
      <c r="GA740">
        <v>55.657196330720083</v>
      </c>
      <c r="GB740">
        <v>77.274653170103477</v>
      </c>
      <c r="GC740">
        <v>44.995423279966303</v>
      </c>
      <c r="GD740">
        <v>25.205340559623952</v>
      </c>
      <c r="GE740">
        <v>60.986747491312869</v>
      </c>
      <c r="GF740">
        <v>87.603443808042627</v>
      </c>
      <c r="GG740">
        <v>39.14826348270028</v>
      </c>
      <c r="GH740">
        <v>2.2662784183672859</v>
      </c>
      <c r="GI740">
        <v>56.393118617436834</v>
      </c>
      <c r="GJ740"/>
      <c r="GK740"/>
      <c r="GL740"/>
      <c r="GM740"/>
    </row>
    <row r="741" spans="1:195" s="7" customFormat="1">
      <c r="A741" s="4"/>
      <c r="B741" s="4"/>
      <c r="C741" s="105"/>
      <c r="D741" s="4"/>
      <c r="E741" s="4"/>
      <c r="F741" s="28"/>
      <c r="G741" s="28"/>
      <c r="H741" s="83"/>
      <c r="I741" s="4"/>
      <c r="J741" s="4"/>
      <c r="K741" s="4"/>
      <c r="L741" s="4"/>
      <c r="M741" s="4"/>
      <c r="N741" s="28"/>
      <c r="O741" s="4"/>
      <c r="P741" s="4"/>
      <c r="Q741" s="4"/>
      <c r="R741" s="4"/>
      <c r="S741" s="4"/>
      <c r="T741" s="4"/>
      <c r="U741" s="4"/>
      <c r="V741" s="4"/>
      <c r="W741" s="4"/>
      <c r="X741" s="4"/>
      <c r="Y741" s="4"/>
      <c r="Z741" s="4"/>
      <c r="AA741" s="4"/>
      <c r="AB741" s="4"/>
      <c r="AC741" s="4"/>
      <c r="AD741" s="4"/>
      <c r="AE741" s="4"/>
      <c r="AF741" s="81"/>
      <c r="AG741" s="81"/>
      <c r="AH741" s="81"/>
      <c r="AI741" s="4"/>
      <c r="AJ741" s="81"/>
      <c r="AK741" s="81"/>
      <c r="AL741" s="81"/>
      <c r="AM741" s="43">
        <v>725</v>
      </c>
      <c r="AN741">
        <v>257.59694464279676</v>
      </c>
      <c r="AO741">
        <v>82.918937486351979</v>
      </c>
      <c r="AP741">
        <v>603.23861381517486</v>
      </c>
      <c r="AQ741">
        <v>467.50807671617508</v>
      </c>
      <c r="AR741">
        <v>74.50490547062806</v>
      </c>
      <c r="AS741">
        <v>615.48347899952182</v>
      </c>
      <c r="AT741">
        <v>38.416614390231125</v>
      </c>
      <c r="AU741">
        <v>60.664241578439245</v>
      </c>
      <c r="AV741"/>
      <c r="AW741"/>
      <c r="FY741" s="211">
        <v>736</v>
      </c>
      <c r="FZ741">
        <v>17.865906329851892</v>
      </c>
      <c r="GA741">
        <v>55.973006977505364</v>
      </c>
      <c r="GB741">
        <v>83.488262244201664</v>
      </c>
      <c r="GC741">
        <v>43.508911563112505</v>
      </c>
      <c r="GD741">
        <v>13.388230195271305</v>
      </c>
      <c r="GE741">
        <v>29.354055976118858</v>
      </c>
      <c r="GF741">
        <v>51.223008920925125</v>
      </c>
      <c r="GG741">
        <v>37.092258819016386</v>
      </c>
      <c r="GH741">
        <v>19.711372581769758</v>
      </c>
      <c r="GI741">
        <v>46.317065794343527</v>
      </c>
      <c r="GJ741"/>
      <c r="GK741"/>
      <c r="GL741"/>
      <c r="GM741"/>
    </row>
    <row r="742" spans="1:195" s="7" customFormat="1">
      <c r="A742" s="4"/>
      <c r="B742" s="4"/>
      <c r="C742" s="105"/>
      <c r="D742" s="4"/>
      <c r="E742" s="4"/>
      <c r="F742" s="28"/>
      <c r="G742" s="28"/>
      <c r="H742" s="83"/>
      <c r="I742" s="4"/>
      <c r="J742" s="4"/>
      <c r="K742" s="4"/>
      <c r="L742" s="4"/>
      <c r="M742" s="4"/>
      <c r="N742" s="28"/>
      <c r="O742" s="4"/>
      <c r="P742" s="4"/>
      <c r="Q742" s="4"/>
      <c r="R742" s="4"/>
      <c r="S742" s="4"/>
      <c r="T742" s="4"/>
      <c r="U742" s="4"/>
      <c r="V742" s="4"/>
      <c r="W742" s="4"/>
      <c r="X742" s="4"/>
      <c r="Y742" s="4"/>
      <c r="Z742" s="4"/>
      <c r="AA742" s="4"/>
      <c r="AB742" s="4"/>
      <c r="AC742" s="4"/>
      <c r="AD742" s="4"/>
      <c r="AE742" s="4"/>
      <c r="AF742" s="81"/>
      <c r="AG742" s="81"/>
      <c r="AH742" s="81"/>
      <c r="AI742" s="4"/>
      <c r="AJ742" s="81"/>
      <c r="AK742" s="81"/>
      <c r="AL742" s="81"/>
      <c r="AM742" s="43">
        <v>726</v>
      </c>
      <c r="AN742">
        <v>240.12080092407177</v>
      </c>
      <c r="AO742">
        <v>78.375069451885821</v>
      </c>
      <c r="AP742">
        <v>538.0093018794696</v>
      </c>
      <c r="AQ742">
        <v>431.11772073723074</v>
      </c>
      <c r="AR742">
        <v>70.854892527605543</v>
      </c>
      <c r="AS742">
        <v>594.69489959004727</v>
      </c>
      <c r="AT742">
        <v>36.332710255757881</v>
      </c>
      <c r="AU742">
        <v>39.976888830650886</v>
      </c>
      <c r="AV742"/>
      <c r="AW742"/>
      <c r="FY742" s="211">
        <v>737</v>
      </c>
      <c r="FZ742">
        <v>24.36363722266055</v>
      </c>
      <c r="GA742">
        <v>65.339728621504605</v>
      </c>
      <c r="GB742">
        <v>64.190457712394533</v>
      </c>
      <c r="GC742">
        <v>35.33091260167032</v>
      </c>
      <c r="GD742">
        <v>14.035460476900015</v>
      </c>
      <c r="GE742">
        <v>35.128879595247284</v>
      </c>
      <c r="GF742">
        <v>59.137030268580396</v>
      </c>
      <c r="GG742">
        <v>29.062408947236385</v>
      </c>
      <c r="GH742">
        <v>15.337295592486399</v>
      </c>
      <c r="GI742">
        <v>42.4511612086404</v>
      </c>
      <c r="GJ742"/>
      <c r="GK742"/>
      <c r="GL742"/>
      <c r="GM742"/>
    </row>
    <row r="743" spans="1:195" s="7" customFormat="1">
      <c r="A743" s="4"/>
      <c r="B743" s="4"/>
      <c r="C743" s="105"/>
      <c r="D743" s="4"/>
      <c r="E743" s="4"/>
      <c r="F743" s="28"/>
      <c r="G743" s="28"/>
      <c r="H743" s="83"/>
      <c r="I743" s="4"/>
      <c r="J743" s="4"/>
      <c r="K743" s="4"/>
      <c r="L743" s="4"/>
      <c r="M743" s="4"/>
      <c r="N743" s="28"/>
      <c r="O743" s="4"/>
      <c r="P743" s="4"/>
      <c r="Q743" s="4"/>
      <c r="R743" s="4"/>
      <c r="S743" s="4"/>
      <c r="T743" s="4"/>
      <c r="U743" s="4"/>
      <c r="V743" s="4"/>
      <c r="W743" s="4"/>
      <c r="X743" s="4"/>
      <c r="Y743" s="4"/>
      <c r="Z743" s="4"/>
      <c r="AA743" s="4"/>
      <c r="AB743" s="4"/>
      <c r="AC743" s="4"/>
      <c r="AD743" s="4"/>
      <c r="AE743" s="4"/>
      <c r="AF743" s="81"/>
      <c r="AG743" s="81"/>
      <c r="AH743" s="81"/>
      <c r="AI743" s="4"/>
      <c r="AJ743" s="81"/>
      <c r="AK743" s="81"/>
      <c r="AL743" s="81"/>
      <c r="AM743" s="43">
        <v>727</v>
      </c>
      <c r="AN743">
        <v>232.68581779051812</v>
      </c>
      <c r="AO743">
        <v>83.624333039642238</v>
      </c>
      <c r="AP743">
        <v>612.55787036753964</v>
      </c>
      <c r="AQ743">
        <v>468.06799237737386</v>
      </c>
      <c r="AR743">
        <v>76.200733632398865</v>
      </c>
      <c r="AS743">
        <v>643.1161725259966</v>
      </c>
      <c r="AT743">
        <v>43.259909722845897</v>
      </c>
      <c r="AU743">
        <v>91.078686971439183</v>
      </c>
      <c r="AV743"/>
      <c r="AW743"/>
      <c r="FY743" s="211">
        <v>738</v>
      </c>
      <c r="FZ743">
        <v>11.292272634068702</v>
      </c>
      <c r="GA743">
        <v>45.22573422612971</v>
      </c>
      <c r="GB743">
        <v>73.80952237453269</v>
      </c>
      <c r="GC743">
        <v>45.387616944234438</v>
      </c>
      <c r="GD743">
        <v>16.077895049747582</v>
      </c>
      <c r="GE743">
        <v>41.049575654631965</v>
      </c>
      <c r="GF743">
        <v>102.70187173608316</v>
      </c>
      <c r="GG743">
        <v>63.667482039913367</v>
      </c>
      <c r="GH743">
        <v>24.081356801922144</v>
      </c>
      <c r="GI743">
        <v>54.846048660400278</v>
      </c>
      <c r="GJ743"/>
      <c r="GK743"/>
      <c r="GL743"/>
      <c r="GM743"/>
    </row>
    <row r="744" spans="1:195" s="7" customFormat="1">
      <c r="A744" s="4"/>
      <c r="B744" s="4"/>
      <c r="C744" s="105"/>
      <c r="D744" s="4"/>
      <c r="E744" s="4"/>
      <c r="F744" s="28"/>
      <c r="G744" s="28"/>
      <c r="H744" s="83"/>
      <c r="I744" s="4"/>
      <c r="J744" s="4"/>
      <c r="K744" s="4"/>
      <c r="L744" s="4"/>
      <c r="M744" s="4"/>
      <c r="N744" s="28"/>
      <c r="O744" s="4"/>
      <c r="P744" s="4"/>
      <c r="Q744" s="4"/>
      <c r="R744" s="4"/>
      <c r="S744" s="4"/>
      <c r="T744" s="4"/>
      <c r="U744" s="4"/>
      <c r="V744" s="4"/>
      <c r="W744" s="4"/>
      <c r="X744" s="4"/>
      <c r="Y744" s="4"/>
      <c r="Z744" s="4"/>
      <c r="AA744" s="4"/>
      <c r="AB744" s="4"/>
      <c r="AC744" s="4"/>
      <c r="AD744" s="4"/>
      <c r="AE744" s="4"/>
      <c r="AF744" s="81"/>
      <c r="AG744" s="81"/>
      <c r="AH744" s="81"/>
      <c r="AI744" s="4"/>
      <c r="AJ744" s="81"/>
      <c r="AK744" s="81"/>
      <c r="AL744" s="81"/>
      <c r="AM744" s="43">
        <v>728</v>
      </c>
      <c r="AN744">
        <v>242.25729746161588</v>
      </c>
      <c r="AO744">
        <v>81.273695212641925</v>
      </c>
      <c r="AP744">
        <v>616.72148329136519</v>
      </c>
      <c r="AQ744">
        <v>442.43759710151159</v>
      </c>
      <c r="AR744">
        <v>73.976107231034803</v>
      </c>
      <c r="AS744">
        <v>614.78729396703523</v>
      </c>
      <c r="AT744">
        <v>39.076657250442985</v>
      </c>
      <c r="AU744">
        <v>20.228043570272774</v>
      </c>
      <c r="AV744"/>
      <c r="AW744"/>
      <c r="FY744" s="211">
        <v>739</v>
      </c>
      <c r="FZ744">
        <v>27.63801104826808</v>
      </c>
      <c r="GA744">
        <v>71.304846746383532</v>
      </c>
      <c r="GB744">
        <v>90.438635843147878</v>
      </c>
      <c r="GC744">
        <v>51.394626306175653</v>
      </c>
      <c r="GD744">
        <v>21.192904843023964</v>
      </c>
      <c r="GE744">
        <v>65.012253777462249</v>
      </c>
      <c r="GF744">
        <v>102.09132548328155</v>
      </c>
      <c r="GG744">
        <v>32.706021798643803</v>
      </c>
      <c r="GH744">
        <v>5.9489281295932619</v>
      </c>
      <c r="GI744">
        <v>61.761726367845753</v>
      </c>
      <c r="GJ744"/>
      <c r="GK744"/>
      <c r="GL744"/>
      <c r="GM744"/>
    </row>
    <row r="745" spans="1:195" s="7" customFormat="1">
      <c r="A745" s="4"/>
      <c r="B745" s="4"/>
      <c r="C745" s="105"/>
      <c r="D745" s="4"/>
      <c r="E745" s="4"/>
      <c r="F745" s="28"/>
      <c r="G745" s="28"/>
      <c r="H745" s="83"/>
      <c r="I745" s="4"/>
      <c r="J745" s="4"/>
      <c r="K745" s="4"/>
      <c r="L745" s="4"/>
      <c r="M745" s="4"/>
      <c r="N745" s="28"/>
      <c r="O745" s="4"/>
      <c r="P745" s="4"/>
      <c r="Q745" s="4"/>
      <c r="R745" s="4"/>
      <c r="S745" s="4"/>
      <c r="T745" s="4"/>
      <c r="U745" s="4"/>
      <c r="V745" s="4"/>
      <c r="W745" s="4"/>
      <c r="X745" s="4"/>
      <c r="Y745" s="4"/>
      <c r="Z745" s="4"/>
      <c r="AA745" s="4"/>
      <c r="AB745" s="4"/>
      <c r="AC745" s="4"/>
      <c r="AD745" s="4"/>
      <c r="AE745" s="4"/>
      <c r="AF745" s="81"/>
      <c r="AG745" s="81"/>
      <c r="AH745" s="81"/>
      <c r="AI745" s="4"/>
      <c r="AJ745" s="81"/>
      <c r="AK745" s="81"/>
      <c r="AL745" s="81"/>
      <c r="AM745" s="43">
        <v>729</v>
      </c>
      <c r="AN745">
        <v>299.21964482087816</v>
      </c>
      <c r="AO745">
        <v>96.55288466831216</v>
      </c>
      <c r="AP745">
        <v>683.34901505954099</v>
      </c>
      <c r="AQ745">
        <v>531.48616155328125</v>
      </c>
      <c r="AR745">
        <v>85.982647706588594</v>
      </c>
      <c r="AS745">
        <v>744.17984690611786</v>
      </c>
      <c r="AT745">
        <v>48.000114277910662</v>
      </c>
      <c r="AU745">
        <v>151.0640888544107</v>
      </c>
      <c r="AV745"/>
      <c r="AW745"/>
      <c r="FY745" s="211">
        <v>740</v>
      </c>
      <c r="FZ745">
        <v>20.08230336505941</v>
      </c>
      <c r="GA745">
        <v>59.801635322736004</v>
      </c>
      <c r="GB745">
        <v>60.576054131855756</v>
      </c>
      <c r="GC745">
        <v>34.78722658915121</v>
      </c>
      <c r="GD745">
        <v>14.396812097261884</v>
      </c>
      <c r="GE745">
        <v>28.824241707811339</v>
      </c>
      <c r="GF745">
        <v>51.362398170151174</v>
      </c>
      <c r="GG745">
        <v>31.892710542830628</v>
      </c>
      <c r="GH745">
        <v>18.269684752661682</v>
      </c>
      <c r="GI745">
        <v>40.356165726922235</v>
      </c>
      <c r="GJ745"/>
      <c r="GK745"/>
      <c r="GL745"/>
      <c r="GM745"/>
    </row>
    <row r="746" spans="1:195" s="7" customFormat="1">
      <c r="A746" s="4"/>
      <c r="B746" s="4"/>
      <c r="C746" s="105"/>
      <c r="D746" s="4"/>
      <c r="E746" s="4"/>
      <c r="F746" s="28"/>
      <c r="G746" s="28"/>
      <c r="H746" s="83"/>
      <c r="I746" s="4"/>
      <c r="J746" s="4"/>
      <c r="K746" s="4"/>
      <c r="L746" s="4"/>
      <c r="M746" s="4"/>
      <c r="N746" s="28"/>
      <c r="O746" s="4"/>
      <c r="P746" s="4"/>
      <c r="Q746" s="4"/>
      <c r="R746" s="4"/>
      <c r="S746" s="4"/>
      <c r="T746" s="4"/>
      <c r="U746" s="4"/>
      <c r="V746" s="4"/>
      <c r="W746" s="4"/>
      <c r="X746" s="4"/>
      <c r="Y746" s="4"/>
      <c r="Z746" s="4"/>
      <c r="AA746" s="4"/>
      <c r="AB746" s="4"/>
      <c r="AC746" s="4"/>
      <c r="AD746" s="4"/>
      <c r="AE746" s="4"/>
      <c r="AF746" s="81"/>
      <c r="AG746" s="81"/>
      <c r="AH746" s="81"/>
      <c r="AI746" s="4"/>
      <c r="AJ746" s="81"/>
      <c r="AK746" s="81"/>
      <c r="AL746" s="81"/>
      <c r="AM746" s="43">
        <v>730</v>
      </c>
      <c r="AN746">
        <v>240.17691234423938</v>
      </c>
      <c r="AO746">
        <v>77.790600783527708</v>
      </c>
      <c r="AP746">
        <v>594.94762713944999</v>
      </c>
      <c r="AQ746">
        <v>446.48247184766956</v>
      </c>
      <c r="AR746">
        <v>70.944081940628394</v>
      </c>
      <c r="AS746">
        <v>620.22162985767727</v>
      </c>
      <c r="AT746">
        <v>39.503565524742875</v>
      </c>
      <c r="AU746">
        <v>70.817330966268642</v>
      </c>
      <c r="AV746"/>
      <c r="AW746"/>
      <c r="FY746" s="211">
        <v>741</v>
      </c>
      <c r="FZ746">
        <v>18.123866834106323</v>
      </c>
      <c r="GA746">
        <v>51.436611416723053</v>
      </c>
      <c r="GB746">
        <v>81.19956588707862</v>
      </c>
      <c r="GC746">
        <v>51.650743577778243</v>
      </c>
      <c r="GD746">
        <v>19.041488607512711</v>
      </c>
      <c r="GE746">
        <v>20.324467662302126</v>
      </c>
      <c r="GF746">
        <v>81.465042413314492</v>
      </c>
      <c r="GG746">
        <v>68.427884113717397</v>
      </c>
      <c r="GH746">
        <v>7.9077983758486816</v>
      </c>
      <c r="GI746">
        <v>53.138505390827092</v>
      </c>
      <c r="GJ746"/>
      <c r="GK746"/>
      <c r="GL746"/>
      <c r="GM746"/>
    </row>
    <row r="747" spans="1:195" s="7" customFormat="1">
      <c r="A747" s="4"/>
      <c r="B747" s="4"/>
      <c r="C747" s="105"/>
      <c r="D747" s="4"/>
      <c r="E747" s="4"/>
      <c r="F747" s="28"/>
      <c r="G747" s="28"/>
      <c r="H747" s="83"/>
      <c r="I747" s="4"/>
      <c r="J747" s="4"/>
      <c r="K747" s="4"/>
      <c r="L747" s="4"/>
      <c r="M747" s="4"/>
      <c r="N747" s="28"/>
      <c r="O747" s="4"/>
      <c r="P747" s="4"/>
      <c r="Q747" s="4"/>
      <c r="R747" s="4"/>
      <c r="S747" s="4"/>
      <c r="T747" s="4"/>
      <c r="U747" s="4"/>
      <c r="V747" s="4"/>
      <c r="W747" s="4"/>
      <c r="X747" s="4"/>
      <c r="Y747" s="4"/>
      <c r="Z747" s="4"/>
      <c r="AA747" s="4"/>
      <c r="AB747" s="4"/>
      <c r="AC747" s="4"/>
      <c r="AD747" s="4"/>
      <c r="AE747" s="4"/>
      <c r="AF747" s="81"/>
      <c r="AG747" s="81"/>
      <c r="AH747" s="81"/>
      <c r="AI747" s="4"/>
      <c r="AJ747" s="81"/>
      <c r="AK747" s="81"/>
      <c r="AL747" s="81"/>
      <c r="AM747" s="43">
        <v>731</v>
      </c>
      <c r="AN747">
        <v>262.84206076213985</v>
      </c>
      <c r="AO747">
        <v>96.876550219682088</v>
      </c>
      <c r="AP747">
        <v>780.89865440524852</v>
      </c>
      <c r="AQ747">
        <v>545.93639354862103</v>
      </c>
      <c r="AR747">
        <v>87.657870455552967</v>
      </c>
      <c r="AS747">
        <v>716.90246157596869</v>
      </c>
      <c r="AT747">
        <v>46.341208652775627</v>
      </c>
      <c r="AU747">
        <v>71.453529321282915</v>
      </c>
      <c r="AV747"/>
      <c r="AW747"/>
      <c r="FY747" s="211">
        <v>742</v>
      </c>
      <c r="FZ747">
        <v>14.34623397401559</v>
      </c>
      <c r="GA747">
        <v>39.80263324484153</v>
      </c>
      <c r="GB747">
        <v>64.415544695352366</v>
      </c>
      <c r="GC747">
        <v>45.572116807985594</v>
      </c>
      <c r="GD747">
        <v>23.336931270460553</v>
      </c>
      <c r="GE747">
        <v>47.465748650622764</v>
      </c>
      <c r="GF747">
        <v>66.437604041838327</v>
      </c>
      <c r="GG747">
        <v>27.46358055707443</v>
      </c>
      <c r="GH747">
        <v>8.5672641204829549</v>
      </c>
      <c r="GI747">
        <v>47.159261144195654</v>
      </c>
      <c r="GJ747"/>
      <c r="GK747"/>
      <c r="GL747"/>
      <c r="GM747"/>
    </row>
    <row r="748" spans="1:195" s="7" customFormat="1">
      <c r="A748" s="4"/>
      <c r="B748" s="4"/>
      <c r="C748" s="105"/>
      <c r="D748" s="4"/>
      <c r="E748" s="4"/>
      <c r="F748" s="28"/>
      <c r="G748" s="28"/>
      <c r="H748" s="83"/>
      <c r="I748" s="4"/>
      <c r="J748" s="4"/>
      <c r="K748" s="4"/>
      <c r="L748" s="4"/>
      <c r="M748" s="4"/>
      <c r="N748" s="28"/>
      <c r="O748" s="4"/>
      <c r="P748" s="4"/>
      <c r="Q748" s="4"/>
      <c r="R748" s="4"/>
      <c r="S748" s="4"/>
      <c r="T748" s="4"/>
      <c r="U748" s="4"/>
      <c r="V748" s="4"/>
      <c r="W748" s="4"/>
      <c r="X748" s="4"/>
      <c r="Y748" s="4"/>
      <c r="Z748" s="4"/>
      <c r="AA748" s="4"/>
      <c r="AB748" s="4"/>
      <c r="AC748" s="4"/>
      <c r="AD748" s="4"/>
      <c r="AE748" s="4"/>
      <c r="AF748" s="81"/>
      <c r="AG748" s="81"/>
      <c r="AH748" s="81"/>
      <c r="AI748" s="4"/>
      <c r="AJ748" s="81"/>
      <c r="AK748" s="81"/>
      <c r="AL748" s="81"/>
      <c r="AM748" s="43">
        <v>732</v>
      </c>
      <c r="AN748">
        <v>232.99718597728142</v>
      </c>
      <c r="AO748">
        <v>70.256047580406829</v>
      </c>
      <c r="AP748">
        <v>460.14394976009964</v>
      </c>
      <c r="AQ748">
        <v>367.93166247736229</v>
      </c>
      <c r="AR748">
        <v>63.659287717958151</v>
      </c>
      <c r="AS748">
        <v>537.2523936658414</v>
      </c>
      <c r="AT748">
        <v>34.17413704789967</v>
      </c>
      <c r="AU748">
        <v>74.704774782034775</v>
      </c>
      <c r="AV748"/>
      <c r="AW748"/>
      <c r="FY748" s="211">
        <v>743</v>
      </c>
      <c r="FZ748">
        <v>18.102766750548959</v>
      </c>
      <c r="GA748">
        <v>66.401292809583708</v>
      </c>
      <c r="GB748">
        <v>53.262861462552273</v>
      </c>
      <c r="GC748">
        <v>28.370822007179164</v>
      </c>
      <c r="GD748">
        <v>20.140406102237218</v>
      </c>
      <c r="GE748">
        <v>35.848263005660399</v>
      </c>
      <c r="GF748">
        <v>90.632074202588953</v>
      </c>
      <c r="GG748">
        <v>76.534743812288127</v>
      </c>
      <c r="GH748">
        <v>19.795260944729435</v>
      </c>
      <c r="GI748">
        <v>51.730970547309084</v>
      </c>
      <c r="GJ748"/>
      <c r="GK748"/>
      <c r="GL748"/>
      <c r="GM748"/>
    </row>
    <row r="749" spans="1:195" s="7" customFormat="1">
      <c r="A749" s="4"/>
      <c r="B749" s="4"/>
      <c r="C749" s="105"/>
      <c r="D749" s="4"/>
      <c r="E749" s="4"/>
      <c r="F749" s="28"/>
      <c r="G749" s="28"/>
      <c r="H749" s="83"/>
      <c r="I749" s="4"/>
      <c r="J749" s="4"/>
      <c r="K749" s="4"/>
      <c r="L749" s="4"/>
      <c r="M749" s="4"/>
      <c r="N749" s="28"/>
      <c r="O749" s="4"/>
      <c r="P749" s="4"/>
      <c r="Q749" s="4"/>
      <c r="R749" s="4"/>
      <c r="S749" s="4"/>
      <c r="T749" s="4"/>
      <c r="U749" s="4"/>
      <c r="V749" s="4"/>
      <c r="W749" s="4"/>
      <c r="X749" s="4"/>
      <c r="Y749" s="4"/>
      <c r="Z749" s="4"/>
      <c r="AA749" s="4"/>
      <c r="AB749" s="4"/>
      <c r="AC749" s="4"/>
      <c r="AD749" s="4"/>
      <c r="AE749" s="4"/>
      <c r="AF749" s="81"/>
      <c r="AG749" s="81"/>
      <c r="AH749" s="81"/>
      <c r="AI749" s="4"/>
      <c r="AJ749" s="81"/>
      <c r="AK749" s="81"/>
      <c r="AL749" s="81"/>
      <c r="AM749" s="43">
        <v>733</v>
      </c>
      <c r="AN749">
        <v>229.60867322143108</v>
      </c>
      <c r="AO749">
        <v>84.035145444927167</v>
      </c>
      <c r="AP749">
        <v>561.69389804775824</v>
      </c>
      <c r="AQ749">
        <v>450.62405406085577</v>
      </c>
      <c r="AR749">
        <v>76.51786233803972</v>
      </c>
      <c r="AS749">
        <v>597.63717749145962</v>
      </c>
      <c r="AT749" t="e">
        <v>#DIV/0!</v>
      </c>
      <c r="AU749" t="e">
        <v>#DIV/0!</v>
      </c>
      <c r="AV749"/>
      <c r="AW749"/>
      <c r="FY749" s="211">
        <v>744</v>
      </c>
      <c r="FZ749">
        <v>2.3133718754347714</v>
      </c>
      <c r="GA749">
        <v>49.157956968567973</v>
      </c>
      <c r="GB749">
        <v>79.85839050257664</v>
      </c>
      <c r="GC749">
        <v>52.999074856159147</v>
      </c>
      <c r="GD749">
        <v>29.753416327299007</v>
      </c>
      <c r="GE749">
        <v>46.339169651905586</v>
      </c>
      <c r="GF749">
        <v>83.405455501566976</v>
      </c>
      <c r="GG749">
        <v>73.019036664154484</v>
      </c>
      <c r="GH749">
        <v>37.92768961705832</v>
      </c>
      <c r="GI749">
        <v>62.500910120834902</v>
      </c>
      <c r="GJ749"/>
      <c r="GK749"/>
      <c r="GL749"/>
      <c r="GM749"/>
    </row>
    <row r="750" spans="1:195" s="7" customFormat="1">
      <c r="A750" s="4"/>
      <c r="B750" s="4"/>
      <c r="C750" s="105"/>
      <c r="D750" s="4"/>
      <c r="E750" s="4"/>
      <c r="F750" s="28"/>
      <c r="G750" s="28"/>
      <c r="H750" s="83"/>
      <c r="I750" s="4"/>
      <c r="J750" s="4"/>
      <c r="K750" s="4"/>
      <c r="L750" s="4"/>
      <c r="M750" s="4"/>
      <c r="N750" s="28"/>
      <c r="O750" s="4"/>
      <c r="P750" s="4"/>
      <c r="Q750" s="4"/>
      <c r="R750" s="4"/>
      <c r="S750" s="4"/>
      <c r="T750" s="4"/>
      <c r="U750" s="4"/>
      <c r="V750" s="4"/>
      <c r="W750" s="4"/>
      <c r="X750" s="4"/>
      <c r="Y750" s="4"/>
      <c r="Z750" s="4"/>
      <c r="AA750" s="4"/>
      <c r="AB750" s="4"/>
      <c r="AC750" s="4"/>
      <c r="AD750" s="4"/>
      <c r="AE750" s="4"/>
      <c r="AF750" s="81"/>
      <c r="AG750" s="81"/>
      <c r="AH750" s="81"/>
      <c r="AI750" s="4"/>
      <c r="AJ750" s="81"/>
      <c r="AK750" s="81"/>
      <c r="AL750" s="81"/>
      <c r="AM750" s="43">
        <v>734</v>
      </c>
      <c r="AN750">
        <v>270.59864260266806</v>
      </c>
      <c r="AO750">
        <v>99.549561203368626</v>
      </c>
      <c r="AP750">
        <v>747.18136510231307</v>
      </c>
      <c r="AQ750">
        <v>539.0759091461573</v>
      </c>
      <c r="AR750">
        <v>88.747111374843541</v>
      </c>
      <c r="AS750">
        <v>713.46950215316531</v>
      </c>
      <c r="AT750">
        <v>47.002661556880462</v>
      </c>
      <c r="AU750">
        <v>96.739358711492272</v>
      </c>
      <c r="AV750"/>
      <c r="AW750"/>
      <c r="FY750" s="211">
        <v>745</v>
      </c>
      <c r="FZ750">
        <v>28.118418719389151</v>
      </c>
      <c r="GA750">
        <v>57.508407270365737</v>
      </c>
      <c r="GB750">
        <v>54.438499184710956</v>
      </c>
      <c r="GC750">
        <v>32.352865724597692</v>
      </c>
      <c r="GD750">
        <v>14.437219956172971</v>
      </c>
      <c r="GE750">
        <v>34.773577154899442</v>
      </c>
      <c r="GF750">
        <v>68.271411259970819</v>
      </c>
      <c r="GG750">
        <v>53.000673514878905</v>
      </c>
      <c r="GH750">
        <v>29.934065595229193</v>
      </c>
      <c r="GI750">
        <v>45.332747295231307</v>
      </c>
      <c r="GJ750"/>
      <c r="GK750"/>
      <c r="GL750"/>
      <c r="GM750"/>
    </row>
    <row r="751" spans="1:195" s="7" customFormat="1">
      <c r="A751" s="4"/>
      <c r="B751" s="4"/>
      <c r="C751" s="105"/>
      <c r="D751" s="4"/>
      <c r="E751" s="4"/>
      <c r="F751" s="28"/>
      <c r="G751" s="28"/>
      <c r="H751" s="83"/>
      <c r="I751" s="4"/>
      <c r="J751" s="4"/>
      <c r="K751" s="4"/>
      <c r="L751" s="4"/>
      <c r="M751" s="4"/>
      <c r="N751" s="28"/>
      <c r="O751" s="4"/>
      <c r="P751" s="4"/>
      <c r="Q751" s="4"/>
      <c r="R751" s="4"/>
      <c r="S751" s="4"/>
      <c r="T751" s="4"/>
      <c r="U751" s="4"/>
      <c r="V751" s="4"/>
      <c r="W751" s="4"/>
      <c r="X751" s="4"/>
      <c r="Y751" s="4"/>
      <c r="Z751" s="4"/>
      <c r="AA751" s="4"/>
      <c r="AB751" s="4"/>
      <c r="AC751" s="4"/>
      <c r="AD751" s="4"/>
      <c r="AE751" s="4"/>
      <c r="AF751" s="81"/>
      <c r="AG751" s="81"/>
      <c r="AH751" s="81"/>
      <c r="AI751" s="4"/>
      <c r="AJ751" s="81"/>
      <c r="AK751" s="81"/>
      <c r="AL751" s="81"/>
      <c r="AM751" s="43">
        <v>735</v>
      </c>
      <c r="AN751">
        <v>240.82332477725805</v>
      </c>
      <c r="AO751">
        <v>89.148103125307102</v>
      </c>
      <c r="AP751">
        <v>611.72470075292824</v>
      </c>
      <c r="AQ751">
        <v>470.4692207594702</v>
      </c>
      <c r="AR751">
        <v>80.10306215020033</v>
      </c>
      <c r="AS751">
        <v>647.3687992537433</v>
      </c>
      <c r="AT751">
        <v>43.306487396999351</v>
      </c>
      <c r="AU751">
        <v>42.177610316115469</v>
      </c>
      <c r="AV751"/>
      <c r="AW751"/>
      <c r="FY751" s="211">
        <v>746</v>
      </c>
      <c r="FZ751">
        <v>16.960242320168661</v>
      </c>
      <c r="GA751">
        <v>62.124734756867227</v>
      </c>
      <c r="GB751">
        <v>63.279617058173017</v>
      </c>
      <c r="GC751">
        <v>33.211675285515589</v>
      </c>
      <c r="GD751">
        <v>29.040341899133423</v>
      </c>
      <c r="GE751">
        <v>71.077739524051609</v>
      </c>
      <c r="GF751">
        <v>98.182494205454915</v>
      </c>
      <c r="GG751">
        <v>52.70628994328078</v>
      </c>
      <c r="GH751">
        <v>7.2294228565862548</v>
      </c>
      <c r="GI751">
        <v>58.050822383252502</v>
      </c>
      <c r="GJ751"/>
      <c r="GK751"/>
      <c r="GL751"/>
      <c r="GM751"/>
    </row>
    <row r="752" spans="1:195" s="7" customFormat="1">
      <c r="A752" s="4"/>
      <c r="B752" s="4"/>
      <c r="C752" s="105"/>
      <c r="D752" s="4"/>
      <c r="E752" s="4"/>
      <c r="F752" s="28"/>
      <c r="G752" s="28"/>
      <c r="H752" s="83"/>
      <c r="I752" s="4"/>
      <c r="J752" s="4"/>
      <c r="K752" s="4"/>
      <c r="L752" s="4"/>
      <c r="M752" s="4"/>
      <c r="N752" s="28"/>
      <c r="O752" s="4"/>
      <c r="P752" s="4"/>
      <c r="Q752" s="4"/>
      <c r="R752" s="4"/>
      <c r="S752" s="4"/>
      <c r="T752" s="4"/>
      <c r="U752" s="4"/>
      <c r="V752" s="4"/>
      <c r="W752" s="4"/>
      <c r="X752" s="4"/>
      <c r="Y752" s="4"/>
      <c r="Z752" s="4"/>
      <c r="AA752" s="4"/>
      <c r="AB752" s="4"/>
      <c r="AC752" s="4"/>
      <c r="AD752" s="4"/>
      <c r="AE752" s="4"/>
      <c r="AF752" s="81"/>
      <c r="AG752" s="81"/>
      <c r="AH752" s="81"/>
      <c r="AI752" s="4"/>
      <c r="AJ752" s="81"/>
      <c r="AK752" s="81"/>
      <c r="AL752" s="81"/>
      <c r="AM752" s="43">
        <v>736</v>
      </c>
      <c r="AN752">
        <v>253.26335105151588</v>
      </c>
      <c r="AO752">
        <v>73.835442406707173</v>
      </c>
      <c r="AP752">
        <v>557.21429988687896</v>
      </c>
      <c r="AQ752">
        <v>397.92207940211637</v>
      </c>
      <c r="AR752">
        <v>66.747686674173551</v>
      </c>
      <c r="AS752">
        <v>599.32081635634324</v>
      </c>
      <c r="AT752">
        <v>36.177066363198797</v>
      </c>
      <c r="AU752">
        <v>67.408475141078824</v>
      </c>
      <c r="AV752"/>
      <c r="AW752"/>
      <c r="FY752" s="211">
        <v>747</v>
      </c>
      <c r="FZ752">
        <v>32.047713615664001</v>
      </c>
      <c r="GA752">
        <v>60.617411298610648</v>
      </c>
      <c r="GB752">
        <v>80.434569653908369</v>
      </c>
      <c r="GC752">
        <v>50.91673639078779</v>
      </c>
      <c r="GD752">
        <v>30.179483900881714</v>
      </c>
      <c r="GE752">
        <v>81.262913284056125</v>
      </c>
      <c r="GF752">
        <v>98.352882052574785</v>
      </c>
      <c r="GG752">
        <v>51.610382971268379</v>
      </c>
      <c r="GH752">
        <v>33.896457939975747</v>
      </c>
      <c r="GI752">
        <v>69.598420618279533</v>
      </c>
      <c r="GJ752"/>
      <c r="GK752"/>
      <c r="GL752"/>
      <c r="GM752"/>
    </row>
    <row r="753" spans="1:195" s="7" customFormat="1">
      <c r="A753" s="4"/>
      <c r="B753" s="4"/>
      <c r="C753" s="105"/>
      <c r="D753" s="4"/>
      <c r="E753" s="4"/>
      <c r="F753" s="28"/>
      <c r="G753" s="28"/>
      <c r="H753" s="83"/>
      <c r="I753" s="4"/>
      <c r="J753" s="4"/>
      <c r="K753" s="4"/>
      <c r="L753" s="4"/>
      <c r="M753" s="4"/>
      <c r="N753" s="28"/>
      <c r="O753" s="4"/>
      <c r="P753" s="4"/>
      <c r="Q753" s="4"/>
      <c r="R753" s="4"/>
      <c r="S753" s="4"/>
      <c r="T753" s="4"/>
      <c r="U753" s="4"/>
      <c r="V753" s="4"/>
      <c r="W753" s="4"/>
      <c r="X753" s="4"/>
      <c r="Y753" s="4"/>
      <c r="Z753" s="4"/>
      <c r="AA753" s="4"/>
      <c r="AB753" s="4"/>
      <c r="AC753" s="4"/>
      <c r="AD753" s="4"/>
      <c r="AE753" s="4"/>
      <c r="AF753" s="81"/>
      <c r="AG753" s="81"/>
      <c r="AH753" s="81"/>
      <c r="AI753" s="4"/>
      <c r="AJ753" s="81"/>
      <c r="AK753" s="81"/>
      <c r="AL753" s="81"/>
      <c r="AM753" s="43">
        <v>737</v>
      </c>
      <c r="AN753">
        <v>252.44745117921502</v>
      </c>
      <c r="AO753">
        <v>66.330133685510077</v>
      </c>
      <c r="AP753">
        <v>501.27395032934805</v>
      </c>
      <c r="AQ753">
        <v>384.37697224732096</v>
      </c>
      <c r="AR753">
        <v>59.238160207746603</v>
      </c>
      <c r="AS753">
        <v>540.41038620879749</v>
      </c>
      <c r="AT753">
        <v>32.198354389660913</v>
      </c>
      <c r="AU753">
        <v>52.414816305310936</v>
      </c>
      <c r="AV753"/>
      <c r="AW753"/>
      <c r="FY753" s="211">
        <v>748</v>
      </c>
      <c r="FZ753">
        <v>32.568205871897263</v>
      </c>
      <c r="GA753">
        <v>69.750861825396029</v>
      </c>
      <c r="GB753">
        <v>91.33999072196444</v>
      </c>
      <c r="GC753">
        <v>52.897949032339213</v>
      </c>
      <c r="GD753">
        <v>19.195061857066499</v>
      </c>
      <c r="GE753">
        <v>36.334012471625869</v>
      </c>
      <c r="GF753">
        <v>66.874640120519956</v>
      </c>
      <c r="GG753">
        <v>48.492182614179356</v>
      </c>
      <c r="GH753">
        <v>18.812400715949131</v>
      </c>
      <c r="GI753">
        <v>56.273090587624971</v>
      </c>
      <c r="GJ753"/>
      <c r="GK753"/>
      <c r="GL753"/>
      <c r="GM753"/>
    </row>
    <row r="754" spans="1:195" s="7" customFormat="1">
      <c r="A754" s="4"/>
      <c r="B754" s="4"/>
      <c r="C754" s="105"/>
      <c r="D754" s="4"/>
      <c r="E754" s="4"/>
      <c r="F754" s="28"/>
      <c r="G754" s="28"/>
      <c r="H754" s="83"/>
      <c r="I754" s="4"/>
      <c r="J754" s="4"/>
      <c r="K754" s="4"/>
      <c r="L754" s="4"/>
      <c r="M754" s="4"/>
      <c r="N754" s="28"/>
      <c r="O754" s="4"/>
      <c r="P754" s="4"/>
      <c r="Q754" s="4"/>
      <c r="R754" s="4"/>
      <c r="S754" s="4"/>
      <c r="T754" s="4"/>
      <c r="U754" s="4"/>
      <c r="V754" s="4"/>
      <c r="W754" s="4"/>
      <c r="X754" s="4"/>
      <c r="Y754" s="4"/>
      <c r="Z754" s="4"/>
      <c r="AA754" s="4"/>
      <c r="AB754" s="4"/>
      <c r="AC754" s="4"/>
      <c r="AD754" s="4"/>
      <c r="AE754" s="4"/>
      <c r="AF754" s="81"/>
      <c r="AG754" s="81"/>
      <c r="AH754" s="81"/>
      <c r="AI754" s="4"/>
      <c r="AJ754" s="81"/>
      <c r="AK754" s="81"/>
      <c r="AL754" s="81"/>
      <c r="AM754" s="43">
        <v>738</v>
      </c>
      <c r="AN754">
        <v>250.76551976974056</v>
      </c>
      <c r="AO754">
        <v>86.58593840240799</v>
      </c>
      <c r="AP754">
        <v>655.5788073296294</v>
      </c>
      <c r="AQ754">
        <v>478.13937612166404</v>
      </c>
      <c r="AR754">
        <v>77.680877394917417</v>
      </c>
      <c r="AS754">
        <v>659.5460719399008</v>
      </c>
      <c r="AT754">
        <v>43.476682287358251</v>
      </c>
      <c r="AU754">
        <v>69.246005145777588</v>
      </c>
      <c r="AV754"/>
      <c r="AW754"/>
      <c r="FY754" s="211">
        <v>749</v>
      </c>
      <c r="FZ754">
        <v>26.602286009199069</v>
      </c>
      <c r="GA754">
        <v>61.804308074370937</v>
      </c>
      <c r="GB754">
        <v>57.951287640037371</v>
      </c>
      <c r="GC754">
        <v>33.992160225026609</v>
      </c>
      <c r="GD754">
        <v>21.61775400248268</v>
      </c>
      <c r="GE754">
        <v>48.425911820011386</v>
      </c>
      <c r="GF754">
        <v>45.19029151071814</v>
      </c>
      <c r="GG754">
        <v>21.715525390918</v>
      </c>
      <c r="GH754">
        <v>18.139636801342036</v>
      </c>
      <c r="GI754">
        <v>44.185028280282161</v>
      </c>
      <c r="GJ754"/>
      <c r="GK754"/>
      <c r="GL754"/>
      <c r="GM754"/>
    </row>
    <row r="755" spans="1:195" s="7" customFormat="1">
      <c r="A755" s="4"/>
      <c r="B755" s="4"/>
      <c r="C755" s="105"/>
      <c r="D755" s="4"/>
      <c r="E755" s="4"/>
      <c r="F755" s="28"/>
      <c r="G755" s="28"/>
      <c r="H755" s="83"/>
      <c r="I755" s="4"/>
      <c r="J755" s="4"/>
      <c r="K755" s="4"/>
      <c r="L755" s="4"/>
      <c r="M755" s="4"/>
      <c r="N755" s="28"/>
      <c r="O755" s="4"/>
      <c r="P755" s="4"/>
      <c r="Q755" s="4"/>
      <c r="R755" s="4"/>
      <c r="S755" s="4"/>
      <c r="T755" s="4"/>
      <c r="U755" s="4"/>
      <c r="V755" s="4"/>
      <c r="W755" s="4"/>
      <c r="X755" s="4"/>
      <c r="Y755" s="4"/>
      <c r="Z755" s="4"/>
      <c r="AA755" s="4"/>
      <c r="AB755" s="4"/>
      <c r="AC755" s="4"/>
      <c r="AD755" s="4"/>
      <c r="AE755" s="4"/>
      <c r="AF755" s="81"/>
      <c r="AG755" s="81"/>
      <c r="AH755" s="81"/>
      <c r="AI755" s="4"/>
      <c r="AJ755" s="81"/>
      <c r="AK755" s="81"/>
      <c r="AL755" s="81"/>
      <c r="AM755" s="43">
        <v>739</v>
      </c>
      <c r="AN755">
        <v>318.77349491987627</v>
      </c>
      <c r="AO755">
        <v>97.798641575349819</v>
      </c>
      <c r="AP755">
        <v>705.4617340940863</v>
      </c>
      <c r="AQ755">
        <v>529.48928034382573</v>
      </c>
      <c r="AR755">
        <v>86.61206862883013</v>
      </c>
      <c r="AS755">
        <v>708.95372176403339</v>
      </c>
      <c r="AT755">
        <v>43.929011673507922</v>
      </c>
      <c r="AU755">
        <v>67.17394640551727</v>
      </c>
      <c r="AV755"/>
      <c r="AW755"/>
      <c r="FY755" s="211">
        <v>750</v>
      </c>
      <c r="FZ755">
        <v>11.578694356883961</v>
      </c>
      <c r="GA755">
        <v>51.31618114000733</v>
      </c>
      <c r="GB755">
        <v>79.827492920530659</v>
      </c>
      <c r="GC755">
        <v>46.731560225260793</v>
      </c>
      <c r="GD755">
        <v>22.144561349581323</v>
      </c>
      <c r="GE755">
        <v>54.082061676756794</v>
      </c>
      <c r="GF755">
        <v>95.662614139413847</v>
      </c>
      <c r="GG755">
        <v>65.91094850603163</v>
      </c>
      <c r="GH755">
        <v>34.620872821100313</v>
      </c>
      <c r="GI755">
        <v>60.800084386272502</v>
      </c>
      <c r="GJ755"/>
      <c r="GK755"/>
      <c r="GL755"/>
      <c r="GM755"/>
    </row>
    <row r="756" spans="1:195" s="7" customFormat="1">
      <c r="A756" s="4"/>
      <c r="B756" s="4"/>
      <c r="C756" s="105"/>
      <c r="D756" s="4"/>
      <c r="E756" s="4"/>
      <c r="F756" s="28"/>
      <c r="G756" s="28"/>
      <c r="H756" s="83"/>
      <c r="I756" s="4"/>
      <c r="J756" s="4"/>
      <c r="K756" s="4"/>
      <c r="L756" s="4"/>
      <c r="M756" s="4"/>
      <c r="N756" s="28"/>
      <c r="O756" s="4"/>
      <c r="P756" s="4"/>
      <c r="Q756" s="4"/>
      <c r="R756" s="4"/>
      <c r="S756" s="4"/>
      <c r="T756" s="4"/>
      <c r="U756" s="4"/>
      <c r="V756" s="4"/>
      <c r="W756" s="4"/>
      <c r="X756" s="4"/>
      <c r="Y756" s="4"/>
      <c r="Z756" s="4"/>
      <c r="AA756" s="4"/>
      <c r="AB756" s="4"/>
      <c r="AC756" s="4"/>
      <c r="AD756" s="4"/>
      <c r="AE756" s="4"/>
      <c r="AF756" s="81"/>
      <c r="AG756" s="81"/>
      <c r="AH756" s="81"/>
      <c r="AI756" s="4"/>
      <c r="AJ756" s="81"/>
      <c r="AK756" s="81"/>
      <c r="AL756" s="81"/>
      <c r="AM756" s="43">
        <v>740</v>
      </c>
      <c r="AN756">
        <v>225.6694487673827</v>
      </c>
      <c r="AO756">
        <v>63.582207629503387</v>
      </c>
      <c r="AP756">
        <v>478.59190867592611</v>
      </c>
      <c r="AQ756">
        <v>360.34923240644133</v>
      </c>
      <c r="AR756">
        <v>57.08124374416586</v>
      </c>
      <c r="AS756">
        <v>502.38211497134739</v>
      </c>
      <c r="AT756">
        <v>29.902803010134978</v>
      </c>
      <c r="AU756">
        <v>-0.3773458312464153</v>
      </c>
      <c r="AV756"/>
      <c r="AW756"/>
      <c r="FY756" s="211">
        <v>751</v>
      </c>
      <c r="FZ756">
        <v>10.521917544060814</v>
      </c>
      <c r="GA756">
        <v>31.305626634011041</v>
      </c>
      <c r="GB756">
        <v>88.868667732631309</v>
      </c>
      <c r="GC756">
        <v>58.29788029400865</v>
      </c>
      <c r="GD756">
        <v>24.655496641461017</v>
      </c>
      <c r="GE756">
        <v>51.435607135852635</v>
      </c>
      <c r="GF756">
        <v>104.86723607541825</v>
      </c>
      <c r="GG756">
        <v>83.07329566518456</v>
      </c>
      <c r="GH756">
        <v>37.146367417548547</v>
      </c>
      <c r="GI756">
        <v>67.453284887036901</v>
      </c>
      <c r="GJ756"/>
      <c r="GK756"/>
      <c r="GL756"/>
      <c r="GM756"/>
    </row>
    <row r="757" spans="1:195" s="7" customFormat="1">
      <c r="A757" s="4"/>
      <c r="B757" s="4"/>
      <c r="C757" s="105"/>
      <c r="D757" s="4"/>
      <c r="E757" s="4"/>
      <c r="F757" s="28"/>
      <c r="G757" s="28"/>
      <c r="H757" s="83"/>
      <c r="I757" s="4"/>
      <c r="J757" s="4"/>
      <c r="K757" s="4"/>
      <c r="L757" s="4"/>
      <c r="M757" s="4"/>
      <c r="N757" s="28"/>
      <c r="O757" s="4"/>
      <c r="P757" s="4"/>
      <c r="Q757" s="4"/>
      <c r="R757" s="4"/>
      <c r="S757" s="4"/>
      <c r="T757" s="4"/>
      <c r="U757" s="4"/>
      <c r="V757" s="4"/>
      <c r="W757" s="4"/>
      <c r="X757" s="4"/>
      <c r="Y757" s="4"/>
      <c r="Z757" s="4"/>
      <c r="AA757" s="4"/>
      <c r="AB757" s="4"/>
      <c r="AC757" s="4"/>
      <c r="AD757" s="4"/>
      <c r="AE757" s="4"/>
      <c r="AF757" s="81"/>
      <c r="AG757" s="81"/>
      <c r="AH757" s="81"/>
      <c r="AI757" s="4"/>
      <c r="AJ757" s="81"/>
      <c r="AK757" s="81"/>
      <c r="AL757" s="81"/>
      <c r="AM757" s="43">
        <v>741</v>
      </c>
      <c r="AN757">
        <v>262.22691061965389</v>
      </c>
      <c r="AO757">
        <v>84.823203660007138</v>
      </c>
      <c r="AP757">
        <v>638.27551880914973</v>
      </c>
      <c r="AQ757">
        <v>452.71597427920881</v>
      </c>
      <c r="AR757">
        <v>78.202898364809869</v>
      </c>
      <c r="AS757">
        <v>637.20806628823811</v>
      </c>
      <c r="AT757" t="e">
        <v>#DIV/0!</v>
      </c>
      <c r="AU757" t="e">
        <v>#DIV/0!</v>
      </c>
      <c r="AV757"/>
      <c r="AW757"/>
      <c r="FY757" s="211">
        <v>752</v>
      </c>
      <c r="FZ757">
        <v>30.191442968723983</v>
      </c>
      <c r="GA757">
        <v>53.600525388433354</v>
      </c>
      <c r="GB757">
        <v>96.851167474180016</v>
      </c>
      <c r="GC757">
        <v>61.877951107429283</v>
      </c>
      <c r="GD757">
        <v>18.079271648754244</v>
      </c>
      <c r="GE757">
        <v>43.110880988502942</v>
      </c>
      <c r="GF757">
        <v>86.236777450362126</v>
      </c>
      <c r="GG757">
        <v>42.323818722264491</v>
      </c>
      <c r="GH757">
        <v>12.626430757729768</v>
      </c>
      <c r="GI757">
        <v>61.31781169148833</v>
      </c>
      <c r="GJ757"/>
      <c r="GK757"/>
      <c r="GL757"/>
      <c r="GM757"/>
    </row>
    <row r="758" spans="1:195" s="7" customFormat="1">
      <c r="A758" s="4"/>
      <c r="B758" s="4"/>
      <c r="C758" s="105"/>
      <c r="D758" s="4"/>
      <c r="E758" s="4"/>
      <c r="F758" s="28"/>
      <c r="G758" s="28"/>
      <c r="H758" s="83"/>
      <c r="I758" s="4"/>
      <c r="J758" s="4"/>
      <c r="K758" s="4"/>
      <c r="L758" s="4"/>
      <c r="M758" s="4"/>
      <c r="N758" s="28"/>
      <c r="O758" s="4"/>
      <c r="P758" s="4"/>
      <c r="Q758" s="4"/>
      <c r="R758" s="4"/>
      <c r="S758" s="4"/>
      <c r="T758" s="4"/>
      <c r="U758" s="4"/>
      <c r="V758" s="4"/>
      <c r="W758" s="4"/>
      <c r="X758" s="4"/>
      <c r="Y758" s="4"/>
      <c r="Z758" s="4"/>
      <c r="AA758" s="4"/>
      <c r="AB758" s="4"/>
      <c r="AC758" s="4"/>
      <c r="AD758" s="4"/>
      <c r="AE758" s="4"/>
      <c r="AF758" s="81"/>
      <c r="AG758" s="81"/>
      <c r="AH758" s="81"/>
      <c r="AI758" s="4"/>
      <c r="AJ758" s="81"/>
      <c r="AK758" s="81"/>
      <c r="AL758" s="81"/>
      <c r="AM758" s="43">
        <v>742</v>
      </c>
      <c r="AN758">
        <v>271.43381866237218</v>
      </c>
      <c r="AO758">
        <v>73.175805553091678</v>
      </c>
      <c r="AP758">
        <v>475.85940142335471</v>
      </c>
      <c r="AQ758">
        <v>384.56691850686968</v>
      </c>
      <c r="AR758">
        <v>65.497984429146982</v>
      </c>
      <c r="AS758">
        <v>588.53349189488006</v>
      </c>
      <c r="AT758">
        <v>35.126312489531507</v>
      </c>
      <c r="AU758">
        <v>77.692705717843623</v>
      </c>
      <c r="AV758"/>
      <c r="AW758"/>
      <c r="FY758" s="211">
        <v>753</v>
      </c>
      <c r="FZ758">
        <v>32.144131787785057</v>
      </c>
      <c r="GA758">
        <v>80.562880917097573</v>
      </c>
      <c r="GB758">
        <v>75.53256105488839</v>
      </c>
      <c r="GC758">
        <v>41.089382898068209</v>
      </c>
      <c r="GD758">
        <v>20.183210813883822</v>
      </c>
      <c r="GE758">
        <v>58.323530583582851</v>
      </c>
      <c r="GF758">
        <v>88.750758213411572</v>
      </c>
      <c r="GG758">
        <v>35.819742250064685</v>
      </c>
      <c r="GH758">
        <v>13.645490961864876</v>
      </c>
      <c r="GI758">
        <v>57.126932679827092</v>
      </c>
      <c r="GJ758"/>
      <c r="GK758"/>
      <c r="GL758"/>
      <c r="GM758"/>
    </row>
    <row r="759" spans="1:195" s="7" customFormat="1">
      <c r="A759" s="4"/>
      <c r="B759" s="4"/>
      <c r="C759" s="105"/>
      <c r="D759" s="4"/>
      <c r="E759" s="4"/>
      <c r="F759" s="28"/>
      <c r="G759" s="28"/>
      <c r="H759" s="83"/>
      <c r="I759" s="4"/>
      <c r="J759" s="4"/>
      <c r="K759" s="4"/>
      <c r="L759" s="4"/>
      <c r="M759" s="4"/>
      <c r="N759" s="28"/>
      <c r="O759" s="4"/>
      <c r="P759" s="4"/>
      <c r="Q759" s="4"/>
      <c r="R759" s="4"/>
      <c r="S759" s="4"/>
      <c r="T759" s="4"/>
      <c r="U759" s="4"/>
      <c r="V759" s="4"/>
      <c r="W759" s="4"/>
      <c r="X759" s="4"/>
      <c r="Y759" s="4"/>
      <c r="Z759" s="4"/>
      <c r="AA759" s="4"/>
      <c r="AB759" s="4"/>
      <c r="AC759" s="4"/>
      <c r="AD759" s="4"/>
      <c r="AE759" s="4"/>
      <c r="AF759" s="81"/>
      <c r="AG759" s="81"/>
      <c r="AH759" s="81"/>
      <c r="AI759" s="4"/>
      <c r="AJ759" s="81"/>
      <c r="AK759" s="81"/>
      <c r="AL759" s="81"/>
      <c r="AM759" s="43">
        <v>743</v>
      </c>
      <c r="AN759">
        <v>258.02583605590354</v>
      </c>
      <c r="AO759">
        <v>84.535709877845392</v>
      </c>
      <c r="AP759">
        <v>661.2216662856531</v>
      </c>
      <c r="AQ759">
        <v>460.81946164467735</v>
      </c>
      <c r="AR759">
        <v>76.678387719836223</v>
      </c>
      <c r="AS759">
        <v>632.63635128656745</v>
      </c>
      <c r="AT759">
        <v>40.535614020173192</v>
      </c>
      <c r="AU759">
        <v>57.744588038263153</v>
      </c>
      <c r="AV759"/>
      <c r="AW759"/>
      <c r="FY759" s="211">
        <v>754</v>
      </c>
      <c r="FZ759">
        <v>4.9121021046643225</v>
      </c>
      <c r="GA759">
        <v>42.692778068326767</v>
      </c>
      <c r="GB759">
        <v>88.863401546982814</v>
      </c>
      <c r="GC759">
        <v>50.702151923842116</v>
      </c>
      <c r="GD759">
        <v>29.488965672151938</v>
      </c>
      <c r="GE759">
        <v>47.967806235124762</v>
      </c>
      <c r="GF759">
        <v>35.108692942297424</v>
      </c>
      <c r="GG759">
        <v>54.300436950737222</v>
      </c>
      <c r="GH759">
        <v>48.941048809808343</v>
      </c>
      <c r="GI759">
        <v>56.469956389608313</v>
      </c>
      <c r="GJ759"/>
      <c r="GK759"/>
      <c r="GL759"/>
      <c r="GM759"/>
    </row>
    <row r="760" spans="1:195" s="7" customFormat="1">
      <c r="A760" s="4"/>
      <c r="B760" s="4"/>
      <c r="C760" s="105"/>
      <c r="D760" s="4"/>
      <c r="E760" s="4"/>
      <c r="F760" s="28"/>
      <c r="G760" s="28"/>
      <c r="H760" s="83"/>
      <c r="I760" s="4"/>
      <c r="J760" s="4"/>
      <c r="K760" s="4"/>
      <c r="L760" s="4"/>
      <c r="M760" s="4"/>
      <c r="N760" s="28"/>
      <c r="O760" s="4"/>
      <c r="P760" s="4"/>
      <c r="Q760" s="4"/>
      <c r="R760" s="4"/>
      <c r="S760" s="4"/>
      <c r="T760" s="4"/>
      <c r="U760" s="4"/>
      <c r="V760" s="4"/>
      <c r="W760" s="4"/>
      <c r="X760" s="4"/>
      <c r="Y760" s="4"/>
      <c r="Z760" s="4"/>
      <c r="AA760" s="4"/>
      <c r="AB760" s="4"/>
      <c r="AC760" s="4"/>
      <c r="AD760" s="4"/>
      <c r="AE760" s="4"/>
      <c r="AF760" s="81"/>
      <c r="AG760" s="81"/>
      <c r="AH760" s="81"/>
      <c r="AI760" s="4"/>
      <c r="AJ760" s="81"/>
      <c r="AK760" s="81"/>
      <c r="AL760" s="81"/>
      <c r="AM760" s="43">
        <v>744</v>
      </c>
      <c r="AN760">
        <v>271.04022492206462</v>
      </c>
      <c r="AO760">
        <v>98.756586245452155</v>
      </c>
      <c r="AP760">
        <v>685.49466782486195</v>
      </c>
      <c r="AQ760">
        <v>517.27447208555782</v>
      </c>
      <c r="AR760">
        <v>89.495089337533969</v>
      </c>
      <c r="AS760">
        <v>722.88183890479661</v>
      </c>
      <c r="AT760" t="e">
        <v>#DIV/0!</v>
      </c>
      <c r="AU760" t="e">
        <v>#DIV/0!</v>
      </c>
      <c r="AV760"/>
      <c r="AW760"/>
      <c r="FY760" s="211">
        <v>755</v>
      </c>
      <c r="FZ760">
        <v>18.401327174436588</v>
      </c>
      <c r="GA760">
        <v>64.629089007175651</v>
      </c>
      <c r="GB760">
        <v>95.525489357190395</v>
      </c>
      <c r="GC760">
        <v>48.593424041557427</v>
      </c>
      <c r="GD760">
        <v>13.940488087892355</v>
      </c>
      <c r="GE760">
        <v>37.867918375483029</v>
      </c>
      <c r="GF760">
        <v>115.65457605653668</v>
      </c>
      <c r="GG760">
        <v>79.145342150353514</v>
      </c>
      <c r="GH760">
        <v>12.771517775952525</v>
      </c>
      <c r="GI760">
        <v>61.662258803686726</v>
      </c>
      <c r="GJ760"/>
      <c r="GK760"/>
      <c r="GL760"/>
      <c r="GM760"/>
    </row>
    <row r="761" spans="1:195" s="7" customFormat="1">
      <c r="A761" s="4"/>
      <c r="B761" s="4"/>
      <c r="C761" s="105"/>
      <c r="D761" s="4"/>
      <c r="E761" s="4"/>
      <c r="F761" s="28"/>
      <c r="G761" s="28"/>
      <c r="H761" s="83"/>
      <c r="I761" s="4"/>
      <c r="J761" s="4"/>
      <c r="K761" s="4"/>
      <c r="L761" s="4"/>
      <c r="M761" s="4"/>
      <c r="N761" s="28"/>
      <c r="O761" s="4"/>
      <c r="P761" s="4"/>
      <c r="Q761" s="4"/>
      <c r="R761" s="4"/>
      <c r="S761" s="4"/>
      <c r="T761" s="4"/>
      <c r="U761" s="4"/>
      <c r="V761" s="4"/>
      <c r="W761" s="4"/>
      <c r="X761" s="4"/>
      <c r="Y761" s="4"/>
      <c r="Z761" s="4"/>
      <c r="AA761" s="4"/>
      <c r="AB761" s="4"/>
      <c r="AC761" s="4"/>
      <c r="AD761" s="4"/>
      <c r="AE761" s="4"/>
      <c r="AF761" s="81"/>
      <c r="AG761" s="81"/>
      <c r="AH761" s="81"/>
      <c r="AI761" s="4"/>
      <c r="AJ761" s="81"/>
      <c r="AK761" s="81"/>
      <c r="AL761" s="81"/>
      <c r="AM761" s="43">
        <v>745</v>
      </c>
      <c r="AN761">
        <v>216.28825357939951</v>
      </c>
      <c r="AO761">
        <v>71.873812624362515</v>
      </c>
      <c r="AP761">
        <v>560.57887767712634</v>
      </c>
      <c r="AQ761">
        <v>418.16788567544609</v>
      </c>
      <c r="AR761">
        <v>64.902532528212902</v>
      </c>
      <c r="AS761">
        <v>547.3313121976521</v>
      </c>
      <c r="AT761">
        <v>34.066607767533924</v>
      </c>
      <c r="AU761">
        <v>89.091913551950896</v>
      </c>
      <c r="AV761"/>
      <c r="AW761"/>
      <c r="FY761" s="211">
        <v>756</v>
      </c>
      <c r="FZ761">
        <v>19.458868206695058</v>
      </c>
      <c r="GA761">
        <v>58.546520740674737</v>
      </c>
      <c r="GB761">
        <v>97.480509571799388</v>
      </c>
      <c r="GC761">
        <v>57.390327279538923</v>
      </c>
      <c r="GD761">
        <v>22.31583421126021</v>
      </c>
      <c r="GE761">
        <v>39.429053974116755</v>
      </c>
      <c r="GF761">
        <v>105.14138568831281</v>
      </c>
      <c r="GG761">
        <v>79.264559911043307</v>
      </c>
      <c r="GH761">
        <v>13.267990668413042</v>
      </c>
      <c r="GI761">
        <v>65.080809168849143</v>
      </c>
      <c r="GJ761"/>
      <c r="GK761"/>
      <c r="GL761"/>
      <c r="GM761"/>
    </row>
    <row r="762" spans="1:195" s="7" customFormat="1">
      <c r="A762" s="4"/>
      <c r="B762" s="4"/>
      <c r="C762" s="105"/>
      <c r="D762" s="4"/>
      <c r="E762" s="4"/>
      <c r="F762" s="28"/>
      <c r="G762" s="28"/>
      <c r="H762" s="83"/>
      <c r="I762" s="4"/>
      <c r="J762" s="4"/>
      <c r="K762" s="4"/>
      <c r="L762" s="4"/>
      <c r="M762" s="4"/>
      <c r="N762" s="28"/>
      <c r="O762" s="4"/>
      <c r="P762" s="4"/>
      <c r="Q762" s="4"/>
      <c r="R762" s="4"/>
      <c r="S762" s="4"/>
      <c r="T762" s="4"/>
      <c r="U762" s="4"/>
      <c r="V762" s="4"/>
      <c r="W762" s="4"/>
      <c r="X762" s="4"/>
      <c r="Y762" s="4"/>
      <c r="Z762" s="4"/>
      <c r="AA762" s="4"/>
      <c r="AB762" s="4"/>
      <c r="AC762" s="4"/>
      <c r="AD762" s="4"/>
      <c r="AE762" s="4"/>
      <c r="AF762" s="81"/>
      <c r="AG762" s="81"/>
      <c r="AH762" s="81"/>
      <c r="AI762" s="4"/>
      <c r="AJ762" s="81"/>
      <c r="AK762" s="81"/>
      <c r="AL762" s="81"/>
      <c r="AM762" s="43">
        <v>746</v>
      </c>
      <c r="AN762">
        <v>265.04195685756463</v>
      </c>
      <c r="AO762">
        <v>92.257945901652278</v>
      </c>
      <c r="AP762">
        <v>639.4434962501233</v>
      </c>
      <c r="AQ762">
        <v>491.86338023248402</v>
      </c>
      <c r="AR762">
        <v>83.042172559991315</v>
      </c>
      <c r="AS762">
        <v>688.48546772444183</v>
      </c>
      <c r="AT762" t="e">
        <v>#DIV/0!</v>
      </c>
      <c r="AU762" t="e">
        <v>#DIV/0!</v>
      </c>
      <c r="AV762"/>
      <c r="AW762"/>
      <c r="FY762" s="211">
        <v>757</v>
      </c>
      <c r="FZ762">
        <v>16.880727633536182</v>
      </c>
      <c r="GA762">
        <v>63.295103713028894</v>
      </c>
      <c r="GB762">
        <v>87.149179939482593</v>
      </c>
      <c r="GC762">
        <v>49.799194665200531</v>
      </c>
      <c r="GD762">
        <v>21.619580772808416</v>
      </c>
      <c r="GE762">
        <v>53.252679215967021</v>
      </c>
      <c r="GF762">
        <v>85.168662770396836</v>
      </c>
      <c r="GG762">
        <v>45.773502054178635</v>
      </c>
      <c r="GH762">
        <v>22.888273798282924</v>
      </c>
      <c r="GI762">
        <v>60.627777240855679</v>
      </c>
      <c r="GJ762"/>
      <c r="GK762"/>
      <c r="GL762"/>
      <c r="GM762"/>
    </row>
    <row r="763" spans="1:195" s="7" customFormat="1">
      <c r="A763" s="4"/>
      <c r="B763" s="4"/>
      <c r="C763" s="105"/>
      <c r="D763" s="4"/>
      <c r="E763" s="4"/>
      <c r="F763" s="28"/>
      <c r="G763" s="28"/>
      <c r="H763" s="83"/>
      <c r="I763" s="4"/>
      <c r="J763" s="4"/>
      <c r="K763" s="4"/>
      <c r="L763" s="4"/>
      <c r="M763" s="4"/>
      <c r="N763" s="28"/>
      <c r="O763" s="4"/>
      <c r="P763" s="4"/>
      <c r="Q763" s="4"/>
      <c r="R763" s="4"/>
      <c r="S763" s="4"/>
      <c r="T763" s="4"/>
      <c r="U763" s="4"/>
      <c r="V763" s="4"/>
      <c r="W763" s="4"/>
      <c r="X763" s="4"/>
      <c r="Y763" s="4"/>
      <c r="Z763" s="4"/>
      <c r="AA763" s="4"/>
      <c r="AB763" s="4"/>
      <c r="AC763" s="4"/>
      <c r="AD763" s="4"/>
      <c r="AE763" s="4"/>
      <c r="AF763" s="81"/>
      <c r="AG763" s="81"/>
      <c r="AH763" s="81"/>
      <c r="AI763" s="4"/>
      <c r="AJ763" s="81"/>
      <c r="AK763" s="81"/>
      <c r="AL763" s="81"/>
      <c r="AM763" s="43">
        <v>747</v>
      </c>
      <c r="AN763">
        <v>260.32229765744228</v>
      </c>
      <c r="AO763">
        <v>110.85351059268953</v>
      </c>
      <c r="AP763">
        <v>761.84404214021265</v>
      </c>
      <c r="AQ763">
        <v>588.91697172600709</v>
      </c>
      <c r="AR763">
        <v>98.743667159381332</v>
      </c>
      <c r="AS763">
        <v>738.92158137532988</v>
      </c>
      <c r="AT763" t="e">
        <v>#DIV/0!</v>
      </c>
      <c r="AU763" t="e">
        <v>#DIV/0!</v>
      </c>
      <c r="AV763"/>
      <c r="AW763"/>
      <c r="FY763" s="211">
        <v>758</v>
      </c>
      <c r="FZ763">
        <v>24.413635528248914</v>
      </c>
      <c r="GA763">
        <v>69.01670968852531</v>
      </c>
      <c r="GB763">
        <v>98.562555186484701</v>
      </c>
      <c r="GC763">
        <v>51.686964675794911</v>
      </c>
      <c r="GD763">
        <v>17.665683241031484</v>
      </c>
      <c r="GE763">
        <v>45.908819648635109</v>
      </c>
      <c r="GF763">
        <v>57.550984891355348</v>
      </c>
      <c r="GG763">
        <v>31.140241465330146</v>
      </c>
      <c r="GH763">
        <v>25.269585730405325</v>
      </c>
      <c r="GI763">
        <v>56.00555250839605</v>
      </c>
      <c r="GJ763"/>
      <c r="GK763"/>
      <c r="GL763"/>
      <c r="GM763"/>
    </row>
    <row r="764" spans="1:195" s="7" customFormat="1">
      <c r="A764" s="4"/>
      <c r="B764" s="4"/>
      <c r="C764" s="105"/>
      <c r="D764" s="4"/>
      <c r="E764" s="4"/>
      <c r="F764" s="28"/>
      <c r="G764" s="28"/>
      <c r="H764" s="83"/>
      <c r="I764" s="4"/>
      <c r="J764" s="4"/>
      <c r="K764" s="4"/>
      <c r="L764" s="4"/>
      <c r="M764" s="4"/>
      <c r="N764" s="28"/>
      <c r="O764" s="4"/>
      <c r="P764" s="4"/>
      <c r="Q764" s="4"/>
      <c r="R764" s="4"/>
      <c r="S764" s="4"/>
      <c r="T764" s="4"/>
      <c r="U764" s="4"/>
      <c r="V764" s="4"/>
      <c r="W764" s="4"/>
      <c r="X764" s="4"/>
      <c r="Y764" s="4"/>
      <c r="Z764" s="4"/>
      <c r="AA764" s="4"/>
      <c r="AB764" s="4"/>
      <c r="AC764" s="4"/>
      <c r="AD764" s="4"/>
      <c r="AE764" s="4"/>
      <c r="AF764" s="81"/>
      <c r="AG764" s="81"/>
      <c r="AH764" s="81"/>
      <c r="AI764" s="4"/>
      <c r="AJ764" s="81"/>
      <c r="AK764" s="81"/>
      <c r="AL764" s="81"/>
      <c r="AM764" s="43">
        <v>748</v>
      </c>
      <c r="AN764">
        <v>253.52486602243465</v>
      </c>
      <c r="AO764">
        <v>88.884785962982633</v>
      </c>
      <c r="AP764">
        <v>660.06538633160017</v>
      </c>
      <c r="AQ764">
        <v>492.53839581856272</v>
      </c>
      <c r="AR764">
        <v>81.062904377166262</v>
      </c>
      <c r="AS764">
        <v>676.20858227232679</v>
      </c>
      <c r="AT764">
        <v>44.663047848170386</v>
      </c>
      <c r="AU764">
        <v>50.952465491624004</v>
      </c>
      <c r="AV764"/>
      <c r="AW764"/>
      <c r="FY764" s="211">
        <v>759</v>
      </c>
      <c r="FZ764">
        <v>12.202822791910879</v>
      </c>
      <c r="GA764">
        <v>47.654279706493163</v>
      </c>
      <c r="GB764">
        <v>54.927833455249051</v>
      </c>
      <c r="GC764">
        <v>37.180251045924749</v>
      </c>
      <c r="GD764">
        <v>23.80142962107082</v>
      </c>
      <c r="GE764">
        <v>48.308843210646536</v>
      </c>
      <c r="GF764">
        <v>73.508619236688233</v>
      </c>
      <c r="GG764">
        <v>43.862270914280103</v>
      </c>
      <c r="GH764">
        <v>21.920180549912409</v>
      </c>
      <c r="GI764">
        <v>49.835764080781509</v>
      </c>
      <c r="GJ764"/>
      <c r="GK764"/>
      <c r="GL764"/>
      <c r="GM764"/>
    </row>
    <row r="765" spans="1:195" s="7" customFormat="1">
      <c r="A765" s="4"/>
      <c r="B765" s="4"/>
      <c r="C765" s="105"/>
      <c r="D765" s="4"/>
      <c r="E765" s="4"/>
      <c r="F765" s="28"/>
      <c r="G765" s="28"/>
      <c r="H765" s="83"/>
      <c r="I765" s="4"/>
      <c r="J765" s="4"/>
      <c r="K765" s="4"/>
      <c r="L765" s="4"/>
      <c r="M765" s="4"/>
      <c r="N765" s="28"/>
      <c r="O765" s="4"/>
      <c r="P765" s="4"/>
      <c r="Q765" s="4"/>
      <c r="R765" s="4"/>
      <c r="S765" s="4"/>
      <c r="T765" s="4"/>
      <c r="U765" s="4"/>
      <c r="V765" s="4"/>
      <c r="W765" s="4"/>
      <c r="X765" s="4"/>
      <c r="Y765" s="4"/>
      <c r="Z765" s="4"/>
      <c r="AA765" s="4"/>
      <c r="AB765" s="4"/>
      <c r="AC765" s="4"/>
      <c r="AD765" s="4"/>
      <c r="AE765" s="4"/>
      <c r="AF765" s="81"/>
      <c r="AG765" s="81"/>
      <c r="AH765" s="81"/>
      <c r="AI765" s="4"/>
      <c r="AJ765" s="81"/>
      <c r="AK765" s="81"/>
      <c r="AL765" s="81"/>
      <c r="AM765" s="43">
        <v>749</v>
      </c>
      <c r="AN765">
        <v>231.82799679568029</v>
      </c>
      <c r="AO765">
        <v>69.827101869325844</v>
      </c>
      <c r="AP765">
        <v>481.69462431624277</v>
      </c>
      <c r="AQ765">
        <v>379.6241897543884</v>
      </c>
      <c r="AR765">
        <v>62.54675192918026</v>
      </c>
      <c r="AS765">
        <v>542.79738133731905</v>
      </c>
      <c r="AT765">
        <v>32.716115146296595</v>
      </c>
      <c r="AU765">
        <v>62.971391410515658</v>
      </c>
      <c r="AV765"/>
      <c r="AW765"/>
      <c r="FY765" s="211">
        <v>760</v>
      </c>
      <c r="FZ765">
        <v>15.953229813295856</v>
      </c>
      <c r="GA765">
        <v>51.191830860348034</v>
      </c>
      <c r="GB765">
        <v>75.202101531801972</v>
      </c>
      <c r="GC765">
        <v>41.77684278749043</v>
      </c>
      <c r="GD765">
        <v>19.487584180933208</v>
      </c>
      <c r="GE765">
        <v>62.569492396455864</v>
      </c>
      <c r="GF765">
        <v>92.64346902740246</v>
      </c>
      <c r="GG765">
        <v>26.529674686738563</v>
      </c>
      <c r="GH765">
        <v>0.59843620527686303</v>
      </c>
      <c r="GI765">
        <v>53.110041192634789</v>
      </c>
      <c r="GJ765"/>
      <c r="GK765"/>
      <c r="GL765"/>
      <c r="GM765"/>
    </row>
    <row r="766" spans="1:195" s="7" customFormat="1">
      <c r="A766" s="4"/>
      <c r="B766" s="4"/>
      <c r="C766" s="105"/>
      <c r="D766" s="4"/>
      <c r="E766" s="4"/>
      <c r="F766" s="28"/>
      <c r="G766" s="28"/>
      <c r="H766" s="83"/>
      <c r="I766" s="4"/>
      <c r="J766" s="4"/>
      <c r="K766" s="4"/>
      <c r="L766" s="4"/>
      <c r="M766" s="4"/>
      <c r="N766" s="28"/>
      <c r="O766" s="4"/>
      <c r="P766" s="4"/>
      <c r="Q766" s="4"/>
      <c r="R766" s="4"/>
      <c r="S766" s="4"/>
      <c r="T766" s="4"/>
      <c r="U766" s="4"/>
      <c r="V766" s="4"/>
      <c r="W766" s="4"/>
      <c r="X766" s="4"/>
      <c r="Y766" s="4"/>
      <c r="Z766" s="4"/>
      <c r="AA766" s="4"/>
      <c r="AB766" s="4"/>
      <c r="AC766" s="4"/>
      <c r="AD766" s="4"/>
      <c r="AE766" s="4"/>
      <c r="AF766" s="81"/>
      <c r="AG766" s="81"/>
      <c r="AH766" s="81"/>
      <c r="AI766" s="4"/>
      <c r="AJ766" s="81"/>
      <c r="AK766" s="81"/>
      <c r="AL766" s="81"/>
      <c r="AM766" s="43">
        <v>750</v>
      </c>
      <c r="AN766">
        <v>285.80772976475396</v>
      </c>
      <c r="AO766">
        <v>96.195230514301414</v>
      </c>
      <c r="AP766">
        <v>700.17152252821779</v>
      </c>
      <c r="AQ766">
        <v>522.67507152183919</v>
      </c>
      <c r="AR766">
        <v>86.154361379748181</v>
      </c>
      <c r="AS766">
        <v>724.59632528490158</v>
      </c>
      <c r="AT766" t="e">
        <v>#DIV/0!</v>
      </c>
      <c r="AU766" t="e">
        <v>#DIV/0!</v>
      </c>
      <c r="AV766"/>
      <c r="AW766"/>
      <c r="FY766" s="211">
        <v>761</v>
      </c>
      <c r="FZ766">
        <v>22.510964807086818</v>
      </c>
      <c r="GA766">
        <v>61.958633338219883</v>
      </c>
      <c r="GB766">
        <v>100.70197830082354</v>
      </c>
      <c r="GC766">
        <v>59.496239044246977</v>
      </c>
      <c r="GD766">
        <v>27.723205379230127</v>
      </c>
      <c r="GE766">
        <v>63.39247749160652</v>
      </c>
      <c r="GF766">
        <v>95.332699949718815</v>
      </c>
      <c r="GG766">
        <v>51.972909380893789</v>
      </c>
      <c r="GH766">
        <v>15.907046630974055</v>
      </c>
      <c r="GI766">
        <v>68.560327719575852</v>
      </c>
      <c r="GJ766"/>
      <c r="GK766"/>
      <c r="GL766"/>
      <c r="GM766"/>
    </row>
    <row r="767" spans="1:195" s="7" customFormat="1">
      <c r="A767" s="4"/>
      <c r="B767" s="4"/>
      <c r="C767" s="105"/>
      <c r="D767" s="4"/>
      <c r="E767" s="4"/>
      <c r="F767" s="28"/>
      <c r="G767" s="28"/>
      <c r="H767" s="83"/>
      <c r="I767" s="4"/>
      <c r="J767" s="4"/>
      <c r="K767" s="4"/>
      <c r="L767" s="4"/>
      <c r="M767" s="4"/>
      <c r="N767" s="28"/>
      <c r="O767" s="4"/>
      <c r="P767" s="4"/>
      <c r="Q767" s="4"/>
      <c r="R767" s="4"/>
      <c r="S767" s="4"/>
      <c r="T767" s="4"/>
      <c r="U767" s="4"/>
      <c r="V767" s="4"/>
      <c r="W767" s="4"/>
      <c r="X767" s="4"/>
      <c r="Y767" s="4"/>
      <c r="Z767" s="4"/>
      <c r="AA767" s="4"/>
      <c r="AB767" s="4"/>
      <c r="AC767" s="4"/>
      <c r="AD767" s="4"/>
      <c r="AE767" s="4"/>
      <c r="AF767" s="81"/>
      <c r="AG767" s="81"/>
      <c r="AH767" s="81"/>
      <c r="AI767" s="4"/>
      <c r="AJ767" s="81"/>
      <c r="AK767" s="81"/>
      <c r="AL767" s="81"/>
      <c r="AM767" s="43">
        <v>751</v>
      </c>
      <c r="AN767">
        <v>281.29831100551615</v>
      </c>
      <c r="AO767">
        <v>107.75158371384813</v>
      </c>
      <c r="AP767">
        <v>769.26933492025137</v>
      </c>
      <c r="AQ767">
        <v>557.62538002721374</v>
      </c>
      <c r="AR767">
        <v>97.177155420461858</v>
      </c>
      <c r="AS767">
        <v>786.4888912923152</v>
      </c>
      <c r="AT767">
        <v>53.820635990161115</v>
      </c>
      <c r="AU767">
        <v>82.733795798220115</v>
      </c>
      <c r="AV767"/>
      <c r="AW767"/>
      <c r="FY767" s="211">
        <v>762</v>
      </c>
      <c r="FZ767">
        <v>30.179369429942764</v>
      </c>
      <c r="GA767">
        <v>56.113333187746655</v>
      </c>
      <c r="GB767">
        <v>84.290075014813354</v>
      </c>
      <c r="GC767">
        <v>52.933063631094811</v>
      </c>
      <c r="GD767">
        <v>21.227276017221019</v>
      </c>
      <c r="GE767">
        <v>52.465435590532799</v>
      </c>
      <c r="GF767">
        <v>78.94621828381274</v>
      </c>
      <c r="GG767">
        <v>35.821788971280071</v>
      </c>
      <c r="GH767">
        <v>12.671840139464766</v>
      </c>
      <c r="GI767">
        <v>56.404046127626692</v>
      </c>
      <c r="GJ767"/>
      <c r="GK767"/>
      <c r="GL767"/>
      <c r="GM767"/>
    </row>
    <row r="768" spans="1:195" s="7" customFormat="1">
      <c r="A768" s="4"/>
      <c r="B768" s="4"/>
      <c r="C768" s="105"/>
      <c r="D768" s="4"/>
      <c r="E768" s="4"/>
      <c r="F768" s="28"/>
      <c r="G768" s="28"/>
      <c r="H768" s="83"/>
      <c r="I768" s="4"/>
      <c r="J768" s="4"/>
      <c r="K768" s="4"/>
      <c r="L768" s="4"/>
      <c r="M768" s="4"/>
      <c r="N768" s="28"/>
      <c r="O768" s="4"/>
      <c r="P768" s="4"/>
      <c r="Q768" s="4"/>
      <c r="R768" s="4"/>
      <c r="S768" s="4"/>
      <c r="T768" s="4"/>
      <c r="U768" s="4"/>
      <c r="V768" s="4"/>
      <c r="W768" s="4"/>
      <c r="X768" s="4"/>
      <c r="Y768" s="4"/>
      <c r="Z768" s="4"/>
      <c r="AA768" s="4"/>
      <c r="AB768" s="4"/>
      <c r="AC768" s="4"/>
      <c r="AD768" s="4"/>
      <c r="AE768" s="4"/>
      <c r="AF768" s="81"/>
      <c r="AG768" s="81"/>
      <c r="AH768" s="81"/>
      <c r="AI768" s="4"/>
      <c r="AJ768" s="81"/>
      <c r="AK768" s="81"/>
      <c r="AL768" s="81"/>
      <c r="AM768" s="43">
        <v>752</v>
      </c>
      <c r="AN768">
        <v>270.32956800986528</v>
      </c>
      <c r="AO768">
        <v>99.337758587003975</v>
      </c>
      <c r="AP768">
        <v>721.94922405682712</v>
      </c>
      <c r="AQ768">
        <v>506.21607819786851</v>
      </c>
      <c r="AR768">
        <v>88.427288218149698</v>
      </c>
      <c r="AS768">
        <v>721.20065282544977</v>
      </c>
      <c r="AT768">
        <v>45.171953757161134</v>
      </c>
      <c r="AU768">
        <v>7.9798548272381531E-2</v>
      </c>
      <c r="AV768"/>
      <c r="AW768"/>
      <c r="FY768" s="211">
        <v>763</v>
      </c>
      <c r="FZ768">
        <v>9.6100275770054733</v>
      </c>
      <c r="GA768">
        <v>33.269345486797981</v>
      </c>
      <c r="GB768">
        <v>87.073087905285149</v>
      </c>
      <c r="GC768">
        <v>50.894056078162166</v>
      </c>
      <c r="GD768">
        <v>18.839526411003636</v>
      </c>
      <c r="GE768">
        <v>53.952916878246924</v>
      </c>
      <c r="GF768">
        <v>65.552839955314539</v>
      </c>
      <c r="GG768">
        <v>46.660886344819289</v>
      </c>
      <c r="GH768">
        <v>46.997649042836265</v>
      </c>
      <c r="GI768">
        <v>55.870240451062358</v>
      </c>
      <c r="GJ768"/>
      <c r="GK768"/>
      <c r="GL768"/>
      <c r="GM768"/>
    </row>
    <row r="769" spans="1:195" s="7" customFormat="1">
      <c r="A769" s="4"/>
      <c r="B769" s="4"/>
      <c r="C769" s="105"/>
      <c r="D769" s="4"/>
      <c r="E769" s="4"/>
      <c r="F769" s="28"/>
      <c r="G769" s="28"/>
      <c r="H769" s="83"/>
      <c r="I769" s="4"/>
      <c r="J769" s="4"/>
      <c r="K769" s="4"/>
      <c r="L769" s="4"/>
      <c r="M769" s="4"/>
      <c r="N769" s="28"/>
      <c r="O769" s="4"/>
      <c r="P769" s="4"/>
      <c r="Q769" s="4"/>
      <c r="R769" s="4"/>
      <c r="S769" s="4"/>
      <c r="T769" s="4"/>
      <c r="U769" s="4"/>
      <c r="V769" s="4"/>
      <c r="W769" s="4"/>
      <c r="X769" s="4"/>
      <c r="Y769" s="4"/>
      <c r="Z769" s="4"/>
      <c r="AA769" s="4"/>
      <c r="AB769" s="4"/>
      <c r="AC769" s="4"/>
      <c r="AD769" s="4"/>
      <c r="AE769" s="4"/>
      <c r="AF769" s="81"/>
      <c r="AG769" s="81"/>
      <c r="AH769" s="81"/>
      <c r="AI769" s="4"/>
      <c r="AJ769" s="81"/>
      <c r="AK769" s="81"/>
      <c r="AL769" s="81"/>
      <c r="AM769" s="43">
        <v>753</v>
      </c>
      <c r="AN769">
        <v>269.25072034590005</v>
      </c>
      <c r="AO769">
        <v>91.221269859934495</v>
      </c>
      <c r="AP769">
        <v>677.23499787687467</v>
      </c>
      <c r="AQ769">
        <v>503.17862216047411</v>
      </c>
      <c r="AR769">
        <v>80.832804395869857</v>
      </c>
      <c r="AS769">
        <v>666.03919411535526</v>
      </c>
      <c r="AT769">
        <v>43.114629709795757</v>
      </c>
      <c r="AU769">
        <v>72.000175105153644</v>
      </c>
      <c r="AV769"/>
      <c r="AW769"/>
      <c r="FY769" s="211">
        <v>764</v>
      </c>
      <c r="FZ769">
        <v>9.3741055445289856</v>
      </c>
      <c r="GA769">
        <v>34.921964926306522</v>
      </c>
      <c r="GB769">
        <v>64.809876546739872</v>
      </c>
      <c r="GC769">
        <v>40.590950389487304</v>
      </c>
      <c r="GD769">
        <v>20.238121417549046</v>
      </c>
      <c r="GE769">
        <v>53.474727965097394</v>
      </c>
      <c r="GF769">
        <v>85.993120721288079</v>
      </c>
      <c r="GG769">
        <v>43.072296839800998</v>
      </c>
      <c r="GH769">
        <v>16.279560477395044</v>
      </c>
      <c r="GI769">
        <v>50.787622516207833</v>
      </c>
      <c r="GJ769"/>
      <c r="GK769"/>
      <c r="GL769"/>
      <c r="GM769"/>
    </row>
    <row r="770" spans="1:195" s="7" customFormat="1">
      <c r="A770" s="4"/>
      <c r="B770" s="4"/>
      <c r="C770" s="105"/>
      <c r="D770" s="4"/>
      <c r="E770" s="4"/>
      <c r="F770" s="28"/>
      <c r="G770" s="28"/>
      <c r="H770" s="83"/>
      <c r="I770" s="4"/>
      <c r="J770" s="4"/>
      <c r="K770" s="4"/>
      <c r="L770" s="4"/>
      <c r="M770" s="4"/>
      <c r="N770" s="28"/>
      <c r="O770" s="4"/>
      <c r="P770" s="4"/>
      <c r="Q770" s="4"/>
      <c r="R770" s="4"/>
      <c r="S770" s="4"/>
      <c r="T770" s="4"/>
      <c r="U770" s="4"/>
      <c r="V770" s="4"/>
      <c r="W770" s="4"/>
      <c r="X770" s="4"/>
      <c r="Y770" s="4"/>
      <c r="Z770" s="4"/>
      <c r="AA770" s="4"/>
      <c r="AB770" s="4"/>
      <c r="AC770" s="4"/>
      <c r="AD770" s="4"/>
      <c r="AE770" s="4"/>
      <c r="AF770" s="81"/>
      <c r="AG770" s="81"/>
      <c r="AH770" s="81"/>
      <c r="AI770" s="4"/>
      <c r="AJ770" s="81"/>
      <c r="AK770" s="81"/>
      <c r="AL770" s="81"/>
      <c r="AM770" s="43">
        <v>754</v>
      </c>
      <c r="AN770">
        <v>231.54291364169131</v>
      </c>
      <c r="AO770">
        <v>87.854789576173175</v>
      </c>
      <c r="AP770">
        <v>574.1445610045696</v>
      </c>
      <c r="AQ770">
        <v>459.44734064354407</v>
      </c>
      <c r="AR770">
        <v>80.895254343591887</v>
      </c>
      <c r="AS770">
        <v>670.05341351008644</v>
      </c>
      <c r="AT770">
        <v>48.329253811219274</v>
      </c>
      <c r="AU770">
        <v>97.683911302656739</v>
      </c>
      <c r="AV770"/>
      <c r="AW770"/>
      <c r="FY770" s="211">
        <v>765</v>
      </c>
      <c r="FZ770">
        <v>20.893154828325393</v>
      </c>
      <c r="GA770">
        <v>53.966563267200428</v>
      </c>
      <c r="GB770">
        <v>78.286958652650156</v>
      </c>
      <c r="GC770">
        <v>48.155183761761734</v>
      </c>
      <c r="GD770">
        <v>16.820311457647414</v>
      </c>
      <c r="GE770">
        <v>49.998109250884156</v>
      </c>
      <c r="GF770">
        <v>124.79785356322826</v>
      </c>
      <c r="GG770">
        <v>74.19597308280423</v>
      </c>
      <c r="GH770">
        <v>23.693192260912035</v>
      </c>
      <c r="GI770">
        <v>62.364673618717454</v>
      </c>
      <c r="GJ770"/>
      <c r="GK770"/>
      <c r="GL770"/>
      <c r="GM770"/>
    </row>
    <row r="771" spans="1:195" s="7" customFormat="1">
      <c r="A771" s="4"/>
      <c r="B771" s="4"/>
      <c r="C771" s="105"/>
      <c r="D771" s="4"/>
      <c r="E771" s="4"/>
      <c r="F771" s="28"/>
      <c r="G771" s="28"/>
      <c r="H771" s="83"/>
      <c r="I771" s="4"/>
      <c r="J771" s="4"/>
      <c r="K771" s="4"/>
      <c r="L771" s="4"/>
      <c r="M771" s="4"/>
      <c r="N771" s="28"/>
      <c r="O771" s="4"/>
      <c r="P771" s="4"/>
      <c r="Q771" s="4"/>
      <c r="R771" s="4"/>
      <c r="S771" s="4"/>
      <c r="T771" s="4"/>
      <c r="U771" s="4"/>
      <c r="V771" s="4"/>
      <c r="W771" s="4"/>
      <c r="X771" s="4"/>
      <c r="Y771" s="4"/>
      <c r="Z771" s="4"/>
      <c r="AA771" s="4"/>
      <c r="AB771" s="4"/>
      <c r="AC771" s="4"/>
      <c r="AD771" s="4"/>
      <c r="AE771" s="4"/>
      <c r="AF771" s="81"/>
      <c r="AG771" s="81"/>
      <c r="AH771" s="81"/>
      <c r="AI771" s="4"/>
      <c r="AJ771" s="81"/>
      <c r="AK771" s="81"/>
      <c r="AL771" s="81"/>
      <c r="AM771" s="43">
        <v>755</v>
      </c>
      <c r="AN771">
        <v>282.04204187098173</v>
      </c>
      <c r="AO771">
        <v>98.821349130513156</v>
      </c>
      <c r="AP771">
        <v>788.83400093776265</v>
      </c>
      <c r="AQ771">
        <v>548.19143083026484</v>
      </c>
      <c r="AR771">
        <v>89.369428748822898</v>
      </c>
      <c r="AS771">
        <v>790.2669676724023</v>
      </c>
      <c r="AT771">
        <v>48.915927612620798</v>
      </c>
      <c r="AU771">
        <v>90.6715726130072</v>
      </c>
      <c r="AV771"/>
      <c r="AW771"/>
      <c r="FY771" s="211">
        <v>766</v>
      </c>
      <c r="FZ771">
        <v>34.443760172642733</v>
      </c>
      <c r="GA771">
        <v>71.37278082220152</v>
      </c>
      <c r="GB771">
        <v>68.216193497108563</v>
      </c>
      <c r="GC771">
        <v>34.62084519421316</v>
      </c>
      <c r="GD771">
        <v>21.545480008829031</v>
      </c>
      <c r="GE771">
        <v>68.305629178291085</v>
      </c>
      <c r="GF771">
        <v>119.1601988350388</v>
      </c>
      <c r="GG771">
        <v>72.942825836529067</v>
      </c>
      <c r="GH771">
        <v>22.672025460074558</v>
      </c>
      <c r="GI771">
        <v>64.070307400989194</v>
      </c>
      <c r="GJ771"/>
      <c r="GK771"/>
      <c r="GL771"/>
      <c r="GM771"/>
    </row>
    <row r="772" spans="1:195" s="7" customFormat="1">
      <c r="A772" s="4"/>
      <c r="B772" s="4"/>
      <c r="C772" s="105"/>
      <c r="D772" s="4"/>
      <c r="E772" s="4"/>
      <c r="F772" s="28"/>
      <c r="G772" s="28"/>
      <c r="H772" s="83"/>
      <c r="I772" s="4"/>
      <c r="J772" s="4"/>
      <c r="K772" s="4"/>
      <c r="L772" s="4"/>
      <c r="M772" s="4"/>
      <c r="N772" s="28"/>
      <c r="O772" s="4"/>
      <c r="P772" s="4"/>
      <c r="Q772" s="4"/>
      <c r="R772" s="4"/>
      <c r="S772" s="4"/>
      <c r="T772" s="4"/>
      <c r="U772" s="4"/>
      <c r="V772" s="4"/>
      <c r="W772" s="4"/>
      <c r="X772" s="4"/>
      <c r="Y772" s="4"/>
      <c r="Z772" s="4"/>
      <c r="AA772" s="4"/>
      <c r="AB772" s="4"/>
      <c r="AC772" s="4"/>
      <c r="AD772" s="4"/>
      <c r="AE772" s="4"/>
      <c r="AF772" s="81"/>
      <c r="AG772" s="81"/>
      <c r="AH772" s="81"/>
      <c r="AI772" s="4"/>
      <c r="AJ772" s="81"/>
      <c r="AK772" s="81"/>
      <c r="AL772" s="81"/>
      <c r="AM772" s="43">
        <v>756</v>
      </c>
      <c r="AN772">
        <v>287.91706505745509</v>
      </c>
      <c r="AO772">
        <v>103.14374140951161</v>
      </c>
      <c r="AP772">
        <v>767.31717554648185</v>
      </c>
      <c r="AQ772">
        <v>557.37585942070336</v>
      </c>
      <c r="AR772">
        <v>94.260174977623535</v>
      </c>
      <c r="AS772">
        <v>728.60447439436075</v>
      </c>
      <c r="AT772">
        <v>50.352246734460948</v>
      </c>
      <c r="AU772">
        <v>57.384052916863268</v>
      </c>
      <c r="AV772"/>
      <c r="AW772"/>
      <c r="FY772" s="211">
        <v>767</v>
      </c>
      <c r="FZ772">
        <v>7.6711214688045386</v>
      </c>
      <c r="GA772">
        <v>42.591354714014749</v>
      </c>
      <c r="GB772">
        <v>79.121969296423458</v>
      </c>
      <c r="GC772">
        <v>53.103917473580154</v>
      </c>
      <c r="GD772">
        <v>25.605515487424597</v>
      </c>
      <c r="GE772">
        <v>55.449788839727532</v>
      </c>
      <c r="GF772">
        <v>87.668038060995045</v>
      </c>
      <c r="GG772">
        <v>41.749077767176111</v>
      </c>
      <c r="GH772">
        <v>17.308385044124396</v>
      </c>
      <c r="GI772">
        <v>58.524554585463733</v>
      </c>
      <c r="GJ772"/>
      <c r="GK772"/>
      <c r="GL772"/>
      <c r="GM772"/>
    </row>
    <row r="773" spans="1:195" s="7" customFormat="1">
      <c r="A773" s="4"/>
      <c r="B773" s="4"/>
      <c r="C773" s="105"/>
      <c r="D773" s="4"/>
      <c r="E773" s="4"/>
      <c r="F773" s="28"/>
      <c r="G773" s="28"/>
      <c r="H773" s="83"/>
      <c r="I773" s="4"/>
      <c r="J773" s="4"/>
      <c r="K773" s="4"/>
      <c r="L773" s="4"/>
      <c r="M773" s="4"/>
      <c r="N773" s="28"/>
      <c r="O773" s="4"/>
      <c r="P773" s="4"/>
      <c r="Q773" s="4"/>
      <c r="R773" s="4"/>
      <c r="S773" s="4"/>
      <c r="T773" s="4"/>
      <c r="U773" s="4"/>
      <c r="V773" s="4"/>
      <c r="W773" s="4"/>
      <c r="X773" s="4"/>
      <c r="Y773" s="4"/>
      <c r="Z773" s="4"/>
      <c r="AA773" s="4"/>
      <c r="AB773" s="4"/>
      <c r="AC773" s="4"/>
      <c r="AD773" s="4"/>
      <c r="AE773" s="4"/>
      <c r="AF773" s="81"/>
      <c r="AG773" s="81"/>
      <c r="AH773" s="81"/>
      <c r="AI773" s="4"/>
      <c r="AJ773" s="81"/>
      <c r="AK773" s="81"/>
      <c r="AL773" s="81"/>
      <c r="AM773" s="43">
        <v>757</v>
      </c>
      <c r="AN773">
        <v>269.62600863175828</v>
      </c>
      <c r="AO773">
        <v>97.804287079524471</v>
      </c>
      <c r="AP773">
        <v>707.70686898610211</v>
      </c>
      <c r="AQ773">
        <v>506.45468180373769</v>
      </c>
      <c r="AR773">
        <v>86.758519175306759</v>
      </c>
      <c r="AS773">
        <v>700.04867304742993</v>
      </c>
      <c r="AT773">
        <v>46.227050308084387</v>
      </c>
      <c r="AU773">
        <v>78.591003378275019</v>
      </c>
      <c r="AV773"/>
      <c r="AW773"/>
      <c r="FY773" s="211">
        <v>768</v>
      </c>
      <c r="FZ773">
        <v>20.601929924665956</v>
      </c>
      <c r="GA773">
        <v>60.145385296422347</v>
      </c>
      <c r="GB773">
        <v>75.52218885471278</v>
      </c>
      <c r="GC773">
        <v>38.675965610646905</v>
      </c>
      <c r="GD773">
        <v>13.36451096864791</v>
      </c>
      <c r="GE773">
        <v>24.364648221753047</v>
      </c>
      <c r="GF773">
        <v>79.273300236730563</v>
      </c>
      <c r="GG773">
        <v>92.199187565158681</v>
      </c>
      <c r="GH773">
        <v>48.173659901616432</v>
      </c>
      <c r="GI773">
        <v>54.802548461081138</v>
      </c>
      <c r="GJ773"/>
      <c r="GK773"/>
      <c r="GL773"/>
      <c r="GM773"/>
    </row>
    <row r="774" spans="1:195" s="7" customFormat="1">
      <c r="A774" s="4"/>
      <c r="B774" s="4"/>
      <c r="C774" s="105"/>
      <c r="D774" s="4"/>
      <c r="E774" s="4"/>
      <c r="F774" s="28"/>
      <c r="G774" s="28"/>
      <c r="H774" s="83"/>
      <c r="I774" s="4"/>
      <c r="J774" s="4"/>
      <c r="K774" s="4"/>
      <c r="L774" s="4"/>
      <c r="M774" s="4"/>
      <c r="N774" s="28"/>
      <c r="O774" s="4"/>
      <c r="P774" s="4"/>
      <c r="Q774" s="4"/>
      <c r="R774" s="4"/>
      <c r="S774" s="4"/>
      <c r="T774" s="4"/>
      <c r="U774" s="4"/>
      <c r="V774" s="4"/>
      <c r="W774" s="4"/>
      <c r="X774" s="4"/>
      <c r="Y774" s="4"/>
      <c r="Z774" s="4"/>
      <c r="AA774" s="4"/>
      <c r="AB774" s="4"/>
      <c r="AC774" s="4"/>
      <c r="AD774" s="4"/>
      <c r="AE774" s="4"/>
      <c r="AF774" s="81"/>
      <c r="AG774" s="81"/>
      <c r="AH774" s="81"/>
      <c r="AI774" s="4"/>
      <c r="AJ774" s="81"/>
      <c r="AK774" s="81"/>
      <c r="AL774" s="81"/>
      <c r="AM774" s="43">
        <v>758</v>
      </c>
      <c r="AN774">
        <v>259.6509216705694</v>
      </c>
      <c r="AO774">
        <v>88.951590712578891</v>
      </c>
      <c r="AP774">
        <v>648.12363828833656</v>
      </c>
      <c r="AQ774">
        <v>477.22073256420731</v>
      </c>
      <c r="AR774">
        <v>79.581055394480799</v>
      </c>
      <c r="AS774">
        <v>660.2700120959106</v>
      </c>
      <c r="AT774">
        <v>45.372636820386276</v>
      </c>
      <c r="AU774">
        <v>84.861762961735877</v>
      </c>
      <c r="AV774"/>
      <c r="AW774"/>
      <c r="FY774" s="211">
        <v>769</v>
      </c>
      <c r="FZ774">
        <v>32.700344049752253</v>
      </c>
      <c r="GA774">
        <v>81.506107474164537</v>
      </c>
      <c r="GB774">
        <v>57.013244868106817</v>
      </c>
      <c r="GC774">
        <v>29.425784544261347</v>
      </c>
      <c r="GD774">
        <v>12.700447098279962</v>
      </c>
      <c r="GE774">
        <v>33.013678911291422</v>
      </c>
      <c r="GF774">
        <v>111.88569153320496</v>
      </c>
      <c r="GG774">
        <v>78.583015108125423</v>
      </c>
      <c r="GH774">
        <v>17.138830677243881</v>
      </c>
      <c r="GI774">
        <v>54.051344850227537</v>
      </c>
      <c r="GJ774"/>
      <c r="GK774"/>
      <c r="GL774"/>
      <c r="GM774"/>
    </row>
    <row r="775" spans="1:195" s="7" customFormat="1">
      <c r="A775" s="4"/>
      <c r="B775" s="4"/>
      <c r="C775" s="105"/>
      <c r="D775" s="4"/>
      <c r="E775" s="4"/>
      <c r="F775" s="28"/>
      <c r="G775" s="28"/>
      <c r="H775" s="83"/>
      <c r="I775" s="4"/>
      <c r="J775" s="4"/>
      <c r="K775" s="4"/>
      <c r="L775" s="4"/>
      <c r="M775" s="4"/>
      <c r="N775" s="28"/>
      <c r="O775" s="4"/>
      <c r="P775" s="4"/>
      <c r="Q775" s="4"/>
      <c r="R775" s="4"/>
      <c r="S775" s="4"/>
      <c r="T775" s="4"/>
      <c r="U775" s="4"/>
      <c r="V775" s="4"/>
      <c r="W775" s="4"/>
      <c r="X775" s="4"/>
      <c r="Y775" s="4"/>
      <c r="Z775" s="4"/>
      <c r="AA775" s="4"/>
      <c r="AB775" s="4"/>
      <c r="AC775" s="4"/>
      <c r="AD775" s="4"/>
      <c r="AE775" s="4"/>
      <c r="AF775" s="81"/>
      <c r="AG775" s="81"/>
      <c r="AH775" s="81"/>
      <c r="AI775" s="4"/>
      <c r="AJ775" s="81"/>
      <c r="AK775" s="81"/>
      <c r="AL775" s="81"/>
      <c r="AM775" s="43">
        <v>759</v>
      </c>
      <c r="AN775">
        <v>235.66009791757779</v>
      </c>
      <c r="AO775">
        <v>79.435751994887227</v>
      </c>
      <c r="AP775">
        <v>544.51411320112811</v>
      </c>
      <c r="AQ775">
        <v>413.20229461295742</v>
      </c>
      <c r="AR775">
        <v>70.606389798384342</v>
      </c>
      <c r="AS775">
        <v>566.33426667521587</v>
      </c>
      <c r="AT775">
        <v>41.645637857326271</v>
      </c>
      <c r="AU775">
        <v>135.65466390386874</v>
      </c>
      <c r="AV775"/>
      <c r="AW775"/>
      <c r="FY775" s="211">
        <v>770</v>
      </c>
      <c r="FZ775">
        <v>34.308075273420947</v>
      </c>
      <c r="GA775">
        <v>70.807473682269261</v>
      </c>
      <c r="GB775">
        <v>82.210004510620877</v>
      </c>
      <c r="GC775">
        <v>43.284728124294162</v>
      </c>
      <c r="GD775">
        <v>13.150919759018256</v>
      </c>
      <c r="GE775">
        <v>33.026298567836506</v>
      </c>
      <c r="GF775">
        <v>56.833181275773718</v>
      </c>
      <c r="GG775">
        <v>45.821353507102714</v>
      </c>
      <c r="GH775">
        <v>29.818149502974304</v>
      </c>
      <c r="GI775">
        <v>50.357306998055755</v>
      </c>
      <c r="GJ775"/>
      <c r="GK775"/>
      <c r="GL775"/>
      <c r="GM775"/>
    </row>
    <row r="776" spans="1:195" s="7" customFormat="1">
      <c r="A776" s="4"/>
      <c r="B776" s="4"/>
      <c r="C776" s="105"/>
      <c r="D776" s="4"/>
      <c r="E776" s="4"/>
      <c r="F776" s="28"/>
      <c r="G776" s="28"/>
      <c r="H776" s="83"/>
      <c r="I776" s="4"/>
      <c r="J776" s="4"/>
      <c r="K776" s="4"/>
      <c r="L776" s="4"/>
      <c r="M776" s="4"/>
      <c r="N776" s="28"/>
      <c r="O776" s="4"/>
      <c r="P776" s="4"/>
      <c r="Q776" s="4"/>
      <c r="R776" s="4"/>
      <c r="S776" s="4"/>
      <c r="T776" s="4"/>
      <c r="U776" s="4"/>
      <c r="V776" s="4"/>
      <c r="W776" s="4"/>
      <c r="X776" s="4"/>
      <c r="Y776" s="4"/>
      <c r="Z776" s="4"/>
      <c r="AA776" s="4"/>
      <c r="AB776" s="4"/>
      <c r="AC776" s="4"/>
      <c r="AD776" s="4"/>
      <c r="AE776" s="4"/>
      <c r="AF776" s="81"/>
      <c r="AG776" s="81"/>
      <c r="AH776" s="81"/>
      <c r="AI776" s="4"/>
      <c r="AJ776" s="81"/>
      <c r="AK776" s="81"/>
      <c r="AL776" s="81"/>
      <c r="AM776" s="43">
        <v>760</v>
      </c>
      <c r="AN776">
        <v>256.89821763082676</v>
      </c>
      <c r="AO776">
        <v>83.925842873504152</v>
      </c>
      <c r="AP776">
        <v>585.42395882518827</v>
      </c>
      <c r="AQ776">
        <v>439.06270268237807</v>
      </c>
      <c r="AR776">
        <v>73.722663914276964</v>
      </c>
      <c r="AS776">
        <v>630.25836135383611</v>
      </c>
      <c r="AT776">
        <v>40.980278873687908</v>
      </c>
      <c r="AU776">
        <v>86.36111275395811</v>
      </c>
      <c r="AV776"/>
      <c r="AW776"/>
      <c r="FY776" s="211">
        <v>771</v>
      </c>
      <c r="FZ776">
        <v>35.126091432281264</v>
      </c>
      <c r="GA776">
        <v>74.350092370086017</v>
      </c>
      <c r="GB776">
        <v>88.69114470846408</v>
      </c>
      <c r="GC776">
        <v>59.868871009885218</v>
      </c>
      <c r="GD776">
        <v>27.387253885808708</v>
      </c>
      <c r="GE776">
        <v>47.178090635396394</v>
      </c>
      <c r="GF776">
        <v>67.461517330899056</v>
      </c>
      <c r="GG776">
        <v>33.243380728033024</v>
      </c>
      <c r="GH776">
        <v>13.258290300165079</v>
      </c>
      <c r="GI776">
        <v>60.206023127454941</v>
      </c>
      <c r="GJ776"/>
      <c r="GK776"/>
      <c r="GL776"/>
      <c r="GM776"/>
    </row>
    <row r="777" spans="1:195" s="7" customFormat="1">
      <c r="A777" s="4"/>
      <c r="B777" s="4"/>
      <c r="C777" s="105"/>
      <c r="D777" s="4"/>
      <c r="E777" s="4"/>
      <c r="F777" s="28"/>
      <c r="G777" s="28"/>
      <c r="H777" s="83"/>
      <c r="I777" s="4"/>
      <c r="J777" s="4"/>
      <c r="K777" s="4"/>
      <c r="L777" s="4"/>
      <c r="M777" s="4"/>
      <c r="N777" s="28"/>
      <c r="O777" s="4"/>
      <c r="P777" s="4"/>
      <c r="Q777" s="4"/>
      <c r="R777" s="4"/>
      <c r="S777" s="4"/>
      <c r="T777" s="4"/>
      <c r="U777" s="4"/>
      <c r="V777" s="4"/>
      <c r="W777" s="4"/>
      <c r="X777" s="4"/>
      <c r="Y777" s="4"/>
      <c r="Z777" s="4"/>
      <c r="AA777" s="4"/>
      <c r="AB777" s="4"/>
      <c r="AC777" s="4"/>
      <c r="AD777" s="4"/>
      <c r="AE777" s="4"/>
      <c r="AF777" s="81"/>
      <c r="AG777" s="81"/>
      <c r="AH777" s="81"/>
      <c r="AI777" s="4"/>
      <c r="AJ777" s="81"/>
      <c r="AK777" s="81"/>
      <c r="AL777" s="81"/>
      <c r="AM777" s="43">
        <v>761</v>
      </c>
      <c r="AN777">
        <v>255.57429188397865</v>
      </c>
      <c r="AO777">
        <v>109.09159359802061</v>
      </c>
      <c r="AP777">
        <v>759.45255313074108</v>
      </c>
      <c r="AQ777">
        <v>567.55648204237639</v>
      </c>
      <c r="AR777">
        <v>97.970618567976757</v>
      </c>
      <c r="AS777">
        <v>723.4269640888125</v>
      </c>
      <c r="AT777">
        <v>55.303441297507852</v>
      </c>
      <c r="AU777">
        <v>52.843343957176465</v>
      </c>
      <c r="AV777"/>
      <c r="AW777"/>
      <c r="FY777" s="211">
        <v>772</v>
      </c>
      <c r="FZ777">
        <v>23.557671907553512</v>
      </c>
      <c r="GA777">
        <v>74.333320986946475</v>
      </c>
      <c r="GB777">
        <v>66.284461508222662</v>
      </c>
      <c r="GC777">
        <v>35.639701180646519</v>
      </c>
      <c r="GD777">
        <v>24.345035001563886</v>
      </c>
      <c r="GE777">
        <v>76.281160848680301</v>
      </c>
      <c r="GF777">
        <v>92.312796342656284</v>
      </c>
      <c r="GG777">
        <v>39.249348391001071</v>
      </c>
      <c r="GH777">
        <v>33.188330404026146</v>
      </c>
      <c r="GI777">
        <v>59.687124391333718</v>
      </c>
      <c r="GJ777"/>
      <c r="GK777"/>
      <c r="GL777"/>
      <c r="GM777"/>
    </row>
    <row r="778" spans="1:195" s="7" customFormat="1">
      <c r="A778" s="4"/>
      <c r="B778" s="4"/>
      <c r="C778" s="105"/>
      <c r="D778" s="4"/>
      <c r="E778" s="4"/>
      <c r="F778" s="28"/>
      <c r="G778" s="28"/>
      <c r="H778" s="83"/>
      <c r="I778" s="4"/>
      <c r="J778" s="4"/>
      <c r="K778" s="4"/>
      <c r="L778" s="4"/>
      <c r="M778" s="4"/>
      <c r="N778" s="28"/>
      <c r="O778" s="4"/>
      <c r="P778" s="4"/>
      <c r="Q778" s="4"/>
      <c r="R778" s="4"/>
      <c r="S778" s="4"/>
      <c r="T778" s="4"/>
      <c r="U778" s="4"/>
      <c r="V778" s="4"/>
      <c r="W778" s="4"/>
      <c r="X778" s="4"/>
      <c r="Y778" s="4"/>
      <c r="Z778" s="4"/>
      <c r="AA778" s="4"/>
      <c r="AB778" s="4"/>
      <c r="AC778" s="4"/>
      <c r="AD778" s="4"/>
      <c r="AE778" s="4"/>
      <c r="AF778" s="81"/>
      <c r="AG778" s="81"/>
      <c r="AH778" s="81"/>
      <c r="AI778" s="4"/>
      <c r="AJ778" s="81"/>
      <c r="AK778" s="81"/>
      <c r="AL778" s="81"/>
      <c r="AM778" s="43">
        <v>762</v>
      </c>
      <c r="AN778">
        <v>290.79775363602698</v>
      </c>
      <c r="AO778">
        <v>88.427730430597805</v>
      </c>
      <c r="AP778">
        <v>620.3583911747819</v>
      </c>
      <c r="AQ778">
        <v>481.05244639353572</v>
      </c>
      <c r="AR778">
        <v>79.324043050949783</v>
      </c>
      <c r="AS778">
        <v>688.55949274213515</v>
      </c>
      <c r="AT778">
        <v>40.137835301827977</v>
      </c>
      <c r="AU778">
        <v>37.42425354587661</v>
      </c>
      <c r="AV778"/>
      <c r="AW778"/>
      <c r="FY778" s="211">
        <v>773</v>
      </c>
      <c r="FZ778">
        <v>4.7451822004536721</v>
      </c>
      <c r="GA778">
        <v>36.035882044807444</v>
      </c>
      <c r="GB778">
        <v>80.3882283328402</v>
      </c>
      <c r="GC778">
        <v>44.254901068306793</v>
      </c>
      <c r="GD778">
        <v>18.431871736983574</v>
      </c>
      <c r="GE778">
        <v>36.013286957247033</v>
      </c>
      <c r="GF778">
        <v>33.377960304890408</v>
      </c>
      <c r="GG778">
        <v>22.250740703659424</v>
      </c>
      <c r="GH778">
        <v>15.27201769803083</v>
      </c>
      <c r="GI778">
        <v>42.119445291764507</v>
      </c>
      <c r="GJ778"/>
      <c r="GK778"/>
      <c r="GL778"/>
      <c r="GM778"/>
    </row>
    <row r="779" spans="1:195" s="7" customFormat="1">
      <c r="A779" s="4"/>
      <c r="B779" s="4"/>
      <c r="C779" s="105"/>
      <c r="D779" s="4"/>
      <c r="E779" s="4"/>
      <c r="F779" s="28"/>
      <c r="G779" s="28"/>
      <c r="H779" s="83"/>
      <c r="I779" s="4"/>
      <c r="J779" s="4"/>
      <c r="K779" s="4"/>
      <c r="L779" s="4"/>
      <c r="M779" s="4"/>
      <c r="N779" s="28"/>
      <c r="O779" s="4"/>
      <c r="P779" s="4"/>
      <c r="Q779" s="4"/>
      <c r="R779" s="4"/>
      <c r="S779" s="4"/>
      <c r="T779" s="4"/>
      <c r="U779" s="4"/>
      <c r="V779" s="4"/>
      <c r="W779" s="4"/>
      <c r="X779" s="4"/>
      <c r="Y779" s="4"/>
      <c r="Z779" s="4"/>
      <c r="AA779" s="4"/>
      <c r="AB779" s="4"/>
      <c r="AC779" s="4"/>
      <c r="AD779" s="4"/>
      <c r="AE779" s="4"/>
      <c r="AF779" s="81"/>
      <c r="AG779" s="81"/>
      <c r="AH779" s="81"/>
      <c r="AI779" s="4"/>
      <c r="AJ779" s="81"/>
      <c r="AK779" s="81"/>
      <c r="AL779" s="81"/>
      <c r="AM779" s="43">
        <v>763</v>
      </c>
      <c r="AN779">
        <v>247.05890244005894</v>
      </c>
      <c r="AO779">
        <v>87.643758935581374</v>
      </c>
      <c r="AP779">
        <v>612.62468505554125</v>
      </c>
      <c r="AQ779">
        <v>468.7205761305338</v>
      </c>
      <c r="AR779">
        <v>78.218506540375287</v>
      </c>
      <c r="AS779">
        <v>658.95010539694385</v>
      </c>
      <c r="AT779">
        <v>43.197960792478177</v>
      </c>
      <c r="AU779">
        <v>73.756368315442046</v>
      </c>
      <c r="AV779"/>
      <c r="AW779"/>
      <c r="FY779" s="211">
        <v>774</v>
      </c>
      <c r="FZ779">
        <v>15.50388839171349</v>
      </c>
      <c r="GA779">
        <v>60.406204037878624</v>
      </c>
      <c r="GB779">
        <v>59.099129636403148</v>
      </c>
      <c r="GC779">
        <v>32.573251873368363</v>
      </c>
      <c r="GD779">
        <v>19.592265524810085</v>
      </c>
      <c r="GE779">
        <v>55.478914836179513</v>
      </c>
      <c r="GF779">
        <v>143.57962198436761</v>
      </c>
      <c r="GG779">
        <v>102.79758880507784</v>
      </c>
      <c r="GH779">
        <v>31.860090593882173</v>
      </c>
      <c r="GI779">
        <v>64.964432597418053</v>
      </c>
      <c r="GJ779"/>
      <c r="GK779"/>
      <c r="GL779"/>
      <c r="GM779"/>
    </row>
    <row r="780" spans="1:195" s="7" customFormat="1">
      <c r="A780" s="4"/>
      <c r="B780" s="4"/>
      <c r="C780" s="105"/>
      <c r="D780" s="4"/>
      <c r="E780" s="4"/>
      <c r="F780" s="28"/>
      <c r="G780" s="28"/>
      <c r="H780" s="83"/>
      <c r="I780" s="4"/>
      <c r="J780" s="4"/>
      <c r="K780" s="4"/>
      <c r="L780" s="4"/>
      <c r="M780" s="4"/>
      <c r="N780" s="28"/>
      <c r="O780" s="4"/>
      <c r="P780" s="4"/>
      <c r="Q780" s="4"/>
      <c r="R780" s="4"/>
      <c r="S780" s="4"/>
      <c r="T780" s="4"/>
      <c r="U780" s="4"/>
      <c r="V780" s="4"/>
      <c r="W780" s="4"/>
      <c r="X780" s="4"/>
      <c r="Y780" s="4"/>
      <c r="Z780" s="4"/>
      <c r="AA780" s="4"/>
      <c r="AB780" s="4"/>
      <c r="AC780" s="4"/>
      <c r="AD780" s="4"/>
      <c r="AE780" s="4"/>
      <c r="AF780" s="81"/>
      <c r="AG780" s="81"/>
      <c r="AH780" s="81"/>
      <c r="AI780" s="4"/>
      <c r="AJ780" s="81"/>
      <c r="AK780" s="81"/>
      <c r="AL780" s="81"/>
      <c r="AM780" s="43">
        <v>764</v>
      </c>
      <c r="AN780">
        <v>225.97964505372337</v>
      </c>
      <c r="AO780">
        <v>80.263396462853933</v>
      </c>
      <c r="AP780">
        <v>557.15351912246001</v>
      </c>
      <c r="AQ780">
        <v>419.54234734440104</v>
      </c>
      <c r="AR780">
        <v>71.469550381339516</v>
      </c>
      <c r="AS780">
        <v>580.54601292589837</v>
      </c>
      <c r="AT780">
        <v>39.611582495877769</v>
      </c>
      <c r="AU780">
        <v>61.91668183175306</v>
      </c>
      <c r="AV780"/>
      <c r="AW780"/>
      <c r="FY780" s="211">
        <v>775</v>
      </c>
      <c r="FZ780">
        <v>20.889204165669696</v>
      </c>
      <c r="GA780">
        <v>51.459561247527688</v>
      </c>
      <c r="GB780">
        <v>67.609718590744308</v>
      </c>
      <c r="GC780">
        <v>38.870519268156748</v>
      </c>
      <c r="GD780">
        <v>22.866729983690135</v>
      </c>
      <c r="GE780">
        <v>60.628731343694412</v>
      </c>
      <c r="GF780">
        <v>84.261178369647695</v>
      </c>
      <c r="GG780">
        <v>47.617659848890682</v>
      </c>
      <c r="GH780">
        <v>20.6487110084555</v>
      </c>
      <c r="GI780">
        <v>55.122535230364804</v>
      </c>
      <c r="GJ780"/>
      <c r="GK780"/>
      <c r="GL780"/>
      <c r="GM780"/>
    </row>
    <row r="781" spans="1:195" s="7" customFormat="1">
      <c r="A781" s="4"/>
      <c r="B781" s="4"/>
      <c r="C781" s="105"/>
      <c r="D781" s="4"/>
      <c r="E781" s="4"/>
      <c r="F781" s="28"/>
      <c r="G781" s="28"/>
      <c r="H781" s="83"/>
      <c r="I781" s="4"/>
      <c r="J781" s="4"/>
      <c r="K781" s="4"/>
      <c r="L781" s="4"/>
      <c r="M781" s="4"/>
      <c r="N781" s="28"/>
      <c r="O781" s="4"/>
      <c r="P781" s="4"/>
      <c r="Q781" s="4"/>
      <c r="R781" s="4"/>
      <c r="S781" s="4"/>
      <c r="T781" s="4"/>
      <c r="U781" s="4"/>
      <c r="V781" s="4"/>
      <c r="W781" s="4"/>
      <c r="X781" s="4"/>
      <c r="Y781" s="4"/>
      <c r="Z781" s="4"/>
      <c r="AA781" s="4"/>
      <c r="AB781" s="4"/>
      <c r="AC781" s="4"/>
      <c r="AD781" s="4"/>
      <c r="AE781" s="4"/>
      <c r="AF781" s="81"/>
      <c r="AG781" s="81"/>
      <c r="AH781" s="81"/>
      <c r="AI781" s="4"/>
      <c r="AJ781" s="81"/>
      <c r="AK781" s="81"/>
      <c r="AL781" s="81"/>
      <c r="AM781" s="43">
        <v>765</v>
      </c>
      <c r="AN781">
        <v>274.56141239839667</v>
      </c>
      <c r="AO781">
        <v>99.296547669436009</v>
      </c>
      <c r="AP781">
        <v>765.2631840645912</v>
      </c>
      <c r="AQ781">
        <v>553.17197374413126</v>
      </c>
      <c r="AR781">
        <v>88.756210528568815</v>
      </c>
      <c r="AS781">
        <v>709.15084817310503</v>
      </c>
      <c r="AT781">
        <v>48.546193844167369</v>
      </c>
      <c r="AU781">
        <v>103.99965644999308</v>
      </c>
      <c r="AV781"/>
      <c r="AW781"/>
      <c r="FY781" s="211">
        <v>776</v>
      </c>
      <c r="FZ781">
        <v>12.566723195735559</v>
      </c>
      <c r="GA781">
        <v>43.530195955881879</v>
      </c>
      <c r="GB781">
        <v>69.331346195350676</v>
      </c>
      <c r="GC781">
        <v>40.964872901160966</v>
      </c>
      <c r="GD781">
        <v>25.594498010024932</v>
      </c>
      <c r="GE781">
        <v>45.607647589233864</v>
      </c>
      <c r="GF781">
        <v>55.82885044289123</v>
      </c>
      <c r="GG781">
        <v>51.076538714862558</v>
      </c>
      <c r="GH781">
        <v>24.54683822746463</v>
      </c>
      <c r="GI781">
        <v>51.730083913182021</v>
      </c>
      <c r="GJ781"/>
      <c r="GK781"/>
      <c r="GL781"/>
      <c r="GM781"/>
    </row>
    <row r="782" spans="1:195" s="7" customFormat="1">
      <c r="A782" s="4"/>
      <c r="B782" s="4"/>
      <c r="C782" s="105"/>
      <c r="D782" s="4"/>
      <c r="E782" s="4"/>
      <c r="F782" s="28"/>
      <c r="G782" s="28"/>
      <c r="H782" s="83"/>
      <c r="I782" s="4"/>
      <c r="J782" s="4"/>
      <c r="K782" s="4"/>
      <c r="L782" s="4"/>
      <c r="M782" s="4"/>
      <c r="N782" s="28"/>
      <c r="O782" s="4"/>
      <c r="P782" s="4"/>
      <c r="Q782" s="4"/>
      <c r="R782" s="4"/>
      <c r="S782" s="4"/>
      <c r="T782" s="4"/>
      <c r="U782" s="4"/>
      <c r="V782" s="4"/>
      <c r="W782" s="4"/>
      <c r="X782" s="4"/>
      <c r="Y782" s="4"/>
      <c r="Z782" s="4"/>
      <c r="AA782" s="4"/>
      <c r="AB782" s="4"/>
      <c r="AC782" s="4"/>
      <c r="AD782" s="4"/>
      <c r="AE782" s="4"/>
      <c r="AF782" s="81"/>
      <c r="AG782" s="81"/>
      <c r="AH782" s="81"/>
      <c r="AI782" s="4"/>
      <c r="AJ782" s="81"/>
      <c r="AK782" s="81"/>
      <c r="AL782" s="81"/>
      <c r="AM782" s="43">
        <v>766</v>
      </c>
      <c r="AN782">
        <v>292.94351635919304</v>
      </c>
      <c r="AO782">
        <v>102.69062238047846</v>
      </c>
      <c r="AP782">
        <v>784.07312579057202</v>
      </c>
      <c r="AQ782">
        <v>577.35004640591774</v>
      </c>
      <c r="AR782">
        <v>92.016976083893368</v>
      </c>
      <c r="AS782">
        <v>761.78798627113838</v>
      </c>
      <c r="AT782">
        <v>46.991472334787851</v>
      </c>
      <c r="AU782">
        <v>56.69605891224073</v>
      </c>
      <c r="AV782"/>
      <c r="AW782"/>
      <c r="FY782" s="211">
        <v>777</v>
      </c>
      <c r="FZ782">
        <v>21.913020700574037</v>
      </c>
      <c r="GA782">
        <v>56.985846926932382</v>
      </c>
      <c r="GB782">
        <v>81.088447525643076</v>
      </c>
      <c r="GC782">
        <v>46.15430549981027</v>
      </c>
      <c r="GD782">
        <v>21.252316315144494</v>
      </c>
      <c r="GE782">
        <v>30.340234382483207</v>
      </c>
      <c r="GF782">
        <v>53.341754115616887</v>
      </c>
      <c r="GG782">
        <v>56.983829504126071</v>
      </c>
      <c r="GH782">
        <v>22.60464096891662</v>
      </c>
      <c r="GI782">
        <v>51.27982083075851</v>
      </c>
      <c r="GJ782"/>
      <c r="GK782"/>
      <c r="GL782"/>
      <c r="GM782"/>
    </row>
    <row r="783" spans="1:195" s="7" customFormat="1">
      <c r="A783" s="4"/>
      <c r="B783" s="4"/>
      <c r="C783" s="105"/>
      <c r="D783" s="4"/>
      <c r="E783" s="4"/>
      <c r="F783" s="28"/>
      <c r="G783" s="28"/>
      <c r="H783" s="83"/>
      <c r="I783" s="4"/>
      <c r="J783" s="4"/>
      <c r="K783" s="4"/>
      <c r="L783" s="4"/>
      <c r="M783" s="4"/>
      <c r="N783" s="28"/>
      <c r="O783" s="4"/>
      <c r="P783" s="4"/>
      <c r="Q783" s="4"/>
      <c r="R783" s="4"/>
      <c r="S783" s="4"/>
      <c r="T783" s="4"/>
      <c r="U783" s="4"/>
      <c r="V783" s="4"/>
      <c r="W783" s="4"/>
      <c r="X783" s="4"/>
      <c r="Y783" s="4"/>
      <c r="Z783" s="4"/>
      <c r="AA783" s="4"/>
      <c r="AB783" s="4"/>
      <c r="AC783" s="4"/>
      <c r="AD783" s="4"/>
      <c r="AE783" s="4"/>
      <c r="AF783" s="81"/>
      <c r="AG783" s="81"/>
      <c r="AH783" s="81"/>
      <c r="AI783" s="4"/>
      <c r="AJ783" s="81"/>
      <c r="AK783" s="81"/>
      <c r="AL783" s="81"/>
      <c r="AM783" s="43">
        <v>767</v>
      </c>
      <c r="AN783">
        <v>245.97704723639859</v>
      </c>
      <c r="AO783">
        <v>92.655224079049475</v>
      </c>
      <c r="AP783">
        <v>621.43403261538333</v>
      </c>
      <c r="AQ783">
        <v>468.79372273773436</v>
      </c>
      <c r="AR783">
        <v>82.176343025960492</v>
      </c>
      <c r="AS783">
        <v>689.25903260989207</v>
      </c>
      <c r="AT783">
        <v>46.203182431960094</v>
      </c>
      <c r="AU783">
        <v>131.01404231003502</v>
      </c>
      <c r="AV783"/>
      <c r="AW783"/>
      <c r="FY783" s="211">
        <v>778</v>
      </c>
      <c r="FZ783">
        <v>19.845639383771477</v>
      </c>
      <c r="GA783">
        <v>62.465875911822906</v>
      </c>
      <c r="GB783">
        <v>68.208056537235009</v>
      </c>
      <c r="GC783">
        <v>41.60582976687332</v>
      </c>
      <c r="GD783">
        <v>22.927660244318925</v>
      </c>
      <c r="GE783">
        <v>46.732840328159142</v>
      </c>
      <c r="GF783">
        <v>75.011320298808428</v>
      </c>
      <c r="GG783">
        <v>43.130357935955246</v>
      </c>
      <c r="GH783">
        <v>17.572321117522026</v>
      </c>
      <c r="GI783">
        <v>52.330903410573342</v>
      </c>
      <c r="GJ783"/>
      <c r="GK783"/>
      <c r="GL783"/>
      <c r="GM783"/>
    </row>
    <row r="784" spans="1:195" s="7" customFormat="1">
      <c r="A784" s="4"/>
      <c r="B784" s="4"/>
      <c r="C784" s="105"/>
      <c r="D784" s="4"/>
      <c r="E784" s="4"/>
      <c r="F784" s="28"/>
      <c r="G784" s="28"/>
      <c r="H784" s="83"/>
      <c r="I784" s="4"/>
      <c r="J784" s="4"/>
      <c r="K784" s="4"/>
      <c r="L784" s="4"/>
      <c r="M784" s="4"/>
      <c r="N784" s="28"/>
      <c r="O784" s="4"/>
      <c r="P784" s="4"/>
      <c r="Q784" s="4"/>
      <c r="R784" s="4"/>
      <c r="S784" s="4"/>
      <c r="T784" s="4"/>
      <c r="U784" s="4"/>
      <c r="V784" s="4"/>
      <c r="W784" s="4"/>
      <c r="X784" s="4"/>
      <c r="Y784" s="4"/>
      <c r="Z784" s="4"/>
      <c r="AA784" s="4"/>
      <c r="AB784" s="4"/>
      <c r="AC784" s="4"/>
      <c r="AD784" s="4"/>
      <c r="AE784" s="4"/>
      <c r="AF784" s="81"/>
      <c r="AG784" s="81"/>
      <c r="AH784" s="81"/>
      <c r="AI784" s="4"/>
      <c r="AJ784" s="81"/>
      <c r="AK784" s="81"/>
      <c r="AL784" s="81"/>
      <c r="AM784" s="43">
        <v>768</v>
      </c>
      <c r="AN784">
        <v>261.1930184971722</v>
      </c>
      <c r="AO784">
        <v>88.162507680595965</v>
      </c>
      <c r="AP784">
        <v>722.68287796706466</v>
      </c>
      <c r="AQ784">
        <v>507.12332504143575</v>
      </c>
      <c r="AR784">
        <v>80.730444956813159</v>
      </c>
      <c r="AS784">
        <v>650.86556235140961</v>
      </c>
      <c r="AT784">
        <v>43.0880376617217</v>
      </c>
      <c r="AU784">
        <v>12.136410533078283</v>
      </c>
      <c r="AV784"/>
      <c r="AW784"/>
      <c r="FY784" s="211">
        <v>779</v>
      </c>
      <c r="FZ784">
        <v>15.530054490799943</v>
      </c>
      <c r="GA784">
        <v>45.571032612272241</v>
      </c>
      <c r="GB784">
        <v>58.60865122003095</v>
      </c>
      <c r="GC784">
        <v>33.744617676067364</v>
      </c>
      <c r="GD784">
        <v>19.921252507447921</v>
      </c>
      <c r="GE784">
        <v>48.974301552943558</v>
      </c>
      <c r="GF784">
        <v>56.494489365662623</v>
      </c>
      <c r="GG784">
        <v>26.650304533854225</v>
      </c>
      <c r="GH784">
        <v>14.803479765734547</v>
      </c>
      <c r="GI784">
        <v>43.66382746329321</v>
      </c>
      <c r="GJ784"/>
      <c r="GK784"/>
      <c r="GL784"/>
      <c r="GM784"/>
    </row>
    <row r="785" spans="1:195" s="7" customFormat="1">
      <c r="A785" s="4"/>
      <c r="B785" s="4"/>
      <c r="C785" s="105"/>
      <c r="D785" s="4"/>
      <c r="E785" s="4"/>
      <c r="F785" s="28"/>
      <c r="G785" s="28"/>
      <c r="H785" s="83"/>
      <c r="I785" s="4"/>
      <c r="J785" s="4"/>
      <c r="K785" s="4"/>
      <c r="L785" s="4"/>
      <c r="M785" s="4"/>
      <c r="N785" s="28"/>
      <c r="O785" s="4"/>
      <c r="P785" s="4"/>
      <c r="Q785" s="4"/>
      <c r="R785" s="4"/>
      <c r="S785" s="4"/>
      <c r="T785" s="4"/>
      <c r="U785" s="4"/>
      <c r="V785" s="4"/>
      <c r="W785" s="4"/>
      <c r="X785" s="4"/>
      <c r="Y785" s="4"/>
      <c r="Z785" s="4"/>
      <c r="AA785" s="4"/>
      <c r="AB785" s="4"/>
      <c r="AC785" s="4"/>
      <c r="AD785" s="4"/>
      <c r="AE785" s="4"/>
      <c r="AF785" s="81"/>
      <c r="AG785" s="81"/>
      <c r="AH785" s="81"/>
      <c r="AI785" s="4"/>
      <c r="AJ785" s="81"/>
      <c r="AK785" s="81"/>
      <c r="AL785" s="81"/>
      <c r="AM785" s="43">
        <v>769</v>
      </c>
      <c r="AN785">
        <v>218.71182662715455</v>
      </c>
      <c r="AO785">
        <v>88.611737919374917</v>
      </c>
      <c r="AP785">
        <v>743.06068504479413</v>
      </c>
      <c r="AQ785">
        <v>508.01848911465822</v>
      </c>
      <c r="AR785">
        <v>79.32140074809719</v>
      </c>
      <c r="AS785">
        <v>581.81288301285224</v>
      </c>
      <c r="AT785">
        <v>42.686568614359494</v>
      </c>
      <c r="AU785">
        <v>1.1201049884621392</v>
      </c>
      <c r="AV785"/>
      <c r="AW785"/>
      <c r="FY785" s="211">
        <v>780</v>
      </c>
      <c r="FZ785">
        <v>9.1309918942958479</v>
      </c>
      <c r="GA785">
        <v>39.110446982861468</v>
      </c>
      <c r="GB785">
        <v>97.058280219745967</v>
      </c>
      <c r="GC785">
        <v>54.625270395036402</v>
      </c>
      <c r="GD785">
        <v>18.099237412881553</v>
      </c>
      <c r="GE785">
        <v>39.053865523274425</v>
      </c>
      <c r="GF785">
        <v>43.361764618761384</v>
      </c>
      <c r="GG785">
        <v>32.874473517433522</v>
      </c>
      <c r="GH785">
        <v>30.25926031269784</v>
      </c>
      <c r="GI785">
        <v>51.773538781577308</v>
      </c>
      <c r="GJ785"/>
      <c r="GK785"/>
      <c r="GL785"/>
      <c r="GM785"/>
    </row>
    <row r="786" spans="1:195" s="7" customFormat="1">
      <c r="A786" s="4"/>
      <c r="B786" s="4"/>
      <c r="C786" s="105"/>
      <c r="D786" s="4"/>
      <c r="E786" s="4"/>
      <c r="F786" s="28"/>
      <c r="G786" s="28"/>
      <c r="H786" s="83"/>
      <c r="I786" s="4"/>
      <c r="J786" s="4"/>
      <c r="K786" s="4"/>
      <c r="L786" s="4"/>
      <c r="M786" s="4"/>
      <c r="N786" s="28"/>
      <c r="O786" s="4"/>
      <c r="P786" s="4"/>
      <c r="Q786" s="4"/>
      <c r="R786" s="4"/>
      <c r="S786" s="4"/>
      <c r="T786" s="4"/>
      <c r="U786" s="4"/>
      <c r="V786" s="4"/>
      <c r="W786" s="4"/>
      <c r="X786" s="4"/>
      <c r="Y786" s="4"/>
      <c r="Z786" s="4"/>
      <c r="AA786" s="4"/>
      <c r="AB786" s="4"/>
      <c r="AC786" s="4"/>
      <c r="AD786" s="4"/>
      <c r="AE786" s="4"/>
      <c r="AF786" s="81"/>
      <c r="AG786" s="81"/>
      <c r="AH786" s="81"/>
      <c r="AI786" s="4"/>
      <c r="AJ786" s="81"/>
      <c r="AK786" s="81"/>
      <c r="AL786" s="81"/>
      <c r="AM786" s="43">
        <v>770</v>
      </c>
      <c r="AN786">
        <v>238.13457407311688</v>
      </c>
      <c r="AO786">
        <v>80.1117537862701</v>
      </c>
      <c r="AP786">
        <v>628.30129287741829</v>
      </c>
      <c r="AQ786">
        <v>459.61749120136648</v>
      </c>
      <c r="AR786">
        <v>72.541924059119737</v>
      </c>
      <c r="AS786">
        <v>590.51969720523232</v>
      </c>
      <c r="AT786">
        <v>38.865249008929766</v>
      </c>
      <c r="AU786">
        <v>70.816823385785511</v>
      </c>
      <c r="AV786"/>
      <c r="AW786"/>
      <c r="FY786" s="211">
        <v>781</v>
      </c>
      <c r="FZ786">
        <v>25.293594782123453</v>
      </c>
      <c r="GA786">
        <v>62.537677437530483</v>
      </c>
      <c r="GB786">
        <v>62.51733161625252</v>
      </c>
      <c r="GC786">
        <v>35.386781443625566</v>
      </c>
      <c r="GD786">
        <v>14.959691346919035</v>
      </c>
      <c r="GE786">
        <v>49.191088720736772</v>
      </c>
      <c r="GF786">
        <v>113.98667332014857</v>
      </c>
      <c r="GG786">
        <v>79.63262455408038</v>
      </c>
      <c r="GH786">
        <v>39.115918545541504</v>
      </c>
      <c r="GI786">
        <v>58.159113377184404</v>
      </c>
      <c r="GJ786"/>
      <c r="GK786"/>
      <c r="GL786"/>
      <c r="GM786"/>
    </row>
    <row r="787" spans="1:195" s="7" customFormat="1">
      <c r="A787" s="4"/>
      <c r="B787" s="4"/>
      <c r="C787" s="105"/>
      <c r="D787" s="4"/>
      <c r="E787" s="4"/>
      <c r="F787" s="28"/>
      <c r="G787" s="28"/>
      <c r="H787" s="83"/>
      <c r="I787" s="4"/>
      <c r="J787" s="4"/>
      <c r="K787" s="4"/>
      <c r="L787" s="4"/>
      <c r="M787" s="4"/>
      <c r="N787" s="28"/>
      <c r="O787" s="4"/>
      <c r="P787" s="4"/>
      <c r="Q787" s="4"/>
      <c r="R787" s="4"/>
      <c r="S787" s="4"/>
      <c r="T787" s="4"/>
      <c r="U787" s="4"/>
      <c r="V787" s="4"/>
      <c r="W787" s="4"/>
      <c r="X787" s="4"/>
      <c r="Y787" s="4"/>
      <c r="Z787" s="4"/>
      <c r="AA787" s="4"/>
      <c r="AB787" s="4"/>
      <c r="AC787" s="4"/>
      <c r="AD787" s="4"/>
      <c r="AE787" s="4"/>
      <c r="AF787" s="81"/>
      <c r="AG787" s="81"/>
      <c r="AH787" s="81"/>
      <c r="AI787" s="4"/>
      <c r="AJ787" s="81"/>
      <c r="AK787" s="81"/>
      <c r="AL787" s="81"/>
      <c r="AM787" s="43">
        <v>771</v>
      </c>
      <c r="AN787">
        <v>269.82870429474417</v>
      </c>
      <c r="AO787">
        <v>94.603909478625766</v>
      </c>
      <c r="AP787">
        <v>647.643380860516</v>
      </c>
      <c r="AQ787">
        <v>506.77075552847373</v>
      </c>
      <c r="AR787">
        <v>85.347248053703638</v>
      </c>
      <c r="AS787">
        <v>696.40167739303934</v>
      </c>
      <c r="AT787">
        <v>46.285742494207831</v>
      </c>
      <c r="AU787">
        <v>70.458500165348681</v>
      </c>
      <c r="AV787"/>
      <c r="AW787"/>
      <c r="FY787" s="211">
        <v>782</v>
      </c>
      <c r="FZ787">
        <v>13.690902772326005</v>
      </c>
      <c r="GA787">
        <v>40.18181016635922</v>
      </c>
      <c r="GB787">
        <v>69.87552719188038</v>
      </c>
      <c r="GC787">
        <v>45.629812858864568</v>
      </c>
      <c r="GD787">
        <v>17.879288417348068</v>
      </c>
      <c r="GE787">
        <v>31.697108347183292</v>
      </c>
      <c r="GF787">
        <v>68.273612854397271</v>
      </c>
      <c r="GG787">
        <v>62.079461869536708</v>
      </c>
      <c r="GH787">
        <v>38.382274769916059</v>
      </c>
      <c r="GI787">
        <v>50.969440451422088</v>
      </c>
      <c r="GJ787"/>
      <c r="GK787"/>
      <c r="GL787"/>
      <c r="GM787"/>
    </row>
    <row r="788" spans="1:195" s="7" customFormat="1">
      <c r="A788" s="4"/>
      <c r="B788" s="4"/>
      <c r="C788" s="105"/>
      <c r="D788" s="4"/>
      <c r="E788" s="4"/>
      <c r="F788" s="28"/>
      <c r="G788" s="28"/>
      <c r="H788" s="83"/>
      <c r="I788" s="4"/>
      <c r="J788" s="4"/>
      <c r="K788" s="4"/>
      <c r="L788" s="4"/>
      <c r="M788" s="4"/>
      <c r="N788" s="28"/>
      <c r="O788" s="4"/>
      <c r="P788" s="4"/>
      <c r="Q788" s="4"/>
      <c r="R788" s="4"/>
      <c r="S788" s="4"/>
      <c r="T788" s="4"/>
      <c r="U788" s="4"/>
      <c r="V788" s="4"/>
      <c r="W788" s="4"/>
      <c r="X788" s="4"/>
      <c r="Y788" s="4"/>
      <c r="Z788" s="4"/>
      <c r="AA788" s="4"/>
      <c r="AB788" s="4"/>
      <c r="AC788" s="4"/>
      <c r="AD788" s="4"/>
      <c r="AE788" s="4"/>
      <c r="AF788" s="81"/>
      <c r="AG788" s="81"/>
      <c r="AH788" s="81"/>
      <c r="AI788" s="4"/>
      <c r="AJ788" s="81"/>
      <c r="AK788" s="81"/>
      <c r="AL788" s="81"/>
      <c r="AM788" s="43">
        <v>772</v>
      </c>
      <c r="AN788">
        <v>291.28992993414306</v>
      </c>
      <c r="AO788">
        <v>94.623884566703808</v>
      </c>
      <c r="AP788">
        <v>678.14584657114187</v>
      </c>
      <c r="AQ788">
        <v>524.8789509626306</v>
      </c>
      <c r="AR788">
        <v>83.032776209771015</v>
      </c>
      <c r="AS788">
        <v>699.48460376389642</v>
      </c>
      <c r="AT788">
        <v>44.516458054409213</v>
      </c>
      <c r="AU788">
        <v>47.968878240500779</v>
      </c>
      <c r="AV788"/>
      <c r="AW788"/>
      <c r="FY788" s="211">
        <v>783</v>
      </c>
      <c r="FZ788">
        <v>11.24310828734283</v>
      </c>
      <c r="GA788">
        <v>32.900743371289529</v>
      </c>
      <c r="GB788">
        <v>61.729894166448673</v>
      </c>
      <c r="GC788">
        <v>43.775502586226935</v>
      </c>
      <c r="GD788">
        <v>18.871007964186685</v>
      </c>
      <c r="GE788">
        <v>28.349403633892017</v>
      </c>
      <c r="GF788">
        <v>62.202443186898847</v>
      </c>
      <c r="GG788">
        <v>39.77746460061919</v>
      </c>
      <c r="GH788">
        <v>8.5295953346911837</v>
      </c>
      <c r="GI788">
        <v>42.433902429936673</v>
      </c>
      <c r="GJ788"/>
      <c r="GK788"/>
      <c r="GL788"/>
      <c r="GM788"/>
    </row>
    <row r="789" spans="1:195" s="7" customFormat="1">
      <c r="A789" s="4"/>
      <c r="B789" s="4"/>
      <c r="C789" s="105"/>
      <c r="D789" s="4"/>
      <c r="E789" s="4"/>
      <c r="F789" s="28"/>
      <c r="G789" s="28"/>
      <c r="H789" s="83"/>
      <c r="I789" s="4"/>
      <c r="J789" s="4"/>
      <c r="K789" s="4"/>
      <c r="L789" s="4"/>
      <c r="M789" s="4"/>
      <c r="N789" s="28"/>
      <c r="O789" s="4"/>
      <c r="P789" s="4"/>
      <c r="Q789" s="4"/>
      <c r="R789" s="4"/>
      <c r="S789" s="4"/>
      <c r="T789" s="4"/>
      <c r="U789" s="4"/>
      <c r="V789" s="4"/>
      <c r="W789" s="4"/>
      <c r="X789" s="4"/>
      <c r="Y789" s="4"/>
      <c r="Z789" s="4"/>
      <c r="AA789" s="4"/>
      <c r="AB789" s="4"/>
      <c r="AC789" s="4"/>
      <c r="AD789" s="4"/>
      <c r="AE789" s="4"/>
      <c r="AF789" s="81"/>
      <c r="AG789" s="81"/>
      <c r="AH789" s="81"/>
      <c r="AI789" s="4"/>
      <c r="AJ789" s="81"/>
      <c r="AK789" s="81"/>
      <c r="AL789" s="81"/>
      <c r="AM789" s="43">
        <v>773</v>
      </c>
      <c r="AN789">
        <v>224.07313579415671</v>
      </c>
      <c r="AO789">
        <v>65.867857122737831</v>
      </c>
      <c r="AP789">
        <v>435.63514844116457</v>
      </c>
      <c r="AQ789">
        <v>332.88951633898387</v>
      </c>
      <c r="AR789">
        <v>59.774884029160347</v>
      </c>
      <c r="AS789">
        <v>548.88303677965951</v>
      </c>
      <c r="AT789">
        <v>32.046814485319025</v>
      </c>
      <c r="AU789">
        <v>88.975830960741803</v>
      </c>
      <c r="AV789"/>
      <c r="AW789"/>
      <c r="FY789" s="211">
        <v>784</v>
      </c>
      <c r="FZ789">
        <v>18.021588723327518</v>
      </c>
      <c r="GA789">
        <v>40.293507808969565</v>
      </c>
      <c r="GB789">
        <v>74.894405687062985</v>
      </c>
      <c r="GC789">
        <v>42.559396699907765</v>
      </c>
      <c r="GD789">
        <v>13.566470463423041</v>
      </c>
      <c r="GE789">
        <v>48.522904256863995</v>
      </c>
      <c r="GF789">
        <v>69.599193668496596</v>
      </c>
      <c r="GG789">
        <v>41.171138217335226</v>
      </c>
      <c r="GH789">
        <v>37.372642028028729</v>
      </c>
      <c r="GI789">
        <v>50.526466727037054</v>
      </c>
      <c r="GJ789"/>
      <c r="GK789"/>
      <c r="GL789"/>
      <c r="GM789"/>
    </row>
    <row r="790" spans="1:195" s="7" customFormat="1">
      <c r="A790" s="4"/>
      <c r="B790" s="4"/>
      <c r="C790" s="105"/>
      <c r="D790" s="4"/>
      <c r="E790" s="4"/>
      <c r="F790" s="28"/>
      <c r="G790" s="28"/>
      <c r="H790" s="83"/>
      <c r="I790" s="4"/>
      <c r="J790" s="4"/>
      <c r="K790" s="4"/>
      <c r="L790" s="4"/>
      <c r="M790" s="4"/>
      <c r="N790" s="28"/>
      <c r="O790" s="4"/>
      <c r="P790" s="4"/>
      <c r="Q790" s="4"/>
      <c r="R790" s="4"/>
      <c r="S790" s="4"/>
      <c r="T790" s="4"/>
      <c r="U790" s="4"/>
      <c r="V790" s="4"/>
      <c r="W790" s="4"/>
      <c r="X790" s="4"/>
      <c r="Y790" s="4"/>
      <c r="Z790" s="4"/>
      <c r="AA790" s="4"/>
      <c r="AB790" s="4"/>
      <c r="AC790" s="4"/>
      <c r="AD790" s="4"/>
      <c r="AE790" s="4"/>
      <c r="AF790" s="81"/>
      <c r="AG790" s="81"/>
      <c r="AH790" s="81"/>
      <c r="AI790" s="4"/>
      <c r="AJ790" s="81"/>
      <c r="AK790" s="81"/>
      <c r="AL790" s="81"/>
      <c r="AM790" s="43">
        <v>774</v>
      </c>
      <c r="AN790">
        <v>284.29905611938045</v>
      </c>
      <c r="AO790">
        <v>105.26428726960538</v>
      </c>
      <c r="AP790">
        <v>835.45942355094735</v>
      </c>
      <c r="AQ790">
        <v>585.85538828109895</v>
      </c>
      <c r="AR790">
        <v>94.05956084663579</v>
      </c>
      <c r="AS790">
        <v>762.64145299407539</v>
      </c>
      <c r="AT790">
        <v>48.960953847722656</v>
      </c>
      <c r="AU790">
        <v>80.474197384825317</v>
      </c>
      <c r="AV790"/>
      <c r="AW790"/>
      <c r="FY790" s="211">
        <v>785</v>
      </c>
      <c r="FZ790">
        <v>24.95866726967493</v>
      </c>
      <c r="GA790">
        <v>50.501900201724162</v>
      </c>
      <c r="GB790">
        <v>73.632745868074863</v>
      </c>
      <c r="GC790">
        <v>48.415444195556283</v>
      </c>
      <c r="GD790">
        <v>21.695537814160051</v>
      </c>
      <c r="GE790">
        <v>70.683789580079306</v>
      </c>
      <c r="GF790">
        <v>97.871286840054566</v>
      </c>
      <c r="GG790">
        <v>20.652597430164136</v>
      </c>
      <c r="GH790">
        <v>8.2844649802085826</v>
      </c>
      <c r="GI790">
        <v>57.687260000492003</v>
      </c>
      <c r="GJ790"/>
      <c r="GK790"/>
      <c r="GL790"/>
      <c r="GM790"/>
    </row>
    <row r="791" spans="1:195" s="7" customFormat="1">
      <c r="A791" s="4"/>
      <c r="B791" s="4"/>
      <c r="C791" s="105"/>
      <c r="D791" s="4"/>
      <c r="E791" s="4"/>
      <c r="F791" s="28"/>
      <c r="G791" s="28"/>
      <c r="H791" s="83"/>
      <c r="I791" s="4"/>
      <c r="J791" s="4"/>
      <c r="K791" s="4"/>
      <c r="L791" s="4"/>
      <c r="M791" s="4"/>
      <c r="N791" s="28"/>
      <c r="O791" s="4"/>
      <c r="P791" s="4"/>
      <c r="Q791" s="4"/>
      <c r="R791" s="4"/>
      <c r="S791" s="4"/>
      <c r="T791" s="4"/>
      <c r="U791" s="4"/>
      <c r="V791" s="4"/>
      <c r="W791" s="4"/>
      <c r="X791" s="4"/>
      <c r="Y791" s="4"/>
      <c r="Z791" s="4"/>
      <c r="AA791" s="4"/>
      <c r="AB791" s="4"/>
      <c r="AC791" s="4"/>
      <c r="AD791" s="4"/>
      <c r="AE791" s="4"/>
      <c r="AF791" s="81"/>
      <c r="AG791" s="81"/>
      <c r="AH791" s="81"/>
      <c r="AI791" s="4"/>
      <c r="AJ791" s="81"/>
      <c r="AK791" s="81"/>
      <c r="AL791" s="81"/>
      <c r="AM791" s="43">
        <v>775</v>
      </c>
      <c r="AN791">
        <v>254.34262888570743</v>
      </c>
      <c r="AO791">
        <v>87.324008869896389</v>
      </c>
      <c r="AP791">
        <v>616.29738367669427</v>
      </c>
      <c r="AQ791">
        <v>469.97454905684174</v>
      </c>
      <c r="AR791">
        <v>78.240769635428194</v>
      </c>
      <c r="AS791">
        <v>634.26821425766502</v>
      </c>
      <c r="AT791">
        <v>42.753319274108037</v>
      </c>
      <c r="AU791">
        <v>82.373669708404748</v>
      </c>
      <c r="AV791"/>
      <c r="AW791"/>
      <c r="FY791" s="211">
        <v>786</v>
      </c>
      <c r="FZ791">
        <v>20.990766366816391</v>
      </c>
      <c r="GA791">
        <v>56.088894841243757</v>
      </c>
      <c r="GB791">
        <v>56.811954706831941</v>
      </c>
      <c r="GC791">
        <v>35.978773657130439</v>
      </c>
      <c r="GD791">
        <v>16.181111822563476</v>
      </c>
      <c r="GE791">
        <v>25.806805829049605</v>
      </c>
      <c r="GF791">
        <v>55.58355066913672</v>
      </c>
      <c r="GG791">
        <v>57.644967042370311</v>
      </c>
      <c r="GH791">
        <v>41.265580226721781</v>
      </c>
      <c r="GI791">
        <v>45.129683268097139</v>
      </c>
      <c r="GJ791"/>
      <c r="GK791"/>
      <c r="GL791"/>
      <c r="GM791"/>
    </row>
    <row r="792" spans="1:195" s="7" customFormat="1">
      <c r="A792" s="4"/>
      <c r="B792" s="4"/>
      <c r="C792" s="105"/>
      <c r="D792" s="4"/>
      <c r="E792" s="4"/>
      <c r="F792" s="28"/>
      <c r="G792" s="28"/>
      <c r="H792" s="83"/>
      <c r="I792" s="4"/>
      <c r="J792" s="4"/>
      <c r="K792" s="4"/>
      <c r="L792" s="4"/>
      <c r="M792" s="4"/>
      <c r="N792" s="28"/>
      <c r="O792" s="4"/>
      <c r="P792" s="4"/>
      <c r="Q792" s="4"/>
      <c r="R792" s="4"/>
      <c r="S792" s="4"/>
      <c r="T792" s="4"/>
      <c r="U792" s="4"/>
      <c r="V792" s="4"/>
      <c r="W792" s="4"/>
      <c r="X792" s="4"/>
      <c r="Y792" s="4"/>
      <c r="Z792" s="4"/>
      <c r="AA792" s="4"/>
      <c r="AB792" s="4"/>
      <c r="AC792" s="4"/>
      <c r="AD792" s="4"/>
      <c r="AE792" s="4"/>
      <c r="AF792" s="81"/>
      <c r="AG792" s="81"/>
      <c r="AH792" s="81"/>
      <c r="AI792" s="4"/>
      <c r="AJ792" s="81"/>
      <c r="AK792" s="81"/>
      <c r="AL792" s="81"/>
      <c r="AM792" s="43">
        <v>776</v>
      </c>
      <c r="AN792">
        <v>222.54512775783968</v>
      </c>
      <c r="AO792">
        <v>82.759146626510059</v>
      </c>
      <c r="AP792">
        <v>562.8408070229035</v>
      </c>
      <c r="AQ792">
        <v>420.77759514578827</v>
      </c>
      <c r="AR792">
        <v>75.26370939313307</v>
      </c>
      <c r="AS792">
        <v>594.14640526036021</v>
      </c>
      <c r="AT792" t="e">
        <v>#DIV/0!</v>
      </c>
      <c r="AU792" t="e">
        <v>#DIV/0!</v>
      </c>
      <c r="AV792"/>
      <c r="AW792"/>
      <c r="FY792" s="211">
        <v>787</v>
      </c>
      <c r="FZ792">
        <v>14.084461893975099</v>
      </c>
      <c r="GA792">
        <v>61.205372964835561</v>
      </c>
      <c r="GB792">
        <v>84.798021688874002</v>
      </c>
      <c r="GC792">
        <v>43.618451983404164</v>
      </c>
      <c r="GD792">
        <v>19.183922995563879</v>
      </c>
      <c r="GE792">
        <v>60.100917892852081</v>
      </c>
      <c r="GF792">
        <v>89.320445452173246</v>
      </c>
      <c r="GG792">
        <v>45.435745936539803</v>
      </c>
      <c r="GH792">
        <v>27.295338390633464</v>
      </c>
      <c r="GI792">
        <v>57.800603925567529</v>
      </c>
      <c r="GJ792"/>
      <c r="GK792"/>
      <c r="GL792"/>
      <c r="GM792"/>
    </row>
    <row r="793" spans="1:195" s="7" customFormat="1">
      <c r="A793" s="4"/>
      <c r="B793" s="4"/>
      <c r="C793" s="105"/>
      <c r="D793" s="4"/>
      <c r="E793" s="4"/>
      <c r="F793" s="28"/>
      <c r="G793" s="28"/>
      <c r="H793" s="83"/>
      <c r="I793" s="4"/>
      <c r="J793" s="4"/>
      <c r="K793" s="4"/>
      <c r="L793" s="4"/>
      <c r="M793" s="4"/>
      <c r="N793" s="28"/>
      <c r="O793" s="4"/>
      <c r="P793" s="4"/>
      <c r="Q793" s="4"/>
      <c r="R793" s="4"/>
      <c r="S793" s="4"/>
      <c r="T793" s="4"/>
      <c r="U793" s="4"/>
      <c r="V793" s="4"/>
      <c r="W793" s="4"/>
      <c r="X793" s="4"/>
      <c r="Y793" s="4"/>
      <c r="Z793" s="4"/>
      <c r="AA793" s="4"/>
      <c r="AB793" s="4"/>
      <c r="AC793" s="4"/>
      <c r="AD793" s="4"/>
      <c r="AE793" s="4"/>
      <c r="AF793" s="81"/>
      <c r="AG793" s="81"/>
      <c r="AH793" s="81"/>
      <c r="AI793" s="4"/>
      <c r="AJ793" s="81"/>
      <c r="AK793" s="81"/>
      <c r="AL793" s="81"/>
      <c r="AM793" s="43">
        <v>777</v>
      </c>
      <c r="AN793">
        <v>259.99385874519555</v>
      </c>
      <c r="AO793">
        <v>80.926758496564347</v>
      </c>
      <c r="AP793">
        <v>589.03944510865563</v>
      </c>
      <c r="AQ793">
        <v>441.94421677000554</v>
      </c>
      <c r="AR793">
        <v>74.751314607417555</v>
      </c>
      <c r="AS793">
        <v>626.4552347464205</v>
      </c>
      <c r="AT793">
        <v>37.829785137959647</v>
      </c>
      <c r="AU793">
        <v>35.9133575398074</v>
      </c>
      <c r="AV793"/>
      <c r="AW793"/>
      <c r="FY793" s="211">
        <v>788</v>
      </c>
      <c r="FZ793">
        <v>5.9203347437702494</v>
      </c>
      <c r="GA793">
        <v>36.365946739612887</v>
      </c>
      <c r="GB793">
        <v>88.525329421269944</v>
      </c>
      <c r="GC793">
        <v>47.948902024095631</v>
      </c>
      <c r="GD793">
        <v>17.06699774662756</v>
      </c>
      <c r="GE793">
        <v>42.112877655080197</v>
      </c>
      <c r="GF793">
        <v>77.597255148624413</v>
      </c>
      <c r="GG793">
        <v>50.903640080536711</v>
      </c>
      <c r="GH793">
        <v>14.94649712906174</v>
      </c>
      <c r="GI793">
        <v>51.937344548892533</v>
      </c>
      <c r="GJ793"/>
      <c r="GK793"/>
      <c r="GL793"/>
      <c r="GM793"/>
    </row>
    <row r="794" spans="1:195" s="7" customFormat="1">
      <c r="A794" s="4"/>
      <c r="B794" s="4"/>
      <c r="C794" s="105"/>
      <c r="D794" s="4"/>
      <c r="E794" s="4"/>
      <c r="F794" s="28"/>
      <c r="G794" s="28"/>
      <c r="H794" s="83"/>
      <c r="I794" s="4"/>
      <c r="J794" s="4"/>
      <c r="K794" s="4"/>
      <c r="L794" s="4"/>
      <c r="M794" s="4"/>
      <c r="N794" s="28"/>
      <c r="O794" s="4"/>
      <c r="P794" s="4"/>
      <c r="Q794" s="4"/>
      <c r="R794" s="4"/>
      <c r="S794" s="4"/>
      <c r="T794" s="4"/>
      <c r="U794" s="4"/>
      <c r="V794" s="4"/>
      <c r="W794" s="4"/>
      <c r="X794" s="4"/>
      <c r="Y794" s="4"/>
      <c r="Z794" s="4"/>
      <c r="AA794" s="4"/>
      <c r="AB794" s="4"/>
      <c r="AC794" s="4"/>
      <c r="AD794" s="4"/>
      <c r="AE794" s="4"/>
      <c r="AF794" s="81"/>
      <c r="AG794" s="81"/>
      <c r="AH794" s="81"/>
      <c r="AI794" s="4"/>
      <c r="AJ794" s="81"/>
      <c r="AK794" s="81"/>
      <c r="AL794" s="81"/>
      <c r="AM794" s="43">
        <v>778</v>
      </c>
      <c r="AN794">
        <v>240.15548204834036</v>
      </c>
      <c r="AO794">
        <v>82.578529111720002</v>
      </c>
      <c r="AP794">
        <v>587.18060341036403</v>
      </c>
      <c r="AQ794">
        <v>449.83080493503985</v>
      </c>
      <c r="AR794">
        <v>74.435556292764915</v>
      </c>
      <c r="AS794">
        <v>617.85746198708364</v>
      </c>
      <c r="AT794">
        <v>40.780680231350551</v>
      </c>
      <c r="AU794">
        <v>-18.528312433996668</v>
      </c>
      <c r="AV794"/>
      <c r="AW794"/>
      <c r="FY794" s="211">
        <v>789</v>
      </c>
      <c r="FZ794">
        <v>14.107574846693513</v>
      </c>
      <c r="GA794">
        <v>36.545624218460141</v>
      </c>
      <c r="GB794">
        <v>86.966037578149823</v>
      </c>
      <c r="GC794">
        <v>59.05662487472209</v>
      </c>
      <c r="GD794">
        <v>24.82342987613076</v>
      </c>
      <c r="GE794">
        <v>54.178267834621579</v>
      </c>
      <c r="GF794">
        <v>90.492653917973996</v>
      </c>
      <c r="GG794">
        <v>51.02998246075807</v>
      </c>
      <c r="GH794">
        <v>22.51992888058555</v>
      </c>
      <c r="GI794">
        <v>61.617197483160169</v>
      </c>
      <c r="GJ794"/>
      <c r="GK794"/>
      <c r="GL794"/>
      <c r="GM794"/>
    </row>
    <row r="795" spans="1:195" s="7" customFormat="1">
      <c r="A795" s="4"/>
      <c r="B795" s="4"/>
      <c r="C795" s="105"/>
      <c r="D795" s="4"/>
      <c r="E795" s="4"/>
      <c r="F795" s="28"/>
      <c r="G795" s="28"/>
      <c r="H795" s="83"/>
      <c r="I795" s="4"/>
      <c r="J795" s="4"/>
      <c r="K795" s="4"/>
      <c r="L795" s="4"/>
      <c r="M795" s="4"/>
      <c r="N795" s="28"/>
      <c r="O795" s="4"/>
      <c r="P795" s="4"/>
      <c r="Q795" s="4"/>
      <c r="R795" s="4"/>
      <c r="S795" s="4"/>
      <c r="T795" s="4"/>
      <c r="U795" s="4"/>
      <c r="V795" s="4"/>
      <c r="W795" s="4"/>
      <c r="X795" s="4"/>
      <c r="Y795" s="4"/>
      <c r="Z795" s="4"/>
      <c r="AA795" s="4"/>
      <c r="AB795" s="4"/>
      <c r="AC795" s="4"/>
      <c r="AD795" s="4"/>
      <c r="AE795" s="4"/>
      <c r="AF795" s="81"/>
      <c r="AG795" s="81"/>
      <c r="AH795" s="81"/>
      <c r="AI795" s="4"/>
      <c r="AJ795" s="81"/>
      <c r="AK795" s="81"/>
      <c r="AL795" s="81"/>
      <c r="AM795" s="43">
        <v>779</v>
      </c>
      <c r="AN795">
        <v>267.29263545602254</v>
      </c>
      <c r="AO795">
        <v>68.802165661734165</v>
      </c>
      <c r="AP795">
        <v>469.43393171116094</v>
      </c>
      <c r="AQ795">
        <v>363.9620111881066</v>
      </c>
      <c r="AR795">
        <v>61.25082832990352</v>
      </c>
      <c r="AS795">
        <v>554.50958693224391</v>
      </c>
      <c r="AT795" t="e">
        <v>#DIV/0!</v>
      </c>
      <c r="AU795" t="e">
        <v>#DIV/0!</v>
      </c>
      <c r="AV795"/>
      <c r="AW795"/>
      <c r="FY795" s="211">
        <v>790</v>
      </c>
      <c r="FZ795">
        <v>10.438715535758334</v>
      </c>
      <c r="GA795">
        <v>52.055115310421272</v>
      </c>
      <c r="GB795">
        <v>92.982690753413706</v>
      </c>
      <c r="GC795">
        <v>47.996871648916652</v>
      </c>
      <c r="GD795">
        <v>15.97265185669726</v>
      </c>
      <c r="GE795">
        <v>44.873235958319036</v>
      </c>
      <c r="GF795">
        <v>76.350302379809662</v>
      </c>
      <c r="GG795">
        <v>49.10776073672826</v>
      </c>
      <c r="GH795">
        <v>26.509927427531061</v>
      </c>
      <c r="GI795">
        <v>55.585208844440928</v>
      </c>
      <c r="GJ795"/>
      <c r="GK795"/>
      <c r="GL795"/>
      <c r="GM795"/>
    </row>
    <row r="796" spans="1:195" s="7" customFormat="1">
      <c r="A796" s="4"/>
      <c r="B796" s="4"/>
      <c r="C796" s="105"/>
      <c r="D796" s="4"/>
      <c r="E796" s="4"/>
      <c r="F796" s="28"/>
      <c r="G796" s="28"/>
      <c r="H796" s="83"/>
      <c r="I796" s="4"/>
      <c r="J796" s="4"/>
      <c r="K796" s="4"/>
      <c r="L796" s="4"/>
      <c r="M796" s="4"/>
      <c r="N796" s="28"/>
      <c r="O796" s="4"/>
      <c r="P796" s="4"/>
      <c r="Q796" s="4"/>
      <c r="R796" s="4"/>
      <c r="S796" s="4"/>
      <c r="T796" s="4"/>
      <c r="U796" s="4"/>
      <c r="V796" s="4"/>
      <c r="W796" s="4"/>
      <c r="X796" s="4"/>
      <c r="Y796" s="4"/>
      <c r="Z796" s="4"/>
      <c r="AA796" s="4"/>
      <c r="AB796" s="4"/>
      <c r="AC796" s="4"/>
      <c r="AD796" s="4"/>
      <c r="AE796" s="4"/>
      <c r="AF796" s="81"/>
      <c r="AG796" s="81"/>
      <c r="AH796" s="81"/>
      <c r="AI796" s="4"/>
      <c r="AJ796" s="81"/>
      <c r="AK796" s="81"/>
      <c r="AL796" s="81"/>
      <c r="AM796" s="43">
        <v>780</v>
      </c>
      <c r="AN796">
        <v>200.58844461061128</v>
      </c>
      <c r="AO796">
        <v>82.044192299650447</v>
      </c>
      <c r="AP796">
        <v>564.33405929482478</v>
      </c>
      <c r="AQ796">
        <v>415.34712965856579</v>
      </c>
      <c r="AR796">
        <v>73.803011792254736</v>
      </c>
      <c r="AS796">
        <v>563.20548812975085</v>
      </c>
      <c r="AT796">
        <v>44.367714076823141</v>
      </c>
      <c r="AU796">
        <v>133.91303972158369</v>
      </c>
      <c r="AV796"/>
      <c r="AW796"/>
      <c r="FY796" s="211">
        <v>791</v>
      </c>
      <c r="FZ796">
        <v>14.323138744424082</v>
      </c>
      <c r="GA796">
        <v>46.04467841943945</v>
      </c>
      <c r="GB796">
        <v>86.856071083947043</v>
      </c>
      <c r="GC796">
        <v>49.208447932549909</v>
      </c>
      <c r="GD796">
        <v>19.973656689220935</v>
      </c>
      <c r="GE796">
        <v>32.668178250555272</v>
      </c>
      <c r="GF796">
        <v>22.217967195195389</v>
      </c>
      <c r="GG796">
        <v>29.096412477898902</v>
      </c>
      <c r="GH796">
        <v>29.55913256492526</v>
      </c>
      <c r="GI796">
        <v>45.845417115289251</v>
      </c>
      <c r="GJ796"/>
      <c r="GK796"/>
      <c r="GL796"/>
      <c r="GM796"/>
    </row>
    <row r="797" spans="1:195" s="7" customFormat="1">
      <c r="A797" s="4"/>
      <c r="B797" s="4"/>
      <c r="C797" s="105"/>
      <c r="D797" s="4"/>
      <c r="E797" s="4"/>
      <c r="F797" s="28"/>
      <c r="G797" s="28"/>
      <c r="H797" s="83"/>
      <c r="I797" s="4"/>
      <c r="J797" s="4"/>
      <c r="K797" s="4"/>
      <c r="L797" s="4"/>
      <c r="M797" s="4"/>
      <c r="N797" s="28"/>
      <c r="O797" s="4"/>
      <c r="P797" s="4"/>
      <c r="Q797" s="4"/>
      <c r="R797" s="4"/>
      <c r="S797" s="4"/>
      <c r="T797" s="4"/>
      <c r="U797" s="4"/>
      <c r="V797" s="4"/>
      <c r="W797" s="4"/>
      <c r="X797" s="4"/>
      <c r="Y797" s="4"/>
      <c r="Z797" s="4"/>
      <c r="AA797" s="4"/>
      <c r="AB797" s="4"/>
      <c r="AC797" s="4"/>
      <c r="AD797" s="4"/>
      <c r="AE797" s="4"/>
      <c r="AF797" s="81"/>
      <c r="AG797" s="81"/>
      <c r="AH797" s="81"/>
      <c r="AI797" s="4"/>
      <c r="AJ797" s="81"/>
      <c r="AK797" s="81"/>
      <c r="AL797" s="81"/>
      <c r="AM797" s="43">
        <v>781</v>
      </c>
      <c r="AN797">
        <v>266.72941841356101</v>
      </c>
      <c r="AO797">
        <v>93.028093520340235</v>
      </c>
      <c r="AP797">
        <v>746.3338184004823</v>
      </c>
      <c r="AQ797">
        <v>540.78049514414272</v>
      </c>
      <c r="AR797">
        <v>83.092350285280219</v>
      </c>
      <c r="AS797">
        <v>704.64909154089264</v>
      </c>
      <c r="AT797">
        <v>45.043630206136925</v>
      </c>
      <c r="AU797">
        <v>121.33050630612273</v>
      </c>
      <c r="AV797"/>
      <c r="AW797"/>
      <c r="FY797" s="211">
        <v>792</v>
      </c>
      <c r="FZ797">
        <v>5.1775846428368206</v>
      </c>
      <c r="GA797">
        <v>37.815723631438019</v>
      </c>
      <c r="GB797">
        <v>48.003595076057493</v>
      </c>
      <c r="GC797">
        <v>30.448677112090099</v>
      </c>
      <c r="GD797">
        <v>24.988634228669984</v>
      </c>
      <c r="GE797">
        <v>60.642220076529341</v>
      </c>
      <c r="GF797">
        <v>94.680135592446646</v>
      </c>
      <c r="GG797">
        <v>48.683691872234775</v>
      </c>
      <c r="GH797">
        <v>10.669630166369913</v>
      </c>
      <c r="GI797">
        <v>49.676096788174746</v>
      </c>
      <c r="GJ797"/>
      <c r="GK797"/>
      <c r="GL797"/>
      <c r="GM797"/>
    </row>
    <row r="798" spans="1:195" s="7" customFormat="1">
      <c r="A798" s="4"/>
      <c r="B798" s="4"/>
      <c r="C798" s="105"/>
      <c r="D798" s="4"/>
      <c r="E798" s="4"/>
      <c r="F798" s="28"/>
      <c r="G798" s="28"/>
      <c r="H798" s="83"/>
      <c r="I798" s="4"/>
      <c r="J798" s="4"/>
      <c r="K798" s="4"/>
      <c r="L798" s="4"/>
      <c r="M798" s="4"/>
      <c r="N798" s="28"/>
      <c r="O798" s="4"/>
      <c r="P798" s="4"/>
      <c r="Q798" s="4"/>
      <c r="R798" s="4"/>
      <c r="S798" s="4"/>
      <c r="T798" s="4"/>
      <c r="U798" s="4"/>
      <c r="V798" s="4"/>
      <c r="W798" s="4"/>
      <c r="X798" s="4"/>
      <c r="Y798" s="4"/>
      <c r="Z798" s="4"/>
      <c r="AA798" s="4"/>
      <c r="AB798" s="4"/>
      <c r="AC798" s="4"/>
      <c r="AD798" s="4"/>
      <c r="AE798" s="4"/>
      <c r="AF798" s="81"/>
      <c r="AG798" s="81"/>
      <c r="AH798" s="81"/>
      <c r="AI798" s="4"/>
      <c r="AJ798" s="81"/>
      <c r="AK798" s="81"/>
      <c r="AL798" s="81"/>
      <c r="AM798" s="43">
        <v>782</v>
      </c>
      <c r="AN798">
        <v>236.37537427129655</v>
      </c>
      <c r="AO798">
        <v>80.908911295357299</v>
      </c>
      <c r="AP798">
        <v>596.31137813239081</v>
      </c>
      <c r="AQ798">
        <v>438.65923969923369</v>
      </c>
      <c r="AR798">
        <v>73.17241683896701</v>
      </c>
      <c r="AS798">
        <v>590.9390859252095</v>
      </c>
      <c r="AT798">
        <v>38.617919756641676</v>
      </c>
      <c r="AU798">
        <v>43.877010733229035</v>
      </c>
      <c r="AV798"/>
      <c r="AW798"/>
      <c r="FY798" s="211">
        <v>793</v>
      </c>
      <c r="FZ798">
        <v>33.958809677049132</v>
      </c>
      <c r="GA798">
        <v>69.939693488586485</v>
      </c>
      <c r="GB798">
        <v>71.853703757973619</v>
      </c>
      <c r="GC798">
        <v>41.529384298445237</v>
      </c>
      <c r="GD798">
        <v>20.355648208077184</v>
      </c>
      <c r="GE798">
        <v>46.271945775128664</v>
      </c>
      <c r="GF798">
        <v>72.509227496855161</v>
      </c>
      <c r="GG798">
        <v>43.65849360075638</v>
      </c>
      <c r="GH798">
        <v>16.279560477395044</v>
      </c>
      <c r="GI798">
        <v>53.568225215140949</v>
      </c>
      <c r="GJ798"/>
      <c r="GK798"/>
      <c r="GL798"/>
      <c r="GM798"/>
    </row>
    <row r="799" spans="1:195" s="7" customFormat="1">
      <c r="A799" s="4"/>
      <c r="B799" s="4"/>
      <c r="C799" s="105"/>
      <c r="D799" s="4"/>
      <c r="E799" s="4"/>
      <c r="F799" s="28"/>
      <c r="G799" s="28"/>
      <c r="H799" s="83"/>
      <c r="I799" s="4"/>
      <c r="J799" s="4"/>
      <c r="K799" s="4"/>
      <c r="L799" s="4"/>
      <c r="M799" s="4"/>
      <c r="N799" s="28"/>
      <c r="O799" s="4"/>
      <c r="P799" s="4"/>
      <c r="Q799" s="4"/>
      <c r="R799" s="4"/>
      <c r="S799" s="4"/>
      <c r="T799" s="4"/>
      <c r="U799" s="4"/>
      <c r="V799" s="4"/>
      <c r="W799" s="4"/>
      <c r="X799" s="4"/>
      <c r="Y799" s="4"/>
      <c r="Z799" s="4"/>
      <c r="AA799" s="4"/>
      <c r="AB799" s="4"/>
      <c r="AC799" s="4"/>
      <c r="AD799" s="4"/>
      <c r="AE799" s="4"/>
      <c r="AF799" s="81"/>
      <c r="AG799" s="81"/>
      <c r="AH799" s="81"/>
      <c r="AI799" s="4"/>
      <c r="AJ799" s="81"/>
      <c r="AK799" s="81"/>
      <c r="AL799" s="81"/>
      <c r="AM799" s="43">
        <v>783</v>
      </c>
      <c r="AN799">
        <v>254.46663925528514</v>
      </c>
      <c r="AO799">
        <v>66.125998816945682</v>
      </c>
      <c r="AP799">
        <v>455.50950723107468</v>
      </c>
      <c r="AQ799">
        <v>349.81306556153254</v>
      </c>
      <c r="AR799">
        <v>60.156545626699774</v>
      </c>
      <c r="AS799">
        <v>558.67312638193221</v>
      </c>
      <c r="AT799">
        <v>32.672789334686037</v>
      </c>
      <c r="AU799">
        <v>33.996381652108411</v>
      </c>
      <c r="AV799"/>
      <c r="AW799"/>
      <c r="FY799" s="211">
        <v>794</v>
      </c>
      <c r="FZ799">
        <v>14.915975613473206</v>
      </c>
      <c r="GA799">
        <v>36.353328539555676</v>
      </c>
      <c r="GB799">
        <v>69.500876697838578</v>
      </c>
      <c r="GC799">
        <v>47.687858920532449</v>
      </c>
      <c r="GD799">
        <v>17.560769947196114</v>
      </c>
      <c r="GE799">
        <v>18.771084367213763</v>
      </c>
      <c r="GF799">
        <v>40.156821310443569</v>
      </c>
      <c r="GG799">
        <v>38.913276513446633</v>
      </c>
      <c r="GH799">
        <v>18.762267449276468</v>
      </c>
      <c r="GI799">
        <v>41.82494024222693</v>
      </c>
      <c r="GJ799"/>
      <c r="GK799"/>
      <c r="GL799"/>
      <c r="GM799"/>
    </row>
    <row r="800" spans="1:195" s="7" customFormat="1">
      <c r="A800" s="4"/>
      <c r="B800" s="4"/>
      <c r="C800" s="105"/>
      <c r="D800" s="4"/>
      <c r="E800" s="4"/>
      <c r="F800" s="28"/>
      <c r="G800" s="28"/>
      <c r="H800" s="83"/>
      <c r="I800" s="4"/>
      <c r="J800" s="4"/>
      <c r="K800" s="4"/>
      <c r="L800" s="4"/>
      <c r="M800" s="4"/>
      <c r="N800" s="28"/>
      <c r="O800" s="4"/>
      <c r="P800" s="4"/>
      <c r="Q800" s="4"/>
      <c r="R800" s="4"/>
      <c r="S800" s="4"/>
      <c r="T800" s="4"/>
      <c r="U800" s="4"/>
      <c r="V800" s="4"/>
      <c r="W800" s="4"/>
      <c r="X800" s="4"/>
      <c r="Y800" s="4"/>
      <c r="Z800" s="4"/>
      <c r="AA800" s="4"/>
      <c r="AB800" s="4"/>
      <c r="AC800" s="4"/>
      <c r="AD800" s="4"/>
      <c r="AE800" s="4"/>
      <c r="AF800" s="81"/>
      <c r="AG800" s="81"/>
      <c r="AH800" s="81"/>
      <c r="AI800" s="4"/>
      <c r="AJ800" s="81"/>
      <c r="AK800" s="81"/>
      <c r="AL800" s="81"/>
      <c r="AM800" s="43">
        <v>784</v>
      </c>
      <c r="AN800">
        <v>264.5332562886332</v>
      </c>
      <c r="AO800">
        <v>80.366204155876147</v>
      </c>
      <c r="AP800">
        <v>594.25477561407786</v>
      </c>
      <c r="AQ800">
        <v>436.52771428045247</v>
      </c>
      <c r="AR800">
        <v>71.069850087090671</v>
      </c>
      <c r="AS800">
        <v>559.57519859560659</v>
      </c>
      <c r="AT800">
        <v>35.985631855055971</v>
      </c>
      <c r="AU800">
        <v>55.579220061108892</v>
      </c>
      <c r="AV800"/>
      <c r="AW800"/>
      <c r="FY800" s="211">
        <v>795</v>
      </c>
      <c r="FZ800">
        <v>26.130058566743017</v>
      </c>
      <c r="GA800">
        <v>69.39875879255446</v>
      </c>
      <c r="GB800">
        <v>117.98895888660694</v>
      </c>
      <c r="GC800">
        <v>63.884710038267826</v>
      </c>
      <c r="GD800">
        <v>14.19193786453134</v>
      </c>
      <c r="GE800">
        <v>45.757491095413997</v>
      </c>
      <c r="GF800">
        <v>75.181876442460805</v>
      </c>
      <c r="GG800">
        <v>20.631266656769021</v>
      </c>
      <c r="GH800">
        <v>6.5132535025315708</v>
      </c>
      <c r="GI800">
        <v>57.927573910668031</v>
      </c>
      <c r="GJ800"/>
      <c r="GK800"/>
      <c r="GL800"/>
      <c r="GM800"/>
    </row>
    <row r="801" spans="1:195" s="7" customFormat="1">
      <c r="A801" s="4"/>
      <c r="B801" s="4"/>
      <c r="C801" s="105"/>
      <c r="D801" s="4"/>
      <c r="E801" s="4"/>
      <c r="F801" s="28"/>
      <c r="G801" s="28"/>
      <c r="H801" s="83"/>
      <c r="I801" s="4"/>
      <c r="J801" s="4"/>
      <c r="K801" s="4"/>
      <c r="L801" s="4"/>
      <c r="M801" s="4"/>
      <c r="N801" s="28"/>
      <c r="O801" s="4"/>
      <c r="P801" s="4"/>
      <c r="Q801" s="4"/>
      <c r="R801" s="4"/>
      <c r="S801" s="4"/>
      <c r="T801" s="4"/>
      <c r="U801" s="4"/>
      <c r="V801" s="4"/>
      <c r="W801" s="4"/>
      <c r="X801" s="4"/>
      <c r="Y801" s="4"/>
      <c r="Z801" s="4"/>
      <c r="AA801" s="4"/>
      <c r="AB801" s="4"/>
      <c r="AC801" s="4"/>
      <c r="AD801" s="4"/>
      <c r="AE801" s="4"/>
      <c r="AF801" s="81"/>
      <c r="AG801" s="81"/>
      <c r="AH801" s="81"/>
      <c r="AI801" s="4"/>
      <c r="AJ801" s="81"/>
      <c r="AK801" s="81"/>
      <c r="AL801" s="81"/>
      <c r="AM801" s="43">
        <v>785</v>
      </c>
      <c r="AN801">
        <v>241.36300534289279</v>
      </c>
      <c r="AO801">
        <v>92.07085026653921</v>
      </c>
      <c r="AP801">
        <v>628.99597834165479</v>
      </c>
      <c r="AQ801">
        <v>474.38369418018891</v>
      </c>
      <c r="AR801">
        <v>80.08898210418775</v>
      </c>
      <c r="AS801">
        <v>652.71994475362635</v>
      </c>
      <c r="AT801" t="e">
        <v>#DIV/0!</v>
      </c>
      <c r="AU801" t="e">
        <v>#DIV/0!</v>
      </c>
      <c r="AV801"/>
      <c r="AW801"/>
      <c r="FY801" s="211">
        <v>796</v>
      </c>
      <c r="FZ801">
        <v>22.218422789242169</v>
      </c>
      <c r="GA801">
        <v>50.610058332650567</v>
      </c>
      <c r="GB801">
        <v>74.619608076784658</v>
      </c>
      <c r="GC801">
        <v>46.322597042271106</v>
      </c>
      <c r="GD801">
        <v>25.962401378999957</v>
      </c>
      <c r="GE801">
        <v>67.245180724133434</v>
      </c>
      <c r="GF801">
        <v>82.838536800370903</v>
      </c>
      <c r="GG801">
        <v>30.596755565856952</v>
      </c>
      <c r="GH801">
        <v>7.7310024225754486</v>
      </c>
      <c r="GI801">
        <v>56.498815439974848</v>
      </c>
      <c r="GJ801"/>
      <c r="GK801"/>
      <c r="GL801"/>
      <c r="GM801"/>
    </row>
    <row r="802" spans="1:195" s="7" customFormat="1">
      <c r="A802" s="4"/>
      <c r="B802" s="4"/>
      <c r="C802" s="105"/>
      <c r="D802" s="4"/>
      <c r="E802" s="4"/>
      <c r="F802" s="28"/>
      <c r="G802" s="28"/>
      <c r="H802" s="83"/>
      <c r="I802" s="4"/>
      <c r="J802" s="4"/>
      <c r="K802" s="4"/>
      <c r="L802" s="4"/>
      <c r="M802" s="4"/>
      <c r="N802" s="28"/>
      <c r="O802" s="4"/>
      <c r="P802" s="4"/>
      <c r="Q802" s="4"/>
      <c r="R802" s="4"/>
      <c r="S802" s="4"/>
      <c r="T802" s="4"/>
      <c r="U802" s="4"/>
      <c r="V802" s="4"/>
      <c r="W802" s="4"/>
      <c r="X802" s="4"/>
      <c r="Y802" s="4"/>
      <c r="Z802" s="4"/>
      <c r="AA802" s="4"/>
      <c r="AB802" s="4"/>
      <c r="AC802" s="4"/>
      <c r="AD802" s="4"/>
      <c r="AE802" s="4"/>
      <c r="AF802" s="81"/>
      <c r="AG802" s="81"/>
      <c r="AH802" s="81"/>
      <c r="AI802" s="4"/>
      <c r="AJ802" s="81"/>
      <c r="AK802" s="81"/>
      <c r="AL802" s="81"/>
      <c r="AM802" s="43">
        <v>786</v>
      </c>
      <c r="AN802">
        <v>206.26897181490216</v>
      </c>
      <c r="AO802">
        <v>70.935275929196919</v>
      </c>
      <c r="AP802">
        <v>546.11121147867368</v>
      </c>
      <c r="AQ802">
        <v>411.48208842996161</v>
      </c>
      <c r="AR802">
        <v>64.644111269315644</v>
      </c>
      <c r="AS802">
        <v>554.43008593240779</v>
      </c>
      <c r="AT802">
        <v>36.356512211021077</v>
      </c>
      <c r="AU802">
        <v>31.024416052754383</v>
      </c>
      <c r="AV802"/>
      <c r="AW802"/>
      <c r="FY802" s="211">
        <v>797</v>
      </c>
      <c r="FZ802">
        <v>24.375002237157254</v>
      </c>
      <c r="GA802">
        <v>49.905623154777253</v>
      </c>
      <c r="GB802">
        <v>65.119740643608964</v>
      </c>
      <c r="GC802">
        <v>37.114530448651891</v>
      </c>
      <c r="GD802">
        <v>17.329242740300508</v>
      </c>
      <c r="GE802">
        <v>43.153200600257755</v>
      </c>
      <c r="GF802">
        <v>64.339635699823688</v>
      </c>
      <c r="GG802">
        <v>31.598679295624791</v>
      </c>
      <c r="GH802">
        <v>6.4331891395455232</v>
      </c>
      <c r="GI802">
        <v>44.979302728378173</v>
      </c>
      <c r="GJ802"/>
      <c r="GK802"/>
      <c r="GL802"/>
      <c r="GM802"/>
    </row>
    <row r="803" spans="1:195" s="7" customFormat="1">
      <c r="A803" s="4"/>
      <c r="B803" s="4"/>
      <c r="C803" s="105"/>
      <c r="D803" s="4"/>
      <c r="E803" s="4"/>
      <c r="F803" s="28"/>
      <c r="G803" s="28"/>
      <c r="H803" s="83"/>
      <c r="I803" s="4"/>
      <c r="J803" s="4"/>
      <c r="K803" s="4"/>
      <c r="L803" s="4"/>
      <c r="M803" s="4"/>
      <c r="N803" s="28"/>
      <c r="O803" s="4"/>
      <c r="P803" s="4"/>
      <c r="Q803" s="4"/>
      <c r="R803" s="4"/>
      <c r="S803" s="4"/>
      <c r="T803" s="4"/>
      <c r="U803" s="4"/>
      <c r="V803" s="4"/>
      <c r="W803" s="4"/>
      <c r="X803" s="4"/>
      <c r="Y803" s="4"/>
      <c r="Z803" s="4"/>
      <c r="AA803" s="4"/>
      <c r="AB803" s="4"/>
      <c r="AC803" s="4"/>
      <c r="AD803" s="4"/>
      <c r="AE803" s="4"/>
      <c r="AF803" s="81"/>
      <c r="AG803" s="81"/>
      <c r="AH803" s="81"/>
      <c r="AI803" s="4"/>
      <c r="AJ803" s="81"/>
      <c r="AK803" s="81"/>
      <c r="AL803" s="81"/>
      <c r="AM803" s="43">
        <v>787</v>
      </c>
      <c r="AN803">
        <v>296.99999144049599</v>
      </c>
      <c r="AO803">
        <v>90.262027997466276</v>
      </c>
      <c r="AP803">
        <v>660.76439845219545</v>
      </c>
      <c r="AQ803">
        <v>502.8432831244188</v>
      </c>
      <c r="AR803">
        <v>80.273962576116787</v>
      </c>
      <c r="AS803">
        <v>740.95897659132504</v>
      </c>
      <c r="AT803">
        <v>45.221145623421016</v>
      </c>
      <c r="AU803">
        <v>123.08533102990269</v>
      </c>
      <c r="AV803"/>
      <c r="AW803"/>
      <c r="FY803" s="211">
        <v>798</v>
      </c>
      <c r="FZ803">
        <v>9.7228640155824522</v>
      </c>
      <c r="GA803">
        <v>51.020445914377596</v>
      </c>
      <c r="GB803">
        <v>63.562969255247239</v>
      </c>
      <c r="GC803">
        <v>34.768192331346285</v>
      </c>
      <c r="GD803">
        <v>28.851509841484582</v>
      </c>
      <c r="GE803">
        <v>68.934049841205706</v>
      </c>
      <c r="GF803">
        <v>96.548121273347391</v>
      </c>
      <c r="GG803">
        <v>62.90282381108274</v>
      </c>
      <c r="GH803">
        <v>21.999411223806526</v>
      </c>
      <c r="GI803">
        <v>59.013819866390222</v>
      </c>
      <c r="GJ803"/>
      <c r="GK803"/>
      <c r="GL803"/>
      <c r="GM803"/>
    </row>
    <row r="804" spans="1:195" s="7" customFormat="1">
      <c r="A804" s="4"/>
      <c r="B804" s="4"/>
      <c r="C804" s="105"/>
      <c r="D804" s="4"/>
      <c r="E804" s="4"/>
      <c r="F804" s="28"/>
      <c r="G804" s="28"/>
      <c r="H804" s="83"/>
      <c r="I804" s="4"/>
      <c r="J804" s="4"/>
      <c r="K804" s="4"/>
      <c r="L804" s="4"/>
      <c r="M804" s="4"/>
      <c r="N804" s="28"/>
      <c r="O804" s="4"/>
      <c r="P804" s="4"/>
      <c r="Q804" s="4"/>
      <c r="R804" s="4"/>
      <c r="S804" s="4"/>
      <c r="T804" s="4"/>
      <c r="U804" s="4"/>
      <c r="V804" s="4"/>
      <c r="W804" s="4"/>
      <c r="X804" s="4"/>
      <c r="Y804" s="4"/>
      <c r="Z804" s="4"/>
      <c r="AA804" s="4"/>
      <c r="AB804" s="4"/>
      <c r="AC804" s="4"/>
      <c r="AD804" s="4"/>
      <c r="AE804" s="4"/>
      <c r="AF804" s="81"/>
      <c r="AG804" s="81"/>
      <c r="AH804" s="81"/>
      <c r="AI804" s="4"/>
      <c r="AJ804" s="81"/>
      <c r="AK804" s="81"/>
      <c r="AL804" s="81"/>
      <c r="AM804" s="43">
        <v>788</v>
      </c>
      <c r="AN804">
        <v>251.54996304105316</v>
      </c>
      <c r="AO804">
        <v>81.565961782433092</v>
      </c>
      <c r="AP804">
        <v>586.71391349917769</v>
      </c>
      <c r="AQ804">
        <v>433.32512523757191</v>
      </c>
      <c r="AR804">
        <v>73.893924427787624</v>
      </c>
      <c r="AS804">
        <v>620.28768121060091</v>
      </c>
      <c r="AT804">
        <v>39.106256562814728</v>
      </c>
      <c r="AU804">
        <v>62.628862623706375</v>
      </c>
      <c r="AV804"/>
      <c r="AW804"/>
      <c r="FY804" s="211">
        <v>799</v>
      </c>
      <c r="FZ804">
        <v>17.757573086334848</v>
      </c>
      <c r="GA804">
        <v>49.480505689351475</v>
      </c>
      <c r="GB804">
        <v>60.321379632839992</v>
      </c>
      <c r="GC804">
        <v>39.126355183478573</v>
      </c>
      <c r="GD804">
        <v>22.160844423944113</v>
      </c>
      <c r="GE804">
        <v>27.800810203918918</v>
      </c>
      <c r="GF804">
        <v>68.214583818896998</v>
      </c>
      <c r="GG804">
        <v>71.327984913648933</v>
      </c>
      <c r="GH804">
        <v>24.749847732092498</v>
      </c>
      <c r="GI804">
        <v>50.316449642045441</v>
      </c>
      <c r="GJ804"/>
      <c r="GK804"/>
      <c r="GL804"/>
      <c r="GM804"/>
    </row>
    <row r="805" spans="1:195" s="7" customFormat="1">
      <c r="A805" s="4"/>
      <c r="B805" s="4"/>
      <c r="C805" s="105"/>
      <c r="D805" s="4"/>
      <c r="E805" s="4"/>
      <c r="F805" s="28"/>
      <c r="G805" s="28"/>
      <c r="H805" s="83"/>
      <c r="I805" s="4"/>
      <c r="J805" s="4"/>
      <c r="K805" s="4"/>
      <c r="L805" s="4"/>
      <c r="M805" s="4"/>
      <c r="N805" s="28"/>
      <c r="O805" s="4"/>
      <c r="P805" s="4"/>
      <c r="Q805" s="4"/>
      <c r="R805" s="4"/>
      <c r="S805" s="4"/>
      <c r="T805" s="4"/>
      <c r="U805" s="4"/>
      <c r="V805" s="4"/>
      <c r="W805" s="4"/>
      <c r="X805" s="4"/>
      <c r="Y805" s="4"/>
      <c r="Z805" s="4"/>
      <c r="AA805" s="4"/>
      <c r="AB805" s="4"/>
      <c r="AC805" s="4"/>
      <c r="AD805" s="4"/>
      <c r="AE805" s="4"/>
      <c r="AF805" s="81"/>
      <c r="AG805" s="81"/>
      <c r="AH805" s="81"/>
      <c r="AI805" s="4"/>
      <c r="AJ805" s="81"/>
      <c r="AK805" s="81"/>
      <c r="AL805" s="81"/>
      <c r="AM805" s="43">
        <v>789</v>
      </c>
      <c r="AN805">
        <v>298.67807274682082</v>
      </c>
      <c r="AO805">
        <v>97.082064925069346</v>
      </c>
      <c r="AP805">
        <v>662.34999576635994</v>
      </c>
      <c r="AQ805">
        <v>501.33732197125568</v>
      </c>
      <c r="AR805">
        <v>87.075074365112314</v>
      </c>
      <c r="AS805">
        <v>740.15965628720778</v>
      </c>
      <c r="AT805">
        <v>44.872083849198695</v>
      </c>
      <c r="AU805">
        <v>53.736425917068971</v>
      </c>
      <c r="AV805"/>
      <c r="AW805"/>
      <c r="FY805" s="211">
        <v>800</v>
      </c>
      <c r="FZ805">
        <v>10.25517312827499</v>
      </c>
      <c r="GA805">
        <v>46.058239029354112</v>
      </c>
      <c r="GB805">
        <v>46.497688327068133</v>
      </c>
      <c r="GC805">
        <v>31.190558995229424</v>
      </c>
      <c r="GD805">
        <v>19.982804280688249</v>
      </c>
      <c r="GE805">
        <v>25.705514704411208</v>
      </c>
      <c r="GF805">
        <v>90.334274690410751</v>
      </c>
      <c r="GG805">
        <v>95.812475318884026</v>
      </c>
      <c r="GH805">
        <v>37.638369023444042</v>
      </c>
      <c r="GI805">
        <v>51.239475947531076</v>
      </c>
      <c r="GJ805"/>
      <c r="GK805"/>
      <c r="GL805"/>
      <c r="GM805"/>
    </row>
    <row r="806" spans="1:195" s="7" customFormat="1">
      <c r="A806" s="4"/>
      <c r="B806" s="4"/>
      <c r="C806" s="105"/>
      <c r="D806" s="4"/>
      <c r="E806" s="4"/>
      <c r="F806" s="28"/>
      <c r="G806" s="28"/>
      <c r="H806" s="83"/>
      <c r="I806" s="4"/>
      <c r="J806" s="4"/>
      <c r="K806" s="4"/>
      <c r="L806" s="4"/>
      <c r="M806" s="4"/>
      <c r="N806" s="28"/>
      <c r="O806" s="4"/>
      <c r="P806" s="4"/>
      <c r="Q806" s="4"/>
      <c r="R806" s="4"/>
      <c r="S806" s="4"/>
      <c r="T806" s="4"/>
      <c r="U806" s="4"/>
      <c r="V806" s="4"/>
      <c r="W806" s="4"/>
      <c r="X806" s="4"/>
      <c r="Y806" s="4"/>
      <c r="Z806" s="4"/>
      <c r="AA806" s="4"/>
      <c r="AB806" s="4"/>
      <c r="AC806" s="4"/>
      <c r="AD806" s="4"/>
      <c r="AE806" s="4"/>
      <c r="AF806" s="81"/>
      <c r="AG806" s="81"/>
      <c r="AH806" s="81"/>
      <c r="AI806" s="4"/>
      <c r="AJ806" s="81"/>
      <c r="AK806" s="81"/>
      <c r="AL806" s="81"/>
      <c r="AM806" s="43">
        <v>790</v>
      </c>
      <c r="AN806">
        <v>234.64218149454081</v>
      </c>
      <c r="AO806">
        <v>88.656522879117517</v>
      </c>
      <c r="AP806">
        <v>657.02313753737826</v>
      </c>
      <c r="AQ806">
        <v>471.87248045203614</v>
      </c>
      <c r="AR806">
        <v>79.342755451760368</v>
      </c>
      <c r="AS806">
        <v>637.9922747711571</v>
      </c>
      <c r="AT806" t="e">
        <v>#DIV/0!</v>
      </c>
      <c r="AU806" t="e">
        <v>#DIV/0!</v>
      </c>
      <c r="AV806"/>
      <c r="AW806"/>
      <c r="FY806" s="211">
        <v>801</v>
      </c>
      <c r="FZ806">
        <v>19.226749887730271</v>
      </c>
      <c r="GA806">
        <v>52.967623970958996</v>
      </c>
      <c r="GB806">
        <v>99.852948103164749</v>
      </c>
      <c r="GC806">
        <v>56.990311865188772</v>
      </c>
      <c r="GD806">
        <v>23.734158203228422</v>
      </c>
      <c r="GE806">
        <v>53.980365948322842</v>
      </c>
      <c r="GF806">
        <v>76.782934554832067</v>
      </c>
      <c r="GG806">
        <v>60.069409488654202</v>
      </c>
      <c r="GH806">
        <v>34.589163886049832</v>
      </c>
      <c r="GI806">
        <v>64.613659432705219</v>
      </c>
      <c r="GJ806"/>
      <c r="GK806"/>
      <c r="GL806"/>
      <c r="GM806"/>
    </row>
    <row r="807" spans="1:195" s="7" customFormat="1">
      <c r="A807" s="4"/>
      <c r="B807" s="4"/>
      <c r="C807" s="105"/>
      <c r="D807" s="4"/>
      <c r="E807" s="4"/>
      <c r="F807" s="28"/>
      <c r="G807" s="28"/>
      <c r="H807" s="83"/>
      <c r="I807" s="4"/>
      <c r="J807" s="4"/>
      <c r="K807" s="4"/>
      <c r="L807" s="4"/>
      <c r="M807" s="4"/>
      <c r="N807" s="28"/>
      <c r="O807" s="4"/>
      <c r="P807" s="4"/>
      <c r="Q807" s="4"/>
      <c r="R807" s="4"/>
      <c r="S807" s="4"/>
      <c r="T807" s="4"/>
      <c r="U807" s="4"/>
      <c r="V807" s="4"/>
      <c r="W807" s="4"/>
      <c r="X807" s="4"/>
      <c r="Y807" s="4"/>
      <c r="Z807" s="4"/>
      <c r="AA807" s="4"/>
      <c r="AB807" s="4"/>
      <c r="AC807" s="4"/>
      <c r="AD807" s="4"/>
      <c r="AE807" s="4"/>
      <c r="AF807" s="81"/>
      <c r="AG807" s="81"/>
      <c r="AH807" s="81"/>
      <c r="AI807" s="4"/>
      <c r="AJ807" s="81"/>
      <c r="AK807" s="81"/>
      <c r="AL807" s="81"/>
      <c r="AM807" s="43">
        <v>791</v>
      </c>
      <c r="AN807">
        <v>244.90191707673512</v>
      </c>
      <c r="AO807">
        <v>71.5536105188324</v>
      </c>
      <c r="AP807">
        <v>483.19695309506591</v>
      </c>
      <c r="AQ807">
        <v>375.79310047344558</v>
      </c>
      <c r="AR807">
        <v>65.433545049693578</v>
      </c>
      <c r="AS807">
        <v>559.5963858966262</v>
      </c>
      <c r="AT807">
        <v>35.541974869095526</v>
      </c>
      <c r="AU807">
        <v>136.35162352161993</v>
      </c>
      <c r="AV807"/>
      <c r="AW807"/>
      <c r="FY807" s="211">
        <v>802</v>
      </c>
      <c r="FZ807">
        <v>10.049584439262047</v>
      </c>
      <c r="GA807">
        <v>44.457911707402992</v>
      </c>
      <c r="GB807">
        <v>76.14054777809676</v>
      </c>
      <c r="GC807">
        <v>40.401979156818001</v>
      </c>
      <c r="GD807">
        <v>27.809031176670079</v>
      </c>
      <c r="GE807">
        <v>69.098648256384905</v>
      </c>
      <c r="GF807">
        <v>71.457191668193445</v>
      </c>
      <c r="GG807">
        <v>28.068906058182463</v>
      </c>
      <c r="GH807">
        <v>4.576431884445511</v>
      </c>
      <c r="GI807">
        <v>54.813434256676551</v>
      </c>
      <c r="GJ807"/>
      <c r="GK807"/>
      <c r="GL807"/>
      <c r="GM807"/>
    </row>
    <row r="808" spans="1:195" s="7" customFormat="1">
      <c r="A808" s="4"/>
      <c r="B808" s="4"/>
      <c r="C808" s="105"/>
      <c r="D808" s="4"/>
      <c r="E808" s="4"/>
      <c r="F808" s="28"/>
      <c r="G808" s="28"/>
      <c r="H808" s="83"/>
      <c r="I808" s="4"/>
      <c r="J808" s="4"/>
      <c r="K808" s="4"/>
      <c r="L808" s="4"/>
      <c r="M808" s="4"/>
      <c r="N808" s="28"/>
      <c r="O808" s="4"/>
      <c r="P808" s="4"/>
      <c r="Q808" s="4"/>
      <c r="R808" s="4"/>
      <c r="S808" s="4"/>
      <c r="T808" s="4"/>
      <c r="U808" s="4"/>
      <c r="V808" s="4"/>
      <c r="W808" s="4"/>
      <c r="X808" s="4"/>
      <c r="Y808" s="4"/>
      <c r="Z808" s="4"/>
      <c r="AA808" s="4"/>
      <c r="AB808" s="4"/>
      <c r="AC808" s="4"/>
      <c r="AD808" s="4"/>
      <c r="AE808" s="4"/>
      <c r="AF808" s="81"/>
      <c r="AG808" s="81"/>
      <c r="AH808" s="81"/>
      <c r="AI808" s="4"/>
      <c r="AJ808" s="81"/>
      <c r="AK808" s="81"/>
      <c r="AL808" s="81"/>
      <c r="AM808" s="43">
        <v>792</v>
      </c>
      <c r="AN808">
        <v>233.5128552623907</v>
      </c>
      <c r="AO808">
        <v>78.451648334290027</v>
      </c>
      <c r="AP808">
        <v>530.74645417334068</v>
      </c>
      <c r="AQ808">
        <v>410.78598918684781</v>
      </c>
      <c r="AR808">
        <v>69.845270774369425</v>
      </c>
      <c r="AS808">
        <v>596.10380433843636</v>
      </c>
      <c r="AT808">
        <v>38.547598247627938</v>
      </c>
      <c r="AU808">
        <v>74.247625446033709</v>
      </c>
      <c r="AV808"/>
      <c r="AW808"/>
      <c r="FY808" s="211">
        <v>803</v>
      </c>
      <c r="FZ808">
        <v>6.8364741139368901</v>
      </c>
      <c r="GA808">
        <v>44.002782447264195</v>
      </c>
      <c r="GB808">
        <v>78.158247651588226</v>
      </c>
      <c r="GC808">
        <v>43.216384489910304</v>
      </c>
      <c r="GD808">
        <v>15.097230248824118</v>
      </c>
      <c r="GE808">
        <v>31.402742261221192</v>
      </c>
      <c r="GF808">
        <v>63.060405956640793</v>
      </c>
      <c r="GG808">
        <v>39.454919106926567</v>
      </c>
      <c r="GH808">
        <v>13.255021256405497</v>
      </c>
      <c r="GI808">
        <v>44.852855971061345</v>
      </c>
      <c r="GJ808"/>
      <c r="GK808"/>
      <c r="GL808"/>
      <c r="GM808"/>
    </row>
    <row r="809" spans="1:195" s="7" customFormat="1">
      <c r="A809" s="4"/>
      <c r="B809" s="4"/>
      <c r="C809" s="105"/>
      <c r="D809" s="4"/>
      <c r="E809" s="4"/>
      <c r="F809" s="28"/>
      <c r="G809" s="28"/>
      <c r="H809" s="83"/>
      <c r="I809" s="4"/>
      <c r="J809" s="4"/>
      <c r="K809" s="4"/>
      <c r="L809" s="4"/>
      <c r="M809" s="4"/>
      <c r="N809" s="28"/>
      <c r="O809" s="4"/>
      <c r="P809" s="4"/>
      <c r="Q809" s="4"/>
      <c r="R809" s="4"/>
      <c r="S809" s="4"/>
      <c r="T809" s="4"/>
      <c r="U809" s="4"/>
      <c r="V809" s="4"/>
      <c r="W809" s="4"/>
      <c r="X809" s="4"/>
      <c r="Y809" s="4"/>
      <c r="Z809" s="4"/>
      <c r="AA809" s="4"/>
      <c r="AB809" s="4"/>
      <c r="AC809" s="4"/>
      <c r="AD809" s="4"/>
      <c r="AE809" s="4"/>
      <c r="AF809" s="81"/>
      <c r="AG809" s="81"/>
      <c r="AH809" s="81"/>
      <c r="AI809" s="4"/>
      <c r="AJ809" s="81"/>
      <c r="AK809" s="81"/>
      <c r="AL809" s="81"/>
      <c r="AM809" s="43">
        <v>793</v>
      </c>
      <c r="AN809">
        <v>268.52139451643325</v>
      </c>
      <c r="AO809">
        <v>85.439550988396377</v>
      </c>
      <c r="AP809">
        <v>629.00472165513906</v>
      </c>
      <c r="AQ809">
        <v>469.92469199540784</v>
      </c>
      <c r="AR809">
        <v>76.92778539117576</v>
      </c>
      <c r="AS809">
        <v>632.80544650087768</v>
      </c>
      <c r="AT809">
        <v>40.875136566195373</v>
      </c>
      <c r="AU809">
        <v>44.533523734009599</v>
      </c>
      <c r="AV809"/>
      <c r="AW809"/>
      <c r="FY809" s="211">
        <v>804</v>
      </c>
      <c r="FZ809">
        <v>15.722715877514545</v>
      </c>
      <c r="GA809">
        <v>51.424609536031639</v>
      </c>
      <c r="GB809">
        <v>67.769363573145085</v>
      </c>
      <c r="GC809">
        <v>40.8018430244679</v>
      </c>
      <c r="GD809">
        <v>19.91569981643848</v>
      </c>
      <c r="GE809">
        <v>46.31160899118678</v>
      </c>
      <c r="GF809">
        <v>62.533153147617945</v>
      </c>
      <c r="GG809">
        <v>45.31256501333845</v>
      </c>
      <c r="GH809">
        <v>39.426981403945391</v>
      </c>
      <c r="GI809">
        <v>50.506728750983889</v>
      </c>
      <c r="GJ809"/>
      <c r="GK809"/>
      <c r="GL809"/>
      <c r="GM809"/>
    </row>
    <row r="810" spans="1:195" s="7" customFormat="1">
      <c r="A810" s="4"/>
      <c r="B810" s="4"/>
      <c r="C810" s="105"/>
      <c r="D810" s="4"/>
      <c r="E810" s="4"/>
      <c r="F810" s="28"/>
      <c r="G810" s="28"/>
      <c r="H810" s="83"/>
      <c r="I810" s="4"/>
      <c r="J810" s="4"/>
      <c r="K810" s="4"/>
      <c r="L810" s="4"/>
      <c r="M810" s="4"/>
      <c r="N810" s="28"/>
      <c r="O810" s="4"/>
      <c r="P810" s="4"/>
      <c r="Q810" s="4"/>
      <c r="R810" s="4"/>
      <c r="S810" s="4"/>
      <c r="T810" s="4"/>
      <c r="U810" s="4"/>
      <c r="V810" s="4"/>
      <c r="W810" s="4"/>
      <c r="X810" s="4"/>
      <c r="Y810" s="4"/>
      <c r="Z810" s="4"/>
      <c r="AA810" s="4"/>
      <c r="AB810" s="4"/>
      <c r="AC810" s="4"/>
      <c r="AD810" s="4"/>
      <c r="AE810" s="4"/>
      <c r="AF810" s="81"/>
      <c r="AG810" s="81"/>
      <c r="AH810" s="81"/>
      <c r="AI810" s="4"/>
      <c r="AJ810" s="81"/>
      <c r="AK810" s="81"/>
      <c r="AL810" s="81"/>
      <c r="AM810" s="43">
        <v>794</v>
      </c>
      <c r="AN810">
        <v>215.94034853165749</v>
      </c>
      <c r="AO810">
        <v>65.50952916398515</v>
      </c>
      <c r="AP810">
        <v>455.21643147141526</v>
      </c>
      <c r="AQ810">
        <v>344.44719960120341</v>
      </c>
      <c r="AR810">
        <v>59.995700446288275</v>
      </c>
      <c r="AS810">
        <v>500.52017395575325</v>
      </c>
      <c r="AT810">
        <v>32.910701225105733</v>
      </c>
      <c r="AU810">
        <v>75.894361227785765</v>
      </c>
      <c r="AV810"/>
      <c r="AW810"/>
      <c r="FY810" s="211">
        <v>805</v>
      </c>
      <c r="FZ810">
        <v>31.00852818676972</v>
      </c>
      <c r="GA810">
        <v>76.733616637934844</v>
      </c>
      <c r="GB810">
        <v>80.190363383620721</v>
      </c>
      <c r="GC810">
        <v>45.715164612834947</v>
      </c>
      <c r="GD810">
        <v>20.932604283258343</v>
      </c>
      <c r="GE810">
        <v>41.339320570585286</v>
      </c>
      <c r="GF810">
        <v>53.516578075822558</v>
      </c>
      <c r="GG810">
        <v>21.775373452647454</v>
      </c>
      <c r="GH810">
        <v>6.1395271839659742</v>
      </c>
      <c r="GI810">
        <v>50.882103873576455</v>
      </c>
      <c r="GJ810"/>
      <c r="GK810"/>
      <c r="GL810"/>
      <c r="GM810"/>
    </row>
    <row r="811" spans="1:195" s="7" customFormat="1">
      <c r="A811" s="4"/>
      <c r="B811" s="4"/>
      <c r="C811" s="105"/>
      <c r="D811" s="4"/>
      <c r="E811" s="4"/>
      <c r="F811" s="28"/>
      <c r="G811" s="28"/>
      <c r="H811" s="83"/>
      <c r="I811" s="4"/>
      <c r="J811" s="4"/>
      <c r="K811" s="4"/>
      <c r="L811" s="4"/>
      <c r="M811" s="4"/>
      <c r="N811" s="28"/>
      <c r="O811" s="4"/>
      <c r="P811" s="4"/>
      <c r="Q811" s="4"/>
      <c r="R811" s="4"/>
      <c r="S811" s="4"/>
      <c r="T811" s="4"/>
      <c r="U811" s="4"/>
      <c r="V811" s="4"/>
      <c r="W811" s="4"/>
      <c r="X811" s="4"/>
      <c r="Y811" s="4"/>
      <c r="Z811" s="4"/>
      <c r="AA811" s="4"/>
      <c r="AB811" s="4"/>
      <c r="AC811" s="4"/>
      <c r="AD811" s="4"/>
      <c r="AE811" s="4"/>
      <c r="AF811" s="81"/>
      <c r="AG811" s="81"/>
      <c r="AH811" s="81"/>
      <c r="AI811" s="4"/>
      <c r="AJ811" s="81"/>
      <c r="AK811" s="81"/>
      <c r="AL811" s="81"/>
      <c r="AM811" s="43">
        <v>795</v>
      </c>
      <c r="AN811">
        <v>295.63321449851617</v>
      </c>
      <c r="AO811">
        <v>89.952383119014982</v>
      </c>
      <c r="AP811">
        <v>659.79409090594277</v>
      </c>
      <c r="AQ811">
        <v>497.60588575654697</v>
      </c>
      <c r="AR811">
        <v>80.406071438769629</v>
      </c>
      <c r="AS811">
        <v>691.00260879976258</v>
      </c>
      <c r="AT811">
        <v>43.381402240112713</v>
      </c>
      <c r="AU811">
        <v>146.29237212498703</v>
      </c>
      <c r="AV811"/>
      <c r="AW811"/>
      <c r="FY811" s="211">
        <v>806</v>
      </c>
      <c r="FZ811">
        <v>21.057326478986564</v>
      </c>
      <c r="GA811">
        <v>51.614220094960231</v>
      </c>
      <c r="GB811">
        <v>82.53457867507089</v>
      </c>
      <c r="GC811">
        <v>51.592236877067762</v>
      </c>
      <c r="GD811">
        <v>21.773683327102475</v>
      </c>
      <c r="GE811">
        <v>49.922647221428342</v>
      </c>
      <c r="GF811">
        <v>101.07381663791315</v>
      </c>
      <c r="GG811">
        <v>64.066461123654264</v>
      </c>
      <c r="GH811">
        <v>19.237579433285298</v>
      </c>
      <c r="GI811">
        <v>60.940740184250764</v>
      </c>
      <c r="GJ811"/>
      <c r="GK811"/>
      <c r="GL811"/>
      <c r="GM811"/>
    </row>
    <row r="812" spans="1:195" s="7" customFormat="1">
      <c r="A812" s="4"/>
      <c r="B812" s="4"/>
      <c r="C812" s="105"/>
      <c r="D812" s="4"/>
      <c r="E812" s="4"/>
      <c r="F812" s="28"/>
      <c r="G812" s="28"/>
      <c r="H812" s="83"/>
      <c r="I812" s="4"/>
      <c r="J812" s="4"/>
      <c r="K812" s="4"/>
      <c r="L812" s="4"/>
      <c r="M812" s="4"/>
      <c r="N812" s="28"/>
      <c r="O812" s="4"/>
      <c r="P812" s="4"/>
      <c r="Q812" s="4"/>
      <c r="R812" s="4"/>
      <c r="S812" s="4"/>
      <c r="T812" s="4"/>
      <c r="U812" s="4"/>
      <c r="V812" s="4"/>
      <c r="W812" s="4"/>
      <c r="X812" s="4"/>
      <c r="Y812" s="4"/>
      <c r="Z812" s="4"/>
      <c r="AA812" s="4"/>
      <c r="AB812" s="4"/>
      <c r="AC812" s="4"/>
      <c r="AD812" s="4"/>
      <c r="AE812" s="4"/>
      <c r="AF812" s="81"/>
      <c r="AG812" s="81"/>
      <c r="AH812" s="81"/>
      <c r="AI812" s="4"/>
      <c r="AJ812" s="81"/>
      <c r="AK812" s="81"/>
      <c r="AL812" s="81"/>
      <c r="AM812" s="43">
        <v>796</v>
      </c>
      <c r="AN812">
        <v>241.86917948824163</v>
      </c>
      <c r="AO812">
        <v>89.115616674883853</v>
      </c>
      <c r="AP812">
        <v>593.91983186737082</v>
      </c>
      <c r="AQ812">
        <v>464.64337857286</v>
      </c>
      <c r="AR812">
        <v>79.311667580145652</v>
      </c>
      <c r="AS812">
        <v>648.38114488697624</v>
      </c>
      <c r="AT812">
        <v>42.00994637279009</v>
      </c>
      <c r="AU812">
        <v>-16.546135997634497</v>
      </c>
      <c r="AV812"/>
      <c r="AW812"/>
      <c r="FY812" s="211">
        <v>807</v>
      </c>
      <c r="FZ812">
        <v>16.597963152015396</v>
      </c>
      <c r="GA812">
        <v>51.144058297585168</v>
      </c>
      <c r="GB812">
        <v>48.723078684759727</v>
      </c>
      <c r="GC812">
        <v>30.26483063056077</v>
      </c>
      <c r="GD812">
        <v>16.527494202411209</v>
      </c>
      <c r="GE812">
        <v>43.852227871047262</v>
      </c>
      <c r="GF812">
        <v>89.042159632935167</v>
      </c>
      <c r="GG812">
        <v>53.688835648389237</v>
      </c>
      <c r="GH812">
        <v>25.253347274638198</v>
      </c>
      <c r="GI812">
        <v>47.116136779424927</v>
      </c>
      <c r="GJ812"/>
      <c r="GK812"/>
      <c r="GL812"/>
      <c r="GM812"/>
    </row>
    <row r="813" spans="1:195" s="7" customFormat="1">
      <c r="A813" s="4"/>
      <c r="B813" s="4"/>
      <c r="C813" s="105"/>
      <c r="D813" s="4"/>
      <c r="E813" s="4"/>
      <c r="F813" s="28"/>
      <c r="G813" s="28"/>
      <c r="H813" s="83"/>
      <c r="I813" s="4"/>
      <c r="J813" s="4"/>
      <c r="K813" s="4"/>
      <c r="L813" s="4"/>
      <c r="M813" s="4"/>
      <c r="N813" s="28"/>
      <c r="O813" s="4"/>
      <c r="P813" s="4"/>
      <c r="Q813" s="4"/>
      <c r="R813" s="4"/>
      <c r="S813" s="4"/>
      <c r="T813" s="4"/>
      <c r="U813" s="4"/>
      <c r="V813" s="4"/>
      <c r="W813" s="4"/>
      <c r="X813" s="4"/>
      <c r="Y813" s="4"/>
      <c r="Z813" s="4"/>
      <c r="AA813" s="4"/>
      <c r="AB813" s="4"/>
      <c r="AC813" s="4"/>
      <c r="AD813" s="4"/>
      <c r="AE813" s="4"/>
      <c r="AF813" s="81"/>
      <c r="AG813" s="81"/>
      <c r="AH813" s="81"/>
      <c r="AI813" s="4"/>
      <c r="AJ813" s="81"/>
      <c r="AK813" s="81"/>
      <c r="AL813" s="81"/>
      <c r="AM813" s="43">
        <v>797</v>
      </c>
      <c r="AN813">
        <v>228.45719790841426</v>
      </c>
      <c r="AO813">
        <v>71.086264867583466</v>
      </c>
      <c r="AP813">
        <v>506.18086616297131</v>
      </c>
      <c r="AQ813">
        <v>384.34814668812578</v>
      </c>
      <c r="AR813">
        <v>63.874960128003238</v>
      </c>
      <c r="AS813">
        <v>513.46777667814899</v>
      </c>
      <c r="AT813">
        <v>31.666967093138265</v>
      </c>
      <c r="AU813">
        <v>47.237866470524914</v>
      </c>
      <c r="AV813"/>
      <c r="AW813"/>
      <c r="FY813" s="211">
        <v>808</v>
      </c>
      <c r="FZ813">
        <v>15.268623258940917</v>
      </c>
      <c r="GA813">
        <v>64.636731669764998</v>
      </c>
      <c r="GB813">
        <v>79.416833180337164</v>
      </c>
      <c r="GC813">
        <v>41.523853563332253</v>
      </c>
      <c r="GD813">
        <v>19.92592692836989</v>
      </c>
      <c r="GE813">
        <v>41.278394836830927</v>
      </c>
      <c r="GF813">
        <v>72.017838780655296</v>
      </c>
      <c r="GG813">
        <v>66.427486115076135</v>
      </c>
      <c r="GH813">
        <v>40.550244561759023</v>
      </c>
      <c r="GI813">
        <v>57.057997671067376</v>
      </c>
      <c r="GJ813"/>
      <c r="GK813"/>
      <c r="GL813"/>
      <c r="GM813"/>
    </row>
    <row r="814" spans="1:195" s="7" customFormat="1">
      <c r="A814" s="4"/>
      <c r="B814" s="4"/>
      <c r="C814" s="105"/>
      <c r="D814" s="4"/>
      <c r="E814" s="4"/>
      <c r="F814" s="28"/>
      <c r="G814" s="28"/>
      <c r="H814" s="83"/>
      <c r="I814" s="4"/>
      <c r="J814" s="4"/>
      <c r="K814" s="4"/>
      <c r="L814" s="4"/>
      <c r="M814" s="4"/>
      <c r="N814" s="28"/>
      <c r="O814" s="4"/>
      <c r="P814" s="4"/>
      <c r="Q814" s="4"/>
      <c r="R814" s="4"/>
      <c r="S814" s="4"/>
      <c r="T814" s="4"/>
      <c r="U814" s="4"/>
      <c r="V814" s="4"/>
      <c r="W814" s="4"/>
      <c r="X814" s="4"/>
      <c r="Y814" s="4"/>
      <c r="Z814" s="4"/>
      <c r="AA814" s="4"/>
      <c r="AB814" s="4"/>
      <c r="AC814" s="4"/>
      <c r="AD814" s="4"/>
      <c r="AE814" s="4"/>
      <c r="AF814" s="81"/>
      <c r="AG814" s="81"/>
      <c r="AH814" s="81"/>
      <c r="AI814" s="4"/>
      <c r="AJ814" s="81"/>
      <c r="AK814" s="81"/>
      <c r="AL814" s="81"/>
      <c r="AM814" s="43">
        <v>798</v>
      </c>
      <c r="AN814">
        <v>277.98638690879955</v>
      </c>
      <c r="AO814">
        <v>93.803261776038283</v>
      </c>
      <c r="AP814">
        <v>651.2044999966613</v>
      </c>
      <c r="AQ814">
        <v>497.32420737387076</v>
      </c>
      <c r="AR814">
        <v>84.526722319919429</v>
      </c>
      <c r="AS814">
        <v>690.58809702122267</v>
      </c>
      <c r="AT814">
        <v>43.663222910136106</v>
      </c>
      <c r="AU814">
        <v>83.877736954941668</v>
      </c>
      <c r="AV814"/>
      <c r="AW814"/>
      <c r="FY814" s="211">
        <v>809</v>
      </c>
      <c r="FZ814">
        <v>11.683960451739651</v>
      </c>
      <c r="GA814">
        <v>38.517674778717442</v>
      </c>
      <c r="GB814">
        <v>64.401976229876411</v>
      </c>
      <c r="GC814">
        <v>43.884631754849678</v>
      </c>
      <c r="GD814">
        <v>23.878929630266473</v>
      </c>
      <c r="GE814">
        <v>48.662226238368234</v>
      </c>
      <c r="GF814">
        <v>90.572930070469511</v>
      </c>
      <c r="GG814">
        <v>46.596679859744498</v>
      </c>
      <c r="GH814">
        <v>2.5809027146516264</v>
      </c>
      <c r="GI814">
        <v>52.543347665120123</v>
      </c>
      <c r="GJ814"/>
      <c r="GK814"/>
      <c r="GL814"/>
      <c r="GM814"/>
    </row>
    <row r="815" spans="1:195" s="7" customFormat="1">
      <c r="A815" s="4"/>
      <c r="B815" s="4"/>
      <c r="C815" s="105"/>
      <c r="D815" s="4"/>
      <c r="E815" s="4"/>
      <c r="F815" s="28"/>
      <c r="G815" s="28"/>
      <c r="H815" s="83"/>
      <c r="I815" s="4"/>
      <c r="J815" s="4"/>
      <c r="K815" s="4"/>
      <c r="L815" s="4"/>
      <c r="M815" s="4"/>
      <c r="N815" s="28"/>
      <c r="O815" s="4"/>
      <c r="P815" s="4"/>
      <c r="Q815" s="4"/>
      <c r="R815" s="4"/>
      <c r="S815" s="4"/>
      <c r="T815" s="4"/>
      <c r="U815" s="4"/>
      <c r="V815" s="4"/>
      <c r="W815" s="4"/>
      <c r="X815" s="4"/>
      <c r="Y815" s="4"/>
      <c r="Z815" s="4"/>
      <c r="AA815" s="4"/>
      <c r="AB815" s="4"/>
      <c r="AC815" s="4"/>
      <c r="AD815" s="4"/>
      <c r="AE815" s="4"/>
      <c r="AF815" s="81"/>
      <c r="AG815" s="81"/>
      <c r="AH815" s="81"/>
      <c r="AI815" s="4"/>
      <c r="AJ815" s="81"/>
      <c r="AK815" s="81"/>
      <c r="AL815" s="81"/>
      <c r="AM815" s="43">
        <v>799</v>
      </c>
      <c r="AN815">
        <v>226.29551596610463</v>
      </c>
      <c r="AO815">
        <v>80.69619864905377</v>
      </c>
      <c r="AP815">
        <v>593.04591453748367</v>
      </c>
      <c r="AQ815">
        <v>431.25633432655184</v>
      </c>
      <c r="AR815">
        <v>74.25466059236291</v>
      </c>
      <c r="AS815">
        <v>628.79537374859217</v>
      </c>
      <c r="AT815">
        <v>38.702552263517035</v>
      </c>
      <c r="AU815">
        <v>52.051653839644814</v>
      </c>
      <c r="AV815"/>
      <c r="AW815"/>
      <c r="FY815" s="211">
        <v>810</v>
      </c>
      <c r="FZ815">
        <v>19.945507657652897</v>
      </c>
      <c r="GA815">
        <v>47.129261784776375</v>
      </c>
      <c r="GB815">
        <v>79.805384156321452</v>
      </c>
      <c r="GC815">
        <v>44.379840576166046</v>
      </c>
      <c r="GD815">
        <v>21.870579987182168</v>
      </c>
      <c r="GE815">
        <v>63.1805802618222</v>
      </c>
      <c r="GF815">
        <v>67.019798988946363</v>
      </c>
      <c r="GG815">
        <v>29.392472614895173</v>
      </c>
      <c r="GH815">
        <v>20.845196394823091</v>
      </c>
      <c r="GI815">
        <v>53.660384234081342</v>
      </c>
      <c r="GJ815"/>
      <c r="GK815"/>
      <c r="GL815"/>
      <c r="GM815"/>
    </row>
    <row r="816" spans="1:195" s="7" customFormat="1">
      <c r="A816" s="4"/>
      <c r="B816" s="4"/>
      <c r="C816" s="105"/>
      <c r="D816" s="4"/>
      <c r="E816" s="4"/>
      <c r="F816" s="28"/>
      <c r="G816" s="28"/>
      <c r="H816" s="83"/>
      <c r="I816" s="4"/>
      <c r="J816" s="4"/>
      <c r="K816" s="4"/>
      <c r="L816" s="4"/>
      <c r="M816" s="4"/>
      <c r="N816" s="28"/>
      <c r="O816" s="4"/>
      <c r="P816" s="4"/>
      <c r="Q816" s="4"/>
      <c r="R816" s="4"/>
      <c r="S816" s="4"/>
      <c r="T816" s="4"/>
      <c r="U816" s="4"/>
      <c r="V816" s="4"/>
      <c r="W816" s="4"/>
      <c r="X816" s="4"/>
      <c r="Y816" s="4"/>
      <c r="Z816" s="4"/>
      <c r="AA816" s="4"/>
      <c r="AB816" s="4"/>
      <c r="AC816" s="4"/>
      <c r="AD816" s="4"/>
      <c r="AE816" s="4"/>
      <c r="AF816" s="81"/>
      <c r="AG816" s="81"/>
      <c r="AH816" s="81"/>
      <c r="AI816" s="4"/>
      <c r="AJ816" s="81"/>
      <c r="AK816" s="81"/>
      <c r="AL816" s="81"/>
      <c r="AM816" s="43">
        <v>800</v>
      </c>
      <c r="AN816">
        <v>227.9091551351446</v>
      </c>
      <c r="AO816">
        <v>82.857897914869142</v>
      </c>
      <c r="AP816">
        <v>645.21366731499131</v>
      </c>
      <c r="AQ816">
        <v>454.71457344529608</v>
      </c>
      <c r="AR816">
        <v>75.939545561321594</v>
      </c>
      <c r="AS816">
        <v>621.06902018431424</v>
      </c>
      <c r="AT816">
        <v>44.202068078897469</v>
      </c>
      <c r="AU816">
        <v>90.820077312416487</v>
      </c>
      <c r="AV816"/>
      <c r="AW816"/>
      <c r="FY816" s="211">
        <v>811</v>
      </c>
      <c r="FZ816">
        <v>13.97132546961388</v>
      </c>
      <c r="GA816">
        <v>56.492594013536674</v>
      </c>
      <c r="GB816">
        <v>72.080717054033684</v>
      </c>
      <c r="GC816">
        <v>39.825300943303631</v>
      </c>
      <c r="GD816">
        <v>20.260061497798798</v>
      </c>
      <c r="GE816">
        <v>36.234824823795364</v>
      </c>
      <c r="GF816">
        <v>75.875061306963559</v>
      </c>
      <c r="GG816">
        <v>61.578791698519346</v>
      </c>
      <c r="GH816">
        <v>17.115300609996638</v>
      </c>
      <c r="GI816">
        <v>51.606153351668048</v>
      </c>
      <c r="GJ816"/>
      <c r="GK816"/>
      <c r="GL816"/>
      <c r="GM816"/>
    </row>
    <row r="817" spans="1:195" s="7" customFormat="1">
      <c r="A817" s="4"/>
      <c r="B817" s="4"/>
      <c r="C817" s="105"/>
      <c r="D817" s="4"/>
      <c r="E817" s="4"/>
      <c r="F817" s="28"/>
      <c r="G817" s="28"/>
      <c r="H817" s="83"/>
      <c r="I817" s="4"/>
      <c r="J817" s="4"/>
      <c r="K817" s="4"/>
      <c r="L817" s="4"/>
      <c r="M817" s="4"/>
      <c r="N817" s="28"/>
      <c r="O817" s="4"/>
      <c r="P817" s="4"/>
      <c r="Q817" s="4"/>
      <c r="R817" s="4"/>
      <c r="S817" s="4"/>
      <c r="T817" s="4"/>
      <c r="U817" s="4"/>
      <c r="V817" s="4"/>
      <c r="W817" s="4"/>
      <c r="X817" s="4"/>
      <c r="Y817" s="4"/>
      <c r="Z817" s="4"/>
      <c r="AA817" s="4"/>
      <c r="AB817" s="4"/>
      <c r="AC817" s="4"/>
      <c r="AD817" s="4"/>
      <c r="AE817" s="4"/>
      <c r="AF817" s="81"/>
      <c r="AG817" s="81"/>
      <c r="AH817" s="81"/>
      <c r="AI817" s="4"/>
      <c r="AJ817" s="81"/>
      <c r="AK817" s="81"/>
      <c r="AL817" s="81"/>
      <c r="AM817" s="43">
        <v>801</v>
      </c>
      <c r="AN817">
        <v>270.77970851602026</v>
      </c>
      <c r="AO817">
        <v>102.4842116406091</v>
      </c>
      <c r="AP817">
        <v>729.15011396132161</v>
      </c>
      <c r="AQ817">
        <v>542.8073253408354</v>
      </c>
      <c r="AR817">
        <v>92.730758478810884</v>
      </c>
      <c r="AS817">
        <v>723.08929962715411</v>
      </c>
      <c r="AT817">
        <v>51.844107282304982</v>
      </c>
      <c r="AU817">
        <v>122.49590748893027</v>
      </c>
      <c r="AV817"/>
      <c r="AW817"/>
      <c r="FY817" s="211">
        <v>812</v>
      </c>
      <c r="FZ817">
        <v>13.263441260895618</v>
      </c>
      <c r="GA817">
        <v>38.268294980551985</v>
      </c>
      <c r="GB817">
        <v>65.296106230199399</v>
      </c>
      <c r="GC817">
        <v>42.577366177937705</v>
      </c>
      <c r="GD817">
        <v>21.058279522736807</v>
      </c>
      <c r="GE817">
        <v>42.88205914636513</v>
      </c>
      <c r="GF817">
        <v>55.826166329388599</v>
      </c>
      <c r="GG817">
        <v>48.060917979091549</v>
      </c>
      <c r="GH817">
        <v>41.749665063512658</v>
      </c>
      <c r="GI817">
        <v>49.062640380560289</v>
      </c>
      <c r="GJ817"/>
      <c r="GK817"/>
      <c r="GL817"/>
      <c r="GM817"/>
    </row>
    <row r="818" spans="1:195" s="7" customFormat="1">
      <c r="A818" s="4"/>
      <c r="B818" s="4"/>
      <c r="C818" s="105"/>
      <c r="D818" s="4"/>
      <c r="E818" s="4"/>
      <c r="F818" s="28"/>
      <c r="G818" s="28"/>
      <c r="H818" s="83"/>
      <c r="I818" s="4"/>
      <c r="J818" s="4"/>
      <c r="K818" s="4"/>
      <c r="L818" s="4"/>
      <c r="M818" s="4"/>
      <c r="N818" s="28"/>
      <c r="O818" s="4"/>
      <c r="P818" s="4"/>
      <c r="Q818" s="4"/>
      <c r="R818" s="4"/>
      <c r="S818" s="4"/>
      <c r="T818" s="4"/>
      <c r="U818" s="4"/>
      <c r="V818" s="4"/>
      <c r="W818" s="4"/>
      <c r="X818" s="4"/>
      <c r="Y818" s="4"/>
      <c r="Z818" s="4"/>
      <c r="AA818" s="4"/>
      <c r="AB818" s="4"/>
      <c r="AC818" s="4"/>
      <c r="AD818" s="4"/>
      <c r="AE818" s="4"/>
      <c r="AF818" s="81"/>
      <c r="AG818" s="81"/>
      <c r="AH818" s="81"/>
      <c r="AI818" s="4"/>
      <c r="AJ818" s="81"/>
      <c r="AK818" s="81"/>
      <c r="AL818" s="81"/>
      <c r="AM818" s="43">
        <v>802</v>
      </c>
      <c r="AN818">
        <v>234.23456234723761</v>
      </c>
      <c r="AO818">
        <v>87.229160190972024</v>
      </c>
      <c r="AP818">
        <v>560.3394837929211</v>
      </c>
      <c r="AQ818">
        <v>426.87366638213274</v>
      </c>
      <c r="AR818">
        <v>77.775526029821435</v>
      </c>
      <c r="AS818">
        <v>620.36717020907133</v>
      </c>
      <c r="AT818">
        <v>46.14340600352336</v>
      </c>
      <c r="AU818">
        <v>162.85087840226768</v>
      </c>
      <c r="AV818"/>
      <c r="AW818"/>
      <c r="FY818" s="211">
        <v>813</v>
      </c>
      <c r="FZ818">
        <v>15.027248531263922</v>
      </c>
      <c r="GA818">
        <v>44.500677204665038</v>
      </c>
      <c r="GB818">
        <v>70.85097655569011</v>
      </c>
      <c r="GC818">
        <v>41.990987935183867</v>
      </c>
      <c r="GD818">
        <v>19.488846963269612</v>
      </c>
      <c r="GE818">
        <v>47.820575305182658</v>
      </c>
      <c r="GF818">
        <v>84.757639109953715</v>
      </c>
      <c r="GG818">
        <v>51.34045931594332</v>
      </c>
      <c r="GH818">
        <v>16.457941462064738</v>
      </c>
      <c r="GI818">
        <v>52.25646363695266</v>
      </c>
      <c r="GJ818"/>
      <c r="GK818"/>
      <c r="GL818"/>
      <c r="GM818"/>
    </row>
    <row r="819" spans="1:195" s="7" customFormat="1">
      <c r="A819" s="4"/>
      <c r="B819" s="4"/>
      <c r="C819" s="105"/>
      <c r="D819" s="4"/>
      <c r="E819" s="4"/>
      <c r="F819" s="28"/>
      <c r="G819" s="28"/>
      <c r="H819" s="83"/>
      <c r="I819" s="4"/>
      <c r="J819" s="4"/>
      <c r="K819" s="4"/>
      <c r="L819" s="4"/>
      <c r="M819" s="4"/>
      <c r="N819" s="28"/>
      <c r="O819" s="4"/>
      <c r="P819" s="4"/>
      <c r="Q819" s="4"/>
      <c r="R819" s="4"/>
      <c r="S819" s="4"/>
      <c r="T819" s="4"/>
      <c r="U819" s="4"/>
      <c r="V819" s="4"/>
      <c r="W819" s="4"/>
      <c r="X819" s="4"/>
      <c r="Y819" s="4"/>
      <c r="Z819" s="4"/>
      <c r="AA819" s="4"/>
      <c r="AB819" s="4"/>
      <c r="AC819" s="4"/>
      <c r="AD819" s="4"/>
      <c r="AE819" s="4"/>
      <c r="AF819" s="81"/>
      <c r="AG819" s="81"/>
      <c r="AH819" s="81"/>
      <c r="AI819" s="4"/>
      <c r="AJ819" s="81"/>
      <c r="AK819" s="81"/>
      <c r="AL819" s="81"/>
      <c r="AM819" s="43">
        <v>803</v>
      </c>
      <c r="AN819">
        <v>240.39822778690942</v>
      </c>
      <c r="AO819">
        <v>69.797746756214991</v>
      </c>
      <c r="AP819">
        <v>506.55138494602699</v>
      </c>
      <c r="AQ819">
        <v>379.33706350377912</v>
      </c>
      <c r="AR819">
        <v>62.965848798741909</v>
      </c>
      <c r="AS819">
        <v>570.60310239288651</v>
      </c>
      <c r="AT819">
        <v>34.821462205080699</v>
      </c>
      <c r="AU819">
        <v>42.165382597848541</v>
      </c>
      <c r="AV819"/>
      <c r="AW819"/>
      <c r="FY819" s="211">
        <v>814</v>
      </c>
      <c r="FZ819">
        <v>5.2853166818007535</v>
      </c>
      <c r="GA819">
        <v>48.341378389757246</v>
      </c>
      <c r="GB819">
        <v>61.616467064323359</v>
      </c>
      <c r="GC819">
        <v>38.092683951141211</v>
      </c>
      <c r="GD819">
        <v>34.052501999883091</v>
      </c>
      <c r="GE819">
        <v>68.342820798965519</v>
      </c>
      <c r="GF819">
        <v>130.29754620041791</v>
      </c>
      <c r="GG819">
        <v>102.93288478369666</v>
      </c>
      <c r="GH819">
        <v>28.445081667433254</v>
      </c>
      <c r="GI819">
        <v>69.997833223784212</v>
      </c>
      <c r="GJ819"/>
      <c r="GK819"/>
      <c r="GL819"/>
      <c r="GM819"/>
    </row>
    <row r="820" spans="1:195" s="7" customFormat="1">
      <c r="A820" s="4"/>
      <c r="B820" s="4"/>
      <c r="C820" s="105"/>
      <c r="D820" s="4"/>
      <c r="E820" s="4"/>
      <c r="F820" s="28"/>
      <c r="G820" s="28"/>
      <c r="H820" s="83"/>
      <c r="I820" s="4"/>
      <c r="J820" s="4"/>
      <c r="K820" s="4"/>
      <c r="L820" s="4"/>
      <c r="M820" s="4"/>
      <c r="N820" s="28"/>
      <c r="O820" s="4"/>
      <c r="P820" s="4"/>
      <c r="Q820" s="4"/>
      <c r="R820" s="4"/>
      <c r="S820" s="4"/>
      <c r="T820" s="4"/>
      <c r="U820" s="4"/>
      <c r="V820" s="4"/>
      <c r="W820" s="4"/>
      <c r="X820" s="4"/>
      <c r="Y820" s="4"/>
      <c r="Z820" s="4"/>
      <c r="AA820" s="4"/>
      <c r="AB820" s="4"/>
      <c r="AC820" s="4"/>
      <c r="AD820" s="4"/>
      <c r="AE820" s="4"/>
      <c r="AF820" s="81"/>
      <c r="AG820" s="81"/>
      <c r="AH820" s="81"/>
      <c r="AI820" s="4"/>
      <c r="AJ820" s="81"/>
      <c r="AK820" s="81"/>
      <c r="AL820" s="81"/>
      <c r="AM820" s="43">
        <v>804</v>
      </c>
      <c r="AN820">
        <v>261.73734255632343</v>
      </c>
      <c r="AO820">
        <v>78.977534055535216</v>
      </c>
      <c r="AP820">
        <v>566.21466083942585</v>
      </c>
      <c r="AQ820">
        <v>439.72526913467004</v>
      </c>
      <c r="AR820">
        <v>70.934728004720569</v>
      </c>
      <c r="AS820">
        <v>598.7304279312981</v>
      </c>
      <c r="AT820">
        <v>37.03696138913088</v>
      </c>
      <c r="AU820">
        <v>56.701380589747714</v>
      </c>
      <c r="AV820"/>
      <c r="AW820"/>
      <c r="FY820" s="211">
        <v>815</v>
      </c>
      <c r="FZ820">
        <v>17.367726080206452</v>
      </c>
      <c r="GA820">
        <v>54.702946456462072</v>
      </c>
      <c r="GB820">
        <v>63.791645573934147</v>
      </c>
      <c r="GC820">
        <v>36.81851007384212</v>
      </c>
      <c r="GD820">
        <v>24.715076612061655</v>
      </c>
      <c r="GE820">
        <v>48.902657845890644</v>
      </c>
      <c r="GF820">
        <v>70.642096091000923</v>
      </c>
      <c r="GG820">
        <v>44.86515171322106</v>
      </c>
      <c r="GH820">
        <v>8.5643238346886541</v>
      </c>
      <c r="GI820">
        <v>51.269588410806819</v>
      </c>
      <c r="GJ820"/>
      <c r="GK820"/>
      <c r="GL820"/>
      <c r="GM820"/>
    </row>
    <row r="821" spans="1:195" s="7" customFormat="1">
      <c r="A821" s="4"/>
      <c r="B821" s="4"/>
      <c r="C821" s="105"/>
      <c r="D821" s="4"/>
      <c r="E821" s="4"/>
      <c r="F821" s="28"/>
      <c r="G821" s="28"/>
      <c r="H821" s="83"/>
      <c r="I821" s="4"/>
      <c r="J821" s="4"/>
      <c r="K821" s="4"/>
      <c r="L821" s="4"/>
      <c r="M821" s="4"/>
      <c r="N821" s="28"/>
      <c r="O821" s="4"/>
      <c r="P821" s="4"/>
      <c r="Q821" s="4"/>
      <c r="R821" s="4"/>
      <c r="S821" s="4"/>
      <c r="T821" s="4"/>
      <c r="U821" s="4"/>
      <c r="V821" s="4"/>
      <c r="W821" s="4"/>
      <c r="X821" s="4"/>
      <c r="Y821" s="4"/>
      <c r="Z821" s="4"/>
      <c r="AA821" s="4"/>
      <c r="AB821" s="4"/>
      <c r="AC821" s="4"/>
      <c r="AD821" s="4"/>
      <c r="AE821" s="4"/>
      <c r="AF821" s="81"/>
      <c r="AG821" s="81"/>
      <c r="AH821" s="81"/>
      <c r="AI821" s="4"/>
      <c r="AJ821" s="81"/>
      <c r="AK821" s="81"/>
      <c r="AL821" s="81"/>
      <c r="AM821" s="43">
        <v>805</v>
      </c>
      <c r="AN821">
        <v>239.25374220844591</v>
      </c>
      <c r="AO821">
        <v>81.293604344378409</v>
      </c>
      <c r="AP821">
        <v>577.52522101129466</v>
      </c>
      <c r="AQ821">
        <v>428.23318026101629</v>
      </c>
      <c r="AR821">
        <v>72.717145735229508</v>
      </c>
      <c r="AS821">
        <v>635.39913477025664</v>
      </c>
      <c r="AT821">
        <v>41.572960229661177</v>
      </c>
      <c r="AU821">
        <v>117.85595144454867</v>
      </c>
      <c r="AV821"/>
      <c r="AW821"/>
      <c r="FY821" s="211">
        <v>816</v>
      </c>
      <c r="FZ821">
        <v>16.068322987263254</v>
      </c>
      <c r="GA821">
        <v>54.391811747610404</v>
      </c>
      <c r="GB821">
        <v>64.302933447027343</v>
      </c>
      <c r="GC821">
        <v>40.091748034018565</v>
      </c>
      <c r="GD821">
        <v>22.752265331708024</v>
      </c>
      <c r="GE821">
        <v>62.712236193736146</v>
      </c>
      <c r="GF821">
        <v>80.428149094671028</v>
      </c>
      <c r="GG821">
        <v>32.371664828394238</v>
      </c>
      <c r="GH821">
        <v>27.892469433071309</v>
      </c>
      <c r="GI821">
        <v>53.820992577110999</v>
      </c>
      <c r="GJ821"/>
      <c r="GK821"/>
      <c r="GL821"/>
      <c r="GM821"/>
    </row>
    <row r="822" spans="1:195" s="7" customFormat="1">
      <c r="A822" s="4"/>
      <c r="B822" s="4"/>
      <c r="C822" s="105"/>
      <c r="D822" s="4"/>
      <c r="E822" s="4"/>
      <c r="F822" s="28"/>
      <c r="G822" s="28"/>
      <c r="H822" s="83"/>
      <c r="I822" s="4"/>
      <c r="J822" s="4"/>
      <c r="K822" s="4"/>
      <c r="L822" s="4"/>
      <c r="M822" s="4"/>
      <c r="N822" s="28"/>
      <c r="O822" s="4"/>
      <c r="P822" s="4"/>
      <c r="Q822" s="4"/>
      <c r="R822" s="4"/>
      <c r="S822" s="4"/>
      <c r="T822" s="4"/>
      <c r="U822" s="4"/>
      <c r="V822" s="4"/>
      <c r="W822" s="4"/>
      <c r="X822" s="4"/>
      <c r="Y822" s="4"/>
      <c r="Z822" s="4"/>
      <c r="AA822" s="4"/>
      <c r="AB822" s="4"/>
      <c r="AC822" s="4"/>
      <c r="AD822" s="4"/>
      <c r="AE822" s="4"/>
      <c r="AF822" s="81"/>
      <c r="AG822" s="81"/>
      <c r="AH822" s="81"/>
      <c r="AI822" s="4"/>
      <c r="AJ822" s="81"/>
      <c r="AK822" s="81"/>
      <c r="AL822" s="81"/>
      <c r="AM822" s="43">
        <v>806</v>
      </c>
      <c r="AN822">
        <v>285.04105017711061</v>
      </c>
      <c r="AO822">
        <v>96.525054183969274</v>
      </c>
      <c r="AP822">
        <v>703.67653413586947</v>
      </c>
      <c r="AQ822">
        <v>523.8132900537197</v>
      </c>
      <c r="AR822">
        <v>87.006064856808209</v>
      </c>
      <c r="AS822">
        <v>735.22604127308557</v>
      </c>
      <c r="AT822" t="e">
        <v>#DIV/0!</v>
      </c>
      <c r="AU822" t="e">
        <v>#DIV/0!</v>
      </c>
      <c r="AV822"/>
      <c r="AW822"/>
      <c r="FY822" s="211">
        <v>817</v>
      </c>
      <c r="FZ822">
        <v>30.424299509927813</v>
      </c>
      <c r="GA822">
        <v>46.129882031529291</v>
      </c>
      <c r="GB822">
        <v>41.200266384525548</v>
      </c>
      <c r="GC822">
        <v>34.841162058582356</v>
      </c>
      <c r="GD822">
        <v>23.772800260727735</v>
      </c>
      <c r="GE822">
        <v>35.776309603738412</v>
      </c>
      <c r="GF822">
        <v>40.510485708998132</v>
      </c>
      <c r="GG822">
        <v>65.102468813921135</v>
      </c>
      <c r="GH822">
        <v>63.594917375808919</v>
      </c>
      <c r="GI822">
        <v>47.78127185808426</v>
      </c>
      <c r="GJ822"/>
      <c r="GK822"/>
      <c r="GL822"/>
      <c r="GM822"/>
    </row>
    <row r="823" spans="1:195" s="7" customFormat="1">
      <c r="A823" s="4"/>
      <c r="B823" s="4"/>
      <c r="C823" s="105"/>
      <c r="D823" s="4"/>
      <c r="E823" s="4"/>
      <c r="F823" s="28"/>
      <c r="G823" s="28"/>
      <c r="H823" s="83"/>
      <c r="I823" s="4"/>
      <c r="J823" s="4"/>
      <c r="K823" s="4"/>
      <c r="L823" s="4"/>
      <c r="M823" s="4"/>
      <c r="N823" s="28"/>
      <c r="O823" s="4"/>
      <c r="P823" s="4"/>
      <c r="Q823" s="4"/>
      <c r="R823" s="4"/>
      <c r="S823" s="4"/>
      <c r="T823" s="4"/>
      <c r="U823" s="4"/>
      <c r="V823" s="4"/>
      <c r="W823" s="4"/>
      <c r="X823" s="4"/>
      <c r="Y823" s="4"/>
      <c r="Z823" s="4"/>
      <c r="AA823" s="4"/>
      <c r="AB823" s="4"/>
      <c r="AC823" s="4"/>
      <c r="AD823" s="4"/>
      <c r="AE823" s="4"/>
      <c r="AF823" s="81"/>
      <c r="AG823" s="81"/>
      <c r="AH823" s="81"/>
      <c r="AI823" s="4"/>
      <c r="AJ823" s="81"/>
      <c r="AK823" s="81"/>
      <c r="AL823" s="81"/>
      <c r="AM823" s="43">
        <v>807</v>
      </c>
      <c r="AN823">
        <v>263.30809183289546</v>
      </c>
      <c r="AO823">
        <v>74.737613529887057</v>
      </c>
      <c r="AP823">
        <v>567.64630668526036</v>
      </c>
      <c r="AQ823">
        <v>422.21013217376708</v>
      </c>
      <c r="AR823">
        <v>66.399995774083123</v>
      </c>
      <c r="AS823">
        <v>579.25759327998048</v>
      </c>
      <c r="AT823">
        <v>35.690975538563471</v>
      </c>
      <c r="AU823">
        <v>71.979626058915869</v>
      </c>
      <c r="AV823"/>
      <c r="AW823"/>
      <c r="FY823" s="211">
        <v>818</v>
      </c>
      <c r="FZ823">
        <v>32.586482673022651</v>
      </c>
      <c r="GA823">
        <v>71.398554455521719</v>
      </c>
      <c r="GB823">
        <v>100.05562713421983</v>
      </c>
      <c r="GC823">
        <v>62.198715295975788</v>
      </c>
      <c r="GD823">
        <v>22.575644676021586</v>
      </c>
      <c r="GE823">
        <v>30.474911592543428</v>
      </c>
      <c r="GF823">
        <v>49.671693912665035</v>
      </c>
      <c r="GG823">
        <v>32.117282500434953</v>
      </c>
      <c r="GH823">
        <v>8.7903458467961961</v>
      </c>
      <c r="GI823">
        <v>55.96793822444711</v>
      </c>
      <c r="GJ823"/>
      <c r="GK823"/>
      <c r="GL823"/>
      <c r="GM823"/>
    </row>
    <row r="824" spans="1:195" s="7" customFormat="1">
      <c r="A824" s="4"/>
      <c r="B824" s="4"/>
      <c r="C824" s="105"/>
      <c r="D824" s="4"/>
      <c r="E824" s="4"/>
      <c r="F824" s="28"/>
      <c r="G824" s="28"/>
      <c r="H824" s="83"/>
      <c r="I824" s="4"/>
      <c r="J824" s="4"/>
      <c r="K824" s="4"/>
      <c r="L824" s="4"/>
      <c r="M824" s="4"/>
      <c r="N824" s="28"/>
      <c r="O824" s="4"/>
      <c r="P824" s="4"/>
      <c r="Q824" s="4"/>
      <c r="R824" s="4"/>
      <c r="S824" s="4"/>
      <c r="T824" s="4"/>
      <c r="U824" s="4"/>
      <c r="V824" s="4"/>
      <c r="W824" s="4"/>
      <c r="X824" s="4"/>
      <c r="Y824" s="4"/>
      <c r="Z824" s="4"/>
      <c r="AA824" s="4"/>
      <c r="AB824" s="4"/>
      <c r="AC824" s="4"/>
      <c r="AD824" s="4"/>
      <c r="AE824" s="4"/>
      <c r="AF824" s="81"/>
      <c r="AG824" s="81"/>
      <c r="AH824" s="81"/>
      <c r="AI824" s="4"/>
      <c r="AJ824" s="81"/>
      <c r="AK824" s="81"/>
      <c r="AL824" s="81"/>
      <c r="AM824" s="43">
        <v>808</v>
      </c>
      <c r="AN824">
        <v>250.94772916665639</v>
      </c>
      <c r="AO824">
        <v>91.511380764854991</v>
      </c>
      <c r="AP824">
        <v>691.52291679288714</v>
      </c>
      <c r="AQ824">
        <v>498.10393056613401</v>
      </c>
      <c r="AR824">
        <v>82.49778231130523</v>
      </c>
      <c r="AS824">
        <v>663.84522956304681</v>
      </c>
      <c r="AT824">
        <v>46.110545341673976</v>
      </c>
      <c r="AU824">
        <v>80.981645442833269</v>
      </c>
      <c r="AV824"/>
      <c r="AW824"/>
      <c r="FY824" s="211">
        <v>819</v>
      </c>
      <c r="FZ824">
        <v>11.70790613033593</v>
      </c>
      <c r="GA824">
        <v>54.044288093065809</v>
      </c>
      <c r="GB824">
        <v>75.04924319034653</v>
      </c>
      <c r="GC824">
        <v>41.905599968211327</v>
      </c>
      <c r="GD824">
        <v>21.818100761205361</v>
      </c>
      <c r="GE824">
        <v>40.891905409896779</v>
      </c>
      <c r="GF824">
        <v>39.057995405864894</v>
      </c>
      <c r="GG824">
        <v>30.480302989710196</v>
      </c>
      <c r="GH824">
        <v>27.007486607456148</v>
      </c>
      <c r="GI824">
        <v>46.603699356867686</v>
      </c>
      <c r="GJ824"/>
      <c r="GK824"/>
      <c r="GL824"/>
      <c r="GM824"/>
    </row>
    <row r="825" spans="1:195" s="7" customFormat="1">
      <c r="A825" s="4"/>
      <c r="B825" s="4"/>
      <c r="C825" s="105"/>
      <c r="D825" s="4"/>
      <c r="E825" s="4"/>
      <c r="F825" s="28"/>
      <c r="G825" s="28"/>
      <c r="H825" s="83"/>
      <c r="I825" s="4"/>
      <c r="J825" s="4"/>
      <c r="K825" s="4"/>
      <c r="L825" s="4"/>
      <c r="M825" s="4"/>
      <c r="N825" s="28"/>
      <c r="O825" s="4"/>
      <c r="P825" s="4"/>
      <c r="Q825" s="4"/>
      <c r="R825" s="4"/>
      <c r="S825" s="4"/>
      <c r="T825" s="4"/>
      <c r="U825" s="4"/>
      <c r="V825" s="4"/>
      <c r="W825" s="4"/>
      <c r="X825" s="4"/>
      <c r="Y825" s="4"/>
      <c r="Z825" s="4"/>
      <c r="AA825" s="4"/>
      <c r="AB825" s="4"/>
      <c r="AC825" s="4"/>
      <c r="AD825" s="4"/>
      <c r="AE825" s="4"/>
      <c r="AF825" s="81"/>
      <c r="AG825" s="81"/>
      <c r="AH825" s="81"/>
      <c r="AI825" s="4"/>
      <c r="AJ825" s="81"/>
      <c r="AK825" s="81"/>
      <c r="AL825" s="81"/>
      <c r="AM825" s="43">
        <v>809</v>
      </c>
      <c r="AN825">
        <v>232.96172843744313</v>
      </c>
      <c r="AO825">
        <v>83.805682336345143</v>
      </c>
      <c r="AP825">
        <v>569.33096111213717</v>
      </c>
      <c r="AQ825">
        <v>423.3232593938036</v>
      </c>
      <c r="AR825">
        <v>75.095492605056734</v>
      </c>
      <c r="AS825">
        <v>608.79269698392625</v>
      </c>
      <c r="AT825">
        <v>41.970341327977678</v>
      </c>
      <c r="AU825">
        <v>76.481035601312229</v>
      </c>
      <c r="AV825"/>
      <c r="AW825"/>
      <c r="FY825" s="211">
        <v>820</v>
      </c>
      <c r="FZ825">
        <v>4.8400430566741379</v>
      </c>
      <c r="GA825">
        <v>35.63985846352881</v>
      </c>
      <c r="GB825">
        <v>78.898634424382607</v>
      </c>
      <c r="GC825">
        <v>48.405663617163739</v>
      </c>
      <c r="GD825">
        <v>17.77555953460763</v>
      </c>
      <c r="GE825">
        <v>59.060525986624313</v>
      </c>
      <c r="GF825">
        <v>97.498869333077593</v>
      </c>
      <c r="GG825">
        <v>36.011236539864932</v>
      </c>
      <c r="GH825">
        <v>18.742578016182112</v>
      </c>
      <c r="GI825">
        <v>53.70948588606209</v>
      </c>
      <c r="GJ825"/>
      <c r="GK825"/>
      <c r="GL825"/>
      <c r="GM825"/>
    </row>
    <row r="826" spans="1:195" s="7" customFormat="1">
      <c r="A826" s="4"/>
      <c r="B826" s="4"/>
      <c r="C826" s="105"/>
      <c r="D826" s="4"/>
      <c r="E826" s="4"/>
      <c r="F826" s="28"/>
      <c r="G826" s="28"/>
      <c r="H826" s="83"/>
      <c r="I826" s="4"/>
      <c r="J826" s="4"/>
      <c r="K826" s="4"/>
      <c r="L826" s="4"/>
      <c r="M826" s="4"/>
      <c r="N826" s="28"/>
      <c r="O826" s="4"/>
      <c r="P826" s="4"/>
      <c r="Q826" s="4"/>
      <c r="R826" s="4"/>
      <c r="S826" s="4"/>
      <c r="T826" s="4"/>
      <c r="U826" s="4"/>
      <c r="V826" s="4"/>
      <c r="W826" s="4"/>
      <c r="X826" s="4"/>
      <c r="Y826" s="4"/>
      <c r="Z826" s="4"/>
      <c r="AA826" s="4"/>
      <c r="AB826" s="4"/>
      <c r="AC826" s="4"/>
      <c r="AD826" s="4"/>
      <c r="AE826" s="4"/>
      <c r="AF826" s="81"/>
      <c r="AG826" s="81"/>
      <c r="AH826" s="81"/>
      <c r="AI826" s="4"/>
      <c r="AJ826" s="81"/>
      <c r="AK826" s="81"/>
      <c r="AL826" s="81"/>
      <c r="AM826" s="43">
        <v>810</v>
      </c>
      <c r="AN826">
        <v>229.69296438794362</v>
      </c>
      <c r="AO826">
        <v>84.202104584180262</v>
      </c>
      <c r="AP826">
        <v>570.16041726128265</v>
      </c>
      <c r="AQ826">
        <v>447.22900665666714</v>
      </c>
      <c r="AR826">
        <v>75.123430614200714</v>
      </c>
      <c r="AS826">
        <v>623.23648799714465</v>
      </c>
      <c r="AT826">
        <v>42.389401524969053</v>
      </c>
      <c r="AU826">
        <v>69.131472019086871</v>
      </c>
      <c r="AV826"/>
      <c r="AW826"/>
      <c r="FY826" s="211">
        <v>821</v>
      </c>
      <c r="FZ826">
        <v>10.650425752785294</v>
      </c>
      <c r="GA826">
        <v>52.808880344859091</v>
      </c>
      <c r="GB826">
        <v>71.042485946439029</v>
      </c>
      <c r="GC826">
        <v>44.841831827515108</v>
      </c>
      <c r="GD826">
        <v>20.190326250554136</v>
      </c>
      <c r="GE826">
        <v>56.487306397658791</v>
      </c>
      <c r="GF826">
        <v>107.99151241217187</v>
      </c>
      <c r="GG826">
        <v>46.151028391546802</v>
      </c>
      <c r="GH826">
        <v>15.986782235994824</v>
      </c>
      <c r="GI826">
        <v>57.346783960867008</v>
      </c>
      <c r="GJ826"/>
      <c r="GK826"/>
      <c r="GL826"/>
      <c r="GM826"/>
    </row>
    <row r="827" spans="1:195" s="7" customFormat="1">
      <c r="A827" s="4"/>
      <c r="B827" s="4"/>
      <c r="C827" s="105"/>
      <c r="D827" s="4"/>
      <c r="E827" s="4"/>
      <c r="F827" s="28"/>
      <c r="G827" s="28"/>
      <c r="H827" s="83"/>
      <c r="I827" s="4"/>
      <c r="J827" s="4"/>
      <c r="K827" s="4"/>
      <c r="L827" s="4"/>
      <c r="M827" s="4"/>
      <c r="N827" s="28"/>
      <c r="O827" s="4"/>
      <c r="P827" s="4"/>
      <c r="Q827" s="4"/>
      <c r="R827" s="4"/>
      <c r="S827" s="4"/>
      <c r="T827" s="4"/>
      <c r="U827" s="4"/>
      <c r="V827" s="4"/>
      <c r="W827" s="4"/>
      <c r="X827" s="4"/>
      <c r="Y827" s="4"/>
      <c r="Z827" s="4"/>
      <c r="AA827" s="4"/>
      <c r="AB827" s="4"/>
      <c r="AC827" s="4"/>
      <c r="AD827" s="4"/>
      <c r="AE827" s="4"/>
      <c r="AF827" s="81"/>
      <c r="AG827" s="81"/>
      <c r="AH827" s="81"/>
      <c r="AI827" s="4"/>
      <c r="AJ827" s="81"/>
      <c r="AK827" s="81"/>
      <c r="AL827" s="81"/>
      <c r="AM827" s="43">
        <v>811</v>
      </c>
      <c r="AN827">
        <v>269.13124158589301</v>
      </c>
      <c r="AO827">
        <v>82.476402898318071</v>
      </c>
      <c r="AP827">
        <v>613.92959279447689</v>
      </c>
      <c r="AQ827">
        <v>445.04013076922973</v>
      </c>
      <c r="AR827">
        <v>75.038420568373198</v>
      </c>
      <c r="AS827">
        <v>622.6556996588115</v>
      </c>
      <c r="AT827" t="e">
        <v>#DIV/0!</v>
      </c>
      <c r="AU827" t="e">
        <v>#DIV/0!</v>
      </c>
      <c r="AV827"/>
      <c r="AW827"/>
      <c r="FY827" s="211">
        <v>822</v>
      </c>
      <c r="FZ827">
        <v>10.902784199248675</v>
      </c>
      <c r="GA827">
        <v>43.339647531978606</v>
      </c>
      <c r="GB827">
        <v>65.310971474608451</v>
      </c>
      <c r="GC827">
        <v>41.384705876093378</v>
      </c>
      <c r="GD827">
        <v>21.058366771272997</v>
      </c>
      <c r="GE827">
        <v>56.119985795502046</v>
      </c>
      <c r="GF827">
        <v>119.99504846497848</v>
      </c>
      <c r="GG827">
        <v>59.73589120429989</v>
      </c>
      <c r="GH827">
        <v>5.7110599347495441</v>
      </c>
      <c r="GI827">
        <v>57.157475917920941</v>
      </c>
      <c r="GJ827"/>
      <c r="GK827"/>
      <c r="GL827"/>
      <c r="GM827"/>
    </row>
    <row r="828" spans="1:195" s="7" customFormat="1">
      <c r="A828" s="4"/>
      <c r="B828" s="4"/>
      <c r="C828" s="105"/>
      <c r="D828" s="4"/>
      <c r="E828" s="4"/>
      <c r="F828" s="28"/>
      <c r="G828" s="28"/>
      <c r="H828" s="83"/>
      <c r="I828" s="4"/>
      <c r="J828" s="4"/>
      <c r="K828" s="4"/>
      <c r="L828" s="4"/>
      <c r="M828" s="4"/>
      <c r="N828" s="28"/>
      <c r="O828" s="4"/>
      <c r="P828" s="4"/>
      <c r="Q828" s="4"/>
      <c r="R828" s="4"/>
      <c r="S828" s="4"/>
      <c r="T828" s="4"/>
      <c r="U828" s="4"/>
      <c r="V828" s="4"/>
      <c r="W828" s="4"/>
      <c r="X828" s="4"/>
      <c r="Y828" s="4"/>
      <c r="Z828" s="4"/>
      <c r="AA828" s="4"/>
      <c r="AB828" s="4"/>
      <c r="AC828" s="4"/>
      <c r="AD828" s="4"/>
      <c r="AE828" s="4"/>
      <c r="AF828" s="81"/>
      <c r="AG828" s="81"/>
      <c r="AH828" s="81"/>
      <c r="AI828" s="4"/>
      <c r="AJ828" s="81"/>
      <c r="AK828" s="81"/>
      <c r="AL828" s="81"/>
      <c r="AM828" s="43">
        <v>812</v>
      </c>
      <c r="AN828">
        <v>227.19450975715199</v>
      </c>
      <c r="AO828">
        <v>76.374877432365707</v>
      </c>
      <c r="AP828">
        <v>530.04723343810394</v>
      </c>
      <c r="AQ828">
        <v>418.04493707123976</v>
      </c>
      <c r="AR828">
        <v>69.080414767987818</v>
      </c>
      <c r="AS828">
        <v>583.66639527375378</v>
      </c>
      <c r="AT828">
        <v>38.462384567808741</v>
      </c>
      <c r="AU828">
        <v>61.962454145997675</v>
      </c>
      <c r="AV828"/>
      <c r="AW828"/>
      <c r="FY828" s="211">
        <v>823</v>
      </c>
      <c r="FZ828">
        <v>23.186631098492732</v>
      </c>
      <c r="GA828">
        <v>64.584703164442331</v>
      </c>
      <c r="GB828">
        <v>81.45660294369506</v>
      </c>
      <c r="GC828">
        <v>44.200908003470005</v>
      </c>
      <c r="GD828">
        <v>19.527792410027619</v>
      </c>
      <c r="GE828">
        <v>46.47947958646261</v>
      </c>
      <c r="GF828">
        <v>91.252416003560313</v>
      </c>
      <c r="GG828">
        <v>71.137718780309669</v>
      </c>
      <c r="GH828">
        <v>30.635598159092464</v>
      </c>
      <c r="GI828">
        <v>59.40529281577313</v>
      </c>
      <c r="GJ828"/>
      <c r="GK828"/>
      <c r="GL828"/>
      <c r="GM828"/>
    </row>
    <row r="829" spans="1:195" s="7" customFormat="1">
      <c r="A829" s="4"/>
      <c r="B829" s="4"/>
      <c r="C829" s="105"/>
      <c r="D829" s="4"/>
      <c r="E829" s="4"/>
      <c r="F829" s="28"/>
      <c r="G829" s="28"/>
      <c r="H829" s="83"/>
      <c r="I829" s="4"/>
      <c r="J829" s="4"/>
      <c r="K829" s="4"/>
      <c r="L829" s="4"/>
      <c r="M829" s="4"/>
      <c r="N829" s="28"/>
      <c r="O829" s="4"/>
      <c r="P829" s="4"/>
      <c r="Q829" s="4"/>
      <c r="R829" s="4"/>
      <c r="S829" s="4"/>
      <c r="T829" s="4"/>
      <c r="U829" s="4"/>
      <c r="V829" s="4"/>
      <c r="W829" s="4"/>
      <c r="X829" s="4"/>
      <c r="Y829" s="4"/>
      <c r="Z829" s="4"/>
      <c r="AA829" s="4"/>
      <c r="AB829" s="4"/>
      <c r="AC829" s="4"/>
      <c r="AD829" s="4"/>
      <c r="AE829" s="4"/>
      <c r="AF829" s="81"/>
      <c r="AG829" s="81"/>
      <c r="AH829" s="81"/>
      <c r="AI829" s="4"/>
      <c r="AJ829" s="81"/>
      <c r="AK829" s="81"/>
      <c r="AL829" s="81"/>
      <c r="AM829" s="43">
        <v>813</v>
      </c>
      <c r="AN829">
        <v>254.13637193842334</v>
      </c>
      <c r="AO829">
        <v>82.787148071339445</v>
      </c>
      <c r="AP829">
        <v>595.53412430333674</v>
      </c>
      <c r="AQ829">
        <v>444.49181602016972</v>
      </c>
      <c r="AR829">
        <v>74.271130433546688</v>
      </c>
      <c r="AS829">
        <v>605.67873993914975</v>
      </c>
      <c r="AT829">
        <v>38.815484819353131</v>
      </c>
      <c r="AU829">
        <v>42.496050395605607</v>
      </c>
      <c r="AV829"/>
      <c r="AW829"/>
      <c r="FY829" s="211">
        <v>824</v>
      </c>
      <c r="FZ829">
        <v>6.5770557512389125</v>
      </c>
      <c r="GA829">
        <v>40.108550430187009</v>
      </c>
      <c r="GB829">
        <v>74.57489846691972</v>
      </c>
      <c r="GC829">
        <v>37.129851478597146</v>
      </c>
      <c r="GD829">
        <v>25.269499708263186</v>
      </c>
      <c r="GE829">
        <v>54.398878726252583</v>
      </c>
      <c r="GF829">
        <v>57.643452806621525</v>
      </c>
      <c r="GG829">
        <v>57.156673974504336</v>
      </c>
      <c r="GH829">
        <v>34.328160775572186</v>
      </c>
      <c r="GI829">
        <v>53.150928810360533</v>
      </c>
      <c r="GJ829"/>
      <c r="GK829"/>
      <c r="GL829"/>
      <c r="GM829"/>
    </row>
    <row r="830" spans="1:195" s="7" customFormat="1">
      <c r="A830" s="4"/>
      <c r="B830" s="4"/>
      <c r="C830" s="105"/>
      <c r="D830" s="4"/>
      <c r="E830" s="4"/>
      <c r="F830" s="28"/>
      <c r="G830" s="28"/>
      <c r="H830" s="83"/>
      <c r="I830" s="4"/>
      <c r="J830" s="4"/>
      <c r="K830" s="4"/>
      <c r="L830" s="4"/>
      <c r="M830" s="4"/>
      <c r="N830" s="28"/>
      <c r="O830" s="4"/>
      <c r="P830" s="4"/>
      <c r="Q830" s="4"/>
      <c r="R830" s="4"/>
      <c r="S830" s="4"/>
      <c r="T830" s="4"/>
      <c r="U830" s="4"/>
      <c r="V830" s="4"/>
      <c r="W830" s="4"/>
      <c r="X830" s="4"/>
      <c r="Y830" s="4"/>
      <c r="Z830" s="4"/>
      <c r="AA830" s="4"/>
      <c r="AB830" s="4"/>
      <c r="AC830" s="4"/>
      <c r="AD830" s="4"/>
      <c r="AE830" s="4"/>
      <c r="AF830" s="81"/>
      <c r="AG830" s="81"/>
      <c r="AH830" s="81"/>
      <c r="AI830" s="4"/>
      <c r="AJ830" s="81"/>
      <c r="AK830" s="81"/>
      <c r="AL830" s="81"/>
      <c r="AM830" s="43">
        <v>814</v>
      </c>
      <c r="AN830">
        <v>295.8386115291745</v>
      </c>
      <c r="AO830">
        <v>112.86782018180034</v>
      </c>
      <c r="AP830">
        <v>804.70644170394564</v>
      </c>
      <c r="AQ830">
        <v>587.40451476120325</v>
      </c>
      <c r="AR830">
        <v>102.31517395370554</v>
      </c>
      <c r="AS830">
        <v>799.04598879641662</v>
      </c>
      <c r="AT830" t="e">
        <v>#DIV/0!</v>
      </c>
      <c r="AU830" t="e">
        <v>#DIV/0!</v>
      </c>
      <c r="AV830"/>
      <c r="AW830"/>
      <c r="FY830" s="211">
        <v>825</v>
      </c>
      <c r="FZ830">
        <v>35.072319111135727</v>
      </c>
      <c r="GA830">
        <v>72.286354114996627</v>
      </c>
      <c r="GB830">
        <v>63.847235436395181</v>
      </c>
      <c r="GC830">
        <v>41.116228493430924</v>
      </c>
      <c r="GD830">
        <v>17.414158153990719</v>
      </c>
      <c r="GE830">
        <v>35.447417482160795</v>
      </c>
      <c r="GF830">
        <v>80.452455162241563</v>
      </c>
      <c r="GG830">
        <v>67.782023708033748</v>
      </c>
      <c r="GH830">
        <v>41.32595515661346</v>
      </c>
      <c r="GI830">
        <v>54.885706433992532</v>
      </c>
      <c r="GJ830"/>
      <c r="GK830"/>
      <c r="GL830"/>
      <c r="GM830"/>
    </row>
    <row r="831" spans="1:195" s="7" customFormat="1">
      <c r="A831" s="4"/>
      <c r="B831" s="4"/>
      <c r="C831" s="105"/>
      <c r="D831" s="4"/>
      <c r="E831" s="4"/>
      <c r="F831" s="28"/>
      <c r="G831" s="28"/>
      <c r="H831" s="83"/>
      <c r="I831" s="4"/>
      <c r="J831" s="4"/>
      <c r="K831" s="4"/>
      <c r="L831" s="4"/>
      <c r="M831" s="4"/>
      <c r="N831" s="28"/>
      <c r="O831" s="4"/>
      <c r="P831" s="4"/>
      <c r="Q831" s="4"/>
      <c r="R831" s="4"/>
      <c r="S831" s="4"/>
      <c r="T831" s="4"/>
      <c r="U831" s="4"/>
      <c r="V831" s="4"/>
      <c r="W831" s="4"/>
      <c r="X831" s="4"/>
      <c r="Y831" s="4"/>
      <c r="Z831" s="4"/>
      <c r="AA831" s="4"/>
      <c r="AB831" s="4"/>
      <c r="AC831" s="4"/>
      <c r="AD831" s="4"/>
      <c r="AE831" s="4"/>
      <c r="AF831" s="81"/>
      <c r="AG831" s="81"/>
      <c r="AH831" s="81"/>
      <c r="AI831" s="4"/>
      <c r="AJ831" s="81"/>
      <c r="AK831" s="81"/>
      <c r="AL831" s="81"/>
      <c r="AM831" s="43">
        <v>815</v>
      </c>
      <c r="AN831">
        <v>221.70802794896144</v>
      </c>
      <c r="AO831">
        <v>82.363492651747293</v>
      </c>
      <c r="AP831">
        <v>570.01257292896003</v>
      </c>
      <c r="AQ831">
        <v>421.63972269211456</v>
      </c>
      <c r="AR831">
        <v>74.183876846861224</v>
      </c>
      <c r="AS831">
        <v>609.32197204327224</v>
      </c>
      <c r="AT831">
        <v>42.394335665769027</v>
      </c>
      <c r="AU831">
        <v>110.52200836862691</v>
      </c>
      <c r="AV831"/>
      <c r="AW831"/>
      <c r="FY831" s="211">
        <v>826</v>
      </c>
      <c r="FZ831">
        <v>36.226917492092262</v>
      </c>
      <c r="GA831">
        <v>78.135209824493671</v>
      </c>
      <c r="GB831">
        <v>97.128918604476013</v>
      </c>
      <c r="GC831">
        <v>53.201618686256616</v>
      </c>
      <c r="GD831">
        <v>14.107896260238523</v>
      </c>
      <c r="GE831">
        <v>22.310496323391689</v>
      </c>
      <c r="GF831">
        <v>58.17135063417485</v>
      </c>
      <c r="GG831">
        <v>58.007080453058855</v>
      </c>
      <c r="GH831">
        <v>32.012187173371188</v>
      </c>
      <c r="GI831">
        <v>55.793058934875049</v>
      </c>
      <c r="GJ831"/>
      <c r="GK831"/>
      <c r="GL831"/>
      <c r="GM831"/>
    </row>
    <row r="832" spans="1:195" s="7" customFormat="1">
      <c r="A832" s="4"/>
      <c r="B832" s="4"/>
      <c r="C832" s="105"/>
      <c r="D832" s="4"/>
      <c r="E832" s="4"/>
      <c r="F832" s="28"/>
      <c r="G832" s="28"/>
      <c r="H832" s="83"/>
      <c r="I832" s="4"/>
      <c r="J832" s="4"/>
      <c r="K832" s="4"/>
      <c r="L832" s="4"/>
      <c r="M832" s="4"/>
      <c r="N832" s="28"/>
      <c r="O832" s="4"/>
      <c r="P832" s="4"/>
      <c r="Q832" s="4"/>
      <c r="R832" s="4"/>
      <c r="S832" s="4"/>
      <c r="T832" s="4"/>
      <c r="U832" s="4"/>
      <c r="V832" s="4"/>
      <c r="W832" s="4"/>
      <c r="X832" s="4"/>
      <c r="Y832" s="4"/>
      <c r="Z832" s="4"/>
      <c r="AA832" s="4"/>
      <c r="AB832" s="4"/>
      <c r="AC832" s="4"/>
      <c r="AD832" s="4"/>
      <c r="AE832" s="4"/>
      <c r="AF832" s="81"/>
      <c r="AG832" s="81"/>
      <c r="AH832" s="81"/>
      <c r="AI832" s="4"/>
      <c r="AJ832" s="81"/>
      <c r="AK832" s="81"/>
      <c r="AL832" s="81"/>
      <c r="AM832" s="43">
        <v>816</v>
      </c>
      <c r="AN832">
        <v>309.77104997091317</v>
      </c>
      <c r="AO832">
        <v>84.741714818314534</v>
      </c>
      <c r="AP832">
        <v>587.80805527480322</v>
      </c>
      <c r="AQ832">
        <v>454.8325936746113</v>
      </c>
      <c r="AR832">
        <v>74.622819982780356</v>
      </c>
      <c r="AS832">
        <v>673.0259639101929</v>
      </c>
      <c r="AT832">
        <v>39.206187957336773</v>
      </c>
      <c r="AU832">
        <v>70.084568538165726</v>
      </c>
      <c r="AV832"/>
      <c r="AW832"/>
      <c r="FY832" s="211">
        <v>827</v>
      </c>
      <c r="FZ832">
        <v>41.423616209429305</v>
      </c>
      <c r="GA832">
        <v>64.150455999455531</v>
      </c>
      <c r="GB832">
        <v>68.835837722727604</v>
      </c>
      <c r="GC832">
        <v>41.734672309210687</v>
      </c>
      <c r="GD832">
        <v>26.936164973234821</v>
      </c>
      <c r="GE832">
        <v>74.616156324320031</v>
      </c>
      <c r="GF832">
        <v>76.855411919884858</v>
      </c>
      <c r="GG832">
        <v>45.704689298260561</v>
      </c>
      <c r="GH832">
        <v>37.080434913627258</v>
      </c>
      <c r="GI832">
        <v>62.122066782170393</v>
      </c>
      <c r="GJ832"/>
      <c r="GK832"/>
      <c r="GL832"/>
      <c r="GM832"/>
    </row>
    <row r="833" spans="1:195" s="7" customFormat="1">
      <c r="A833" s="4"/>
      <c r="B833" s="4"/>
      <c r="C833" s="105"/>
      <c r="D833" s="4"/>
      <c r="E833" s="4"/>
      <c r="F833" s="28"/>
      <c r="G833" s="28"/>
      <c r="H833" s="83"/>
      <c r="I833" s="4"/>
      <c r="J833" s="4"/>
      <c r="K833" s="4"/>
      <c r="L833" s="4"/>
      <c r="M833" s="4"/>
      <c r="N833" s="28"/>
      <c r="O833" s="4"/>
      <c r="P833" s="4"/>
      <c r="Q833" s="4"/>
      <c r="R833" s="4"/>
      <c r="S833" s="4"/>
      <c r="T833" s="4"/>
      <c r="U833" s="4"/>
      <c r="V833" s="4"/>
      <c r="W833" s="4"/>
      <c r="X833" s="4"/>
      <c r="Y833" s="4"/>
      <c r="Z833" s="4"/>
      <c r="AA833" s="4"/>
      <c r="AB833" s="4"/>
      <c r="AC833" s="4"/>
      <c r="AD833" s="4"/>
      <c r="AE833" s="4"/>
      <c r="AF833" s="81"/>
      <c r="AG833" s="81"/>
      <c r="AH833" s="81"/>
      <c r="AI833" s="4"/>
      <c r="AJ833" s="81"/>
      <c r="AK833" s="81"/>
      <c r="AL833" s="81"/>
      <c r="AM833" s="43">
        <v>817</v>
      </c>
      <c r="AN833">
        <v>208.10029076051742</v>
      </c>
      <c r="AO833">
        <v>75.300277240283236</v>
      </c>
      <c r="AP833">
        <v>535.73612568659325</v>
      </c>
      <c r="AQ833">
        <v>429.13386360584354</v>
      </c>
      <c r="AR833">
        <v>68.98028026835334</v>
      </c>
      <c r="AS833">
        <v>540.45757812328634</v>
      </c>
      <c r="AT833">
        <v>37.738210729868648</v>
      </c>
      <c r="AU833">
        <v>69.494435177301327</v>
      </c>
      <c r="AV833"/>
      <c r="AW833"/>
      <c r="FY833" s="211">
        <v>828</v>
      </c>
      <c r="FZ833">
        <v>5.7618401797826326</v>
      </c>
      <c r="GA833">
        <v>36.142019715885588</v>
      </c>
      <c r="GB833">
        <v>73.232145451265495</v>
      </c>
      <c r="GC833">
        <v>44.112823396296982</v>
      </c>
      <c r="GD833">
        <v>14.35166409421528</v>
      </c>
      <c r="GE833">
        <v>13.050535675787728</v>
      </c>
      <c r="GF833">
        <v>113.37394600183744</v>
      </c>
      <c r="GG833">
        <v>121.47546616121066</v>
      </c>
      <c r="GH833">
        <v>32.166984523562455</v>
      </c>
      <c r="GI833">
        <v>57.509589929365063</v>
      </c>
      <c r="GJ833"/>
      <c r="GK833"/>
      <c r="GL833"/>
      <c r="GM833"/>
    </row>
    <row r="834" spans="1:195" s="7" customFormat="1">
      <c r="A834" s="4"/>
      <c r="B834" s="4"/>
      <c r="C834" s="105"/>
      <c r="D834" s="4"/>
      <c r="E834" s="4"/>
      <c r="F834" s="28"/>
      <c r="G834" s="28"/>
      <c r="H834" s="83"/>
      <c r="I834" s="4"/>
      <c r="J834" s="4"/>
      <c r="K834" s="4"/>
      <c r="L834" s="4"/>
      <c r="M834" s="4"/>
      <c r="N834" s="28"/>
      <c r="O834" s="4"/>
      <c r="P834" s="4"/>
      <c r="Q834" s="4"/>
      <c r="R834" s="4"/>
      <c r="S834" s="4"/>
      <c r="T834" s="4"/>
      <c r="U834" s="4"/>
      <c r="V834" s="4"/>
      <c r="W834" s="4"/>
      <c r="X834" s="4"/>
      <c r="Y834" s="4"/>
      <c r="Z834" s="4"/>
      <c r="AA834" s="4"/>
      <c r="AB834" s="4"/>
      <c r="AC834" s="4"/>
      <c r="AD834" s="4"/>
      <c r="AE834" s="4"/>
      <c r="AF834" s="81"/>
      <c r="AG834" s="81"/>
      <c r="AH834" s="81"/>
      <c r="AI834" s="4"/>
      <c r="AJ834" s="81"/>
      <c r="AK834" s="81"/>
      <c r="AL834" s="81"/>
      <c r="AM834" s="43">
        <v>818</v>
      </c>
      <c r="AN834">
        <v>245.54560875645771</v>
      </c>
      <c r="AO834">
        <v>88.835397384748831</v>
      </c>
      <c r="AP834">
        <v>624.87666034298525</v>
      </c>
      <c r="AQ834">
        <v>465.83719631164826</v>
      </c>
      <c r="AR834">
        <v>81.189755888673133</v>
      </c>
      <c r="AS834">
        <v>660.33778391648559</v>
      </c>
      <c r="AT834">
        <v>42.973229350994878</v>
      </c>
      <c r="AU834">
        <v>57.948732345465949</v>
      </c>
      <c r="AV834"/>
      <c r="AW834"/>
      <c r="FY834" s="211">
        <v>829</v>
      </c>
      <c r="FZ834">
        <v>6.6322752307030246</v>
      </c>
      <c r="GA834">
        <v>26.399989501593961</v>
      </c>
      <c r="GB834">
        <v>88.896866770272439</v>
      </c>
      <c r="GC834">
        <v>54.952870695324265</v>
      </c>
      <c r="GD834">
        <v>30.737771416246932</v>
      </c>
      <c r="GE834">
        <v>74.450516505937117</v>
      </c>
      <c r="GF834">
        <v>107.11656931903221</v>
      </c>
      <c r="GG834">
        <v>57.921917307663122</v>
      </c>
      <c r="GH834">
        <v>8.865028808914019</v>
      </c>
      <c r="GI834">
        <v>67.189985935689677</v>
      </c>
      <c r="GJ834"/>
      <c r="GK834"/>
      <c r="GL834"/>
      <c r="GM834"/>
    </row>
    <row r="835" spans="1:195" s="7" customFormat="1">
      <c r="A835" s="4"/>
      <c r="B835" s="4"/>
      <c r="C835" s="105"/>
      <c r="D835" s="4"/>
      <c r="E835" s="4"/>
      <c r="F835" s="28"/>
      <c r="G835" s="28"/>
      <c r="H835" s="83"/>
      <c r="I835" s="4"/>
      <c r="J835" s="4"/>
      <c r="K835" s="4"/>
      <c r="L835" s="4"/>
      <c r="M835" s="4"/>
      <c r="N835" s="28"/>
      <c r="O835" s="4"/>
      <c r="P835" s="4"/>
      <c r="Q835" s="4"/>
      <c r="R835" s="4"/>
      <c r="S835" s="4"/>
      <c r="T835" s="4"/>
      <c r="U835" s="4"/>
      <c r="V835" s="4"/>
      <c r="W835" s="4"/>
      <c r="X835" s="4"/>
      <c r="Y835" s="4"/>
      <c r="Z835" s="4"/>
      <c r="AA835" s="4"/>
      <c r="AB835" s="4"/>
      <c r="AC835" s="4"/>
      <c r="AD835" s="4"/>
      <c r="AE835" s="4"/>
      <c r="AF835" s="81"/>
      <c r="AG835" s="81"/>
      <c r="AH835" s="81"/>
      <c r="AI835" s="4"/>
      <c r="AJ835" s="81"/>
      <c r="AK835" s="81"/>
      <c r="AL835" s="81"/>
      <c r="AM835" s="43">
        <v>819</v>
      </c>
      <c r="AN835">
        <v>238.23142646383172</v>
      </c>
      <c r="AO835">
        <v>72.840887663306603</v>
      </c>
      <c r="AP835">
        <v>496.24440602623258</v>
      </c>
      <c r="AQ835">
        <v>388.56652791296068</v>
      </c>
      <c r="AR835">
        <v>65.919756851958851</v>
      </c>
      <c r="AS835">
        <v>564.82763268916472</v>
      </c>
      <c r="AT835">
        <v>38.021951110792223</v>
      </c>
      <c r="AU835">
        <v>97.427787803369071</v>
      </c>
      <c r="AV835"/>
      <c r="AW835"/>
      <c r="FY835" s="211">
        <v>830</v>
      </c>
      <c r="FZ835">
        <v>15.099420168365493</v>
      </c>
      <c r="GA835">
        <v>52.255853331068479</v>
      </c>
      <c r="GB835">
        <v>65.174332093499928</v>
      </c>
      <c r="GC835">
        <v>34.367051057832327</v>
      </c>
      <c r="GD835">
        <v>27.296311414879643</v>
      </c>
      <c r="GE835">
        <v>48.516681965253511</v>
      </c>
      <c r="GF835">
        <v>56.385627858607634</v>
      </c>
      <c r="GG835">
        <v>77.501155823025059</v>
      </c>
      <c r="GH835">
        <v>50.508363063139818</v>
      </c>
      <c r="GI835">
        <v>55.664908043682516</v>
      </c>
      <c r="GJ835"/>
      <c r="GK835"/>
      <c r="GL835"/>
      <c r="GM835"/>
    </row>
    <row r="836" spans="1:195" s="7" customFormat="1">
      <c r="A836" s="4"/>
      <c r="B836" s="4"/>
      <c r="C836" s="105"/>
      <c r="D836" s="4"/>
      <c r="E836" s="4"/>
      <c r="F836" s="28"/>
      <c r="G836" s="28"/>
      <c r="H836" s="83"/>
      <c r="I836" s="4"/>
      <c r="J836" s="4"/>
      <c r="K836" s="4"/>
      <c r="L836" s="4"/>
      <c r="M836" s="4"/>
      <c r="N836" s="28"/>
      <c r="O836" s="4"/>
      <c r="P836" s="4"/>
      <c r="Q836" s="4"/>
      <c r="R836" s="4"/>
      <c r="S836" s="4"/>
      <c r="T836" s="4"/>
      <c r="U836" s="4"/>
      <c r="V836" s="4"/>
      <c r="W836" s="4"/>
      <c r="X836" s="4"/>
      <c r="Y836" s="4"/>
      <c r="Z836" s="4"/>
      <c r="AA836" s="4"/>
      <c r="AB836" s="4"/>
      <c r="AC836" s="4"/>
      <c r="AD836" s="4"/>
      <c r="AE836" s="4"/>
      <c r="AF836" s="81"/>
      <c r="AG836" s="81"/>
      <c r="AH836" s="81"/>
      <c r="AI836" s="4"/>
      <c r="AJ836" s="81"/>
      <c r="AK836" s="81"/>
      <c r="AL836" s="81"/>
      <c r="AM836" s="43">
        <v>820</v>
      </c>
      <c r="AN836">
        <v>267.46956046905564</v>
      </c>
      <c r="AO836">
        <v>83.332639611720921</v>
      </c>
      <c r="AP836">
        <v>584.87235209768676</v>
      </c>
      <c r="AQ836">
        <v>450.58245485816798</v>
      </c>
      <c r="AR836">
        <v>73.299951672502672</v>
      </c>
      <c r="AS836">
        <v>642.56184670928553</v>
      </c>
      <c r="AT836">
        <v>43.215239521402509</v>
      </c>
      <c r="AU836">
        <v>116.068190827417</v>
      </c>
      <c r="AV836"/>
      <c r="AW836"/>
      <c r="FY836" s="211">
        <v>831</v>
      </c>
      <c r="FZ836">
        <v>18.766455239797104</v>
      </c>
      <c r="GA836">
        <v>44.822942956670182</v>
      </c>
      <c r="GB836">
        <v>54.918812428571051</v>
      </c>
      <c r="GC836">
        <v>34.087096047942552</v>
      </c>
      <c r="GD836">
        <v>20.24296144053648</v>
      </c>
      <c r="GE836">
        <v>58.546607344460384</v>
      </c>
      <c r="GF836">
        <v>74.968704379161096</v>
      </c>
      <c r="GG836">
        <v>28.591729287816804</v>
      </c>
      <c r="GH836">
        <v>15.716952507727996</v>
      </c>
      <c r="GI836">
        <v>46.708903457816412</v>
      </c>
      <c r="GJ836"/>
      <c r="GK836"/>
      <c r="GL836"/>
      <c r="GM836"/>
    </row>
    <row r="837" spans="1:195" s="7" customFormat="1">
      <c r="A837" s="4"/>
      <c r="B837" s="4"/>
      <c r="C837" s="105"/>
      <c r="D837" s="4"/>
      <c r="E837" s="4"/>
      <c r="F837" s="28"/>
      <c r="G837" s="28"/>
      <c r="H837" s="83"/>
      <c r="I837" s="4"/>
      <c r="J837" s="4"/>
      <c r="K837" s="4"/>
      <c r="L837" s="4"/>
      <c r="M837" s="4"/>
      <c r="N837" s="28"/>
      <c r="O837" s="4"/>
      <c r="P837" s="4"/>
      <c r="Q837" s="4"/>
      <c r="R837" s="4"/>
      <c r="S837" s="4"/>
      <c r="T837" s="4"/>
      <c r="U837" s="4"/>
      <c r="V837" s="4"/>
      <c r="W837" s="4"/>
      <c r="X837" s="4"/>
      <c r="Y837" s="4"/>
      <c r="Z837" s="4"/>
      <c r="AA837" s="4"/>
      <c r="AB837" s="4"/>
      <c r="AC837" s="4"/>
      <c r="AD837" s="4"/>
      <c r="AE837" s="4"/>
      <c r="AF837" s="81"/>
      <c r="AG837" s="81"/>
      <c r="AH837" s="81"/>
      <c r="AI837" s="4"/>
      <c r="AJ837" s="81"/>
      <c r="AK837" s="81"/>
      <c r="AL837" s="81"/>
      <c r="AM837" s="43">
        <v>821</v>
      </c>
      <c r="AN837">
        <v>274.54915045150972</v>
      </c>
      <c r="AO837">
        <v>91.698065968022931</v>
      </c>
      <c r="AP837">
        <v>664.85779848169659</v>
      </c>
      <c r="AQ837">
        <v>483.49736352039196</v>
      </c>
      <c r="AR837">
        <v>80.463856190074068</v>
      </c>
      <c r="AS837">
        <v>695.38335920814939</v>
      </c>
      <c r="AT837">
        <v>42.496205020319017</v>
      </c>
      <c r="AU837">
        <v>52.143001042298209</v>
      </c>
      <c r="AV837"/>
      <c r="AW837"/>
      <c r="FY837" s="211">
        <v>832</v>
      </c>
      <c r="FZ837">
        <v>9.716810952027922</v>
      </c>
      <c r="GA837">
        <v>44.72859022413067</v>
      </c>
      <c r="GB837">
        <v>69.917869498521284</v>
      </c>
      <c r="GC837">
        <v>43.049347123223995</v>
      </c>
      <c r="GD837">
        <v>22.535338215167688</v>
      </c>
      <c r="GE837">
        <v>29.346726540005609</v>
      </c>
      <c r="GF837">
        <v>76.490156554818256</v>
      </c>
      <c r="GG837">
        <v>98.432492984053752</v>
      </c>
      <c r="GH837">
        <v>52.316936963228841</v>
      </c>
      <c r="GI837">
        <v>57.367316166807186</v>
      </c>
      <c r="GJ837"/>
      <c r="GK837"/>
      <c r="GL837"/>
      <c r="GM837"/>
    </row>
    <row r="838" spans="1:195" s="7" customFormat="1">
      <c r="A838" s="4"/>
      <c r="B838" s="4"/>
      <c r="C838" s="105"/>
      <c r="D838" s="4"/>
      <c r="E838" s="4"/>
      <c r="F838" s="28"/>
      <c r="G838" s="28"/>
      <c r="H838" s="83"/>
      <c r="I838" s="4"/>
      <c r="J838" s="4"/>
      <c r="K838" s="4"/>
      <c r="L838" s="4"/>
      <c r="M838" s="4"/>
      <c r="N838" s="28"/>
      <c r="O838" s="4"/>
      <c r="P838" s="4"/>
      <c r="Q838" s="4"/>
      <c r="R838" s="4"/>
      <c r="S838" s="4"/>
      <c r="T838" s="4"/>
      <c r="U838" s="4"/>
      <c r="V838" s="4"/>
      <c r="W838" s="4"/>
      <c r="X838" s="4"/>
      <c r="Y838" s="4"/>
      <c r="Z838" s="4"/>
      <c r="AA838" s="4"/>
      <c r="AB838" s="4"/>
      <c r="AC838" s="4"/>
      <c r="AD838" s="4"/>
      <c r="AE838" s="4"/>
      <c r="AF838" s="81"/>
      <c r="AG838" s="81"/>
      <c r="AH838" s="81"/>
      <c r="AI838" s="4"/>
      <c r="AJ838" s="81"/>
      <c r="AK838" s="81"/>
      <c r="AL838" s="81"/>
      <c r="AM838" s="43">
        <v>822</v>
      </c>
      <c r="AN838">
        <v>259.98041980604069</v>
      </c>
      <c r="AO838">
        <v>91.158462967187546</v>
      </c>
      <c r="AP838">
        <v>662.10475618540613</v>
      </c>
      <c r="AQ838">
        <v>480.71593717065298</v>
      </c>
      <c r="AR838">
        <v>81.181494819221598</v>
      </c>
      <c r="AS838">
        <v>689.34309369844823</v>
      </c>
      <c r="AT838">
        <v>44.010981708170625</v>
      </c>
      <c r="AU838">
        <v>82.705343980455808</v>
      </c>
      <c r="AV838"/>
      <c r="AW838"/>
      <c r="FY838" s="211">
        <v>833</v>
      </c>
      <c r="FZ838">
        <v>23.218644778988303</v>
      </c>
      <c r="GA838">
        <v>69.657424998816197</v>
      </c>
      <c r="GB838">
        <v>62.281558878998268</v>
      </c>
      <c r="GC838">
        <v>31.022160124577386</v>
      </c>
      <c r="GD838">
        <v>19.210271852632726</v>
      </c>
      <c r="GE838">
        <v>48.869455805466558</v>
      </c>
      <c r="GF838">
        <v>66.304247695359024</v>
      </c>
      <c r="GG838">
        <v>30.182460770548076</v>
      </c>
      <c r="GH838">
        <v>7.9867002917775167</v>
      </c>
      <c r="GI838">
        <v>46.347738008675684</v>
      </c>
      <c r="GJ838"/>
      <c r="GK838"/>
      <c r="GL838"/>
      <c r="GM838"/>
    </row>
    <row r="839" spans="1:195" s="7" customFormat="1">
      <c r="A839" s="4"/>
      <c r="B839" s="4"/>
      <c r="C839" s="105"/>
      <c r="D839" s="4"/>
      <c r="E839" s="4"/>
      <c r="F839" s="28"/>
      <c r="G839" s="28"/>
      <c r="H839" s="83"/>
      <c r="I839" s="4"/>
      <c r="J839" s="4"/>
      <c r="K839" s="4"/>
      <c r="L839" s="4"/>
      <c r="M839" s="4"/>
      <c r="N839" s="28"/>
      <c r="O839" s="4"/>
      <c r="P839" s="4"/>
      <c r="Q839" s="4"/>
      <c r="R839" s="4"/>
      <c r="S839" s="4"/>
      <c r="T839" s="4"/>
      <c r="U839" s="4"/>
      <c r="V839" s="4"/>
      <c r="W839" s="4"/>
      <c r="X839" s="4"/>
      <c r="Y839" s="4"/>
      <c r="Z839" s="4"/>
      <c r="AA839" s="4"/>
      <c r="AB839" s="4"/>
      <c r="AC839" s="4"/>
      <c r="AD839" s="4"/>
      <c r="AE839" s="4"/>
      <c r="AF839" s="81"/>
      <c r="AG839" s="81"/>
      <c r="AH839" s="81"/>
      <c r="AI839" s="4"/>
      <c r="AJ839" s="81"/>
      <c r="AK839" s="81"/>
      <c r="AL839" s="81"/>
      <c r="AM839" s="43">
        <v>823</v>
      </c>
      <c r="AN839">
        <v>306.92476387329265</v>
      </c>
      <c r="AO839">
        <v>94.178997069488943</v>
      </c>
      <c r="AP839">
        <v>717.62436669601459</v>
      </c>
      <c r="AQ839">
        <v>531.86714296532591</v>
      </c>
      <c r="AR839">
        <v>85.359351594427466</v>
      </c>
      <c r="AS839">
        <v>771.71779344228753</v>
      </c>
      <c r="AT839">
        <v>44.69225462352685</v>
      </c>
      <c r="AU839">
        <v>118.88128687812274</v>
      </c>
      <c r="AV839"/>
      <c r="AW839"/>
      <c r="FY839" s="211">
        <v>834</v>
      </c>
      <c r="FZ839">
        <v>8.4837393946305273</v>
      </c>
      <c r="GA839">
        <v>40.15779198209971</v>
      </c>
      <c r="GB839">
        <v>87.909997317444379</v>
      </c>
      <c r="GC839">
        <v>51.837572990368116</v>
      </c>
      <c r="GD839">
        <v>17.616154573193977</v>
      </c>
      <c r="GE839">
        <v>57.936079091712614</v>
      </c>
      <c r="GF839">
        <v>122.40287391443506</v>
      </c>
      <c r="GG839">
        <v>54.342690621460903</v>
      </c>
      <c r="GH839">
        <v>6.9261005941255913</v>
      </c>
      <c r="GI839">
        <v>60.700944251507018</v>
      </c>
      <c r="GJ839"/>
      <c r="GK839"/>
      <c r="GL839"/>
      <c r="GM839"/>
    </row>
    <row r="840" spans="1:195" s="7" customFormat="1">
      <c r="A840" s="4"/>
      <c r="B840" s="4"/>
      <c r="C840" s="105"/>
      <c r="D840" s="4"/>
      <c r="E840" s="4"/>
      <c r="F840" s="28"/>
      <c r="G840" s="28"/>
      <c r="H840" s="83"/>
      <c r="I840" s="4"/>
      <c r="J840" s="4"/>
      <c r="K840" s="4"/>
      <c r="L840" s="4"/>
      <c r="M840" s="4"/>
      <c r="N840" s="28"/>
      <c r="O840" s="4"/>
      <c r="P840" s="4"/>
      <c r="Q840" s="4"/>
      <c r="R840" s="4"/>
      <c r="S840" s="4"/>
      <c r="T840" s="4"/>
      <c r="U840" s="4"/>
      <c r="V840" s="4"/>
      <c r="W840" s="4"/>
      <c r="X840" s="4"/>
      <c r="Y840" s="4"/>
      <c r="Z840" s="4"/>
      <c r="AA840" s="4"/>
      <c r="AB840" s="4"/>
      <c r="AC840" s="4"/>
      <c r="AD840" s="4"/>
      <c r="AE840" s="4"/>
      <c r="AF840" s="81"/>
      <c r="AG840" s="81"/>
      <c r="AH840" s="81"/>
      <c r="AI840" s="4"/>
      <c r="AJ840" s="81"/>
      <c r="AK840" s="81"/>
      <c r="AL840" s="81"/>
      <c r="AM840" s="43">
        <v>824</v>
      </c>
      <c r="AN840">
        <v>212.74456433692549</v>
      </c>
      <c r="AO840">
        <v>83.813957423497627</v>
      </c>
      <c r="AP840">
        <v>572.08480536500178</v>
      </c>
      <c r="AQ840">
        <v>440.33795092851716</v>
      </c>
      <c r="AR840">
        <v>76.768845923790877</v>
      </c>
      <c r="AS840">
        <v>613.70297815258414</v>
      </c>
      <c r="AT840">
        <v>43.997207819189278</v>
      </c>
      <c r="AU840">
        <v>88.539874434626824</v>
      </c>
      <c r="AV840"/>
      <c r="AW840"/>
      <c r="FY840" s="211">
        <v>835</v>
      </c>
      <c r="FZ840">
        <v>11.596020424884145</v>
      </c>
      <c r="GA840">
        <v>48.197756207942447</v>
      </c>
      <c r="GB840">
        <v>70.372704591067986</v>
      </c>
      <c r="GC840">
        <v>35.25905647522513</v>
      </c>
      <c r="GD840">
        <v>15.253431681142001</v>
      </c>
      <c r="GE840">
        <v>42.938210349256757</v>
      </c>
      <c r="GF840">
        <v>70.463566430020194</v>
      </c>
      <c r="GG840">
        <v>52.018495983739776</v>
      </c>
      <c r="GH840">
        <v>29.275499735558956</v>
      </c>
      <c r="GI840">
        <v>47.797873725502818</v>
      </c>
      <c r="GJ840"/>
      <c r="GK840"/>
      <c r="GL840"/>
      <c r="GM840"/>
    </row>
    <row r="841" spans="1:195" s="7" customFormat="1">
      <c r="A841" s="4"/>
      <c r="B841" s="4"/>
      <c r="C841" s="105"/>
      <c r="D841" s="4"/>
      <c r="E841" s="4"/>
      <c r="F841" s="28"/>
      <c r="G841" s="28"/>
      <c r="H841" s="83"/>
      <c r="I841" s="4"/>
      <c r="J841" s="4"/>
      <c r="K841" s="4"/>
      <c r="L841" s="4"/>
      <c r="M841" s="4"/>
      <c r="N841" s="28"/>
      <c r="O841" s="4"/>
      <c r="P841" s="4"/>
      <c r="Q841" s="4"/>
      <c r="R841" s="4"/>
      <c r="S841" s="4"/>
      <c r="T841" s="4"/>
      <c r="U841" s="4"/>
      <c r="V841" s="4"/>
      <c r="W841" s="4"/>
      <c r="X841" s="4"/>
      <c r="Y841" s="4"/>
      <c r="Z841" s="4"/>
      <c r="AA841" s="4"/>
      <c r="AB841" s="4"/>
      <c r="AC841" s="4"/>
      <c r="AD841" s="4"/>
      <c r="AE841" s="4"/>
      <c r="AF841" s="81"/>
      <c r="AG841" s="81"/>
      <c r="AH841" s="81"/>
      <c r="AI841" s="4"/>
      <c r="AJ841" s="81"/>
      <c r="AK841" s="81"/>
      <c r="AL841" s="81"/>
      <c r="AM841" s="43">
        <v>825</v>
      </c>
      <c r="AN841">
        <v>308.39990915717033</v>
      </c>
      <c r="AO841">
        <v>87.205742956624704</v>
      </c>
      <c r="AP841">
        <v>684.77169141898798</v>
      </c>
      <c r="AQ841">
        <v>509.62985325299127</v>
      </c>
      <c r="AR841">
        <v>78.590441919602156</v>
      </c>
      <c r="AS841">
        <v>673.36173919928387</v>
      </c>
      <c r="AT841">
        <v>41.592496422821959</v>
      </c>
      <c r="AU841">
        <v>69.137679172198546</v>
      </c>
      <c r="AV841"/>
      <c r="AW841"/>
      <c r="FY841" s="211">
        <v>836</v>
      </c>
      <c r="FZ841">
        <v>10.344513236630476</v>
      </c>
      <c r="GA841">
        <v>56.940276473837763</v>
      </c>
      <c r="GB841">
        <v>61.812384621468176</v>
      </c>
      <c r="GC841">
        <v>36.187560082694745</v>
      </c>
      <c r="GD841">
        <v>18.580101055254907</v>
      </c>
      <c r="GE841">
        <v>32.916622431002558</v>
      </c>
      <c r="GF841">
        <v>98.6774380206014</v>
      </c>
      <c r="GG841">
        <v>79.487874662757676</v>
      </c>
      <c r="GH841">
        <v>23.570698019771136</v>
      </c>
      <c r="GI841">
        <v>52.656458075632266</v>
      </c>
      <c r="GJ841"/>
      <c r="GK841"/>
      <c r="GL841"/>
      <c r="GM841"/>
    </row>
    <row r="842" spans="1:195" s="7" customFormat="1">
      <c r="A842" s="4"/>
      <c r="B842" s="4"/>
      <c r="C842" s="105"/>
      <c r="D842" s="4"/>
      <c r="E842" s="4"/>
      <c r="F842" s="28"/>
      <c r="G842" s="28"/>
      <c r="H842" s="83"/>
      <c r="I842" s="4"/>
      <c r="J842" s="4"/>
      <c r="K842" s="4"/>
      <c r="L842" s="4"/>
      <c r="M842" s="4"/>
      <c r="N842" s="28"/>
      <c r="O842" s="4"/>
      <c r="P842" s="4"/>
      <c r="Q842" s="4"/>
      <c r="R842" s="4"/>
      <c r="S842" s="4"/>
      <c r="T842" s="4"/>
      <c r="U842" s="4"/>
      <c r="V842" s="4"/>
      <c r="W842" s="4"/>
      <c r="X842" s="4"/>
      <c r="Y842" s="4"/>
      <c r="Z842" s="4"/>
      <c r="AA842" s="4"/>
      <c r="AB842" s="4"/>
      <c r="AC842" s="4"/>
      <c r="AD842" s="4"/>
      <c r="AE842" s="4"/>
      <c r="AF842" s="81"/>
      <c r="AG842" s="81"/>
      <c r="AH842" s="81"/>
      <c r="AI842" s="4"/>
      <c r="AJ842" s="81"/>
      <c r="AK842" s="81"/>
      <c r="AL842" s="81"/>
      <c r="AM842" s="43">
        <v>826</v>
      </c>
      <c r="AN842">
        <v>213.67642029329198</v>
      </c>
      <c r="AO842">
        <v>88.80715403598515</v>
      </c>
      <c r="AP842">
        <v>700.16736947505865</v>
      </c>
      <c r="AQ842">
        <v>505.09473438642874</v>
      </c>
      <c r="AR842">
        <v>81.2998386175516</v>
      </c>
      <c r="AS842">
        <v>629.77147065310817</v>
      </c>
      <c r="AT842">
        <v>45.319135303279673</v>
      </c>
      <c r="AU842">
        <v>32.169776620496258</v>
      </c>
      <c r="AV842"/>
      <c r="AW842"/>
      <c r="FY842" s="211">
        <v>837</v>
      </c>
      <c r="FZ842">
        <v>21.05716558007196</v>
      </c>
      <c r="GA842">
        <v>66.301620148565277</v>
      </c>
      <c r="GB842">
        <v>78.270625675056692</v>
      </c>
      <c r="GC842">
        <v>42.753173662287104</v>
      </c>
      <c r="GD842">
        <v>25.376515376411092</v>
      </c>
      <c r="GE842">
        <v>53.395884337330401</v>
      </c>
      <c r="GF842">
        <v>93.857594255217975</v>
      </c>
      <c r="GG842">
        <v>70.579311421140673</v>
      </c>
      <c r="GH842">
        <v>21.162069425629209</v>
      </c>
      <c r="GI842">
        <v>61.248143688894103</v>
      </c>
      <c r="GJ842"/>
      <c r="GK842"/>
      <c r="GL842"/>
      <c r="GM842"/>
    </row>
    <row r="843" spans="1:195" s="7" customFormat="1">
      <c r="A843" s="4"/>
      <c r="B843" s="4"/>
      <c r="C843" s="105"/>
      <c r="D843" s="4"/>
      <c r="E843" s="4"/>
      <c r="F843" s="28"/>
      <c r="G843" s="28"/>
      <c r="H843" s="83"/>
      <c r="I843" s="4"/>
      <c r="J843" s="4"/>
      <c r="K843" s="4"/>
      <c r="L843" s="4"/>
      <c r="M843" s="4"/>
      <c r="N843" s="28"/>
      <c r="O843" s="4"/>
      <c r="P843" s="4"/>
      <c r="Q843" s="4"/>
      <c r="R843" s="4"/>
      <c r="S843" s="4"/>
      <c r="T843" s="4"/>
      <c r="U843" s="4"/>
      <c r="V843" s="4"/>
      <c r="W843" s="4"/>
      <c r="X843" s="4"/>
      <c r="Y843" s="4"/>
      <c r="Z843" s="4"/>
      <c r="AA843" s="4"/>
      <c r="AB843" s="4"/>
      <c r="AC843" s="4"/>
      <c r="AD843" s="4"/>
      <c r="AE843" s="4"/>
      <c r="AF843" s="81"/>
      <c r="AG843" s="81"/>
      <c r="AH843" s="81"/>
      <c r="AI843" s="4"/>
      <c r="AJ843" s="81"/>
      <c r="AK843" s="81"/>
      <c r="AL843" s="81"/>
      <c r="AM843" s="43">
        <v>827</v>
      </c>
      <c r="AN843">
        <v>279.05805276128774</v>
      </c>
      <c r="AO843">
        <v>98.896816553746845</v>
      </c>
      <c r="AP843">
        <v>687.68182563378582</v>
      </c>
      <c r="AQ843">
        <v>539.45950645232097</v>
      </c>
      <c r="AR843">
        <v>88.163215922620211</v>
      </c>
      <c r="AS843">
        <v>707.2991762742746</v>
      </c>
      <c r="AT843">
        <v>44.882231350885995</v>
      </c>
      <c r="AU843">
        <v>49.277121160169749</v>
      </c>
      <c r="AV843"/>
      <c r="AW843"/>
      <c r="FY843" s="211">
        <v>838</v>
      </c>
      <c r="FZ843">
        <v>15.526651815859816</v>
      </c>
      <c r="GA843">
        <v>55.491576092242873</v>
      </c>
      <c r="GB843">
        <v>61.334598265092552</v>
      </c>
      <c r="GC843">
        <v>36.741424521071039</v>
      </c>
      <c r="GD843">
        <v>18.29970069723937</v>
      </c>
      <c r="GE843">
        <v>42.980245199302544</v>
      </c>
      <c r="GF843">
        <v>77.697306540844679</v>
      </c>
      <c r="GG843">
        <v>42.98379742851241</v>
      </c>
      <c r="GH843">
        <v>18.888246125124169</v>
      </c>
      <c r="GI843">
        <v>48.475331536705148</v>
      </c>
      <c r="GJ843"/>
      <c r="GK843"/>
      <c r="GL843"/>
      <c r="GM843"/>
    </row>
    <row r="844" spans="1:195" s="7" customFormat="1">
      <c r="A844" s="4"/>
      <c r="B844" s="4"/>
      <c r="C844" s="105"/>
      <c r="D844" s="4"/>
      <c r="E844" s="4"/>
      <c r="F844" s="28"/>
      <c r="G844" s="28"/>
      <c r="H844" s="83"/>
      <c r="I844" s="4"/>
      <c r="J844" s="4"/>
      <c r="K844" s="4"/>
      <c r="L844" s="4"/>
      <c r="M844" s="4"/>
      <c r="N844" s="28"/>
      <c r="O844" s="4"/>
      <c r="P844" s="4"/>
      <c r="Q844" s="4"/>
      <c r="R844" s="4"/>
      <c r="S844" s="4"/>
      <c r="T844" s="4"/>
      <c r="U844" s="4"/>
      <c r="V844" s="4"/>
      <c r="W844" s="4"/>
      <c r="X844" s="4"/>
      <c r="Y844" s="4"/>
      <c r="Z844" s="4"/>
      <c r="AA844" s="4"/>
      <c r="AB844" s="4"/>
      <c r="AC844" s="4"/>
      <c r="AD844" s="4"/>
      <c r="AE844" s="4"/>
      <c r="AF844" s="81"/>
      <c r="AG844" s="81"/>
      <c r="AH844" s="81"/>
      <c r="AI844" s="4"/>
      <c r="AJ844" s="81"/>
      <c r="AK844" s="81"/>
      <c r="AL844" s="81"/>
      <c r="AM844" s="43">
        <v>828</v>
      </c>
      <c r="AN844">
        <v>243.89191512753897</v>
      </c>
      <c r="AO844">
        <v>93.903335211918716</v>
      </c>
      <c r="AP844">
        <v>769.27160075468839</v>
      </c>
      <c r="AQ844">
        <v>511.17701512920934</v>
      </c>
      <c r="AR844">
        <v>86.786434544712222</v>
      </c>
      <c r="AS844">
        <v>680.55209785838554</v>
      </c>
      <c r="AT844">
        <v>46.269330866608648</v>
      </c>
      <c r="AU844">
        <v>62.234486348171856</v>
      </c>
      <c r="AV844"/>
      <c r="AW844"/>
      <c r="FY844" s="211">
        <v>839</v>
      </c>
      <c r="FZ844">
        <v>7.0840628040830182</v>
      </c>
      <c r="GA844">
        <v>44.59471027809154</v>
      </c>
      <c r="GB844">
        <v>71.290613177043241</v>
      </c>
      <c r="GC844">
        <v>41.915956523629177</v>
      </c>
      <c r="GD844">
        <v>26.92214109377597</v>
      </c>
      <c r="GE844">
        <v>49.164995392290606</v>
      </c>
      <c r="GF844">
        <v>77.260507750556698</v>
      </c>
      <c r="GG844">
        <v>53.011044847145932</v>
      </c>
      <c r="GH844">
        <v>6.5780235593956462</v>
      </c>
      <c r="GI844">
        <v>53.933895153173232</v>
      </c>
      <c r="GJ844"/>
      <c r="GK844"/>
      <c r="GL844"/>
      <c r="GM844"/>
    </row>
    <row r="845" spans="1:195" s="7" customFormat="1">
      <c r="A845" s="4"/>
      <c r="B845" s="4"/>
      <c r="C845" s="105"/>
      <c r="D845" s="4"/>
      <c r="E845" s="4"/>
      <c r="F845" s="28"/>
      <c r="G845" s="28"/>
      <c r="H845" s="83"/>
      <c r="I845" s="4"/>
      <c r="J845" s="4"/>
      <c r="K845" s="4"/>
      <c r="L845" s="4"/>
      <c r="M845" s="4"/>
      <c r="N845" s="28"/>
      <c r="O845" s="4"/>
      <c r="P845" s="4"/>
      <c r="Q845" s="4"/>
      <c r="R845" s="4"/>
      <c r="S845" s="4"/>
      <c r="T845" s="4"/>
      <c r="U845" s="4"/>
      <c r="V845" s="4"/>
      <c r="W845" s="4"/>
      <c r="X845" s="4"/>
      <c r="Y845" s="4"/>
      <c r="Z845" s="4"/>
      <c r="AA845" s="4"/>
      <c r="AB845" s="4"/>
      <c r="AC845" s="4"/>
      <c r="AD845" s="4"/>
      <c r="AE845" s="4"/>
      <c r="AF845" s="81"/>
      <c r="AG845" s="81"/>
      <c r="AH845" s="81"/>
      <c r="AI845" s="4"/>
      <c r="AJ845" s="81"/>
      <c r="AK845" s="81"/>
      <c r="AL845" s="81"/>
      <c r="AM845" s="43">
        <v>829</v>
      </c>
      <c r="AN845">
        <v>287.55296827837714</v>
      </c>
      <c r="AO845">
        <v>107.7431041140223</v>
      </c>
      <c r="AP845">
        <v>708.06706236637058</v>
      </c>
      <c r="AQ845">
        <v>523.16379149137686</v>
      </c>
      <c r="AR845">
        <v>96.60400835448759</v>
      </c>
      <c r="AS845">
        <v>797.87235844811164</v>
      </c>
      <c r="AT845" t="e">
        <v>#DIV/0!</v>
      </c>
      <c r="AU845" t="e">
        <v>#DIV/0!</v>
      </c>
      <c r="AV845"/>
      <c r="AW845"/>
      <c r="FY845" s="211">
        <v>840</v>
      </c>
      <c r="FZ845">
        <v>10.14078805418804</v>
      </c>
      <c r="GA845">
        <v>52.539304388549233</v>
      </c>
      <c r="GB845">
        <v>84.861984275708267</v>
      </c>
      <c r="GC845">
        <v>54.079302495105161</v>
      </c>
      <c r="GD845">
        <v>21.066873635190486</v>
      </c>
      <c r="GE845">
        <v>21.742982077374947</v>
      </c>
      <c r="GF845">
        <v>50.532476000156677</v>
      </c>
      <c r="GG845">
        <v>50.543100043462289</v>
      </c>
      <c r="GH845">
        <v>26.61676430362413</v>
      </c>
      <c r="GI845">
        <v>50.206593774665649</v>
      </c>
      <c r="GJ845"/>
      <c r="GK845"/>
      <c r="GL845"/>
      <c r="GM845"/>
    </row>
    <row r="846" spans="1:195" s="7" customFormat="1">
      <c r="A846" s="4"/>
      <c r="B846" s="4"/>
      <c r="C846" s="105"/>
      <c r="D846" s="4"/>
      <c r="E846" s="4"/>
      <c r="F846" s="28"/>
      <c r="G846" s="28"/>
      <c r="H846" s="83"/>
      <c r="I846" s="4"/>
      <c r="J846" s="4"/>
      <c r="K846" s="4"/>
      <c r="L846" s="4"/>
      <c r="M846" s="4"/>
      <c r="N846" s="28"/>
      <c r="O846" s="4"/>
      <c r="P846" s="4"/>
      <c r="Q846" s="4"/>
      <c r="R846" s="4"/>
      <c r="S846" s="4"/>
      <c r="T846" s="4"/>
      <c r="U846" s="4"/>
      <c r="V846" s="4"/>
      <c r="W846" s="4"/>
      <c r="X846" s="4"/>
      <c r="Y846" s="4"/>
      <c r="Z846" s="4"/>
      <c r="AA846" s="4"/>
      <c r="AB846" s="4"/>
      <c r="AC846" s="4"/>
      <c r="AD846" s="4"/>
      <c r="AE846" s="4"/>
      <c r="AF846" s="81"/>
      <c r="AG846" s="81"/>
      <c r="AH846" s="81"/>
      <c r="AI846" s="4"/>
      <c r="AJ846" s="81"/>
      <c r="AK846" s="81"/>
      <c r="AL846" s="81"/>
      <c r="AM846" s="43">
        <v>830</v>
      </c>
      <c r="AN846">
        <v>216.44354667999224</v>
      </c>
      <c r="AO846">
        <v>88.238053791740143</v>
      </c>
      <c r="AP846">
        <v>626.78133131743527</v>
      </c>
      <c r="AQ846">
        <v>482.76970481935439</v>
      </c>
      <c r="AR846">
        <v>81.2793755610831</v>
      </c>
      <c r="AS846">
        <v>657.34230900340856</v>
      </c>
      <c r="AT846">
        <v>46.317730956127654</v>
      </c>
      <c r="AU846">
        <v>100.81562530869118</v>
      </c>
      <c r="AV846"/>
      <c r="AW846"/>
      <c r="FY846" s="211">
        <v>841</v>
      </c>
      <c r="FZ846">
        <v>15.0702067129283</v>
      </c>
      <c r="GA846">
        <v>50.25749582204962</v>
      </c>
      <c r="GB846">
        <v>65.555096630379623</v>
      </c>
      <c r="GC846">
        <v>39.210029916102258</v>
      </c>
      <c r="GD846">
        <v>15.101960766032068</v>
      </c>
      <c r="GE846">
        <v>27.599949437862506</v>
      </c>
      <c r="GF846">
        <v>56.945113417289321</v>
      </c>
      <c r="GG846">
        <v>47.449362452342037</v>
      </c>
      <c r="GH846">
        <v>28.927601780455227</v>
      </c>
      <c r="GI846">
        <v>43.695180737146444</v>
      </c>
      <c r="GJ846"/>
      <c r="GK846"/>
      <c r="GL846"/>
      <c r="GM846"/>
    </row>
    <row r="847" spans="1:195" s="7" customFormat="1">
      <c r="A847" s="4"/>
      <c r="B847" s="4"/>
      <c r="C847" s="4"/>
      <c r="D847" s="4"/>
      <c r="E847" s="4"/>
      <c r="F847" s="28"/>
      <c r="G847" s="28"/>
      <c r="H847" s="83"/>
      <c r="I847" s="4"/>
      <c r="J847" s="4"/>
      <c r="K847" s="4"/>
      <c r="L847" s="4"/>
      <c r="M847" s="4"/>
      <c r="N847" s="28"/>
      <c r="O847" s="4"/>
      <c r="P847" s="4"/>
      <c r="Q847" s="4"/>
      <c r="R847" s="4"/>
      <c r="S847" s="4"/>
      <c r="T847" s="4"/>
      <c r="U847" s="4"/>
      <c r="V847" s="4"/>
      <c r="W847" s="4"/>
      <c r="X847" s="4"/>
      <c r="Y847" s="4"/>
      <c r="Z847" s="4"/>
      <c r="AA847" s="4"/>
      <c r="AB847" s="4"/>
      <c r="AC847" s="4"/>
      <c r="AD847" s="4"/>
      <c r="AE847" s="4"/>
      <c r="AF847" s="81"/>
      <c r="AG847" s="81"/>
      <c r="AH847" s="81"/>
      <c r="AI847" s="4"/>
      <c r="AJ847" s="81"/>
      <c r="AK847" s="81"/>
      <c r="AL847" s="81"/>
      <c r="AM847" s="43">
        <v>831</v>
      </c>
      <c r="AN847">
        <v>234.83177805355322</v>
      </c>
      <c r="AO847">
        <v>73.353086971408715</v>
      </c>
      <c r="AP847">
        <v>503.50519005052712</v>
      </c>
      <c r="AQ847">
        <v>397.37116509049997</v>
      </c>
      <c r="AR847">
        <v>64.748749012771967</v>
      </c>
      <c r="AS847">
        <v>574.06364763990814</v>
      </c>
      <c r="AT847">
        <v>34.56910252193353</v>
      </c>
      <c r="AU847">
        <v>80.725882898989511</v>
      </c>
      <c r="AV847"/>
      <c r="AW847"/>
      <c r="FY847" s="211">
        <v>842</v>
      </c>
      <c r="FZ847">
        <v>8.06498139716245</v>
      </c>
      <c r="GA847">
        <v>49.902290803020627</v>
      </c>
      <c r="GB847">
        <v>76.972332134782775</v>
      </c>
      <c r="GC847">
        <v>43.449044143663315</v>
      </c>
      <c r="GD847">
        <v>20.375917691464515</v>
      </c>
      <c r="GE847">
        <v>58.120070261587571</v>
      </c>
      <c r="GF847">
        <v>86.350050723354713</v>
      </c>
      <c r="GG847">
        <v>41.506619435037706</v>
      </c>
      <c r="GH847">
        <v>24.672783445932758</v>
      </c>
      <c r="GI847">
        <v>55.108725924320026</v>
      </c>
      <c r="GJ847"/>
      <c r="GK847"/>
      <c r="GL847"/>
      <c r="GM847"/>
    </row>
    <row r="848" spans="1:195" s="7" customFormat="1">
      <c r="A848" s="4"/>
      <c r="B848" s="4"/>
      <c r="C848" s="4"/>
      <c r="D848" s="4"/>
      <c r="E848" s="4"/>
      <c r="F848" s="28"/>
      <c r="G848" s="28"/>
      <c r="H848" s="83"/>
      <c r="I848" s="4"/>
      <c r="J848" s="4"/>
      <c r="K848" s="4"/>
      <c r="L848" s="4"/>
      <c r="M848" s="4"/>
      <c r="N848" s="28"/>
      <c r="O848" s="4"/>
      <c r="P848" s="4"/>
      <c r="Q848" s="4"/>
      <c r="R848" s="4"/>
      <c r="S848" s="4"/>
      <c r="T848" s="4"/>
      <c r="U848" s="4"/>
      <c r="V848" s="4"/>
      <c r="W848" s="4"/>
      <c r="X848" s="4"/>
      <c r="Y848" s="4"/>
      <c r="Z848" s="4"/>
      <c r="AA848" s="4"/>
      <c r="AB848" s="4"/>
      <c r="AC848" s="4"/>
      <c r="AD848" s="4"/>
      <c r="AE848" s="4"/>
      <c r="AF848" s="81"/>
      <c r="AG848" s="81"/>
      <c r="AH848" s="81"/>
      <c r="AI848" s="4"/>
      <c r="AJ848" s="81"/>
      <c r="AK848" s="81"/>
      <c r="AL848" s="81"/>
      <c r="AM848" s="43">
        <v>832</v>
      </c>
      <c r="AN848">
        <v>251.24980999226872</v>
      </c>
      <c r="AO848">
        <v>90.939134169407069</v>
      </c>
      <c r="AP848">
        <v>685.92779396254684</v>
      </c>
      <c r="AQ848">
        <v>503.90158522198521</v>
      </c>
      <c r="AR848">
        <v>84.014719985922454</v>
      </c>
      <c r="AS848">
        <v>658.89250288760888</v>
      </c>
      <c r="AT848">
        <v>47.691922348146157</v>
      </c>
      <c r="AU848">
        <v>137.5969521030114</v>
      </c>
      <c r="AV848"/>
      <c r="AW848"/>
      <c r="FY848" s="211">
        <v>843</v>
      </c>
      <c r="FZ848">
        <v>11.623521867583499</v>
      </c>
      <c r="GA848">
        <v>43.216071908998963</v>
      </c>
      <c r="GB848">
        <v>74.222066323748152</v>
      </c>
      <c r="GC848">
        <v>45.540177375155103</v>
      </c>
      <c r="GD848">
        <v>15.120013962113191</v>
      </c>
      <c r="GE848">
        <v>27.763772154880144</v>
      </c>
      <c r="GF848">
        <v>84.31854801762664</v>
      </c>
      <c r="GG848">
        <v>72.911319589164222</v>
      </c>
      <c r="GH848">
        <v>31.30190415131138</v>
      </c>
      <c r="GI848">
        <v>53.001777128853846</v>
      </c>
      <c r="GJ848"/>
      <c r="GK848"/>
      <c r="GL848"/>
      <c r="GM848"/>
    </row>
    <row r="849" spans="1:195" s="7" customFormat="1">
      <c r="A849" s="4"/>
      <c r="B849" s="4"/>
      <c r="C849" s="4"/>
      <c r="D849" s="4"/>
      <c r="E849" s="4"/>
      <c r="F849" s="28"/>
      <c r="G849" s="28"/>
      <c r="H849" s="83"/>
      <c r="I849" s="4"/>
      <c r="J849" s="4"/>
      <c r="K849" s="4"/>
      <c r="L849" s="4"/>
      <c r="M849" s="4"/>
      <c r="N849" s="28"/>
      <c r="O849" s="4"/>
      <c r="P849" s="4"/>
      <c r="Q849" s="4"/>
      <c r="R849" s="4"/>
      <c r="S849" s="4"/>
      <c r="T849" s="4"/>
      <c r="U849" s="4"/>
      <c r="V849" s="4"/>
      <c r="W849" s="4"/>
      <c r="X849" s="4"/>
      <c r="Y849" s="4"/>
      <c r="Z849" s="4"/>
      <c r="AA849" s="4"/>
      <c r="AB849" s="4"/>
      <c r="AC849" s="4"/>
      <c r="AD849" s="4"/>
      <c r="AE849" s="4"/>
      <c r="AF849" s="81"/>
      <c r="AG849" s="81"/>
      <c r="AH849" s="81"/>
      <c r="AI849" s="4"/>
      <c r="AJ849" s="81"/>
      <c r="AK849" s="81"/>
      <c r="AL849" s="81"/>
      <c r="AM849" s="43">
        <v>833</v>
      </c>
      <c r="AN849">
        <v>235.48942617128674</v>
      </c>
      <c r="AO849">
        <v>73.526400476609936</v>
      </c>
      <c r="AP849">
        <v>535.59871354422546</v>
      </c>
      <c r="AQ849">
        <v>405.08066320583976</v>
      </c>
      <c r="AR849">
        <v>65.556610999894673</v>
      </c>
      <c r="AS849">
        <v>559.80761823499654</v>
      </c>
      <c r="AT849">
        <v>35.542657501375068</v>
      </c>
      <c r="AU849">
        <v>73.014060635647894</v>
      </c>
      <c r="AV849"/>
      <c r="AW849"/>
      <c r="FY849" s="211">
        <v>844</v>
      </c>
      <c r="FZ849">
        <v>7.3402642311250315</v>
      </c>
      <c r="GA849">
        <v>38.592224360897404</v>
      </c>
      <c r="GB849">
        <v>66.629303259914124</v>
      </c>
      <c r="GC849">
        <v>41.110189228159804</v>
      </c>
      <c r="GD849">
        <v>15.410911192765305</v>
      </c>
      <c r="GE849">
        <v>20.701629905077937</v>
      </c>
      <c r="GF849">
        <v>68.688943115742973</v>
      </c>
      <c r="GG849">
        <v>65.866226848690246</v>
      </c>
      <c r="GH849">
        <v>24.700718406097</v>
      </c>
      <c r="GI849">
        <v>45.512816912222831</v>
      </c>
      <c r="GJ849"/>
      <c r="GK849"/>
      <c r="GL849"/>
      <c r="GM849"/>
    </row>
    <row r="850" spans="1:195" s="7" customFormat="1">
      <c r="A850" s="4"/>
      <c r="B850" s="4"/>
      <c r="C850" s="4"/>
      <c r="D850" s="4"/>
      <c r="E850" s="4"/>
      <c r="F850" s="28"/>
      <c r="G850" s="28"/>
      <c r="H850" s="83"/>
      <c r="I850" s="4"/>
      <c r="J850" s="4"/>
      <c r="K850" s="4"/>
      <c r="L850" s="4"/>
      <c r="M850" s="4"/>
      <c r="N850" s="28"/>
      <c r="O850" s="4"/>
      <c r="P850" s="4"/>
      <c r="Q850" s="4"/>
      <c r="R850" s="4"/>
      <c r="S850" s="4"/>
      <c r="T850" s="4"/>
      <c r="U850" s="4"/>
      <c r="V850" s="4"/>
      <c r="W850" s="4"/>
      <c r="X850" s="4"/>
      <c r="Y850" s="4"/>
      <c r="Z850" s="4"/>
      <c r="AA850" s="4"/>
      <c r="AB850" s="4"/>
      <c r="AC850" s="4"/>
      <c r="AD850" s="4"/>
      <c r="AE850" s="4"/>
      <c r="AF850" s="81"/>
      <c r="AG850" s="81"/>
      <c r="AH850" s="81"/>
      <c r="AI850" s="4"/>
      <c r="AJ850" s="81"/>
      <c r="AK850" s="81"/>
      <c r="AL850" s="81"/>
      <c r="AM850" s="43">
        <v>834</v>
      </c>
      <c r="AN850">
        <v>290.85126802586655</v>
      </c>
      <c r="AO850">
        <v>96.569107817560109</v>
      </c>
      <c r="AP850">
        <v>707.24402941403719</v>
      </c>
      <c r="AQ850">
        <v>508.31394473097788</v>
      </c>
      <c r="AR850">
        <v>85.523590906474027</v>
      </c>
      <c r="AS850">
        <v>706.79342581474555</v>
      </c>
      <c r="AT850">
        <v>46.078374431137625</v>
      </c>
      <c r="AU850">
        <v>93.182750600861553</v>
      </c>
      <c r="AV850"/>
      <c r="AW850"/>
      <c r="FY850" s="211">
        <v>845</v>
      </c>
      <c r="FZ850">
        <v>15.089202326403122</v>
      </c>
      <c r="GA850">
        <v>51.848665014059591</v>
      </c>
      <c r="GB850">
        <v>65.075801423030185</v>
      </c>
      <c r="GC850">
        <v>39.616817561838765</v>
      </c>
      <c r="GD850">
        <v>17.793696061349543</v>
      </c>
      <c r="GE850">
        <v>33.412292131961884</v>
      </c>
      <c r="GF850">
        <v>80.78829151268728</v>
      </c>
      <c r="GG850">
        <v>54.887676227010736</v>
      </c>
      <c r="GH850">
        <v>15.981224661965225</v>
      </c>
      <c r="GI850">
        <v>49.006656890032197</v>
      </c>
      <c r="GJ850"/>
      <c r="GK850"/>
      <c r="GL850"/>
      <c r="GM850"/>
    </row>
    <row r="851" spans="1:195" s="7" customFormat="1">
      <c r="A851" s="4"/>
      <c r="B851" s="4"/>
      <c r="C851" s="4"/>
      <c r="D851" s="4"/>
      <c r="E851" s="4"/>
      <c r="F851" s="28"/>
      <c r="G851" s="28"/>
      <c r="H851" s="83"/>
      <c r="I851" s="4"/>
      <c r="J851" s="4"/>
      <c r="K851" s="4"/>
      <c r="L851" s="4"/>
      <c r="M851" s="4"/>
      <c r="N851" s="28"/>
      <c r="O851" s="4"/>
      <c r="P851" s="4"/>
      <c r="Q851" s="4"/>
      <c r="R851" s="4"/>
      <c r="S851" s="4"/>
      <c r="T851" s="4"/>
      <c r="U851" s="4"/>
      <c r="V851" s="4"/>
      <c r="W851" s="4"/>
      <c r="X851" s="4"/>
      <c r="Y851" s="4"/>
      <c r="Z851" s="4"/>
      <c r="AA851" s="4"/>
      <c r="AB851" s="4"/>
      <c r="AC851" s="4"/>
      <c r="AD851" s="4"/>
      <c r="AE851" s="4"/>
      <c r="AF851" s="81"/>
      <c r="AG851" s="81"/>
      <c r="AH851" s="81"/>
      <c r="AI851" s="4"/>
      <c r="AJ851" s="81"/>
      <c r="AK851" s="81"/>
      <c r="AL851" s="81"/>
      <c r="AM851" s="43">
        <v>835</v>
      </c>
      <c r="AN851">
        <v>210.05369103115657</v>
      </c>
      <c r="AO851">
        <v>75.11808715457542</v>
      </c>
      <c r="AP851">
        <v>564.95220095964044</v>
      </c>
      <c r="AQ851">
        <v>423.17261560434025</v>
      </c>
      <c r="AR851">
        <v>67.75199887017969</v>
      </c>
      <c r="AS851">
        <v>559.94452351879033</v>
      </c>
      <c r="AT851">
        <v>37.882505402527535</v>
      </c>
      <c r="AU851">
        <v>48.485990971294996</v>
      </c>
      <c r="AV851"/>
      <c r="AW851"/>
      <c r="FY851" s="211">
        <v>846</v>
      </c>
      <c r="FZ851">
        <v>16.062250131398109</v>
      </c>
      <c r="GA851">
        <v>40.324965514749024</v>
      </c>
      <c r="GB851">
        <v>73.228613033098995</v>
      </c>
      <c r="GC851">
        <v>45.193932567810634</v>
      </c>
      <c r="GD851">
        <v>13.826017691449735</v>
      </c>
      <c r="GE851">
        <v>22.62069395572513</v>
      </c>
      <c r="GF851">
        <v>50.511970276250828</v>
      </c>
      <c r="GG851">
        <v>50.523307842841113</v>
      </c>
      <c r="GH851">
        <v>32.269097514717863</v>
      </c>
      <c r="GI851">
        <v>44.368920724819262</v>
      </c>
      <c r="GJ851"/>
      <c r="GK851"/>
      <c r="GL851"/>
      <c r="GM851"/>
    </row>
    <row r="852" spans="1:195" s="7" customFormat="1">
      <c r="A852" s="4"/>
      <c r="B852" s="4"/>
      <c r="C852" s="4"/>
      <c r="D852" s="4"/>
      <c r="E852" s="4"/>
      <c r="F852" s="28"/>
      <c r="G852" s="28"/>
      <c r="H852" s="83"/>
      <c r="I852" s="4"/>
      <c r="J852" s="4"/>
      <c r="K852" s="4"/>
      <c r="L852" s="4"/>
      <c r="M852" s="4"/>
      <c r="N852" s="28"/>
      <c r="O852" s="4"/>
      <c r="P852" s="4"/>
      <c r="Q852" s="4"/>
      <c r="R852" s="4"/>
      <c r="S852" s="4"/>
      <c r="T852" s="4"/>
      <c r="U852" s="4"/>
      <c r="V852" s="4"/>
      <c r="W852" s="4"/>
      <c r="X852" s="4"/>
      <c r="Y852" s="4"/>
      <c r="Z852" s="4"/>
      <c r="AA852" s="4"/>
      <c r="AB852" s="4"/>
      <c r="AC852" s="4"/>
      <c r="AD852" s="4"/>
      <c r="AE852" s="4"/>
      <c r="AF852" s="81"/>
      <c r="AG852" s="81"/>
      <c r="AH852" s="81"/>
      <c r="AI852" s="4"/>
      <c r="AJ852" s="81"/>
      <c r="AK852" s="81"/>
      <c r="AL852" s="81"/>
      <c r="AM852" s="43">
        <v>836</v>
      </c>
      <c r="AN852">
        <v>263.15662175968282</v>
      </c>
      <c r="AO852">
        <v>83.882373595871499</v>
      </c>
      <c r="AP852">
        <v>653.70167677628706</v>
      </c>
      <c r="AQ852">
        <v>471.17392667965112</v>
      </c>
      <c r="AR852">
        <v>76.133578060245796</v>
      </c>
      <c r="AS852">
        <v>652.15632733948041</v>
      </c>
      <c r="AT852">
        <v>40.769818487021816</v>
      </c>
      <c r="AU852">
        <v>92.591552927984708</v>
      </c>
      <c r="AV852"/>
      <c r="AW852"/>
      <c r="FY852" s="211">
        <v>847</v>
      </c>
      <c r="FZ852">
        <v>18.123875876842604</v>
      </c>
      <c r="GA852">
        <v>55.408931883844758</v>
      </c>
      <c r="GB852">
        <v>97.530937331375739</v>
      </c>
      <c r="GC852">
        <v>53.219279435450005</v>
      </c>
      <c r="GD852">
        <v>19.54201900099488</v>
      </c>
      <c r="GE852">
        <v>40.985779150304751</v>
      </c>
      <c r="GF852">
        <v>52.556558305355118</v>
      </c>
      <c r="GG852">
        <v>45.327754983661393</v>
      </c>
      <c r="GH852">
        <v>31.79620425119743</v>
      </c>
      <c r="GI852">
        <v>54.864894248422232</v>
      </c>
      <c r="GJ852"/>
      <c r="GK852"/>
      <c r="GL852"/>
      <c r="GM852"/>
    </row>
    <row r="853" spans="1:195" s="7" customFormat="1">
      <c r="A853" s="4"/>
      <c r="B853" s="4"/>
      <c r="C853" s="4"/>
      <c r="D853" s="4"/>
      <c r="E853" s="4"/>
      <c r="F853" s="28"/>
      <c r="G853" s="28"/>
      <c r="H853" s="83"/>
      <c r="I853" s="4"/>
      <c r="J853" s="4"/>
      <c r="K853" s="4"/>
      <c r="L853" s="4"/>
      <c r="M853" s="4"/>
      <c r="N853" s="28"/>
      <c r="O853" s="4"/>
      <c r="P853" s="4"/>
      <c r="Q853" s="4"/>
      <c r="R853" s="4"/>
      <c r="S853" s="4"/>
      <c r="T853" s="4"/>
      <c r="U853" s="4"/>
      <c r="V853" s="4"/>
      <c r="W853" s="4"/>
      <c r="X853" s="4"/>
      <c r="Y853" s="4"/>
      <c r="Z853" s="4"/>
      <c r="AA853" s="4"/>
      <c r="AB853" s="4"/>
      <c r="AC853" s="4"/>
      <c r="AD853" s="4"/>
      <c r="AE853" s="4"/>
      <c r="AF853" s="81"/>
      <c r="AG853" s="81"/>
      <c r="AH853" s="81"/>
      <c r="AI853" s="4"/>
      <c r="AJ853" s="81"/>
      <c r="AK853" s="81"/>
      <c r="AL853" s="81"/>
      <c r="AM853" s="43">
        <v>837</v>
      </c>
      <c r="AN853">
        <v>270.26631161893982</v>
      </c>
      <c r="AO853">
        <v>97.388296714858043</v>
      </c>
      <c r="AP853">
        <v>713.37263522454646</v>
      </c>
      <c r="AQ853">
        <v>534.0021035706045</v>
      </c>
      <c r="AR853">
        <v>88.504538176650854</v>
      </c>
      <c r="AS853">
        <v>727.90673607968824</v>
      </c>
      <c r="AT853">
        <v>48.017456345786535</v>
      </c>
      <c r="AU853">
        <v>111.90358747133753</v>
      </c>
      <c r="AV853"/>
      <c r="AW853"/>
      <c r="FY853" s="211">
        <v>848</v>
      </c>
      <c r="FZ853">
        <v>5.4399909896116885</v>
      </c>
      <c r="GA853">
        <v>24.343993032924764</v>
      </c>
      <c r="GB853">
        <v>66.811212143243907</v>
      </c>
      <c r="GC853">
        <v>37.969880422453436</v>
      </c>
      <c r="GD853">
        <v>20.180686072215281</v>
      </c>
      <c r="GE853">
        <v>38.077027677453948</v>
      </c>
      <c r="GF853">
        <v>65.310345985471443</v>
      </c>
      <c r="GG853">
        <v>72.335875016195132</v>
      </c>
      <c r="GH853">
        <v>35.480209216821251</v>
      </c>
      <c r="GI853">
        <v>50.082996077809568</v>
      </c>
      <c r="GJ853"/>
      <c r="GK853"/>
      <c r="GL853"/>
      <c r="GM853"/>
    </row>
    <row r="854" spans="1:195" s="7" customFormat="1">
      <c r="A854" s="4"/>
      <c r="B854" s="4"/>
      <c r="C854" s="4"/>
      <c r="D854" s="4"/>
      <c r="E854" s="4"/>
      <c r="F854" s="28"/>
      <c r="G854" s="28"/>
      <c r="H854" s="83"/>
      <c r="I854" s="4"/>
      <c r="J854" s="4"/>
      <c r="K854" s="4"/>
      <c r="L854" s="4"/>
      <c r="M854" s="4"/>
      <c r="N854" s="28"/>
      <c r="O854" s="4"/>
      <c r="P854" s="4"/>
      <c r="Q854" s="4"/>
      <c r="R854" s="4"/>
      <c r="S854" s="4"/>
      <c r="T854" s="4"/>
      <c r="U854" s="4"/>
      <c r="V854" s="4"/>
      <c r="W854" s="4"/>
      <c r="X854" s="4"/>
      <c r="Y854" s="4"/>
      <c r="Z854" s="4"/>
      <c r="AA854" s="4"/>
      <c r="AB854" s="4"/>
      <c r="AC854" s="4"/>
      <c r="AD854" s="4"/>
      <c r="AE854" s="4"/>
      <c r="AF854" s="81"/>
      <c r="AG854" s="81"/>
      <c r="AH854" s="81"/>
      <c r="AI854" s="4"/>
      <c r="AJ854" s="81"/>
      <c r="AK854" s="81"/>
      <c r="AL854" s="81"/>
      <c r="AM854" s="43">
        <v>838</v>
      </c>
      <c r="AN854">
        <v>242.73731941171292</v>
      </c>
      <c r="AO854">
        <v>77.237845374351267</v>
      </c>
      <c r="AP854">
        <v>568.55885665598953</v>
      </c>
      <c r="AQ854">
        <v>418.41887822199459</v>
      </c>
      <c r="AR854">
        <v>68.748094881467651</v>
      </c>
      <c r="AS854">
        <v>576.46457587457769</v>
      </c>
      <c r="AT854">
        <v>37.192825875587502</v>
      </c>
      <c r="AU854">
        <v>87.575558240379465</v>
      </c>
      <c r="AV854"/>
      <c r="AW854"/>
      <c r="FY854" s="211">
        <v>849</v>
      </c>
      <c r="FZ854">
        <v>19.671610891177359</v>
      </c>
      <c r="GA854">
        <v>55.976931638188859</v>
      </c>
      <c r="GB854">
        <v>84.983542386239051</v>
      </c>
      <c r="GC854">
        <v>46.098153880527768</v>
      </c>
      <c r="GD854">
        <v>16.608808579674267</v>
      </c>
      <c r="GE854">
        <v>30.592266478309821</v>
      </c>
      <c r="GF854">
        <v>70.118447656916842</v>
      </c>
      <c r="GG854">
        <v>63.693879866626617</v>
      </c>
      <c r="GH854">
        <v>24.430088446117807</v>
      </c>
      <c r="GI854">
        <v>53.149240102370008</v>
      </c>
      <c r="GJ854"/>
      <c r="GK854"/>
      <c r="GL854"/>
      <c r="GM854"/>
    </row>
    <row r="855" spans="1:195" s="7" customFormat="1">
      <c r="A855" s="4"/>
      <c r="B855" s="4"/>
      <c r="C855" s="4"/>
      <c r="D855" s="4"/>
      <c r="E855" s="4"/>
      <c r="F855" s="28"/>
      <c r="G855" s="28"/>
      <c r="H855" s="83"/>
      <c r="I855" s="4"/>
      <c r="J855" s="4"/>
      <c r="K855" s="4"/>
      <c r="L855" s="4"/>
      <c r="M855" s="4"/>
      <c r="N855" s="28"/>
      <c r="O855" s="4"/>
      <c r="P855" s="4"/>
      <c r="Q855" s="4"/>
      <c r="R855" s="4"/>
      <c r="S855" s="4"/>
      <c r="T855" s="4"/>
      <c r="U855" s="4"/>
      <c r="V855" s="4"/>
      <c r="W855" s="4"/>
      <c r="X855" s="4"/>
      <c r="Y855" s="4"/>
      <c r="Z855" s="4"/>
      <c r="AA855" s="4"/>
      <c r="AB855" s="4"/>
      <c r="AC855" s="4"/>
      <c r="AD855" s="4"/>
      <c r="AE855" s="4"/>
      <c r="AF855" s="81"/>
      <c r="AG855" s="81"/>
      <c r="AH855" s="81"/>
      <c r="AI855" s="4"/>
      <c r="AJ855" s="81"/>
      <c r="AK855" s="81"/>
      <c r="AL855" s="81"/>
      <c r="AM855" s="43">
        <v>839</v>
      </c>
      <c r="AN855">
        <v>258.25583448798409</v>
      </c>
      <c r="AO855">
        <v>86.497021691587662</v>
      </c>
      <c r="AP855">
        <v>588.49410713425175</v>
      </c>
      <c r="AQ855">
        <v>431.75595057918508</v>
      </c>
      <c r="AR855">
        <v>78.425465126310087</v>
      </c>
      <c r="AS855">
        <v>632.19983843927275</v>
      </c>
      <c r="AT855">
        <v>43.383957707027633</v>
      </c>
      <c r="AU855">
        <v>99.519859609575377</v>
      </c>
      <c r="AV855"/>
      <c r="AW855"/>
      <c r="FY855" s="211">
        <v>850</v>
      </c>
      <c r="FZ855">
        <v>15.833859634154887</v>
      </c>
      <c r="GA855">
        <v>52.156931841886077</v>
      </c>
      <c r="GB855">
        <v>75.341850464650406</v>
      </c>
      <c r="GC855">
        <v>48.236176729994661</v>
      </c>
      <c r="GD855">
        <v>24.615335183548954</v>
      </c>
      <c r="GE855">
        <v>35.873496404159383</v>
      </c>
      <c r="GF855">
        <v>48.238130011348737</v>
      </c>
      <c r="GG855">
        <v>30.60430496075929</v>
      </c>
      <c r="GH855">
        <v>5.4654246491402896</v>
      </c>
      <c r="GI855">
        <v>47.071457445202761</v>
      </c>
      <c r="GJ855"/>
      <c r="GK855"/>
      <c r="GL855"/>
      <c r="GM855"/>
    </row>
    <row r="856" spans="1:195" s="7" customFormat="1">
      <c r="A856" s="4"/>
      <c r="B856" s="4"/>
      <c r="C856" s="4"/>
      <c r="D856" s="4"/>
      <c r="E856" s="4"/>
      <c r="F856" s="28"/>
      <c r="G856" s="28"/>
      <c r="H856" s="83"/>
      <c r="I856" s="4"/>
      <c r="J856" s="4"/>
      <c r="K856" s="4"/>
      <c r="L856" s="4"/>
      <c r="M856" s="4"/>
      <c r="N856" s="28"/>
      <c r="O856" s="4"/>
      <c r="P856" s="4"/>
      <c r="Q856" s="4"/>
      <c r="R856" s="4"/>
      <c r="S856" s="4"/>
      <c r="T856" s="4"/>
      <c r="U856" s="4"/>
      <c r="V856" s="4"/>
      <c r="W856" s="4"/>
      <c r="X856" s="4"/>
      <c r="Y856" s="4"/>
      <c r="Z856" s="4"/>
      <c r="AA856" s="4"/>
      <c r="AB856" s="4"/>
      <c r="AC856" s="4"/>
      <c r="AD856" s="4"/>
      <c r="AE856" s="4"/>
      <c r="AF856" s="81"/>
      <c r="AG856" s="81"/>
      <c r="AH856" s="81"/>
      <c r="AI856" s="4"/>
      <c r="AJ856" s="81"/>
      <c r="AK856" s="81"/>
      <c r="AL856" s="81"/>
      <c r="AM856" s="43">
        <v>840</v>
      </c>
      <c r="AN856">
        <v>278.02734205149181</v>
      </c>
      <c r="AO856">
        <v>77.925201708903899</v>
      </c>
      <c r="AP856">
        <v>554.36388971813199</v>
      </c>
      <c r="AQ856">
        <v>422.33016904802486</v>
      </c>
      <c r="AR856">
        <v>71.343240804745804</v>
      </c>
      <c r="AS856">
        <v>660.14801883408586</v>
      </c>
      <c r="AT856">
        <v>39.866114196277572</v>
      </c>
      <c r="AU856">
        <v>39.87143303085152</v>
      </c>
      <c r="AV856"/>
      <c r="AW856"/>
      <c r="FY856" s="211">
        <v>851</v>
      </c>
      <c r="FZ856">
        <v>10.989960006668856</v>
      </c>
      <c r="GA856">
        <v>49.653822991123747</v>
      </c>
      <c r="GB856">
        <v>76.501331708114378</v>
      </c>
      <c r="GC856">
        <v>45.638060639845996</v>
      </c>
      <c r="GD856">
        <v>32.126945718075213</v>
      </c>
      <c r="GE856">
        <v>78.411767352421663</v>
      </c>
      <c r="GF856">
        <v>72.582405257469503</v>
      </c>
      <c r="GG856">
        <v>33.791065552837608</v>
      </c>
      <c r="GH856">
        <v>28.173468340023064</v>
      </c>
      <c r="GI856">
        <v>60.313499486039774</v>
      </c>
      <c r="GJ856"/>
      <c r="GK856"/>
      <c r="GL856"/>
      <c r="GM856"/>
    </row>
    <row r="857" spans="1:195" s="7" customFormat="1">
      <c r="A857" s="4"/>
      <c r="B857" s="4"/>
      <c r="C857" s="4"/>
      <c r="D857" s="4"/>
      <c r="E857" s="4"/>
      <c r="F857" s="28"/>
      <c r="G857" s="28"/>
      <c r="H857" s="83"/>
      <c r="I857" s="4"/>
      <c r="J857" s="4"/>
      <c r="K857" s="4"/>
      <c r="L857" s="4"/>
      <c r="M857" s="4"/>
      <c r="N857" s="28"/>
      <c r="O857" s="4"/>
      <c r="P857" s="4"/>
      <c r="Q857" s="4"/>
      <c r="R857" s="4"/>
      <c r="S857" s="4"/>
      <c r="T857" s="4"/>
      <c r="U857" s="4"/>
      <c r="V857" s="4"/>
      <c r="W857" s="4"/>
      <c r="X857" s="4"/>
      <c r="Y857" s="4"/>
      <c r="Z857" s="4"/>
      <c r="AA857" s="4"/>
      <c r="AB857" s="4"/>
      <c r="AC857" s="4"/>
      <c r="AD857" s="4"/>
      <c r="AE857" s="4"/>
      <c r="AF857" s="81"/>
      <c r="AG857" s="81"/>
      <c r="AH857" s="81"/>
      <c r="AI857" s="4"/>
      <c r="AJ857" s="81"/>
      <c r="AK857" s="81"/>
      <c r="AL857" s="81"/>
      <c r="AM857" s="43">
        <v>841</v>
      </c>
      <c r="AN857">
        <v>242.22326623676622</v>
      </c>
      <c r="AO857">
        <v>67.729317145343828</v>
      </c>
      <c r="AP857">
        <v>508.52900344774469</v>
      </c>
      <c r="AQ857">
        <v>389.81199767258738</v>
      </c>
      <c r="AR857">
        <v>61.421780282930769</v>
      </c>
      <c r="AS857">
        <v>550.52403497242381</v>
      </c>
      <c r="AT857">
        <v>33.443873785645465</v>
      </c>
      <c r="AU857">
        <v>40.841280139832691</v>
      </c>
      <c r="AV857"/>
      <c r="AW857"/>
      <c r="FY857" s="211">
        <v>852</v>
      </c>
      <c r="FZ857">
        <v>18.279699014576561</v>
      </c>
      <c r="GA857">
        <v>57.860342754553443</v>
      </c>
      <c r="GB857">
        <v>71.799362247049061</v>
      </c>
      <c r="GC857">
        <v>39.08077214355162</v>
      </c>
      <c r="GD857">
        <v>18.471742265493504</v>
      </c>
      <c r="GE857">
        <v>33.593174838229046</v>
      </c>
      <c r="GF857">
        <v>64.286759105509361</v>
      </c>
      <c r="GG857">
        <v>63.474042178250066</v>
      </c>
      <c r="GH857">
        <v>32.477213692874415</v>
      </c>
      <c r="GI857">
        <v>51.267093068398928</v>
      </c>
      <c r="GJ857"/>
      <c r="GK857"/>
      <c r="GL857"/>
      <c r="GM857"/>
    </row>
    <row r="858" spans="1:195" s="7" customFormat="1">
      <c r="A858" s="4"/>
      <c r="B858" s="4"/>
      <c r="C858" s="4"/>
      <c r="D858" s="4"/>
      <c r="E858" s="4"/>
      <c r="F858" s="28"/>
      <c r="G858" s="28"/>
      <c r="H858" s="83"/>
      <c r="I858" s="4"/>
      <c r="J858" s="4"/>
      <c r="K858" s="4"/>
      <c r="L858" s="4"/>
      <c r="M858" s="4"/>
      <c r="N858" s="28"/>
      <c r="O858" s="4"/>
      <c r="P858" s="4"/>
      <c r="Q858" s="4"/>
      <c r="R858" s="4"/>
      <c r="S858" s="4"/>
      <c r="T858" s="4"/>
      <c r="U858" s="4"/>
      <c r="V858" s="4"/>
      <c r="W858" s="4"/>
      <c r="X858" s="4"/>
      <c r="Y858" s="4"/>
      <c r="Z858" s="4"/>
      <c r="AA858" s="4"/>
      <c r="AB858" s="4"/>
      <c r="AC858" s="4"/>
      <c r="AD858" s="4"/>
      <c r="AE858" s="4"/>
      <c r="AF858" s="81"/>
      <c r="AG858" s="81"/>
      <c r="AH858" s="81"/>
      <c r="AI858" s="4"/>
      <c r="AJ858" s="81"/>
      <c r="AK858" s="81"/>
      <c r="AL858" s="81"/>
      <c r="AM858" s="43">
        <v>842</v>
      </c>
      <c r="AN858">
        <v>311.06048431872671</v>
      </c>
      <c r="AO858">
        <v>86.730035815669495</v>
      </c>
      <c r="AP858">
        <v>613.72502071237227</v>
      </c>
      <c r="AQ858">
        <v>464.52281596032645</v>
      </c>
      <c r="AR858">
        <v>76.655343556068146</v>
      </c>
      <c r="AS858">
        <v>652.9220781216095</v>
      </c>
      <c r="AT858">
        <v>40.979196198258215</v>
      </c>
      <c r="AU858">
        <v>94.597125795032611</v>
      </c>
      <c r="AV858"/>
      <c r="AW858"/>
      <c r="FY858" s="211">
        <v>853</v>
      </c>
      <c r="FZ858">
        <v>23.708952220814943</v>
      </c>
      <c r="GA858">
        <v>55.7670020904974</v>
      </c>
      <c r="GB858">
        <v>87.177689304150661</v>
      </c>
      <c r="GC858">
        <v>55.950001441596875</v>
      </c>
      <c r="GD858">
        <v>27.001176758347679</v>
      </c>
      <c r="GE858">
        <v>32.451014127651412</v>
      </c>
      <c r="GF858">
        <v>55.479480406645827</v>
      </c>
      <c r="GG858">
        <v>59.808382214731559</v>
      </c>
      <c r="GH858">
        <v>21.725362541728686</v>
      </c>
      <c r="GI858">
        <v>57.427553722124138</v>
      </c>
      <c r="GJ858"/>
      <c r="GK858"/>
      <c r="GL858"/>
      <c r="GM858"/>
    </row>
    <row r="859" spans="1:195" s="7" customFormat="1">
      <c r="A859" s="4"/>
      <c r="B859" s="4"/>
      <c r="C859" s="4"/>
      <c r="D859" s="4"/>
      <c r="E859" s="4"/>
      <c r="F859" s="28"/>
      <c r="G859" s="28"/>
      <c r="H859" s="83"/>
      <c r="I859" s="4"/>
      <c r="J859" s="4"/>
      <c r="K859" s="4"/>
      <c r="L859" s="4"/>
      <c r="M859" s="4"/>
      <c r="N859" s="28"/>
      <c r="O859" s="4"/>
      <c r="P859" s="4"/>
      <c r="Q859" s="4"/>
      <c r="R859" s="4"/>
      <c r="S859" s="4"/>
      <c r="T859" s="4"/>
      <c r="U859" s="4"/>
      <c r="V859" s="4"/>
      <c r="W859" s="4"/>
      <c r="X859" s="4"/>
      <c r="Y859" s="4"/>
      <c r="Z859" s="4"/>
      <c r="AA859" s="4"/>
      <c r="AB859" s="4"/>
      <c r="AC859" s="4"/>
      <c r="AD859" s="4"/>
      <c r="AE859" s="4"/>
      <c r="AF859" s="81"/>
      <c r="AG859" s="81"/>
      <c r="AH859" s="81"/>
      <c r="AI859" s="4"/>
      <c r="AJ859" s="81"/>
      <c r="AK859" s="81"/>
      <c r="AL859" s="81"/>
      <c r="AM859" s="43">
        <v>843</v>
      </c>
      <c r="AN859">
        <v>218.45166930269676</v>
      </c>
      <c r="AO859">
        <v>85.237536979078627</v>
      </c>
      <c r="AP859">
        <v>656.07691523948006</v>
      </c>
      <c r="AQ859">
        <v>459.01917247943516</v>
      </c>
      <c r="AR859">
        <v>77.019039991228809</v>
      </c>
      <c r="AS859">
        <v>592.78837183533949</v>
      </c>
      <c r="AT859">
        <v>43.620090114705114</v>
      </c>
      <c r="AU859">
        <v>18.18235737290518</v>
      </c>
      <c r="AV859"/>
      <c r="AW859"/>
      <c r="FY859" s="211">
        <v>854</v>
      </c>
      <c r="FZ859">
        <v>10.038452590869738</v>
      </c>
      <c r="GA859">
        <v>49.772727445131615</v>
      </c>
      <c r="GB859">
        <v>64.921825728907095</v>
      </c>
      <c r="GC859">
        <v>37.673331209570151</v>
      </c>
      <c r="GD859">
        <v>20.050986757836291</v>
      </c>
      <c r="GE859">
        <v>35.861852730004429</v>
      </c>
      <c r="GF859">
        <v>81.059016373943123</v>
      </c>
      <c r="GG859">
        <v>85.628039785301866</v>
      </c>
      <c r="GH859">
        <v>48.117789981287956</v>
      </c>
      <c r="GI859">
        <v>54.779601623527284</v>
      </c>
      <c r="GJ859"/>
      <c r="GK859"/>
      <c r="GL859"/>
      <c r="GM859"/>
    </row>
    <row r="860" spans="1:195" s="7" customFormat="1">
      <c r="A860" s="4"/>
      <c r="B860" s="4"/>
      <c r="C860" s="4"/>
      <c r="D860" s="4"/>
      <c r="E860" s="4"/>
      <c r="F860" s="28"/>
      <c r="G860" s="28"/>
      <c r="H860" s="83"/>
      <c r="I860" s="4"/>
      <c r="J860" s="4"/>
      <c r="K860" s="4"/>
      <c r="L860" s="4"/>
      <c r="M860" s="4"/>
      <c r="N860" s="28"/>
      <c r="O860" s="4"/>
      <c r="P860" s="4"/>
      <c r="Q860" s="4"/>
      <c r="R860" s="4"/>
      <c r="S860" s="4"/>
      <c r="T860" s="4"/>
      <c r="U860" s="4"/>
      <c r="V860" s="4"/>
      <c r="W860" s="4"/>
      <c r="X860" s="4"/>
      <c r="Y860" s="4"/>
      <c r="Z860" s="4"/>
      <c r="AA860" s="4"/>
      <c r="AB860" s="4"/>
      <c r="AC860" s="4"/>
      <c r="AD860" s="4"/>
      <c r="AE860" s="4"/>
      <c r="AF860" s="81"/>
      <c r="AG860" s="81"/>
      <c r="AH860" s="81"/>
      <c r="AI860" s="4"/>
      <c r="AJ860" s="81"/>
      <c r="AK860" s="81"/>
      <c r="AL860" s="81"/>
      <c r="AM860" s="43">
        <v>844</v>
      </c>
      <c r="AN860">
        <v>225.59896845615944</v>
      </c>
      <c r="AO860">
        <v>72.19856229415926</v>
      </c>
      <c r="AP860">
        <v>548.69287482543041</v>
      </c>
      <c r="AQ860">
        <v>394.55322746069265</v>
      </c>
      <c r="AR860">
        <v>66.144918472371714</v>
      </c>
      <c r="AS860">
        <v>545.59275146362813</v>
      </c>
      <c r="AT860">
        <v>36.499766011051655</v>
      </c>
      <c r="AU860">
        <v>27.998936010914516</v>
      </c>
      <c r="AV860"/>
      <c r="AW860"/>
      <c r="FY860" s="211">
        <v>855</v>
      </c>
      <c r="FZ860">
        <v>21.211910009731078</v>
      </c>
      <c r="GA860">
        <v>74.147255944143453</v>
      </c>
      <c r="GB860">
        <v>75.716910888356054</v>
      </c>
      <c r="GC860">
        <v>43.028617519298876</v>
      </c>
      <c r="GD860">
        <v>23.12240055185141</v>
      </c>
      <c r="GE860">
        <v>41.687450179829916</v>
      </c>
      <c r="GF860">
        <v>66.113864843917128</v>
      </c>
      <c r="GG860">
        <v>38.674002432420011</v>
      </c>
      <c r="GH860">
        <v>10.693060116970933</v>
      </c>
      <c r="GI860">
        <v>51.656023613656217</v>
      </c>
      <c r="GJ860"/>
      <c r="GK860"/>
      <c r="GL860"/>
      <c r="GM860"/>
    </row>
    <row r="861" spans="1:195" s="7" customFormat="1">
      <c r="A861" s="4"/>
      <c r="B861" s="4"/>
      <c r="C861" s="4"/>
      <c r="D861" s="4"/>
      <c r="E861" s="4"/>
      <c r="F861" s="28"/>
      <c r="G861" s="28"/>
      <c r="H861" s="83"/>
      <c r="I861" s="4"/>
      <c r="J861" s="4"/>
      <c r="K861" s="4"/>
      <c r="L861" s="4"/>
      <c r="M861" s="4"/>
      <c r="N861" s="28"/>
      <c r="O861" s="4"/>
      <c r="P861" s="4"/>
      <c r="Q861" s="4"/>
      <c r="R861" s="4"/>
      <c r="S861" s="4"/>
      <c r="T861" s="4"/>
      <c r="U861" s="4"/>
      <c r="V861" s="4"/>
      <c r="W861" s="4"/>
      <c r="X861" s="4"/>
      <c r="Y861" s="4"/>
      <c r="Z861" s="4"/>
      <c r="AA861" s="4"/>
      <c r="AB861" s="4"/>
      <c r="AC861" s="4"/>
      <c r="AD861" s="4"/>
      <c r="AE861" s="4"/>
      <c r="AF861" s="81"/>
      <c r="AG861" s="81"/>
      <c r="AH861" s="81"/>
      <c r="AI861" s="4"/>
      <c r="AJ861" s="81"/>
      <c r="AK861" s="81"/>
      <c r="AL861" s="81"/>
      <c r="AM861" s="43">
        <v>845</v>
      </c>
      <c r="AN861">
        <v>236.12346696375008</v>
      </c>
      <c r="AO861">
        <v>77.628526960598677</v>
      </c>
      <c r="AP861">
        <v>581.00085826953045</v>
      </c>
      <c r="AQ861">
        <v>423.5003238103385</v>
      </c>
      <c r="AR861">
        <v>70.228764842202693</v>
      </c>
      <c r="AS861">
        <v>593.89660532961159</v>
      </c>
      <c r="AT861">
        <v>37.636731843699998</v>
      </c>
      <c r="AU861">
        <v>77.4486589984364</v>
      </c>
      <c r="AV861"/>
      <c r="AW861"/>
      <c r="FY861" s="211">
        <v>856</v>
      </c>
      <c r="FZ861">
        <v>20.340515182949208</v>
      </c>
      <c r="GA861">
        <v>59.002326658810873</v>
      </c>
      <c r="GB861">
        <v>59.906583995486407</v>
      </c>
      <c r="GC861">
        <v>39.318766573292322</v>
      </c>
      <c r="GD861">
        <v>20.296477044805798</v>
      </c>
      <c r="GE861">
        <v>39.359128027893256</v>
      </c>
      <c r="GF861">
        <v>69.232013716876835</v>
      </c>
      <c r="GG861">
        <v>54.516342881286164</v>
      </c>
      <c r="GH861">
        <v>36.518029517245452</v>
      </c>
      <c r="GI861">
        <v>50.578649390570924</v>
      </c>
      <c r="GJ861"/>
      <c r="GK861"/>
      <c r="GL861"/>
      <c r="GM861"/>
    </row>
    <row r="862" spans="1:195" s="7" customFormat="1">
      <c r="A862" s="4"/>
      <c r="B862" s="4"/>
      <c r="C862" s="4"/>
      <c r="D862" s="4"/>
      <c r="E862" s="4"/>
      <c r="F862" s="28"/>
      <c r="G862" s="28"/>
      <c r="H862" s="83"/>
      <c r="I862" s="4"/>
      <c r="J862" s="4"/>
      <c r="K862" s="4"/>
      <c r="L862" s="4"/>
      <c r="M862" s="4"/>
      <c r="N862" s="28"/>
      <c r="O862" s="4"/>
      <c r="P862" s="4"/>
      <c r="Q862" s="4"/>
      <c r="R862" s="4"/>
      <c r="S862" s="4"/>
      <c r="T862" s="4"/>
      <c r="U862" s="4"/>
      <c r="V862" s="4"/>
      <c r="W862" s="4"/>
      <c r="X862" s="4"/>
      <c r="Y862" s="4"/>
      <c r="Z862" s="4"/>
      <c r="AA862" s="4"/>
      <c r="AB862" s="4"/>
      <c r="AC862" s="4"/>
      <c r="AD862" s="4"/>
      <c r="AE862" s="4"/>
      <c r="AF862" s="81"/>
      <c r="AG862" s="81"/>
      <c r="AH862" s="81"/>
      <c r="AI862" s="4"/>
      <c r="AJ862" s="81"/>
      <c r="AK862" s="81"/>
      <c r="AL862" s="81"/>
      <c r="AM862" s="43">
        <v>846</v>
      </c>
      <c r="AN862">
        <v>198.74678342653493</v>
      </c>
      <c r="AO862">
        <v>69.169414488699729</v>
      </c>
      <c r="AP862">
        <v>514.12466731949428</v>
      </c>
      <c r="AQ862">
        <v>388.92976925286075</v>
      </c>
      <c r="AR862">
        <v>63.112113332716902</v>
      </c>
      <c r="AS862">
        <v>529.73848380441734</v>
      </c>
      <c r="AT862">
        <v>36.155699262731964</v>
      </c>
      <c r="AU862">
        <v>39.572011136464617</v>
      </c>
      <c r="AV862"/>
      <c r="AW862"/>
      <c r="FY862" s="211">
        <v>857</v>
      </c>
      <c r="FZ862">
        <v>27.558195142866726</v>
      </c>
      <c r="GA862">
        <v>64.561501832178521</v>
      </c>
      <c r="GB862">
        <v>61.36524955496067</v>
      </c>
      <c r="GC862">
        <v>40.382480909097879</v>
      </c>
      <c r="GD862">
        <v>17.284913468712663</v>
      </c>
      <c r="GE862">
        <v>35.123125904814906</v>
      </c>
      <c r="GF862">
        <v>53.899813770034378</v>
      </c>
      <c r="GG862">
        <v>44.513775509776934</v>
      </c>
      <c r="GH862">
        <v>46.310248338037752</v>
      </c>
      <c r="GI862">
        <v>48.327773727188202</v>
      </c>
      <c r="GJ862"/>
      <c r="GK862"/>
      <c r="GL862"/>
      <c r="GM862"/>
    </row>
    <row r="863" spans="1:195" s="7" customFormat="1">
      <c r="A863" s="4"/>
      <c r="B863" s="4"/>
      <c r="C863" s="4"/>
      <c r="D863" s="4"/>
      <c r="E863" s="4"/>
      <c r="F863" s="28"/>
      <c r="G863" s="28"/>
      <c r="H863" s="83"/>
      <c r="I863" s="4"/>
      <c r="J863" s="4"/>
      <c r="K863" s="4"/>
      <c r="L863" s="4"/>
      <c r="M863" s="4"/>
      <c r="N863" s="28"/>
      <c r="O863" s="4"/>
      <c r="P863" s="4"/>
      <c r="Q863" s="4"/>
      <c r="R863" s="4"/>
      <c r="S863" s="4"/>
      <c r="T863" s="4"/>
      <c r="U863" s="4"/>
      <c r="V863" s="4"/>
      <c r="W863" s="4"/>
      <c r="X863" s="4"/>
      <c r="Y863" s="4"/>
      <c r="Z863" s="4"/>
      <c r="AA863" s="4"/>
      <c r="AB863" s="4"/>
      <c r="AC863" s="4"/>
      <c r="AD863" s="4"/>
      <c r="AE863" s="4"/>
      <c r="AF863" s="81"/>
      <c r="AG863" s="81"/>
      <c r="AH863" s="81"/>
      <c r="AI863" s="4"/>
      <c r="AJ863" s="81"/>
      <c r="AK863" s="81"/>
      <c r="AL863" s="81"/>
      <c r="AM863" s="43">
        <v>847</v>
      </c>
      <c r="AN863">
        <v>263.30189404580426</v>
      </c>
      <c r="AO863">
        <v>85.645824841372175</v>
      </c>
      <c r="AP863">
        <v>613.69138903241094</v>
      </c>
      <c r="AQ863">
        <v>469.35623446744893</v>
      </c>
      <c r="AR863">
        <v>77.928122692796265</v>
      </c>
      <c r="AS863">
        <v>630.48385044466704</v>
      </c>
      <c r="AT863" t="e">
        <v>#DIV/0!</v>
      </c>
      <c r="AU863" t="e">
        <v>#DIV/0!</v>
      </c>
      <c r="AV863"/>
      <c r="AW863"/>
      <c r="FY863" s="211">
        <v>858</v>
      </c>
      <c r="FZ863">
        <v>15.93332723181039</v>
      </c>
      <c r="GA863">
        <v>46.547813081411796</v>
      </c>
      <c r="GB863">
        <v>73.427584372747305</v>
      </c>
      <c r="GC863">
        <v>42.974733351924201</v>
      </c>
      <c r="GD863">
        <v>15.242510891015186</v>
      </c>
      <c r="GE863">
        <v>38.036616800774731</v>
      </c>
      <c r="GF863">
        <v>64.05959456685288</v>
      </c>
      <c r="GG863">
        <v>31.54791856790634</v>
      </c>
      <c r="GH863">
        <v>14.984494672818791</v>
      </c>
      <c r="GI863">
        <v>44.972542548297277</v>
      </c>
      <c r="GJ863"/>
      <c r="GK863"/>
      <c r="GL863"/>
      <c r="GM863"/>
    </row>
    <row r="864" spans="1:195" s="7" customFormat="1">
      <c r="A864" s="4"/>
      <c r="B864" s="4"/>
      <c r="C864" s="4"/>
      <c r="D864" s="4"/>
      <c r="E864" s="4"/>
      <c r="F864" s="28"/>
      <c r="G864" s="28"/>
      <c r="H864" s="83"/>
      <c r="I864" s="4"/>
      <c r="J864" s="4"/>
      <c r="K864" s="4"/>
      <c r="L864" s="4"/>
      <c r="M864" s="4"/>
      <c r="N864" s="28"/>
      <c r="O864" s="4"/>
      <c r="P864" s="4"/>
      <c r="Q864" s="4"/>
      <c r="R864" s="4"/>
      <c r="S864" s="4"/>
      <c r="T864" s="4"/>
      <c r="U864" s="4"/>
      <c r="V864" s="4"/>
      <c r="W864" s="4"/>
      <c r="X864" s="4"/>
      <c r="Y864" s="4"/>
      <c r="Z864" s="4"/>
      <c r="AA864" s="4"/>
      <c r="AB864" s="4"/>
      <c r="AC864" s="4"/>
      <c r="AD864" s="4"/>
      <c r="AE864" s="4"/>
      <c r="AF864" s="81"/>
      <c r="AG864" s="81"/>
      <c r="AH864" s="81"/>
      <c r="AI864" s="4"/>
      <c r="AJ864" s="81"/>
      <c r="AK864" s="81"/>
      <c r="AL864" s="81"/>
      <c r="AM864" s="43">
        <v>848</v>
      </c>
      <c r="AN864">
        <v>215.7263069681797</v>
      </c>
      <c r="AO864">
        <v>79.839586773535515</v>
      </c>
      <c r="AP864">
        <v>568.5473710105033</v>
      </c>
      <c r="AQ864">
        <v>416.03221663420044</v>
      </c>
      <c r="AR864">
        <v>73.188516468813404</v>
      </c>
      <c r="AS864">
        <v>571.13465006532579</v>
      </c>
      <c r="AT864">
        <v>39.304682126659579</v>
      </c>
      <c r="AU864">
        <v>14.47368925901406</v>
      </c>
      <c r="AV864"/>
      <c r="AW864"/>
      <c r="FY864" s="211">
        <v>859</v>
      </c>
      <c r="FZ864">
        <v>34.809393294137891</v>
      </c>
      <c r="GA864">
        <v>66.023610277764334</v>
      </c>
      <c r="GB864">
        <v>87.491300051322256</v>
      </c>
      <c r="GC864">
        <v>49.563622965096258</v>
      </c>
      <c r="GD864">
        <v>23.462299210420856</v>
      </c>
      <c r="GE864">
        <v>61.541883206261588</v>
      </c>
      <c r="GF864">
        <v>78.572059671421513</v>
      </c>
      <c r="GG864">
        <v>46.570953805686472</v>
      </c>
      <c r="GH864">
        <v>24.754625647655896</v>
      </c>
      <c r="GI864">
        <v>61.751144122048522</v>
      </c>
      <c r="GJ864"/>
      <c r="GK864"/>
      <c r="GL864"/>
      <c r="GM864"/>
    </row>
    <row r="865" spans="1:195" s="7" customFormat="1">
      <c r="A865" s="4"/>
      <c r="B865" s="4"/>
      <c r="C865" s="4"/>
      <c r="D865" s="4"/>
      <c r="E865" s="4"/>
      <c r="F865" s="28"/>
      <c r="G865" s="28"/>
      <c r="H865" s="83"/>
      <c r="I865" s="4"/>
      <c r="J865" s="4"/>
      <c r="K865" s="4"/>
      <c r="L865" s="4"/>
      <c r="M865" s="4"/>
      <c r="N865" s="28"/>
      <c r="O865" s="4"/>
      <c r="P865" s="4"/>
      <c r="Q865" s="4"/>
      <c r="R865" s="4"/>
      <c r="S865" s="4"/>
      <c r="T865" s="4"/>
      <c r="U865" s="4"/>
      <c r="V865" s="4"/>
      <c r="W865" s="4"/>
      <c r="X865" s="4"/>
      <c r="Y865" s="4"/>
      <c r="Z865" s="4"/>
      <c r="AA865" s="4"/>
      <c r="AB865" s="4"/>
      <c r="AC865" s="4"/>
      <c r="AD865" s="4"/>
      <c r="AE865" s="4"/>
      <c r="AF865" s="81"/>
      <c r="AG865" s="81"/>
      <c r="AH865" s="81"/>
      <c r="AI865" s="4"/>
      <c r="AJ865" s="81"/>
      <c r="AK865" s="81"/>
      <c r="AL865" s="81"/>
      <c r="AM865" s="43">
        <v>849</v>
      </c>
      <c r="AN865">
        <v>204.51813426345859</v>
      </c>
      <c r="AO865">
        <v>84.581870625444679</v>
      </c>
      <c r="AP865">
        <v>644.34899052988169</v>
      </c>
      <c r="AQ865">
        <v>465.3229699261484</v>
      </c>
      <c r="AR865">
        <v>77.554494045090706</v>
      </c>
      <c r="AS865">
        <v>614.77677673237656</v>
      </c>
      <c r="AT865">
        <v>42.875137762040339</v>
      </c>
      <c r="AU865">
        <v>57.990368606807166</v>
      </c>
      <c r="AV865"/>
      <c r="AW865"/>
      <c r="FY865" s="211">
        <v>860</v>
      </c>
      <c r="FZ865">
        <v>21.903503882967478</v>
      </c>
      <c r="GA865">
        <v>47.159689116065479</v>
      </c>
      <c r="GB865">
        <v>65.803018422663996</v>
      </c>
      <c r="GC865">
        <v>49.149900899239285</v>
      </c>
      <c r="GD865">
        <v>30.939906306029592</v>
      </c>
      <c r="GE865">
        <v>58.855496123311035</v>
      </c>
      <c r="GF865">
        <v>92.368543294272243</v>
      </c>
      <c r="GG865">
        <v>48.235626390368907</v>
      </c>
      <c r="GH865">
        <v>4.4975299685166767</v>
      </c>
      <c r="GI865">
        <v>58.771596118531178</v>
      </c>
      <c r="GJ865"/>
      <c r="GK865"/>
      <c r="GL865"/>
      <c r="GM865"/>
    </row>
    <row r="866" spans="1:195" s="7" customFormat="1">
      <c r="A866" s="4"/>
      <c r="B866" s="4"/>
      <c r="C866" s="4"/>
      <c r="D866" s="4"/>
      <c r="E866" s="4"/>
      <c r="F866" s="28"/>
      <c r="G866" s="28"/>
      <c r="H866" s="83"/>
      <c r="I866" s="4"/>
      <c r="J866" s="4"/>
      <c r="K866" s="4"/>
      <c r="L866" s="4"/>
      <c r="M866" s="4"/>
      <c r="N866" s="28"/>
      <c r="O866" s="4"/>
      <c r="P866" s="4"/>
      <c r="Q866" s="4"/>
      <c r="R866" s="4"/>
      <c r="S866" s="4"/>
      <c r="T866" s="4"/>
      <c r="U866" s="4"/>
      <c r="V866" s="4"/>
      <c r="W866" s="4"/>
      <c r="X866" s="4"/>
      <c r="Y866" s="4"/>
      <c r="Z866" s="4"/>
      <c r="AA866" s="4"/>
      <c r="AB866" s="4"/>
      <c r="AC866" s="4"/>
      <c r="AD866" s="4"/>
      <c r="AE866" s="4"/>
      <c r="AF866" s="81"/>
      <c r="AG866" s="81"/>
      <c r="AH866" s="81"/>
      <c r="AI866" s="4"/>
      <c r="AJ866" s="81"/>
      <c r="AK866" s="81"/>
      <c r="AL866" s="81"/>
      <c r="AM866" s="43">
        <v>850</v>
      </c>
      <c r="AN866">
        <v>208.74199576344645</v>
      </c>
      <c r="AO866">
        <v>73.334975637333571</v>
      </c>
      <c r="AP866">
        <v>483.43274603884714</v>
      </c>
      <c r="AQ866">
        <v>383.43696732484545</v>
      </c>
      <c r="AR866">
        <v>67.035624423721899</v>
      </c>
      <c r="AS866">
        <v>564.05308399907472</v>
      </c>
      <c r="AT866">
        <v>36.321996582253213</v>
      </c>
      <c r="AU866">
        <v>52.747953204248581</v>
      </c>
      <c r="AV866"/>
      <c r="AW866"/>
      <c r="FY866" s="211">
        <v>861</v>
      </c>
      <c r="FZ866">
        <v>11.293879855102794</v>
      </c>
      <c r="GA866">
        <v>41.837042579816583</v>
      </c>
      <c r="GB866">
        <v>68.29586431415548</v>
      </c>
      <c r="GC866">
        <v>37.004491496029424</v>
      </c>
      <c r="GD866">
        <v>16.1591684006418</v>
      </c>
      <c r="GE866">
        <v>54.667448352766428</v>
      </c>
      <c r="GF866">
        <v>123.17361721101717</v>
      </c>
      <c r="GG866">
        <v>69.201632234662469</v>
      </c>
      <c r="GH866">
        <v>10.94792429708107</v>
      </c>
      <c r="GI866">
        <v>56.703531399778676</v>
      </c>
      <c r="GJ866"/>
      <c r="GK866"/>
      <c r="GL866"/>
      <c r="GM866"/>
    </row>
    <row r="867" spans="1:195" s="7" customFormat="1">
      <c r="A867" s="4"/>
      <c r="B867" s="4"/>
      <c r="C867" s="4"/>
      <c r="D867" s="4"/>
      <c r="E867" s="4"/>
      <c r="F867" s="28"/>
      <c r="G867" s="28"/>
      <c r="H867" s="83"/>
      <c r="I867" s="4"/>
      <c r="J867" s="4"/>
      <c r="K867" s="4"/>
      <c r="L867" s="4"/>
      <c r="M867" s="4"/>
      <c r="N867" s="28"/>
      <c r="O867" s="4"/>
      <c r="P867" s="4"/>
      <c r="Q867" s="4"/>
      <c r="R867" s="4"/>
      <c r="S867" s="4"/>
      <c r="T867" s="4"/>
      <c r="U867" s="4"/>
      <c r="V867" s="4"/>
      <c r="W867" s="4"/>
      <c r="X867" s="4"/>
      <c r="Y867" s="4"/>
      <c r="Z867" s="4"/>
      <c r="AA867" s="4"/>
      <c r="AB867" s="4"/>
      <c r="AC867" s="4"/>
      <c r="AD867" s="4"/>
      <c r="AE867" s="4"/>
      <c r="AF867" s="81"/>
      <c r="AG867" s="81"/>
      <c r="AH867" s="81"/>
      <c r="AI867" s="4"/>
      <c r="AJ867" s="81"/>
      <c r="AK867" s="81"/>
      <c r="AL867" s="81"/>
      <c r="AM867" s="43">
        <v>851</v>
      </c>
      <c r="AN867">
        <v>302.96477570543425</v>
      </c>
      <c r="AO867">
        <v>94.410968256022031</v>
      </c>
      <c r="AP867">
        <v>599.92492114450238</v>
      </c>
      <c r="AQ867">
        <v>488.18232705261983</v>
      </c>
      <c r="AR867">
        <v>84.069949483561373</v>
      </c>
      <c r="AS867">
        <v>759.47181351866971</v>
      </c>
      <c r="AT867" t="e">
        <v>#DIV/0!</v>
      </c>
      <c r="AU867" t="e">
        <v>#DIV/0!</v>
      </c>
      <c r="AV867"/>
      <c r="AW867"/>
      <c r="FY867" s="211">
        <v>862</v>
      </c>
      <c r="FZ867">
        <v>21.900202734668106</v>
      </c>
      <c r="GA867">
        <v>57.500363508593182</v>
      </c>
      <c r="GB867">
        <v>75.857488592450508</v>
      </c>
      <c r="GC867">
        <v>46.075828033561955</v>
      </c>
      <c r="GD867">
        <v>21.551594679523173</v>
      </c>
      <c r="GE867">
        <v>38.907687101772346</v>
      </c>
      <c r="GF867">
        <v>58.260377686309248</v>
      </c>
      <c r="GG867">
        <v>28.514869603117219</v>
      </c>
      <c r="GH867">
        <v>4.7211166259565704</v>
      </c>
      <c r="GI867">
        <v>48.621894543772697</v>
      </c>
      <c r="GJ867"/>
      <c r="GK867"/>
      <c r="GL867"/>
      <c r="GM867"/>
    </row>
    <row r="868" spans="1:195" s="7" customFormat="1">
      <c r="A868" s="4"/>
      <c r="B868" s="4"/>
      <c r="C868" s="4"/>
      <c r="D868" s="4"/>
      <c r="E868" s="4"/>
      <c r="F868" s="28"/>
      <c r="G868" s="28"/>
      <c r="H868" s="83"/>
      <c r="I868" s="4"/>
      <c r="J868" s="4"/>
      <c r="K868" s="4"/>
      <c r="L868" s="4"/>
      <c r="M868" s="4"/>
      <c r="N868" s="28"/>
      <c r="O868" s="4"/>
      <c r="P868" s="4"/>
      <c r="Q868" s="4"/>
      <c r="R868" s="4"/>
      <c r="S868" s="4"/>
      <c r="T868" s="4"/>
      <c r="U868" s="4"/>
      <c r="V868" s="4"/>
      <c r="W868" s="4"/>
      <c r="X868" s="4"/>
      <c r="Y868" s="4"/>
      <c r="Z868" s="4"/>
      <c r="AA868" s="4"/>
      <c r="AB868" s="4"/>
      <c r="AC868" s="4"/>
      <c r="AD868" s="4"/>
      <c r="AE868" s="4"/>
      <c r="AF868" s="81"/>
      <c r="AG868" s="81"/>
      <c r="AH868" s="81"/>
      <c r="AI868" s="4"/>
      <c r="AJ868" s="81"/>
      <c r="AK868" s="81"/>
      <c r="AL868" s="81"/>
      <c r="AM868" s="43">
        <v>852</v>
      </c>
      <c r="AN868">
        <v>245.25545189189302</v>
      </c>
      <c r="AO868">
        <v>81.673180844232036</v>
      </c>
      <c r="AP868">
        <v>618.34819995470878</v>
      </c>
      <c r="AQ868">
        <v>450.59020130848603</v>
      </c>
      <c r="AR868">
        <v>74.56787173518218</v>
      </c>
      <c r="AS868">
        <v>632.51934858758466</v>
      </c>
      <c r="AT868">
        <v>39.990648196248863</v>
      </c>
      <c r="AU868">
        <v>77.926921611816525</v>
      </c>
      <c r="AV868"/>
      <c r="AW868"/>
      <c r="FY868" s="211">
        <v>863</v>
      </c>
      <c r="FZ868">
        <v>4.8729138028551597</v>
      </c>
      <c r="GA868">
        <v>45.014916579156186</v>
      </c>
      <c r="GB868">
        <v>72.718174264100668</v>
      </c>
      <c r="GC868">
        <v>37.821014046483647</v>
      </c>
      <c r="GD868">
        <v>11.734760045532909</v>
      </c>
      <c r="GE868">
        <v>28.179605099368285</v>
      </c>
      <c r="GF868">
        <v>47.890010416483705</v>
      </c>
      <c r="GG868">
        <v>51.749924322504121</v>
      </c>
      <c r="GH868">
        <v>50.006651125275823</v>
      </c>
      <c r="GI868">
        <v>43.782464737967615</v>
      </c>
      <c r="GJ868"/>
      <c r="GK868"/>
      <c r="GL868"/>
      <c r="GM868"/>
    </row>
    <row r="869" spans="1:195" s="7" customFormat="1">
      <c r="A869" s="4"/>
      <c r="B869" s="4"/>
      <c r="C869" s="4"/>
      <c r="D869" s="4"/>
      <c r="E869" s="4"/>
      <c r="F869" s="28"/>
      <c r="G869" s="28"/>
      <c r="H869" s="83"/>
      <c r="I869" s="4"/>
      <c r="J869" s="4"/>
      <c r="K869" s="4"/>
      <c r="L869" s="4"/>
      <c r="M869" s="4"/>
      <c r="N869" s="28"/>
      <c r="O869" s="4"/>
      <c r="P869" s="4"/>
      <c r="Q869" s="4"/>
      <c r="R869" s="4"/>
      <c r="S869" s="4"/>
      <c r="T869" s="4"/>
      <c r="U869" s="4"/>
      <c r="V869" s="4"/>
      <c r="W869" s="4"/>
      <c r="X869" s="4"/>
      <c r="Y869" s="4"/>
      <c r="Z869" s="4"/>
      <c r="AA869" s="4"/>
      <c r="AB869" s="4"/>
      <c r="AC869" s="4"/>
      <c r="AD869" s="4"/>
      <c r="AE869" s="4"/>
      <c r="AF869" s="81"/>
      <c r="AG869" s="81"/>
      <c r="AH869" s="81"/>
      <c r="AI869" s="4"/>
      <c r="AJ869" s="81"/>
      <c r="AK869" s="81"/>
      <c r="AL869" s="81"/>
      <c r="AM869" s="43">
        <v>853</v>
      </c>
      <c r="AN869">
        <v>267.2768627713246</v>
      </c>
      <c r="AO869">
        <v>91.135363508028874</v>
      </c>
      <c r="AP869">
        <v>633.31108298647359</v>
      </c>
      <c r="AQ869">
        <v>476.49661482828924</v>
      </c>
      <c r="AR869">
        <v>84.321682371342533</v>
      </c>
      <c r="AS869">
        <v>713.28338755434572</v>
      </c>
      <c r="AT869" t="e">
        <v>#DIV/0!</v>
      </c>
      <c r="AU869" t="e">
        <v>#DIV/0!</v>
      </c>
      <c r="AV869"/>
      <c r="AW869"/>
      <c r="FY869" s="211">
        <v>864</v>
      </c>
      <c r="FZ869">
        <v>17.475308332175775</v>
      </c>
      <c r="GA869">
        <v>51.703292978632746</v>
      </c>
      <c r="GB869">
        <v>51.541950771152912</v>
      </c>
      <c r="GC869">
        <v>28.94721152433176</v>
      </c>
      <c r="GD869">
        <v>18.403474848297996</v>
      </c>
      <c r="GE869">
        <v>38.300986052117615</v>
      </c>
      <c r="GF869">
        <v>60.349957281368035</v>
      </c>
      <c r="GG869">
        <v>52.423453965374534</v>
      </c>
      <c r="GH869">
        <v>29.985211630620007</v>
      </c>
      <c r="GI869">
        <v>44.026220609122376</v>
      </c>
      <c r="GJ869"/>
      <c r="GK869"/>
      <c r="GL869"/>
      <c r="GM869"/>
    </row>
    <row r="870" spans="1:195" s="7" customFormat="1">
      <c r="A870" s="4"/>
      <c r="B870" s="4"/>
      <c r="C870" s="4"/>
      <c r="D870" s="4"/>
      <c r="E870" s="4"/>
      <c r="F870" s="28"/>
      <c r="G870" s="28"/>
      <c r="H870" s="83"/>
      <c r="I870" s="4"/>
      <c r="J870" s="4"/>
      <c r="K870" s="4"/>
      <c r="L870" s="4"/>
      <c r="M870" s="4"/>
      <c r="N870" s="28"/>
      <c r="O870" s="4"/>
      <c r="P870" s="4"/>
      <c r="Q870" s="4"/>
      <c r="R870" s="4"/>
      <c r="S870" s="4"/>
      <c r="T870" s="4"/>
      <c r="U870" s="4"/>
      <c r="V870" s="4"/>
      <c r="W870" s="4"/>
      <c r="X870" s="4"/>
      <c r="Y870" s="4"/>
      <c r="Z870" s="4"/>
      <c r="AA870" s="4"/>
      <c r="AB870" s="4"/>
      <c r="AC870" s="4"/>
      <c r="AD870" s="4"/>
      <c r="AE870" s="4"/>
      <c r="AF870" s="81"/>
      <c r="AG870" s="81"/>
      <c r="AH870" s="81"/>
      <c r="AI870" s="4"/>
      <c r="AJ870" s="81"/>
      <c r="AK870" s="81"/>
      <c r="AL870" s="81"/>
      <c r="AM870" s="43">
        <v>854</v>
      </c>
      <c r="AN870">
        <v>225.86779902378257</v>
      </c>
      <c r="AO870">
        <v>87.056150419370368</v>
      </c>
      <c r="AP870">
        <v>665.20667627736736</v>
      </c>
      <c r="AQ870">
        <v>487.90362422637958</v>
      </c>
      <c r="AR870">
        <v>79.53926848673153</v>
      </c>
      <c r="AS870">
        <v>621.13648091867401</v>
      </c>
      <c r="AT870">
        <v>44.93277894799926</v>
      </c>
      <c r="AU870">
        <v>126.02476658722003</v>
      </c>
      <c r="AV870"/>
      <c r="AW870"/>
      <c r="FY870" s="211">
        <v>865</v>
      </c>
      <c r="FZ870">
        <v>6.7562992128231141</v>
      </c>
      <c r="GA870">
        <v>38.326043302657183</v>
      </c>
      <c r="GB870">
        <v>50.419905708070011</v>
      </c>
      <c r="GC870">
        <v>27.911672572830177</v>
      </c>
      <c r="GD870">
        <v>18.876487435229883</v>
      </c>
      <c r="GE870">
        <v>36.63671169468077</v>
      </c>
      <c r="GF870">
        <v>43.418531680980038</v>
      </c>
      <c r="GG870">
        <v>38.203906888907376</v>
      </c>
      <c r="GH870">
        <v>23.166096455247001</v>
      </c>
      <c r="GI870">
        <v>38.202290370951744</v>
      </c>
      <c r="GJ870"/>
      <c r="GK870"/>
      <c r="GL870"/>
      <c r="GM870"/>
    </row>
    <row r="871" spans="1:195" s="7" customFormat="1">
      <c r="A871" s="4"/>
      <c r="B871" s="4"/>
      <c r="C871" s="4"/>
      <c r="D871" s="4"/>
      <c r="E871" s="4"/>
      <c r="F871" s="28"/>
      <c r="G871" s="28"/>
      <c r="H871" s="83"/>
      <c r="I871" s="4"/>
      <c r="J871" s="4"/>
      <c r="K871" s="4"/>
      <c r="L871" s="4"/>
      <c r="M871" s="4"/>
      <c r="N871" s="28"/>
      <c r="O871" s="4"/>
      <c r="P871" s="4"/>
      <c r="Q871" s="4"/>
      <c r="R871" s="4"/>
      <c r="S871" s="4"/>
      <c r="T871" s="4"/>
      <c r="U871" s="4"/>
      <c r="V871" s="4"/>
      <c r="W871" s="4"/>
      <c r="X871" s="4"/>
      <c r="Y871" s="4"/>
      <c r="Z871" s="4"/>
      <c r="AA871" s="4"/>
      <c r="AB871" s="4"/>
      <c r="AC871" s="4"/>
      <c r="AD871" s="4"/>
      <c r="AE871" s="4"/>
      <c r="AF871" s="81"/>
      <c r="AG871" s="81"/>
      <c r="AH871" s="81"/>
      <c r="AI871" s="4"/>
      <c r="AJ871" s="81"/>
      <c r="AK871" s="81"/>
      <c r="AL871" s="81"/>
      <c r="AM871" s="43">
        <v>855</v>
      </c>
      <c r="AN871">
        <v>271.2063582037602</v>
      </c>
      <c r="AO871">
        <v>81.256710326626177</v>
      </c>
      <c r="AP871">
        <v>583.42317983288774</v>
      </c>
      <c r="AQ871">
        <v>446.05149610017503</v>
      </c>
      <c r="AR871">
        <v>73.726707952161789</v>
      </c>
      <c r="AS871">
        <v>638.86499513364083</v>
      </c>
      <c r="AT871">
        <v>37.69103502626011</v>
      </c>
      <c r="AU871">
        <v>55.013765014853874</v>
      </c>
      <c r="AV871"/>
      <c r="AW871"/>
      <c r="FY871" s="211">
        <v>866</v>
      </c>
      <c r="FZ871">
        <v>8.5826057877329234</v>
      </c>
      <c r="GA871">
        <v>50.656004746813487</v>
      </c>
      <c r="GB871">
        <v>58.750116228867753</v>
      </c>
      <c r="GC871">
        <v>32.873392733494342</v>
      </c>
      <c r="GD871">
        <v>29.395958568731857</v>
      </c>
      <c r="GE871">
        <v>53.892819984894956</v>
      </c>
      <c r="GF871">
        <v>56.429995876248569</v>
      </c>
      <c r="GG871">
        <v>34.514735260968557</v>
      </c>
      <c r="GH871">
        <v>5.531028395096298</v>
      </c>
      <c r="GI871">
        <v>47.182498141777835</v>
      </c>
      <c r="GJ871"/>
      <c r="GK871"/>
      <c r="GL871"/>
      <c r="GM871"/>
    </row>
    <row r="872" spans="1:195" s="7" customFormat="1">
      <c r="A872" s="4"/>
      <c r="B872" s="4"/>
      <c r="C872" s="4"/>
      <c r="D872" s="4"/>
      <c r="E872" s="4"/>
      <c r="F872" s="28"/>
      <c r="G872" s="28"/>
      <c r="H872" s="83"/>
      <c r="I872" s="4"/>
      <c r="J872" s="4"/>
      <c r="K872" s="4"/>
      <c r="L872" s="4"/>
      <c r="M872" s="4"/>
      <c r="N872" s="28"/>
      <c r="O872" s="4"/>
      <c r="P872" s="4"/>
      <c r="Q872" s="4"/>
      <c r="R872" s="4"/>
      <c r="S872" s="4"/>
      <c r="T872" s="4"/>
      <c r="U872" s="4"/>
      <c r="V872" s="4"/>
      <c r="W872" s="4"/>
      <c r="X872" s="4"/>
      <c r="Y872" s="4"/>
      <c r="Z872" s="4"/>
      <c r="AA872" s="4"/>
      <c r="AB872" s="4"/>
      <c r="AC872" s="4"/>
      <c r="AD872" s="4"/>
      <c r="AE872" s="4"/>
      <c r="AF872" s="81"/>
      <c r="AG872" s="81"/>
      <c r="AH872" s="81"/>
      <c r="AI872" s="4"/>
      <c r="AJ872" s="81"/>
      <c r="AK872" s="81"/>
      <c r="AL872" s="81"/>
      <c r="AM872" s="43">
        <v>856</v>
      </c>
      <c r="AN872">
        <v>267.09055445579122</v>
      </c>
      <c r="AO872">
        <v>79.538050008290469</v>
      </c>
      <c r="AP872">
        <v>587.22047143671273</v>
      </c>
      <c r="AQ872">
        <v>449.06883298921724</v>
      </c>
      <c r="AR872">
        <v>71.424118212321588</v>
      </c>
      <c r="AS872">
        <v>628.64424438040692</v>
      </c>
      <c r="AT872">
        <v>38.616217292333836</v>
      </c>
      <c r="AU872">
        <v>87.857146554347949</v>
      </c>
      <c r="AV872"/>
      <c r="AW872"/>
      <c r="FY872" s="211">
        <v>867</v>
      </c>
      <c r="FZ872">
        <v>15.855344328199953</v>
      </c>
      <c r="GA872">
        <v>66.464294898975282</v>
      </c>
      <c r="GB872">
        <v>90.424144653287101</v>
      </c>
      <c r="GC872">
        <v>45.063361205951153</v>
      </c>
      <c r="GD872">
        <v>14.140272336019461</v>
      </c>
      <c r="GE872">
        <v>31.386164830479878</v>
      </c>
      <c r="GF872">
        <v>87.240164418938207</v>
      </c>
      <c r="GG872">
        <v>72.097118325845656</v>
      </c>
      <c r="GH872">
        <v>26.921940830033144</v>
      </c>
      <c r="GI872">
        <v>57.334300141557669</v>
      </c>
      <c r="GJ872"/>
      <c r="GK872"/>
      <c r="GL872"/>
      <c r="GM872"/>
    </row>
    <row r="873" spans="1:195" s="7" customFormat="1">
      <c r="A873" s="4"/>
      <c r="B873" s="4"/>
      <c r="C873" s="4"/>
      <c r="D873" s="4"/>
      <c r="E873" s="4"/>
      <c r="F873" s="28"/>
      <c r="G873" s="28"/>
      <c r="H873" s="83"/>
      <c r="I873" s="4"/>
      <c r="J873" s="4"/>
      <c r="K873" s="4"/>
      <c r="L873" s="4"/>
      <c r="M873" s="4"/>
      <c r="N873" s="28"/>
      <c r="O873" s="4"/>
      <c r="P873" s="4"/>
      <c r="Q873" s="4"/>
      <c r="R873" s="4"/>
      <c r="S873" s="4"/>
      <c r="T873" s="4"/>
      <c r="U873" s="4"/>
      <c r="V873" s="4"/>
      <c r="W873" s="4"/>
      <c r="X873" s="4"/>
      <c r="Y873" s="4"/>
      <c r="Z873" s="4"/>
      <c r="AA873" s="4"/>
      <c r="AB873" s="4"/>
      <c r="AC873" s="4"/>
      <c r="AD873" s="4"/>
      <c r="AE873" s="4"/>
      <c r="AF873" s="81"/>
      <c r="AG873" s="81"/>
      <c r="AH873" s="81"/>
      <c r="AI873" s="4"/>
      <c r="AJ873" s="81"/>
      <c r="AK873" s="81"/>
      <c r="AL873" s="81"/>
      <c r="AM873" s="43">
        <v>857</v>
      </c>
      <c r="AN873">
        <v>243.83626480489335</v>
      </c>
      <c r="AO873">
        <v>76.138146943453165</v>
      </c>
      <c r="AP873">
        <v>572.30424298620869</v>
      </c>
      <c r="AQ873">
        <v>439.32707815766867</v>
      </c>
      <c r="AR873">
        <v>68.134202525869682</v>
      </c>
      <c r="AS873">
        <v>579.94958522076865</v>
      </c>
      <c r="AT873" t="e">
        <v>#DIV/0!</v>
      </c>
      <c r="AU873" t="e">
        <v>#DIV/0!</v>
      </c>
      <c r="AV873"/>
      <c r="AW873"/>
      <c r="FY873" s="211">
        <v>868</v>
      </c>
      <c r="FZ873">
        <v>17.62096513794685</v>
      </c>
      <c r="GA873">
        <v>60.905069230067127</v>
      </c>
      <c r="GB873">
        <v>48.321404963059408</v>
      </c>
      <c r="GC873">
        <v>27.606693834110139</v>
      </c>
      <c r="GD873">
        <v>20.10016794132169</v>
      </c>
      <c r="GE873">
        <v>36.025858226226674</v>
      </c>
      <c r="GF873">
        <v>46.860518083037583</v>
      </c>
      <c r="GG873">
        <v>35.117813783343543</v>
      </c>
      <c r="GH873">
        <v>19.009214860282</v>
      </c>
      <c r="GI873">
        <v>40.846494057530315</v>
      </c>
      <c r="GJ873"/>
      <c r="GK873"/>
      <c r="GL873"/>
      <c r="GM873"/>
    </row>
    <row r="874" spans="1:195" s="7" customFormat="1">
      <c r="A874" s="4"/>
      <c r="B874" s="4"/>
      <c r="C874" s="4"/>
      <c r="D874" s="4"/>
      <c r="E874" s="4"/>
      <c r="F874" s="28"/>
      <c r="G874" s="28"/>
      <c r="H874" s="83"/>
      <c r="I874" s="4"/>
      <c r="J874" s="4"/>
      <c r="K874" s="4"/>
      <c r="L874" s="4"/>
      <c r="M874" s="4"/>
      <c r="N874" s="28"/>
      <c r="O874" s="4"/>
      <c r="P874" s="4"/>
      <c r="Q874" s="4"/>
      <c r="R874" s="4"/>
      <c r="S874" s="4"/>
      <c r="T874" s="4"/>
      <c r="U874" s="4"/>
      <c r="V874" s="4"/>
      <c r="W874" s="4"/>
      <c r="X874" s="4"/>
      <c r="Y874" s="4"/>
      <c r="Z874" s="4"/>
      <c r="AA874" s="4"/>
      <c r="AB874" s="4"/>
      <c r="AC874" s="4"/>
      <c r="AD874" s="4"/>
      <c r="AE874" s="4"/>
      <c r="AF874" s="81"/>
      <c r="AG874" s="81"/>
      <c r="AH874" s="81"/>
      <c r="AI874" s="4"/>
      <c r="AJ874" s="81"/>
      <c r="AK874" s="81"/>
      <c r="AL874" s="81"/>
      <c r="AM874" s="43">
        <v>858</v>
      </c>
      <c r="AN874">
        <v>254.06623511721926</v>
      </c>
      <c r="AO874">
        <v>69.545099628273618</v>
      </c>
      <c r="AP874">
        <v>498.2943503419333</v>
      </c>
      <c r="AQ874">
        <v>387.72713608555893</v>
      </c>
      <c r="AR874">
        <v>62.381483777151793</v>
      </c>
      <c r="AS874">
        <v>578.66806810906394</v>
      </c>
      <c r="AT874">
        <v>32.810735016063575</v>
      </c>
      <c r="AU874">
        <v>74.850457519717153</v>
      </c>
      <c r="AV874"/>
      <c r="AW874"/>
      <c r="FY874" s="211">
        <v>869</v>
      </c>
      <c r="FZ874">
        <v>23.584799439890137</v>
      </c>
      <c r="GA874">
        <v>42.765734848729664</v>
      </c>
      <c r="GB874">
        <v>58.680338983535876</v>
      </c>
      <c r="GC874">
        <v>40.835974849992439</v>
      </c>
      <c r="GD874">
        <v>20.281077023214539</v>
      </c>
      <c r="GE874">
        <v>24.074049416332269</v>
      </c>
      <c r="GF874">
        <v>34.970840559061692</v>
      </c>
      <c r="GG874">
        <v>29.245803568486476</v>
      </c>
      <c r="GH874">
        <v>5.7399782623447804</v>
      </c>
      <c r="GI874">
        <v>38.544414502047132</v>
      </c>
      <c r="GJ874"/>
      <c r="GK874"/>
      <c r="GL874"/>
      <c r="GM874"/>
    </row>
    <row r="875" spans="1:195" s="7" customFormat="1">
      <c r="A875" s="4"/>
      <c r="B875" s="4"/>
      <c r="C875" s="4"/>
      <c r="D875" s="4"/>
      <c r="E875" s="4"/>
      <c r="F875" s="28"/>
      <c r="G875" s="28"/>
      <c r="H875" s="83"/>
      <c r="I875" s="4"/>
      <c r="J875" s="4"/>
      <c r="K875" s="4"/>
      <c r="L875" s="4"/>
      <c r="M875" s="4"/>
      <c r="N875" s="28"/>
      <c r="O875" s="4"/>
      <c r="P875" s="4"/>
      <c r="Q875" s="4"/>
      <c r="R875" s="4"/>
      <c r="S875" s="4"/>
      <c r="T875" s="4"/>
      <c r="U875" s="4"/>
      <c r="V875" s="4"/>
      <c r="W875" s="4"/>
      <c r="X875" s="4"/>
      <c r="Y875" s="4"/>
      <c r="Z875" s="4"/>
      <c r="AA875" s="4"/>
      <c r="AB875" s="4"/>
      <c r="AC875" s="4"/>
      <c r="AD875" s="4"/>
      <c r="AE875" s="4"/>
      <c r="AF875" s="81"/>
      <c r="AG875" s="81"/>
      <c r="AH875" s="81"/>
      <c r="AI875" s="4"/>
      <c r="AJ875" s="81"/>
      <c r="AK875" s="81"/>
      <c r="AL875" s="81"/>
      <c r="AM875" s="43">
        <v>859</v>
      </c>
      <c r="AN875">
        <v>274.5957107981111</v>
      </c>
      <c r="AO875">
        <v>97.564412111900282</v>
      </c>
      <c r="AP875">
        <v>693.43018545173811</v>
      </c>
      <c r="AQ875">
        <v>534.54089225181554</v>
      </c>
      <c r="AR875">
        <v>87.713817098191399</v>
      </c>
      <c r="AS875">
        <v>717.14820794925868</v>
      </c>
      <c r="AT875">
        <v>44.88259775230452</v>
      </c>
      <c r="AU875">
        <v>-21.169314779509229</v>
      </c>
      <c r="AV875"/>
      <c r="AW875"/>
      <c r="FY875" s="211">
        <v>870</v>
      </c>
      <c r="FZ875">
        <v>52.281938127950554</v>
      </c>
      <c r="GA875">
        <v>82.964183315036649</v>
      </c>
      <c r="GB875">
        <v>98.192236230028243</v>
      </c>
      <c r="GC875">
        <v>58.781425357230063</v>
      </c>
      <c r="GD875">
        <v>19.90955690952876</v>
      </c>
      <c r="GE875">
        <v>28.685800023532046</v>
      </c>
      <c r="GF875">
        <v>65.202115575450946</v>
      </c>
      <c r="GG875">
        <v>63.06317242207485</v>
      </c>
      <c r="GH875">
        <v>22.398126456335785</v>
      </c>
      <c r="GI875">
        <v>62.300121477275056</v>
      </c>
      <c r="GJ875"/>
      <c r="GK875"/>
      <c r="GL875"/>
      <c r="GM875"/>
    </row>
    <row r="876" spans="1:195" s="7" customFormat="1">
      <c r="A876" s="4"/>
      <c r="B876" s="4"/>
      <c r="C876" s="4"/>
      <c r="D876" s="4"/>
      <c r="E876" s="4"/>
      <c r="F876" s="28"/>
      <c r="G876" s="28"/>
      <c r="H876" s="83"/>
      <c r="I876" s="4"/>
      <c r="J876" s="4"/>
      <c r="K876" s="4"/>
      <c r="L876" s="4"/>
      <c r="M876" s="4"/>
      <c r="N876" s="28"/>
      <c r="O876" s="4"/>
      <c r="P876" s="4"/>
      <c r="Q876" s="4"/>
      <c r="R876" s="4"/>
      <c r="S876" s="4"/>
      <c r="T876" s="4"/>
      <c r="U876" s="4"/>
      <c r="V876" s="4"/>
      <c r="W876" s="4"/>
      <c r="X876" s="4"/>
      <c r="Y876" s="4"/>
      <c r="Z876" s="4"/>
      <c r="AA876" s="4"/>
      <c r="AB876" s="4"/>
      <c r="AC876" s="4"/>
      <c r="AD876" s="4"/>
      <c r="AE876" s="4"/>
      <c r="AF876" s="81"/>
      <c r="AG876" s="81"/>
      <c r="AH876" s="81"/>
      <c r="AI876" s="4"/>
      <c r="AJ876" s="81"/>
      <c r="AK876" s="81"/>
      <c r="AL876" s="81"/>
      <c r="AM876" s="43">
        <v>860</v>
      </c>
      <c r="AN876">
        <v>289.97895191802979</v>
      </c>
      <c r="AO876">
        <v>93.32703496642128</v>
      </c>
      <c r="AP876">
        <v>619.16030734466585</v>
      </c>
      <c r="AQ876">
        <v>477.68481052196591</v>
      </c>
      <c r="AR876">
        <v>84.289001795843376</v>
      </c>
      <c r="AS876">
        <v>693.91553852006598</v>
      </c>
      <c r="AT876">
        <v>43.513838562340872</v>
      </c>
      <c r="AU876">
        <v>62.513628056639803</v>
      </c>
      <c r="AV876"/>
      <c r="AW876"/>
      <c r="FY876" s="211">
        <v>871</v>
      </c>
      <c r="FZ876">
        <v>16.115502982320677</v>
      </c>
      <c r="GA876">
        <v>55.585339525099819</v>
      </c>
      <c r="GB876">
        <v>107.28183135743394</v>
      </c>
      <c r="GC876">
        <v>60.383955988830529</v>
      </c>
      <c r="GD876">
        <v>22.084597528926821</v>
      </c>
      <c r="GE876">
        <v>58.134506243896396</v>
      </c>
      <c r="GF876">
        <v>100.63206538315168</v>
      </c>
      <c r="GG876">
        <v>66.806384667060684</v>
      </c>
      <c r="GH876">
        <v>32.659567220177237</v>
      </c>
      <c r="GI876">
        <v>69.502538481799505</v>
      </c>
      <c r="GJ876"/>
      <c r="GK876"/>
      <c r="GL876"/>
      <c r="GM876"/>
    </row>
    <row r="877" spans="1:195" s="7" customFormat="1">
      <c r="A877" s="4"/>
      <c r="B877" s="4"/>
      <c r="C877" s="4"/>
      <c r="D877" s="4"/>
      <c r="E877" s="4"/>
      <c r="F877" s="28"/>
      <c r="G877" s="28"/>
      <c r="H877" s="83"/>
      <c r="I877" s="4"/>
      <c r="J877" s="4"/>
      <c r="K877" s="4"/>
      <c r="L877" s="4"/>
      <c r="M877" s="4"/>
      <c r="N877" s="28"/>
      <c r="O877" s="4"/>
      <c r="P877" s="4"/>
      <c r="Q877" s="4"/>
      <c r="R877" s="4"/>
      <c r="S877" s="4"/>
      <c r="T877" s="4"/>
      <c r="U877" s="4"/>
      <c r="V877" s="4"/>
      <c r="W877" s="4"/>
      <c r="X877" s="4"/>
      <c r="Y877" s="4"/>
      <c r="Z877" s="4"/>
      <c r="AA877" s="4"/>
      <c r="AB877" s="4"/>
      <c r="AC877" s="4"/>
      <c r="AD877" s="4"/>
      <c r="AE877" s="4"/>
      <c r="AF877" s="81"/>
      <c r="AG877" s="81"/>
      <c r="AH877" s="81"/>
      <c r="AI877" s="4"/>
      <c r="AJ877" s="81"/>
      <c r="AK877" s="81"/>
      <c r="AL877" s="81"/>
      <c r="AM877" s="43">
        <v>861</v>
      </c>
      <c r="AN877">
        <v>233.48954709268406</v>
      </c>
      <c r="AO877">
        <v>91.114841266538832</v>
      </c>
      <c r="AP877">
        <v>691.28356258356155</v>
      </c>
      <c r="AQ877">
        <v>489.28460014105184</v>
      </c>
      <c r="AR877">
        <v>80.94958961742141</v>
      </c>
      <c r="AS877">
        <v>665.84601391927367</v>
      </c>
      <c r="AT877">
        <v>44.85386750328842</v>
      </c>
      <c r="AU877">
        <v>48.176951014748965</v>
      </c>
      <c r="AV877"/>
      <c r="AW877"/>
      <c r="FY877" s="211">
        <v>872</v>
      </c>
      <c r="FZ877">
        <v>21.033011117161934</v>
      </c>
      <c r="GA877">
        <v>54.064552223192464</v>
      </c>
      <c r="GB877">
        <v>58.768122857522144</v>
      </c>
      <c r="GC877">
        <v>38.936215583195136</v>
      </c>
      <c r="GD877">
        <v>18.974181470320524</v>
      </c>
      <c r="GE877">
        <v>29.068786680921626</v>
      </c>
      <c r="GF877">
        <v>58.427609881280105</v>
      </c>
      <c r="GG877">
        <v>57.849182344600095</v>
      </c>
      <c r="GH877">
        <v>36.476291455981737</v>
      </c>
      <c r="GI877">
        <v>46.93237956005423</v>
      </c>
      <c r="GJ877"/>
      <c r="GK877"/>
      <c r="GL877"/>
      <c r="GM877"/>
    </row>
    <row r="878" spans="1:195" s="7" customFormat="1">
      <c r="A878" s="4"/>
      <c r="B878" s="4"/>
      <c r="C878" s="4"/>
      <c r="D878" s="4"/>
      <c r="E878" s="4"/>
      <c r="F878" s="28"/>
      <c r="G878" s="28"/>
      <c r="H878" s="83"/>
      <c r="I878" s="4"/>
      <c r="J878" s="4"/>
      <c r="K878" s="4"/>
      <c r="L878" s="4"/>
      <c r="M878" s="4"/>
      <c r="N878" s="28"/>
      <c r="O878" s="4"/>
      <c r="P878" s="4"/>
      <c r="Q878" s="4"/>
      <c r="R878" s="4"/>
      <c r="S878" s="4"/>
      <c r="T878" s="4"/>
      <c r="U878" s="4"/>
      <c r="V878" s="4"/>
      <c r="W878" s="4"/>
      <c r="X878" s="4"/>
      <c r="Y878" s="4"/>
      <c r="Z878" s="4"/>
      <c r="AA878" s="4"/>
      <c r="AB878" s="4"/>
      <c r="AC878" s="4"/>
      <c r="AD878" s="4"/>
      <c r="AE878" s="4"/>
      <c r="AF878" s="81"/>
      <c r="AG878" s="81"/>
      <c r="AH878" s="81"/>
      <c r="AI878" s="4"/>
      <c r="AJ878" s="81"/>
      <c r="AK878" s="81"/>
      <c r="AL878" s="81"/>
      <c r="AM878" s="43">
        <v>862</v>
      </c>
      <c r="AN878">
        <v>232.6547860521855</v>
      </c>
      <c r="AO878">
        <v>76.535468016322781</v>
      </c>
      <c r="AP878">
        <v>526.58519615122418</v>
      </c>
      <c r="AQ878">
        <v>401.91142310972498</v>
      </c>
      <c r="AR878">
        <v>69.095947764654454</v>
      </c>
      <c r="AS878">
        <v>587.86683635610359</v>
      </c>
      <c r="AT878">
        <v>39.60756691651936</v>
      </c>
      <c r="AU878">
        <v>69.306033259420758</v>
      </c>
      <c r="AV878"/>
      <c r="AW878"/>
      <c r="FY878" s="211">
        <v>873</v>
      </c>
      <c r="FZ878">
        <v>4.2031140613139026</v>
      </c>
      <c r="GA878">
        <v>45.157668599392395</v>
      </c>
      <c r="GB878">
        <v>70.729104483198569</v>
      </c>
      <c r="GC878">
        <v>43.066878369311453</v>
      </c>
      <c r="GD878">
        <v>21.081132444615911</v>
      </c>
      <c r="GE878">
        <v>30.886801722986856</v>
      </c>
      <c r="GF878">
        <v>81.707745104755915</v>
      </c>
      <c r="GG878">
        <v>73.637869117197809</v>
      </c>
      <c r="GH878">
        <v>24.978793661433706</v>
      </c>
      <c r="GI878">
        <v>52.370315322049613</v>
      </c>
      <c r="GJ878"/>
      <c r="GK878"/>
      <c r="GL878"/>
      <c r="GM878"/>
    </row>
    <row r="879" spans="1:195" s="7" customFormat="1">
      <c r="A879" s="4"/>
      <c r="B879" s="4"/>
      <c r="C879" s="4"/>
      <c r="D879" s="4"/>
      <c r="E879" s="4"/>
      <c r="F879" s="28"/>
      <c r="G879" s="28"/>
      <c r="H879" s="83"/>
      <c r="I879" s="4"/>
      <c r="J879" s="4"/>
      <c r="K879" s="4"/>
      <c r="L879" s="4"/>
      <c r="M879" s="4"/>
      <c r="N879" s="28"/>
      <c r="O879" s="4"/>
      <c r="P879" s="4"/>
      <c r="Q879" s="4"/>
      <c r="R879" s="4"/>
      <c r="S879" s="4"/>
      <c r="T879" s="4"/>
      <c r="U879" s="4"/>
      <c r="V879" s="4"/>
      <c r="W879" s="4"/>
      <c r="X879" s="4"/>
      <c r="Y879" s="4"/>
      <c r="Z879" s="4"/>
      <c r="AA879" s="4"/>
      <c r="AB879" s="4"/>
      <c r="AC879" s="4"/>
      <c r="AD879" s="4"/>
      <c r="AE879" s="4"/>
      <c r="AF879" s="81"/>
      <c r="AG879" s="81"/>
      <c r="AH879" s="81"/>
      <c r="AI879" s="4"/>
      <c r="AJ879" s="81"/>
      <c r="AK879" s="81"/>
      <c r="AL879" s="81"/>
      <c r="AM879" s="43">
        <v>863</v>
      </c>
      <c r="AN879">
        <v>245.44125400765066</v>
      </c>
      <c r="AO879">
        <v>68.208602300915771</v>
      </c>
      <c r="AP879">
        <v>525.81151385740736</v>
      </c>
      <c r="AQ879">
        <v>393.77043443972809</v>
      </c>
      <c r="AR879">
        <v>61.354325444121713</v>
      </c>
      <c r="AS879">
        <v>534.14393390652003</v>
      </c>
      <c r="AT879">
        <v>33.618804683011597</v>
      </c>
      <c r="AU879">
        <v>20.142858266710576</v>
      </c>
      <c r="AV879"/>
      <c r="AW879"/>
      <c r="FY879" s="211">
        <v>874</v>
      </c>
      <c r="FZ879">
        <v>5.7953600285249651</v>
      </c>
      <c r="GA879">
        <v>40.330541325076503</v>
      </c>
      <c r="GB879">
        <v>61.252766859536337</v>
      </c>
      <c r="GC879">
        <v>36.351258787876276</v>
      </c>
      <c r="GD879">
        <v>22.111792998914687</v>
      </c>
      <c r="GE879">
        <v>33.236938590802282</v>
      </c>
      <c r="GF879">
        <v>92.676695252136483</v>
      </c>
      <c r="GG879">
        <v>89.147442792821948</v>
      </c>
      <c r="GH879">
        <v>22.04114928507024</v>
      </c>
      <c r="GI879">
        <v>52.666074545630977</v>
      </c>
      <c r="GJ879"/>
      <c r="GK879"/>
      <c r="GL879"/>
      <c r="GM879"/>
    </row>
    <row r="880" spans="1:195" s="7" customFormat="1">
      <c r="A880" s="4"/>
      <c r="B880" s="4"/>
      <c r="C880" s="4"/>
      <c r="D880" s="4"/>
      <c r="E880" s="4"/>
      <c r="F880" s="28"/>
      <c r="G880" s="28"/>
      <c r="H880" s="83"/>
      <c r="I880" s="4"/>
      <c r="J880" s="4"/>
      <c r="K880" s="4"/>
      <c r="L880" s="4"/>
      <c r="M880" s="4"/>
      <c r="N880" s="28"/>
      <c r="O880" s="4"/>
      <c r="P880" s="4"/>
      <c r="Q880" s="4"/>
      <c r="R880" s="4"/>
      <c r="S880" s="4"/>
      <c r="T880" s="4"/>
      <c r="U880" s="4"/>
      <c r="V880" s="4"/>
      <c r="W880" s="4"/>
      <c r="X880" s="4"/>
      <c r="Y880" s="4"/>
      <c r="Z880" s="4"/>
      <c r="AA880" s="4"/>
      <c r="AB880" s="4"/>
      <c r="AC880" s="4"/>
      <c r="AD880" s="4"/>
      <c r="AE880" s="4"/>
      <c r="AF880" s="81"/>
      <c r="AG880" s="81"/>
      <c r="AH880" s="81"/>
      <c r="AI880" s="4"/>
      <c r="AJ880" s="81"/>
      <c r="AK880" s="81"/>
      <c r="AL880" s="81"/>
      <c r="AM880" s="43">
        <v>864</v>
      </c>
      <c r="AN880">
        <v>227.21153370431185</v>
      </c>
      <c r="AO880">
        <v>69.08424742209786</v>
      </c>
      <c r="AP880">
        <v>509.87205783605668</v>
      </c>
      <c r="AQ880">
        <v>393.15706799319383</v>
      </c>
      <c r="AR880">
        <v>62.544326262378085</v>
      </c>
      <c r="AS880">
        <v>529.18000480753494</v>
      </c>
      <c r="AT880">
        <v>35.379697477609902</v>
      </c>
      <c r="AU880">
        <v>104.04872968367832</v>
      </c>
      <c r="AV880"/>
      <c r="AW880"/>
      <c r="FY880" s="211">
        <v>875</v>
      </c>
      <c r="FZ880">
        <v>16.1102578384493</v>
      </c>
      <c r="GA880">
        <v>45.140415146098448</v>
      </c>
      <c r="GB880">
        <v>61.619789148466985</v>
      </c>
      <c r="GC880">
        <v>36.268412838389473</v>
      </c>
      <c r="GD880">
        <v>13.965276573968506</v>
      </c>
      <c r="GE880">
        <v>30.793352784512876</v>
      </c>
      <c r="GF880">
        <v>70.235260129477226</v>
      </c>
      <c r="GG880">
        <v>45.588408632048377</v>
      </c>
      <c r="GH880">
        <v>12.86749183674042</v>
      </c>
      <c r="GI880">
        <v>42.972394895591357</v>
      </c>
      <c r="GJ880"/>
      <c r="GK880"/>
      <c r="GL880"/>
      <c r="GM880"/>
    </row>
    <row r="881" spans="1:195" s="7" customFormat="1">
      <c r="A881" s="4"/>
      <c r="B881" s="4"/>
      <c r="C881" s="4"/>
      <c r="D881" s="4"/>
      <c r="E881" s="4"/>
      <c r="F881" s="28"/>
      <c r="G881" s="28"/>
      <c r="H881" s="83"/>
      <c r="I881" s="4"/>
      <c r="J881" s="4"/>
      <c r="K881" s="4"/>
      <c r="L881" s="4"/>
      <c r="M881" s="4"/>
      <c r="N881" s="28"/>
      <c r="O881" s="4"/>
      <c r="P881" s="4"/>
      <c r="Q881" s="4"/>
      <c r="R881" s="4"/>
      <c r="S881" s="4"/>
      <c r="T881" s="4"/>
      <c r="U881" s="4"/>
      <c r="V881" s="4"/>
      <c r="W881" s="4"/>
      <c r="X881" s="4"/>
      <c r="Y881" s="4"/>
      <c r="Z881" s="4"/>
      <c r="AA881" s="4"/>
      <c r="AB881" s="4"/>
      <c r="AC881" s="4"/>
      <c r="AD881" s="4"/>
      <c r="AE881" s="4"/>
      <c r="AF881" s="81"/>
      <c r="AG881" s="81"/>
      <c r="AH881" s="81"/>
      <c r="AI881" s="4"/>
      <c r="AJ881" s="81"/>
      <c r="AK881" s="81"/>
      <c r="AL881" s="81"/>
      <c r="AM881" s="43">
        <v>865</v>
      </c>
      <c r="AN881">
        <v>174.30948754425248</v>
      </c>
      <c r="AO881">
        <v>60.030118236287692</v>
      </c>
      <c r="AP881">
        <v>413.54215577461372</v>
      </c>
      <c r="AQ881">
        <v>321.91794532237731</v>
      </c>
      <c r="AR881">
        <v>54.358891501508815</v>
      </c>
      <c r="AS881">
        <v>455.27408932652196</v>
      </c>
      <c r="AT881">
        <v>31.196578317097451</v>
      </c>
      <c r="AU881">
        <v>88.268326480896789</v>
      </c>
      <c r="AV881"/>
      <c r="AW881"/>
      <c r="FY881" s="211">
        <v>876</v>
      </c>
      <c r="FZ881">
        <v>6.4766018799636775</v>
      </c>
      <c r="GA881">
        <v>36.75895515377902</v>
      </c>
      <c r="GB881">
        <v>68.948651369690069</v>
      </c>
      <c r="GC881">
        <v>42.805163349076352</v>
      </c>
      <c r="GD881">
        <v>29.455501210792843</v>
      </c>
      <c r="GE881">
        <v>46.717999815323459</v>
      </c>
      <c r="GF881">
        <v>50.865799455117823</v>
      </c>
      <c r="GG881">
        <v>53.368024251750953</v>
      </c>
      <c r="GH881">
        <v>26.973741474889675</v>
      </c>
      <c r="GI881">
        <v>52.203987116243532</v>
      </c>
      <c r="GJ881"/>
      <c r="GK881"/>
      <c r="GL881"/>
      <c r="GM881"/>
    </row>
    <row r="882" spans="1:195" s="7" customFormat="1">
      <c r="A882" s="4"/>
      <c r="B882" s="4"/>
      <c r="C882" s="4"/>
      <c r="D882" s="4"/>
      <c r="E882" s="4"/>
      <c r="F882" s="28"/>
      <c r="G882" s="28"/>
      <c r="H882" s="83"/>
      <c r="I882" s="4"/>
      <c r="J882" s="4"/>
      <c r="K882" s="4"/>
      <c r="L882" s="4"/>
      <c r="M882" s="4"/>
      <c r="N882" s="28"/>
      <c r="O882" s="4"/>
      <c r="P882" s="4"/>
      <c r="Q882" s="4"/>
      <c r="R882" s="4"/>
      <c r="S882" s="4"/>
      <c r="T882" s="4"/>
      <c r="U882" s="4"/>
      <c r="V882" s="4"/>
      <c r="W882" s="4"/>
      <c r="X882" s="4"/>
      <c r="Y882" s="4"/>
      <c r="Z882" s="4"/>
      <c r="AA882" s="4"/>
      <c r="AB882" s="4"/>
      <c r="AC882" s="4"/>
      <c r="AD882" s="4"/>
      <c r="AE882" s="4"/>
      <c r="AF882" s="81"/>
      <c r="AG882" s="81"/>
      <c r="AH882" s="81"/>
      <c r="AI882" s="4"/>
      <c r="AJ882" s="81"/>
      <c r="AK882" s="81"/>
      <c r="AL882" s="81"/>
      <c r="AM882" s="43">
        <v>866</v>
      </c>
      <c r="AN882">
        <v>225.15391063404346</v>
      </c>
      <c r="AO882">
        <v>74.203338851102899</v>
      </c>
      <c r="AP882">
        <v>473.93754754811386</v>
      </c>
      <c r="AQ882">
        <v>377.80915572462663</v>
      </c>
      <c r="AR882">
        <v>67.676039435463537</v>
      </c>
      <c r="AS882">
        <v>552.50007547635823</v>
      </c>
      <c r="AT882">
        <v>37.215734747698782</v>
      </c>
      <c r="AU882">
        <v>70.706305378844959</v>
      </c>
      <c r="AV882"/>
      <c r="AW882"/>
      <c r="FY882" s="211">
        <v>877</v>
      </c>
      <c r="FZ882">
        <v>14.87793897943768</v>
      </c>
      <c r="GA882">
        <v>41.612559346355098</v>
      </c>
      <c r="GB882">
        <v>66.701712603304941</v>
      </c>
      <c r="GC882">
        <v>45.9000465160087</v>
      </c>
      <c r="GD882">
        <v>28.95368481515932</v>
      </c>
      <c r="GE882">
        <v>52.72477543968148</v>
      </c>
      <c r="GF882">
        <v>105.52216668153612</v>
      </c>
      <c r="GG882">
        <v>83.183109263736128</v>
      </c>
      <c r="GH882">
        <v>22.129964106252825</v>
      </c>
      <c r="GI882">
        <v>62.437849521858908</v>
      </c>
      <c r="GJ882"/>
      <c r="GK882"/>
      <c r="GL882"/>
      <c r="GM882"/>
    </row>
    <row r="883" spans="1:195" s="7" customFormat="1">
      <c r="A883" s="4"/>
      <c r="B883" s="4"/>
      <c r="C883" s="4"/>
      <c r="D883" s="4"/>
      <c r="E883" s="4"/>
      <c r="F883" s="28"/>
      <c r="G883" s="28"/>
      <c r="H883" s="83"/>
      <c r="I883" s="4"/>
      <c r="J883" s="4"/>
      <c r="K883" s="4"/>
      <c r="L883" s="4"/>
      <c r="M883" s="4"/>
      <c r="N883" s="28"/>
      <c r="O883" s="4"/>
      <c r="P883" s="4"/>
      <c r="Q883" s="4"/>
      <c r="R883" s="4"/>
      <c r="S883" s="4"/>
      <c r="T883" s="4"/>
      <c r="U883" s="4"/>
      <c r="V883" s="4"/>
      <c r="W883" s="4"/>
      <c r="X883" s="4"/>
      <c r="Y883" s="4"/>
      <c r="Z883" s="4"/>
      <c r="AA883" s="4"/>
      <c r="AB883" s="4"/>
      <c r="AC883" s="4"/>
      <c r="AD883" s="4"/>
      <c r="AE883" s="4"/>
      <c r="AF883" s="81"/>
      <c r="AG883" s="81"/>
      <c r="AH883" s="81"/>
      <c r="AI883" s="4"/>
      <c r="AJ883" s="81"/>
      <c r="AK883" s="81"/>
      <c r="AL883" s="81"/>
      <c r="AM883" s="43">
        <v>867</v>
      </c>
      <c r="AN883">
        <v>264.8661450192738</v>
      </c>
      <c r="AO883">
        <v>92.560183175401107</v>
      </c>
      <c r="AP883">
        <v>738.1655848454601</v>
      </c>
      <c r="AQ883">
        <v>506.92710596928742</v>
      </c>
      <c r="AR883">
        <v>83.641267101523553</v>
      </c>
      <c r="AS883">
        <v>675.53566081045335</v>
      </c>
      <c r="AT883">
        <v>47.170273853412944</v>
      </c>
      <c r="AU883">
        <v>60.091756065896178</v>
      </c>
      <c r="AV883"/>
      <c r="AW883"/>
      <c r="FY883" s="211">
        <v>878</v>
      </c>
      <c r="FZ883">
        <v>17.538593744355467</v>
      </c>
      <c r="GA883">
        <v>49.988082432240276</v>
      </c>
      <c r="GB883">
        <v>82.622837510784819</v>
      </c>
      <c r="GC883">
        <v>50.154146559302902</v>
      </c>
      <c r="GD883">
        <v>15.772965599418857</v>
      </c>
      <c r="GE883">
        <v>34.105812702111471</v>
      </c>
      <c r="GF883">
        <v>52.076601754731257</v>
      </c>
      <c r="GG883">
        <v>28.515166228470544</v>
      </c>
      <c r="GH883">
        <v>22.036096642167294</v>
      </c>
      <c r="GI883">
        <v>48.182899863542069</v>
      </c>
      <c r="GJ883"/>
      <c r="GK883"/>
      <c r="GL883"/>
      <c r="GM883"/>
    </row>
    <row r="884" spans="1:195" s="7" customFormat="1">
      <c r="A884" s="4"/>
      <c r="B884" s="4"/>
      <c r="C884" s="4"/>
      <c r="D884" s="4"/>
      <c r="E884" s="4"/>
      <c r="F884" s="28"/>
      <c r="G884" s="28"/>
      <c r="H884" s="83"/>
      <c r="I884" s="4"/>
      <c r="J884" s="4"/>
      <c r="K884" s="4"/>
      <c r="L884" s="4"/>
      <c r="M884" s="4"/>
      <c r="N884" s="28"/>
      <c r="O884" s="4"/>
      <c r="P884" s="4"/>
      <c r="Q884" s="4"/>
      <c r="R884" s="4"/>
      <c r="S884" s="4"/>
      <c r="T884" s="4"/>
      <c r="U884" s="4"/>
      <c r="V884" s="4"/>
      <c r="W884" s="4"/>
      <c r="X884" s="4"/>
      <c r="Y884" s="4"/>
      <c r="Z884" s="4"/>
      <c r="AA884" s="4"/>
      <c r="AB884" s="4"/>
      <c r="AC884" s="4"/>
      <c r="AD884" s="4"/>
      <c r="AE884" s="4"/>
      <c r="AF884" s="81"/>
      <c r="AG884" s="81"/>
      <c r="AH884" s="81"/>
      <c r="AI884" s="4"/>
      <c r="AJ884" s="81"/>
      <c r="AK884" s="81"/>
      <c r="AL884" s="81"/>
      <c r="AM884" s="43">
        <v>868</v>
      </c>
      <c r="AN884">
        <v>188.57366680536052</v>
      </c>
      <c r="AO884">
        <v>65.346360825603512</v>
      </c>
      <c r="AP884">
        <v>469.13404782241975</v>
      </c>
      <c r="AQ884">
        <v>352.41420011692531</v>
      </c>
      <c r="AR884">
        <v>58.823460452267781</v>
      </c>
      <c r="AS884">
        <v>508.52951271313941</v>
      </c>
      <c r="AT884">
        <v>32.552142074384683</v>
      </c>
      <c r="AU884">
        <v>96.378491825753429</v>
      </c>
      <c r="AV884"/>
      <c r="AW884"/>
      <c r="FY884" s="211">
        <v>879</v>
      </c>
      <c r="FZ884">
        <v>16.539387650025681</v>
      </c>
      <c r="GA884">
        <v>50.315251527186206</v>
      </c>
      <c r="GB884">
        <v>58.584427038461818</v>
      </c>
      <c r="GC884">
        <v>34.316822482020569</v>
      </c>
      <c r="GD884">
        <v>23.113858968754059</v>
      </c>
      <c r="GE884">
        <v>55.751802640842783</v>
      </c>
      <c r="GF884">
        <v>104.85610912057641</v>
      </c>
      <c r="GG884">
        <v>60.224809661879064</v>
      </c>
      <c r="GH884">
        <v>5.1964286099653956</v>
      </c>
      <c r="GI884">
        <v>54.179143589951757</v>
      </c>
      <c r="GJ884"/>
      <c r="GK884"/>
      <c r="GL884"/>
      <c r="GM884"/>
    </row>
    <row r="885" spans="1:195" s="7" customFormat="1">
      <c r="A885" s="4"/>
      <c r="B885" s="4"/>
      <c r="C885" s="4"/>
      <c r="D885" s="4"/>
      <c r="E885" s="4"/>
      <c r="F885" s="28"/>
      <c r="G885" s="28"/>
      <c r="H885" s="83"/>
      <c r="I885" s="4"/>
      <c r="J885" s="4"/>
      <c r="K885" s="4"/>
      <c r="L885" s="4"/>
      <c r="M885" s="4"/>
      <c r="N885" s="28"/>
      <c r="O885" s="4"/>
      <c r="P885" s="4"/>
      <c r="Q885" s="4"/>
      <c r="R885" s="4"/>
      <c r="S885" s="4"/>
      <c r="T885" s="4"/>
      <c r="U885" s="4"/>
      <c r="V885" s="4"/>
      <c r="W885" s="4"/>
      <c r="X885" s="4"/>
      <c r="Y885" s="4"/>
      <c r="Z885" s="4"/>
      <c r="AA885" s="4"/>
      <c r="AB885" s="4"/>
      <c r="AC885" s="4"/>
      <c r="AD885" s="4"/>
      <c r="AE885" s="4"/>
      <c r="AF885" s="81"/>
      <c r="AG885" s="81"/>
      <c r="AH885" s="81"/>
      <c r="AI885" s="4"/>
      <c r="AJ885" s="81"/>
      <c r="AK885" s="81"/>
      <c r="AL885" s="81"/>
      <c r="AM885" s="43">
        <v>869</v>
      </c>
      <c r="AN885">
        <v>225.417468027404</v>
      </c>
      <c r="AO885">
        <v>59.872628148998729</v>
      </c>
      <c r="AP885">
        <v>398.289243427651</v>
      </c>
      <c r="AQ885">
        <v>318.72301145363497</v>
      </c>
      <c r="AR885">
        <v>55.381711784806122</v>
      </c>
      <c r="AS885">
        <v>512.77480534812958</v>
      </c>
      <c r="AT885">
        <v>28.797991505247534</v>
      </c>
      <c r="AU885">
        <v>15.259544413572144</v>
      </c>
      <c r="AV885"/>
      <c r="AW885"/>
      <c r="FY885" s="211">
        <v>880</v>
      </c>
      <c r="FZ885">
        <v>25.841031812949876</v>
      </c>
      <c r="GA885">
        <v>69.372735002287669</v>
      </c>
      <c r="GB885">
        <v>52.806707940197192</v>
      </c>
      <c r="GC885">
        <v>27.260998978653191</v>
      </c>
      <c r="GD885">
        <v>17.125228647179629</v>
      </c>
      <c r="GE885">
        <v>38.794464706354681</v>
      </c>
      <c r="GF885">
        <v>56.427797608059912</v>
      </c>
      <c r="GG885">
        <v>27.282518192111631</v>
      </c>
      <c r="GH885">
        <v>6.4293416459128681</v>
      </c>
      <c r="GI885">
        <v>39.850395836108767</v>
      </c>
      <c r="GJ885"/>
      <c r="GK885"/>
      <c r="GL885"/>
      <c r="GM885"/>
    </row>
    <row r="886" spans="1:195" s="7" customFormat="1">
      <c r="A886" s="4"/>
      <c r="B886" s="4"/>
      <c r="C886" s="4"/>
      <c r="D886" s="4"/>
      <c r="E886" s="4"/>
      <c r="F886" s="28"/>
      <c r="G886" s="28"/>
      <c r="H886" s="83"/>
      <c r="I886" s="4"/>
      <c r="J886" s="4"/>
      <c r="K886" s="4"/>
      <c r="L886" s="4"/>
      <c r="M886" s="4"/>
      <c r="N886" s="28"/>
      <c r="O886" s="4"/>
      <c r="P886" s="4"/>
      <c r="Q886" s="4"/>
      <c r="R886" s="4"/>
      <c r="S886" s="4"/>
      <c r="T886" s="4"/>
      <c r="U886" s="4"/>
      <c r="V886" s="4"/>
      <c r="W886" s="4"/>
      <c r="X886" s="4"/>
      <c r="Y886" s="4"/>
      <c r="Z886" s="4"/>
      <c r="AA886" s="4"/>
      <c r="AB886" s="4"/>
      <c r="AC886" s="4"/>
      <c r="AD886" s="4"/>
      <c r="AE886" s="4"/>
      <c r="AF886" s="81"/>
      <c r="AG886" s="81"/>
      <c r="AH886" s="81"/>
      <c r="AI886" s="4"/>
      <c r="AJ886" s="81"/>
      <c r="AK886" s="81"/>
      <c r="AL886" s="81"/>
      <c r="AM886" s="43">
        <v>870</v>
      </c>
      <c r="AN886">
        <v>233.33201294780716</v>
      </c>
      <c r="AO886">
        <v>100.36146523477649</v>
      </c>
      <c r="AP886">
        <v>767.40697927341716</v>
      </c>
      <c r="AQ886">
        <v>553.77867589444293</v>
      </c>
      <c r="AR886">
        <v>92.27694077053755</v>
      </c>
      <c r="AS886">
        <v>730.86920299254439</v>
      </c>
      <c r="AT886">
        <v>50.248373568306931</v>
      </c>
      <c r="AU886">
        <v>62.17872311060232</v>
      </c>
      <c r="AV886"/>
      <c r="AW886"/>
      <c r="FY886" s="211">
        <v>881</v>
      </c>
      <c r="FZ886">
        <v>4.6310286476914788</v>
      </c>
      <c r="GA886">
        <v>32.380443799030772</v>
      </c>
      <c r="GB886">
        <v>55.738039813638586</v>
      </c>
      <c r="GC886">
        <v>40.613621481570767</v>
      </c>
      <c r="GD886">
        <v>29.042604339004505</v>
      </c>
      <c r="GE886">
        <v>63.602044461253541</v>
      </c>
      <c r="GF886">
        <v>77.713336169872179</v>
      </c>
      <c r="GG886">
        <v>36.677903160174907</v>
      </c>
      <c r="GH886">
        <v>18.000688713486788</v>
      </c>
      <c r="GI886">
        <v>51.534522444348113</v>
      </c>
      <c r="GJ886"/>
      <c r="GK886"/>
      <c r="GL886"/>
      <c r="GM886"/>
    </row>
    <row r="887" spans="1:195" s="7" customFormat="1">
      <c r="A887" s="4"/>
      <c r="B887" s="4"/>
      <c r="C887" s="4"/>
      <c r="D887" s="4"/>
      <c r="E887" s="4"/>
      <c r="F887" s="28"/>
      <c r="G887" s="28"/>
      <c r="H887" s="83"/>
      <c r="I887" s="4"/>
      <c r="J887" s="4"/>
      <c r="K887" s="4"/>
      <c r="L887" s="4"/>
      <c r="M887" s="4"/>
      <c r="N887" s="28"/>
      <c r="O887" s="4"/>
      <c r="P887" s="4"/>
      <c r="Q887" s="4"/>
      <c r="R887" s="4"/>
      <c r="S887" s="4"/>
      <c r="T887" s="4"/>
      <c r="U887" s="4"/>
      <c r="V887" s="4"/>
      <c r="W887" s="4"/>
      <c r="X887" s="4"/>
      <c r="Y887" s="4"/>
      <c r="Z887" s="4"/>
      <c r="AA887" s="4"/>
      <c r="AB887" s="4"/>
      <c r="AC887" s="4"/>
      <c r="AD887" s="4"/>
      <c r="AE887" s="4"/>
      <c r="AF887" s="81"/>
      <c r="AG887" s="81"/>
      <c r="AH887" s="81"/>
      <c r="AI887" s="4"/>
      <c r="AJ887" s="81"/>
      <c r="AK887" s="81"/>
      <c r="AL887" s="81"/>
      <c r="AM887" s="43">
        <v>871</v>
      </c>
      <c r="AN887">
        <v>313.14791688208749</v>
      </c>
      <c r="AO887">
        <v>110.67571819911072</v>
      </c>
      <c r="AP887">
        <v>812.00424522372111</v>
      </c>
      <c r="AQ887">
        <v>589.18628937869732</v>
      </c>
      <c r="AR887">
        <v>99.436123509443107</v>
      </c>
      <c r="AS887">
        <v>825.03623739407612</v>
      </c>
      <c r="AT887">
        <v>54.677196918529233</v>
      </c>
      <c r="AU887">
        <v>127.69272347768282</v>
      </c>
      <c r="AV887"/>
      <c r="AW887"/>
      <c r="FY887" s="211">
        <v>882</v>
      </c>
      <c r="FZ887">
        <v>7.9340563285386558</v>
      </c>
      <c r="GA887">
        <v>50.157745232848569</v>
      </c>
      <c r="GB887">
        <v>82.762085699456577</v>
      </c>
      <c r="GC887">
        <v>45.089235380994339</v>
      </c>
      <c r="GD887">
        <v>16.365276287157918</v>
      </c>
      <c r="GE887">
        <v>42.281551664323672</v>
      </c>
      <c r="GF887">
        <v>56.964558377627341</v>
      </c>
      <c r="GG887">
        <v>33.007975780512488</v>
      </c>
      <c r="GH887">
        <v>30.472386431544258</v>
      </c>
      <c r="GI887">
        <v>47.934671038605011</v>
      </c>
      <c r="GJ887"/>
      <c r="GK887"/>
      <c r="GL887"/>
      <c r="GM887"/>
    </row>
    <row r="888" spans="1:195" s="7" customFormat="1">
      <c r="A888" s="4"/>
      <c r="B888" s="4"/>
      <c r="C888" s="4"/>
      <c r="D888" s="4"/>
      <c r="E888" s="4"/>
      <c r="F888" s="28"/>
      <c r="G888" s="28"/>
      <c r="H888" s="83"/>
      <c r="I888" s="4"/>
      <c r="J888" s="4"/>
      <c r="K888" s="4"/>
      <c r="L888" s="4"/>
      <c r="M888" s="4"/>
      <c r="N888" s="28"/>
      <c r="O888" s="4"/>
      <c r="P888" s="4"/>
      <c r="Q888" s="4"/>
      <c r="R888" s="4"/>
      <c r="S888" s="4"/>
      <c r="T888" s="4"/>
      <c r="U888" s="4"/>
      <c r="V888" s="4"/>
      <c r="W888" s="4"/>
      <c r="X888" s="4"/>
      <c r="Y888" s="4"/>
      <c r="Z888" s="4"/>
      <c r="AA888" s="4"/>
      <c r="AB888" s="4"/>
      <c r="AC888" s="4"/>
      <c r="AD888" s="4"/>
      <c r="AE888" s="4"/>
      <c r="AF888" s="81"/>
      <c r="AG888" s="81"/>
      <c r="AH888" s="81"/>
      <c r="AI888" s="4"/>
      <c r="AJ888" s="81"/>
      <c r="AK888" s="81"/>
      <c r="AL888" s="81"/>
      <c r="AM888" s="43">
        <v>872</v>
      </c>
      <c r="AN888">
        <v>227.2469427792052</v>
      </c>
      <c r="AO888">
        <v>73.640140073545538</v>
      </c>
      <c r="AP888">
        <v>550.7118629360865</v>
      </c>
      <c r="AQ888">
        <v>420.53033317422995</v>
      </c>
      <c r="AR888">
        <v>67.222057964779268</v>
      </c>
      <c r="AS888">
        <v>572.36534918824498</v>
      </c>
      <c r="AT888">
        <v>37.893534809482439</v>
      </c>
      <c r="AU888">
        <v>81.725027356541034</v>
      </c>
      <c r="AV888"/>
      <c r="AW888"/>
      <c r="FY888" s="211">
        <v>883</v>
      </c>
      <c r="FZ888">
        <v>18.041738073759689</v>
      </c>
      <c r="GA888">
        <v>48.148295192813578</v>
      </c>
      <c r="GB888">
        <v>67.233678070227171</v>
      </c>
      <c r="GC888">
        <v>40.581327476832683</v>
      </c>
      <c r="GD888">
        <v>24.771271396182456</v>
      </c>
      <c r="GE888">
        <v>46.566866796006643</v>
      </c>
      <c r="GF888">
        <v>50.051919054047225</v>
      </c>
      <c r="GG888">
        <v>31.766772514055344</v>
      </c>
      <c r="GH888">
        <v>11.283686529269186</v>
      </c>
      <c r="GI888">
        <v>47.799056276172436</v>
      </c>
      <c r="GJ888"/>
      <c r="GK888"/>
      <c r="GL888"/>
      <c r="GM888"/>
    </row>
    <row r="889" spans="1:195" s="7" customFormat="1">
      <c r="A889" s="4"/>
      <c r="B889" s="4"/>
      <c r="C889" s="4"/>
      <c r="D889" s="4"/>
      <c r="E889" s="4"/>
      <c r="F889" s="28"/>
      <c r="G889" s="28"/>
      <c r="H889" s="83"/>
      <c r="I889" s="4"/>
      <c r="J889" s="4"/>
      <c r="K889" s="4"/>
      <c r="L889" s="4"/>
      <c r="M889" s="4"/>
      <c r="N889" s="28"/>
      <c r="O889" s="4"/>
      <c r="P889" s="4"/>
      <c r="Q889" s="4"/>
      <c r="R889" s="4"/>
      <c r="S889" s="4"/>
      <c r="T889" s="4"/>
      <c r="U889" s="4"/>
      <c r="V889" s="4"/>
      <c r="W889" s="4"/>
      <c r="X889" s="4"/>
      <c r="Y889" s="4"/>
      <c r="Z889" s="4"/>
      <c r="AA889" s="4"/>
      <c r="AB889" s="4"/>
      <c r="AC889" s="4"/>
      <c r="AD889" s="4"/>
      <c r="AE889" s="4"/>
      <c r="AF889" s="81"/>
      <c r="AG889" s="81"/>
      <c r="AH889" s="81"/>
      <c r="AI889" s="4"/>
      <c r="AJ889" s="81"/>
      <c r="AK889" s="81"/>
      <c r="AL889" s="81"/>
      <c r="AM889" s="43">
        <v>873</v>
      </c>
      <c r="AN889">
        <v>236.07630488159643</v>
      </c>
      <c r="AO889">
        <v>82.911765666889991</v>
      </c>
      <c r="AP889">
        <v>612.08191491109744</v>
      </c>
      <c r="AQ889">
        <v>447.81942288625618</v>
      </c>
      <c r="AR889">
        <v>75.903564778319094</v>
      </c>
      <c r="AS889">
        <v>625.4216829851166</v>
      </c>
      <c r="AT889">
        <v>42.760210003003543</v>
      </c>
      <c r="AU889">
        <v>81.440032559996652</v>
      </c>
      <c r="AV889"/>
      <c r="AW889"/>
      <c r="FY889" s="211">
        <v>884</v>
      </c>
      <c r="FZ889">
        <v>24.627800989259143</v>
      </c>
      <c r="GA889">
        <v>59.707276051492492</v>
      </c>
      <c r="GB889">
        <v>71.230048382207855</v>
      </c>
      <c r="GC889">
        <v>41.024180220842467</v>
      </c>
      <c r="GD889">
        <v>15.68094321911296</v>
      </c>
      <c r="GE889">
        <v>26.256400941815176</v>
      </c>
      <c r="GF889">
        <v>51.024081147353378</v>
      </c>
      <c r="GG889">
        <v>33.938625571655386</v>
      </c>
      <c r="GH889">
        <v>8.6523049667793028</v>
      </c>
      <c r="GI889">
        <v>43.339128791939487</v>
      </c>
      <c r="GJ889"/>
      <c r="GK889"/>
      <c r="GL889"/>
      <c r="GM889"/>
    </row>
    <row r="890" spans="1:195" s="7" customFormat="1">
      <c r="A890" s="4"/>
      <c r="B890" s="4"/>
      <c r="C890" s="4"/>
      <c r="D890" s="4"/>
      <c r="E890" s="4"/>
      <c r="F890" s="28"/>
      <c r="G890" s="28"/>
      <c r="H890" s="83"/>
      <c r="I890" s="4"/>
      <c r="J890" s="4"/>
      <c r="K890" s="4"/>
      <c r="L890" s="4"/>
      <c r="M890" s="4"/>
      <c r="N890" s="28"/>
      <c r="O890" s="4"/>
      <c r="P890" s="4"/>
      <c r="Q890" s="4"/>
      <c r="R890" s="4"/>
      <c r="S890" s="4"/>
      <c r="T890" s="4"/>
      <c r="U890" s="4"/>
      <c r="V890" s="4"/>
      <c r="W890" s="4"/>
      <c r="X890" s="4"/>
      <c r="Y890" s="4"/>
      <c r="Z890" s="4"/>
      <c r="AA890" s="4"/>
      <c r="AB890" s="4"/>
      <c r="AC890" s="4"/>
      <c r="AD890" s="4"/>
      <c r="AE890" s="4"/>
      <c r="AF890" s="81"/>
      <c r="AG890" s="81"/>
      <c r="AH890" s="81"/>
      <c r="AI890" s="4"/>
      <c r="AJ890" s="81"/>
      <c r="AK890" s="81"/>
      <c r="AL890" s="81"/>
      <c r="AM890" s="43">
        <v>874</v>
      </c>
      <c r="AN890">
        <v>282.83723061859399</v>
      </c>
      <c r="AO890">
        <v>83.878556254657724</v>
      </c>
      <c r="AP890">
        <v>628.0876519971556</v>
      </c>
      <c r="AQ890">
        <v>455.61002046639067</v>
      </c>
      <c r="AR890">
        <v>77.264437379966452</v>
      </c>
      <c r="AS890">
        <v>658.47116291153668</v>
      </c>
      <c r="AT890">
        <v>41.494095019260698</v>
      </c>
      <c r="AU890">
        <v>90.208164456993757</v>
      </c>
      <c r="AV890"/>
      <c r="AW890"/>
      <c r="FY890" s="211">
        <v>885</v>
      </c>
      <c r="FZ890">
        <v>33.966283038818325</v>
      </c>
      <c r="GA890">
        <v>70.270530657842414</v>
      </c>
      <c r="GB890">
        <v>91.887180482166926</v>
      </c>
      <c r="GC890">
        <v>52.876760756337106</v>
      </c>
      <c r="GD890">
        <v>21.042941564144805</v>
      </c>
      <c r="GE890">
        <v>37.773385456104819</v>
      </c>
      <c r="GF890">
        <v>70.450866497428322</v>
      </c>
      <c r="GG890">
        <v>46.314802792541826</v>
      </c>
      <c r="GH890">
        <v>5.3550661309149978</v>
      </c>
      <c r="GI890">
        <v>57.266918163075204</v>
      </c>
      <c r="GJ890"/>
      <c r="GK890"/>
      <c r="GL890"/>
      <c r="GM890"/>
    </row>
    <row r="891" spans="1:195" s="7" customFormat="1">
      <c r="A891" s="4"/>
      <c r="B891" s="4"/>
      <c r="C891" s="4"/>
      <c r="D891" s="4"/>
      <c r="E891" s="4"/>
      <c r="F891" s="28"/>
      <c r="G891" s="28"/>
      <c r="H891" s="83"/>
      <c r="I891" s="4"/>
      <c r="J891" s="4"/>
      <c r="K891" s="4"/>
      <c r="L891" s="4"/>
      <c r="M891" s="4"/>
      <c r="N891" s="28"/>
      <c r="O891" s="4"/>
      <c r="P891" s="4"/>
      <c r="Q891" s="4"/>
      <c r="R891" s="4"/>
      <c r="S891" s="4"/>
      <c r="T891" s="4"/>
      <c r="U891" s="4"/>
      <c r="V891" s="4"/>
      <c r="W891" s="4"/>
      <c r="X891" s="4"/>
      <c r="Y891" s="4"/>
      <c r="Z891" s="4"/>
      <c r="AA891" s="4"/>
      <c r="AB891" s="4"/>
      <c r="AC891" s="4"/>
      <c r="AD891" s="4"/>
      <c r="AE891" s="4"/>
      <c r="AF891" s="81"/>
      <c r="AG891" s="81"/>
      <c r="AH891" s="81"/>
      <c r="AI891" s="4"/>
      <c r="AJ891" s="81"/>
      <c r="AK891" s="81"/>
      <c r="AL891" s="81"/>
      <c r="AM891" s="43">
        <v>875</v>
      </c>
      <c r="AN891">
        <v>212.65176669954349</v>
      </c>
      <c r="AO891">
        <v>68.143318513853117</v>
      </c>
      <c r="AP891">
        <v>513.4729644010016</v>
      </c>
      <c r="AQ891">
        <v>375.56105982374299</v>
      </c>
      <c r="AR891">
        <v>61.569816644597353</v>
      </c>
      <c r="AS891">
        <v>516.62712022385301</v>
      </c>
      <c r="AT891">
        <v>32.015408100548697</v>
      </c>
      <c r="AU891">
        <v>38.223714114487464</v>
      </c>
      <c r="AV891"/>
      <c r="AW891"/>
      <c r="FY891" s="211">
        <v>886</v>
      </c>
      <c r="FZ891">
        <v>27.80868104002333</v>
      </c>
      <c r="GA891">
        <v>60.336899106947648</v>
      </c>
      <c r="GB891">
        <v>39.178036244581719</v>
      </c>
      <c r="GC891">
        <v>24.432503736870309</v>
      </c>
      <c r="GD891">
        <v>13.99714749358451</v>
      </c>
      <c r="GE891">
        <v>48.963445868907677</v>
      </c>
      <c r="GF891">
        <v>91.875106031138642</v>
      </c>
      <c r="GG891">
        <v>57.803066429552374</v>
      </c>
      <c r="GH891">
        <v>40.977223512417801</v>
      </c>
      <c r="GI891">
        <v>48.440755951198881</v>
      </c>
      <c r="GJ891"/>
      <c r="GK891"/>
      <c r="GL891"/>
      <c r="GM891"/>
    </row>
    <row r="892" spans="1:195" s="7" customFormat="1">
      <c r="A892" s="4"/>
      <c r="B892" s="4"/>
      <c r="C892" s="4"/>
      <c r="D892" s="4"/>
      <c r="E892" s="4"/>
      <c r="F892" s="28"/>
      <c r="G892" s="28"/>
      <c r="H892" s="83"/>
      <c r="I892" s="4"/>
      <c r="J892" s="4"/>
      <c r="K892" s="4"/>
      <c r="L892" s="4"/>
      <c r="M892" s="4"/>
      <c r="N892" s="28"/>
      <c r="O892" s="4"/>
      <c r="P892" s="4"/>
      <c r="Q892" s="4"/>
      <c r="R892" s="4"/>
      <c r="S892" s="4"/>
      <c r="T892" s="4"/>
      <c r="U892" s="4"/>
      <c r="V892" s="4"/>
      <c r="W892" s="4"/>
      <c r="X892" s="4"/>
      <c r="Y892" s="4"/>
      <c r="Z892" s="4"/>
      <c r="AA892" s="4"/>
      <c r="AB892" s="4"/>
      <c r="AC892" s="4"/>
      <c r="AD892" s="4"/>
      <c r="AE892" s="4"/>
      <c r="AF892" s="81"/>
      <c r="AG892" s="81"/>
      <c r="AH892" s="81"/>
      <c r="AI892" s="4"/>
      <c r="AJ892" s="81"/>
      <c r="AK892" s="81"/>
      <c r="AL892" s="81"/>
      <c r="AM892" s="43">
        <v>876</v>
      </c>
      <c r="AN892">
        <v>204.55035613444073</v>
      </c>
      <c r="AO892">
        <v>82.650741740642886</v>
      </c>
      <c r="AP892">
        <v>534.25712621103889</v>
      </c>
      <c r="AQ892">
        <v>414.57442507662739</v>
      </c>
      <c r="AR892">
        <v>75.764360427654182</v>
      </c>
      <c r="AS892">
        <v>622.48654717342208</v>
      </c>
      <c r="AT892">
        <v>45.986357098634244</v>
      </c>
      <c r="AU892">
        <v>122.29890339934308</v>
      </c>
      <c r="AV892"/>
      <c r="AW892"/>
      <c r="FY892" s="211">
        <v>887</v>
      </c>
      <c r="FZ892">
        <v>29.551212825064379</v>
      </c>
      <c r="GA892">
        <v>57.96958550087431</v>
      </c>
      <c r="GB892">
        <v>59.431393150188057</v>
      </c>
      <c r="GC892">
        <v>35.486759401619913</v>
      </c>
      <c r="GD892">
        <v>23.274640433919</v>
      </c>
      <c r="GE892">
        <v>69.01128587737621</v>
      </c>
      <c r="GF892">
        <v>162.24085481142467</v>
      </c>
      <c r="GG892">
        <v>108.1089430754529</v>
      </c>
      <c r="GH892">
        <v>20.125684478262407</v>
      </c>
      <c r="GI892">
        <v>70.707892132553908</v>
      </c>
      <c r="GJ892"/>
      <c r="GK892"/>
      <c r="GL892"/>
      <c r="GM892"/>
    </row>
    <row r="893" spans="1:195" s="7" customFormat="1">
      <c r="A893" s="4"/>
      <c r="B893" s="4"/>
      <c r="C893" s="4"/>
      <c r="D893" s="4"/>
      <c r="E893" s="4"/>
      <c r="F893" s="28"/>
      <c r="G893" s="28"/>
      <c r="H893" s="83"/>
      <c r="I893" s="4"/>
      <c r="J893" s="4"/>
      <c r="K893" s="4"/>
      <c r="L893" s="4"/>
      <c r="M893" s="4"/>
      <c r="N893" s="28"/>
      <c r="O893" s="4"/>
      <c r="P893" s="4"/>
      <c r="Q893" s="4"/>
      <c r="R893" s="4"/>
      <c r="S893" s="4"/>
      <c r="T893" s="4"/>
      <c r="U893" s="4"/>
      <c r="V893" s="4"/>
      <c r="W893" s="4"/>
      <c r="X893" s="4"/>
      <c r="Y893" s="4"/>
      <c r="Z893" s="4"/>
      <c r="AA893" s="4"/>
      <c r="AB893" s="4"/>
      <c r="AC893" s="4"/>
      <c r="AD893" s="4"/>
      <c r="AE893" s="4"/>
      <c r="AF893" s="81"/>
      <c r="AG893" s="81"/>
      <c r="AH893" s="81"/>
      <c r="AI893" s="4"/>
      <c r="AJ893" s="81"/>
      <c r="AK893" s="81"/>
      <c r="AL893" s="81"/>
      <c r="AM893" s="43">
        <v>877</v>
      </c>
      <c r="AN893">
        <v>316.32106641848611</v>
      </c>
      <c r="AO893">
        <v>99.511089069175711</v>
      </c>
      <c r="AP893">
        <v>703.0730451689293</v>
      </c>
      <c r="AQ893">
        <v>524.04380727333125</v>
      </c>
      <c r="AR893">
        <v>90.619562440820246</v>
      </c>
      <c r="AS893">
        <v>776.46733036188391</v>
      </c>
      <c r="AT893" t="e">
        <v>#DIV/0!</v>
      </c>
      <c r="AU893" t="e">
        <v>#DIV/0!</v>
      </c>
      <c r="AV893"/>
      <c r="AW893"/>
      <c r="FY893" s="211">
        <v>888</v>
      </c>
      <c r="FZ893">
        <v>7.9923211446191562</v>
      </c>
      <c r="GA893">
        <v>43.024447863697489</v>
      </c>
      <c r="GB893">
        <v>67.487703710405086</v>
      </c>
      <c r="GC893">
        <v>43.782742992599736</v>
      </c>
      <c r="GD893">
        <v>28.339863605419833</v>
      </c>
      <c r="GE893">
        <v>50.375663663393098</v>
      </c>
      <c r="GF893">
        <v>49.363855324046419</v>
      </c>
      <c r="GG893">
        <v>45.162389582308748</v>
      </c>
      <c r="GH893">
        <v>38.912021321195965</v>
      </c>
      <c r="GI893">
        <v>52.206207202035216</v>
      </c>
      <c r="GJ893"/>
      <c r="GK893"/>
      <c r="GL893"/>
      <c r="GM893"/>
    </row>
    <row r="894" spans="1:195" s="7" customFormat="1">
      <c r="A894" s="4"/>
      <c r="B894" s="4"/>
      <c r="C894" s="4"/>
      <c r="D894" s="4"/>
      <c r="E894" s="4"/>
      <c r="F894" s="28"/>
      <c r="G894" s="28"/>
      <c r="H894" s="83"/>
      <c r="I894" s="4"/>
      <c r="J894" s="4"/>
      <c r="K894" s="4"/>
      <c r="L894" s="4"/>
      <c r="M894" s="4"/>
      <c r="N894" s="28"/>
      <c r="O894" s="4"/>
      <c r="P894" s="4"/>
      <c r="Q894" s="4"/>
      <c r="R894" s="4"/>
      <c r="S894" s="4"/>
      <c r="T894" s="4"/>
      <c r="U894" s="4"/>
      <c r="V894" s="4"/>
      <c r="W894" s="4"/>
      <c r="X894" s="4"/>
      <c r="Y894" s="4"/>
      <c r="Z894" s="4"/>
      <c r="AA894" s="4"/>
      <c r="AB894" s="4"/>
      <c r="AC894" s="4"/>
      <c r="AD894" s="4"/>
      <c r="AE894" s="4"/>
      <c r="AF894" s="81"/>
      <c r="AG894" s="81"/>
      <c r="AH894" s="81"/>
      <c r="AI894" s="4"/>
      <c r="AJ894" s="81"/>
      <c r="AK894" s="81"/>
      <c r="AL894" s="81"/>
      <c r="AM894" s="43">
        <v>878</v>
      </c>
      <c r="AN894">
        <v>257.91001666135378</v>
      </c>
      <c r="AO894">
        <v>76.874009280090675</v>
      </c>
      <c r="AP894">
        <v>552.08785088880438</v>
      </c>
      <c r="AQ894">
        <v>400.993203037125</v>
      </c>
      <c r="AR894">
        <v>68.460992708469973</v>
      </c>
      <c r="AS894">
        <v>572.51864288705815</v>
      </c>
      <c r="AT894">
        <v>36.243422488806168</v>
      </c>
      <c r="AU894">
        <v>63.397228777877615</v>
      </c>
      <c r="AV894"/>
      <c r="AW894"/>
      <c r="FY894" s="211">
        <v>889</v>
      </c>
      <c r="FZ894">
        <v>9.3139892167809553</v>
      </c>
      <c r="GA894">
        <v>33.317078089786804</v>
      </c>
      <c r="GB894">
        <v>42.623099195706011</v>
      </c>
      <c r="GC894">
        <v>30.167147216616812</v>
      </c>
      <c r="GD894">
        <v>20.992028351163555</v>
      </c>
      <c r="GE894">
        <v>50.786429459978955</v>
      </c>
      <c r="GF894">
        <v>59.249368254278544</v>
      </c>
      <c r="GG894">
        <v>53.866666426192751</v>
      </c>
      <c r="GH894">
        <v>57.960826079505793</v>
      </c>
      <c r="GI894">
        <v>46.634029211886649</v>
      </c>
      <c r="GJ894"/>
      <c r="GK894"/>
      <c r="GL894"/>
      <c r="GM894"/>
    </row>
    <row r="895" spans="1:195" s="7" customFormat="1">
      <c r="A895" s="4"/>
      <c r="B895" s="4"/>
      <c r="C895" s="4"/>
      <c r="D895" s="4"/>
      <c r="E895" s="4"/>
      <c r="F895" s="28"/>
      <c r="G895" s="28"/>
      <c r="H895" s="83"/>
      <c r="I895" s="4"/>
      <c r="J895" s="4"/>
      <c r="K895" s="4"/>
      <c r="L895" s="4"/>
      <c r="M895" s="4"/>
      <c r="N895" s="28"/>
      <c r="O895" s="4"/>
      <c r="P895" s="4"/>
      <c r="Q895" s="4"/>
      <c r="R895" s="4"/>
      <c r="S895" s="4"/>
      <c r="T895" s="4"/>
      <c r="U895" s="4"/>
      <c r="V895" s="4"/>
      <c r="W895" s="4"/>
      <c r="X895" s="4"/>
      <c r="Y895" s="4"/>
      <c r="Z895" s="4"/>
      <c r="AA895" s="4"/>
      <c r="AB895" s="4"/>
      <c r="AC895" s="4"/>
      <c r="AD895" s="4"/>
      <c r="AE895" s="4"/>
      <c r="AF895" s="81"/>
      <c r="AG895" s="81"/>
      <c r="AH895" s="81"/>
      <c r="AI895" s="4"/>
      <c r="AJ895" s="81"/>
      <c r="AK895" s="81"/>
      <c r="AL895" s="81"/>
      <c r="AM895" s="43">
        <v>879</v>
      </c>
      <c r="AN895">
        <v>251.47054169344401</v>
      </c>
      <c r="AO895">
        <v>86.58344691991752</v>
      </c>
      <c r="AP895">
        <v>624.31246699753092</v>
      </c>
      <c r="AQ895">
        <v>463.07804128966376</v>
      </c>
      <c r="AR895">
        <v>77.923635922468776</v>
      </c>
      <c r="AS895">
        <v>618.64838244581074</v>
      </c>
      <c r="AT895">
        <v>40.803163683807647</v>
      </c>
      <c r="AU895">
        <v>40.993820092034539</v>
      </c>
      <c r="AV895"/>
      <c r="AW895"/>
      <c r="FY895" s="211">
        <v>890</v>
      </c>
      <c r="FZ895">
        <v>32.21036060081083</v>
      </c>
      <c r="GA895">
        <v>63.177808099726057</v>
      </c>
      <c r="GB895">
        <v>59.661794192978633</v>
      </c>
      <c r="GC895">
        <v>39.141001947191427</v>
      </c>
      <c r="GD895">
        <v>21.343590464822523</v>
      </c>
      <c r="GE895">
        <v>48.736443582189779</v>
      </c>
      <c r="GF895">
        <v>95.570029480276673</v>
      </c>
      <c r="GG895">
        <v>70.190729770714981</v>
      </c>
      <c r="GH895">
        <v>31.646466866783427</v>
      </c>
      <c r="GI895">
        <v>57.720315707274679</v>
      </c>
      <c r="GJ895"/>
      <c r="GK895"/>
      <c r="GL895"/>
      <c r="GM895"/>
    </row>
    <row r="896" spans="1:195" s="7" customFormat="1">
      <c r="A896" s="4"/>
      <c r="B896" s="4"/>
      <c r="C896" s="4"/>
      <c r="D896" s="4"/>
      <c r="E896" s="4"/>
      <c r="F896" s="28"/>
      <c r="G896" s="28"/>
      <c r="H896" s="83"/>
      <c r="I896" s="4"/>
      <c r="J896" s="4"/>
      <c r="K896" s="4"/>
      <c r="L896" s="4"/>
      <c r="M896" s="4"/>
      <c r="N896" s="28"/>
      <c r="O896" s="4"/>
      <c r="P896" s="4"/>
      <c r="Q896" s="4"/>
      <c r="R896" s="4"/>
      <c r="S896" s="4"/>
      <c r="T896" s="4"/>
      <c r="U896" s="4"/>
      <c r="V896" s="4"/>
      <c r="W896" s="4"/>
      <c r="X896" s="4"/>
      <c r="Y896" s="4"/>
      <c r="Z896" s="4"/>
      <c r="AA896" s="4"/>
      <c r="AB896" s="4"/>
      <c r="AC896" s="4"/>
      <c r="AD896" s="4"/>
      <c r="AE896" s="4"/>
      <c r="AF896" s="81"/>
      <c r="AG896" s="81"/>
      <c r="AH896" s="81"/>
      <c r="AI896" s="4"/>
      <c r="AJ896" s="81"/>
      <c r="AK896" s="81"/>
      <c r="AL896" s="81"/>
      <c r="AM896" s="43">
        <v>880</v>
      </c>
      <c r="AN896">
        <v>225.90496657695832</v>
      </c>
      <c r="AO896">
        <v>62.117728941800216</v>
      </c>
      <c r="AP896">
        <v>459.15457391970074</v>
      </c>
      <c r="AQ896">
        <v>361.19122036981543</v>
      </c>
      <c r="AR896">
        <v>56.031241314638983</v>
      </c>
      <c r="AS896">
        <v>484.26083430961256</v>
      </c>
      <c r="AT896">
        <v>29.27038691164509</v>
      </c>
      <c r="AU896">
        <v>35.837175062518362</v>
      </c>
      <c r="AV896"/>
      <c r="AW896"/>
      <c r="FY896" s="211">
        <v>891</v>
      </c>
      <c r="FZ896">
        <v>9.1950786770101924</v>
      </c>
      <c r="GA896">
        <v>28.935879813191988</v>
      </c>
      <c r="GB896">
        <v>66.497499063865277</v>
      </c>
      <c r="GC896">
        <v>47.604748003861758</v>
      </c>
      <c r="GD896">
        <v>23.815461335209399</v>
      </c>
      <c r="GE896">
        <v>50.002269474236847</v>
      </c>
      <c r="GF896">
        <v>80.483408614512001</v>
      </c>
      <c r="GG896">
        <v>40.253960734004238</v>
      </c>
      <c r="GH896">
        <v>10.784310292821168</v>
      </c>
      <c r="GI896">
        <v>51.216534441458251</v>
      </c>
      <c r="GJ896"/>
      <c r="GK896"/>
      <c r="GL896"/>
      <c r="GM896"/>
    </row>
    <row r="897" spans="1:195" s="7" customFormat="1">
      <c r="A897" s="4"/>
      <c r="B897" s="4"/>
      <c r="C897" s="4"/>
      <c r="D897" s="4"/>
      <c r="E897" s="4"/>
      <c r="F897" s="28"/>
      <c r="G897" s="28"/>
      <c r="H897" s="83"/>
      <c r="I897" s="4"/>
      <c r="J897" s="4"/>
      <c r="K897" s="4"/>
      <c r="L897" s="4"/>
      <c r="M897" s="4"/>
      <c r="N897" s="28"/>
      <c r="O897" s="4"/>
      <c r="P897" s="4"/>
      <c r="Q897" s="4"/>
      <c r="R897" s="4"/>
      <c r="S897" s="4"/>
      <c r="T897" s="4"/>
      <c r="U897" s="4"/>
      <c r="V897" s="4"/>
      <c r="W897" s="4"/>
      <c r="X897" s="4"/>
      <c r="Y897" s="4"/>
      <c r="Z897" s="4"/>
      <c r="AA897" s="4"/>
      <c r="AB897" s="4"/>
      <c r="AC897" s="4"/>
      <c r="AD897" s="4"/>
      <c r="AE897" s="4"/>
      <c r="AF897" s="81"/>
      <c r="AG897" s="81"/>
      <c r="AH897" s="81"/>
      <c r="AI897" s="4"/>
      <c r="AJ897" s="81"/>
      <c r="AK897" s="81"/>
      <c r="AL897" s="81"/>
      <c r="AM897" s="43">
        <v>881</v>
      </c>
      <c r="AN897">
        <v>275.33931797865387</v>
      </c>
      <c r="AO897">
        <v>80.980330428580274</v>
      </c>
      <c r="AP897">
        <v>512.29133546536264</v>
      </c>
      <c r="AQ897">
        <v>409.93423303007165</v>
      </c>
      <c r="AR897">
        <v>72.241782319911408</v>
      </c>
      <c r="AS897">
        <v>600.71604647774382</v>
      </c>
      <c r="AT897">
        <v>38.424144562827976</v>
      </c>
      <c r="AU897">
        <v>64.401566946460264</v>
      </c>
      <c r="AV897"/>
      <c r="AW897"/>
      <c r="FY897" s="211">
        <v>892</v>
      </c>
      <c r="FZ897">
        <v>14.486580898028203</v>
      </c>
      <c r="GA897">
        <v>54.13377032280998</v>
      </c>
      <c r="GB897">
        <v>97.49988957799259</v>
      </c>
      <c r="GC897">
        <v>53.143772093542047</v>
      </c>
      <c r="GD897">
        <v>13.908152998100217</v>
      </c>
      <c r="GE897">
        <v>36.814532836086478</v>
      </c>
      <c r="GF897">
        <v>79.316824035912745</v>
      </c>
      <c r="GG897">
        <v>65.069453396098851</v>
      </c>
      <c r="GH897">
        <v>41.260856341784105</v>
      </c>
      <c r="GI897">
        <v>58.167300976468709</v>
      </c>
      <c r="GJ897"/>
      <c r="GK897"/>
      <c r="GL897"/>
      <c r="GM897"/>
    </row>
    <row r="898" spans="1:195" s="7" customFormat="1">
      <c r="A898" s="4"/>
      <c r="B898" s="4"/>
      <c r="C898" s="4"/>
      <c r="D898" s="4"/>
      <c r="E898" s="4"/>
      <c r="F898" s="28"/>
      <c r="G898" s="28"/>
      <c r="H898" s="83"/>
      <c r="I898" s="4"/>
      <c r="J898" s="4"/>
      <c r="K898" s="4"/>
      <c r="L898" s="4"/>
      <c r="M898" s="4"/>
      <c r="N898" s="28"/>
      <c r="O898" s="4"/>
      <c r="P898" s="4"/>
      <c r="Q898" s="4"/>
      <c r="R898" s="4"/>
      <c r="S898" s="4"/>
      <c r="T898" s="4"/>
      <c r="U898" s="4"/>
      <c r="V898" s="4"/>
      <c r="W898" s="4"/>
      <c r="X898" s="4"/>
      <c r="Y898" s="4"/>
      <c r="Z898" s="4"/>
      <c r="AA898" s="4"/>
      <c r="AB898" s="4"/>
      <c r="AC898" s="4"/>
      <c r="AD898" s="4"/>
      <c r="AE898" s="4"/>
      <c r="AF898" s="81"/>
      <c r="AG898" s="81"/>
      <c r="AH898" s="81"/>
      <c r="AI898" s="4"/>
      <c r="AJ898" s="81"/>
      <c r="AK898" s="81"/>
      <c r="AL898" s="81"/>
      <c r="AM898" s="43">
        <v>882</v>
      </c>
      <c r="AN898">
        <v>263.45676394530528</v>
      </c>
      <c r="AO898">
        <v>73.987361197204777</v>
      </c>
      <c r="AP898">
        <v>531.25382223218708</v>
      </c>
      <c r="AQ898">
        <v>412.96954222160883</v>
      </c>
      <c r="AR898">
        <v>66.330277919108795</v>
      </c>
      <c r="AS898">
        <v>578.47229143124252</v>
      </c>
      <c r="AT898">
        <v>38.448987210418224</v>
      </c>
      <c r="AU898">
        <v>105.14334788901571</v>
      </c>
      <c r="AV898"/>
      <c r="AW898"/>
      <c r="FY898" s="211">
        <v>893</v>
      </c>
      <c r="FZ898">
        <v>12.282818564682369</v>
      </c>
      <c r="GA898">
        <v>44.29093754261482</v>
      </c>
      <c r="GB898">
        <v>80.404635339739073</v>
      </c>
      <c r="GC898">
        <v>48.115990724987</v>
      </c>
      <c r="GD898">
        <v>19.099600597205622</v>
      </c>
      <c r="GE898">
        <v>37.281714537161477</v>
      </c>
      <c r="GF898">
        <v>65.065290654827947</v>
      </c>
      <c r="GG898">
        <v>40.752475305487799</v>
      </c>
      <c r="GH898">
        <v>14.137041401640829</v>
      </c>
      <c r="GI898">
        <v>49.349702294071932</v>
      </c>
      <c r="GJ898"/>
      <c r="GK898"/>
      <c r="GL898"/>
      <c r="GM898"/>
    </row>
    <row r="899" spans="1:195" s="7" customFormat="1">
      <c r="A899" s="4"/>
      <c r="B899" s="4"/>
      <c r="C899" s="4"/>
      <c r="D899" s="4"/>
      <c r="E899" s="4"/>
      <c r="F899" s="28"/>
      <c r="G899" s="28"/>
      <c r="H899" s="83"/>
      <c r="I899" s="4"/>
      <c r="J899" s="4"/>
      <c r="K899" s="4"/>
      <c r="L899" s="4"/>
      <c r="M899" s="4"/>
      <c r="N899" s="28"/>
      <c r="O899" s="4"/>
      <c r="P899" s="4"/>
      <c r="Q899" s="4"/>
      <c r="R899" s="4"/>
      <c r="S899" s="4"/>
      <c r="T899" s="4"/>
      <c r="U899" s="4"/>
      <c r="V899" s="4"/>
      <c r="W899" s="4"/>
      <c r="X899" s="4"/>
      <c r="Y899" s="4"/>
      <c r="Z899" s="4"/>
      <c r="AA899" s="4"/>
      <c r="AB899" s="4"/>
      <c r="AC899" s="4"/>
      <c r="AD899" s="4"/>
      <c r="AE899" s="4"/>
      <c r="AF899" s="81"/>
      <c r="AG899" s="81"/>
      <c r="AH899" s="81"/>
      <c r="AI899" s="4"/>
      <c r="AJ899" s="81"/>
      <c r="AK899" s="81"/>
      <c r="AL899" s="81"/>
      <c r="AM899" s="43">
        <v>883</v>
      </c>
      <c r="AN899">
        <v>233.2872414845595</v>
      </c>
      <c r="AO899">
        <v>75.546391338874201</v>
      </c>
      <c r="AP899">
        <v>498.19317942121359</v>
      </c>
      <c r="AQ899">
        <v>386.2446113793664</v>
      </c>
      <c r="AR899">
        <v>68.37583216009638</v>
      </c>
      <c r="AS899">
        <v>574.66333051786978</v>
      </c>
      <c r="AT899">
        <v>37.399066890511961</v>
      </c>
      <c r="AU899">
        <v>122.01922979798448</v>
      </c>
      <c r="AV899"/>
      <c r="AW899"/>
      <c r="FY899" s="211">
        <v>894</v>
      </c>
      <c r="FZ899">
        <v>23.472336911675885</v>
      </c>
      <c r="GA899">
        <v>56.322386004488521</v>
      </c>
      <c r="GB899">
        <v>59.329819816749371</v>
      </c>
      <c r="GC899">
        <v>38.928716635749581</v>
      </c>
      <c r="GD899">
        <v>18.760903293632076</v>
      </c>
      <c r="GE899">
        <v>43.978865463281863</v>
      </c>
      <c r="GF899">
        <v>73.222514003126804</v>
      </c>
      <c r="GG899">
        <v>50.912063899285627</v>
      </c>
      <c r="GH899">
        <v>38.860220676339431</v>
      </c>
      <c r="GI899">
        <v>51.077140841845306</v>
      </c>
      <c r="GJ899"/>
      <c r="GK899"/>
      <c r="GL899"/>
      <c r="GM899"/>
    </row>
    <row r="900" spans="1:195" s="7" customFormat="1">
      <c r="A900" s="4"/>
      <c r="B900" s="4"/>
      <c r="C900" s="4"/>
      <c r="D900" s="4"/>
      <c r="E900" s="4"/>
      <c r="F900" s="28"/>
      <c r="G900" s="28"/>
      <c r="H900" s="83"/>
      <c r="I900" s="4"/>
      <c r="J900" s="4"/>
      <c r="K900" s="4"/>
      <c r="L900" s="4"/>
      <c r="M900" s="4"/>
      <c r="N900" s="28"/>
      <c r="O900" s="4"/>
      <c r="P900" s="4"/>
      <c r="Q900" s="4"/>
      <c r="R900" s="4"/>
      <c r="S900" s="4"/>
      <c r="T900" s="4"/>
      <c r="U900" s="4"/>
      <c r="V900" s="4"/>
      <c r="W900" s="4"/>
      <c r="X900" s="4"/>
      <c r="Y900" s="4"/>
      <c r="Z900" s="4"/>
      <c r="AA900" s="4"/>
      <c r="AB900" s="4"/>
      <c r="AC900" s="4"/>
      <c r="AD900" s="4"/>
      <c r="AE900" s="4"/>
      <c r="AF900" s="81"/>
      <c r="AG900" s="81"/>
      <c r="AH900" s="81"/>
      <c r="AI900" s="4"/>
      <c r="AJ900" s="81"/>
      <c r="AK900" s="81"/>
      <c r="AL900" s="81"/>
      <c r="AM900" s="43">
        <v>884</v>
      </c>
      <c r="AN900">
        <v>206.44277714064751</v>
      </c>
      <c r="AO900">
        <v>68.915433413396556</v>
      </c>
      <c r="AP900">
        <v>511.4472628736255</v>
      </c>
      <c r="AQ900">
        <v>375.48079028245763</v>
      </c>
      <c r="AR900">
        <v>62.709619174934836</v>
      </c>
      <c r="AS900">
        <v>527.3271151779486</v>
      </c>
      <c r="AT900">
        <v>34.450868472156678</v>
      </c>
      <c r="AU900">
        <v>64.049213456643514</v>
      </c>
      <c r="AV900"/>
      <c r="AW900"/>
      <c r="FY900" s="211">
        <v>895</v>
      </c>
      <c r="FZ900">
        <v>15.319339131550077</v>
      </c>
      <c r="GA900">
        <v>53.954079633002166</v>
      </c>
      <c r="GB900">
        <v>48.954516113531156</v>
      </c>
      <c r="GC900">
        <v>31.169308972113086</v>
      </c>
      <c r="GD900">
        <v>22.26008048485436</v>
      </c>
      <c r="GE900">
        <v>53.210849143036363</v>
      </c>
      <c r="GF900">
        <v>85.79254101448943</v>
      </c>
      <c r="GG900">
        <v>57.990117881995197</v>
      </c>
      <c r="GH900">
        <v>35.225597635083751</v>
      </c>
      <c r="GI900">
        <v>52.309485778640294</v>
      </c>
      <c r="GJ900"/>
      <c r="GK900"/>
      <c r="GL900"/>
      <c r="GM900"/>
    </row>
    <row r="901" spans="1:195" s="7" customFormat="1">
      <c r="A901" s="4"/>
      <c r="B901" s="4"/>
      <c r="C901" s="4"/>
      <c r="D901" s="4"/>
      <c r="E901" s="4"/>
      <c r="F901" s="28"/>
      <c r="G901" s="28"/>
      <c r="H901" s="83"/>
      <c r="I901" s="4"/>
      <c r="J901" s="4"/>
      <c r="K901" s="4"/>
      <c r="L901" s="4"/>
      <c r="M901" s="4"/>
      <c r="N901" s="28"/>
      <c r="O901" s="4"/>
      <c r="P901" s="4"/>
      <c r="Q901" s="4"/>
      <c r="R901" s="4"/>
      <c r="S901" s="4"/>
      <c r="T901" s="4"/>
      <c r="U901" s="4"/>
      <c r="V901" s="4"/>
      <c r="W901" s="4"/>
      <c r="X901" s="4"/>
      <c r="Y901" s="4"/>
      <c r="Z901" s="4"/>
      <c r="AA901" s="4"/>
      <c r="AB901" s="4"/>
      <c r="AC901" s="4"/>
      <c r="AD901" s="4"/>
      <c r="AE901" s="4"/>
      <c r="AF901" s="81"/>
      <c r="AG901" s="81"/>
      <c r="AH901" s="81"/>
      <c r="AI901" s="4"/>
      <c r="AJ901" s="81"/>
      <c r="AK901" s="81"/>
      <c r="AL901" s="81"/>
      <c r="AM901" s="43">
        <v>885</v>
      </c>
      <c r="AN901">
        <v>265.84758815288217</v>
      </c>
      <c r="AO901">
        <v>91.505301498608077</v>
      </c>
      <c r="AP901">
        <v>668.42480552624295</v>
      </c>
      <c r="AQ901">
        <v>487.20473553937478</v>
      </c>
      <c r="AR901">
        <v>83.241736819152848</v>
      </c>
      <c r="AS901">
        <v>662.1922708927807</v>
      </c>
      <c r="AT901">
        <v>43.808288292200821</v>
      </c>
      <c r="AU901">
        <v>67.036042639376888</v>
      </c>
      <c r="AV901"/>
      <c r="AW901"/>
      <c r="FY901" s="211">
        <v>896</v>
      </c>
      <c r="FZ901">
        <v>22.489922076068954</v>
      </c>
      <c r="GA901">
        <v>62.769560145150308</v>
      </c>
      <c r="GB901">
        <v>56.249000409314547</v>
      </c>
      <c r="GC901">
        <v>29.414306419895823</v>
      </c>
      <c r="GD901">
        <v>12.880424179794232</v>
      </c>
      <c r="GE901">
        <v>54.127759290157947</v>
      </c>
      <c r="GF901">
        <v>105.02971162057021</v>
      </c>
      <c r="GG901">
        <v>36.428258557887702</v>
      </c>
      <c r="GH901">
        <v>4.4975299685166767</v>
      </c>
      <c r="GI901">
        <v>48.001120505699625</v>
      </c>
      <c r="GJ901"/>
      <c r="GK901"/>
      <c r="GL901"/>
      <c r="GM901"/>
    </row>
    <row r="902" spans="1:195" s="7" customFormat="1">
      <c r="A902" s="4"/>
      <c r="B902" s="4"/>
      <c r="C902" s="4"/>
      <c r="D902" s="4"/>
      <c r="E902" s="4"/>
      <c r="F902" s="28"/>
      <c r="G902" s="28"/>
      <c r="H902" s="83"/>
      <c r="I902" s="4"/>
      <c r="J902" s="4"/>
      <c r="K902" s="4"/>
      <c r="L902" s="4"/>
      <c r="M902" s="4"/>
      <c r="N902" s="28"/>
      <c r="O902" s="4"/>
      <c r="P902" s="4"/>
      <c r="Q902" s="4"/>
      <c r="R902" s="4"/>
      <c r="S902" s="4"/>
      <c r="T902" s="4"/>
      <c r="U902" s="4"/>
      <c r="V902" s="4"/>
      <c r="W902" s="4"/>
      <c r="X902" s="4"/>
      <c r="Y902" s="4"/>
      <c r="Z902" s="4"/>
      <c r="AA902" s="4"/>
      <c r="AB902" s="4"/>
      <c r="AC902" s="4"/>
      <c r="AD902" s="4"/>
      <c r="AE902" s="4"/>
      <c r="AF902" s="81"/>
      <c r="AG902" s="81"/>
      <c r="AH902" s="81"/>
      <c r="AI902" s="4"/>
      <c r="AJ902" s="81"/>
      <c r="AK902" s="81"/>
      <c r="AL902" s="81"/>
      <c r="AM902" s="43">
        <v>886</v>
      </c>
      <c r="AN902">
        <v>219.75971283006069</v>
      </c>
      <c r="AO902">
        <v>78.12923846157409</v>
      </c>
      <c r="AP902">
        <v>619.65132583267462</v>
      </c>
      <c r="AQ902">
        <v>453.81286541522292</v>
      </c>
      <c r="AR902">
        <v>68.588184634002815</v>
      </c>
      <c r="AS902">
        <v>534.93493814849717</v>
      </c>
      <c r="AT902">
        <v>34.79775124623491</v>
      </c>
      <c r="AU902">
        <v>74.122740151991053</v>
      </c>
      <c r="AV902"/>
      <c r="AW902"/>
      <c r="FY902" s="211">
        <v>897</v>
      </c>
      <c r="FZ902">
        <v>16.939604354294769</v>
      </c>
      <c r="GA902">
        <v>53.3942136667618</v>
      </c>
      <c r="GB902">
        <v>91.489218312370639</v>
      </c>
      <c r="GC902">
        <v>51.888608149612757</v>
      </c>
      <c r="GD902">
        <v>29.502927365600783</v>
      </c>
      <c r="GE902">
        <v>63.943533896158897</v>
      </c>
      <c r="GF902">
        <v>70.271763609884729</v>
      </c>
      <c r="GG902">
        <v>35.535143901387677</v>
      </c>
      <c r="GH902">
        <v>7.2392534150525947</v>
      </c>
      <c r="GI902">
        <v>59.873380123098521</v>
      </c>
      <c r="GJ902"/>
      <c r="GK902"/>
      <c r="GL902"/>
      <c r="GM902"/>
    </row>
    <row r="903" spans="1:195" s="7" customFormat="1">
      <c r="A903" s="4"/>
      <c r="B903" s="4"/>
      <c r="C903" s="4"/>
      <c r="D903" s="4"/>
      <c r="E903" s="4"/>
      <c r="F903" s="28"/>
      <c r="G903" s="28"/>
      <c r="H903" s="83"/>
      <c r="I903" s="4"/>
      <c r="J903" s="4"/>
      <c r="K903" s="4"/>
      <c r="L903" s="4"/>
      <c r="M903" s="4"/>
      <c r="N903" s="28"/>
      <c r="O903" s="4"/>
      <c r="P903" s="4"/>
      <c r="Q903" s="4"/>
      <c r="R903" s="4"/>
      <c r="S903" s="4"/>
      <c r="T903" s="4"/>
      <c r="U903" s="4"/>
      <c r="V903" s="4"/>
      <c r="W903" s="4"/>
      <c r="X903" s="4"/>
      <c r="Y903" s="4"/>
      <c r="Z903" s="4"/>
      <c r="AA903" s="4"/>
      <c r="AB903" s="4"/>
      <c r="AC903" s="4"/>
      <c r="AD903" s="4"/>
      <c r="AE903" s="4"/>
      <c r="AF903" s="81"/>
      <c r="AG903" s="81"/>
      <c r="AH903" s="81"/>
      <c r="AI903" s="4"/>
      <c r="AJ903" s="81"/>
      <c r="AK903" s="81"/>
      <c r="AL903" s="81"/>
      <c r="AM903" s="43">
        <v>887</v>
      </c>
      <c r="AN903">
        <v>326.13857126462688</v>
      </c>
      <c r="AO903">
        <v>114.31187449102461</v>
      </c>
      <c r="AP903">
        <v>885.83958588031032</v>
      </c>
      <c r="AQ903">
        <v>635.90825168673575</v>
      </c>
      <c r="AR903">
        <v>102.68656514287618</v>
      </c>
      <c r="AS903">
        <v>846.36696543619553</v>
      </c>
      <c r="AT903">
        <v>52.649750466364317</v>
      </c>
      <c r="AU903">
        <v>101.01408866074347</v>
      </c>
      <c r="AV903"/>
      <c r="AW903"/>
      <c r="FY903" s="211">
        <v>898</v>
      </c>
      <c r="FZ903">
        <v>7.2202086347875447</v>
      </c>
      <c r="GA903">
        <v>38.273774416506562</v>
      </c>
      <c r="GB903">
        <v>55.129484670628401</v>
      </c>
      <c r="GC903">
        <v>34.891322488084235</v>
      </c>
      <c r="GD903">
        <v>17.105412986765</v>
      </c>
      <c r="GE903">
        <v>18.001277814162723</v>
      </c>
      <c r="GF903">
        <v>54.898601393768075</v>
      </c>
      <c r="GG903">
        <v>72.106160739263984</v>
      </c>
      <c r="GH903">
        <v>41.014892298209574</v>
      </c>
      <c r="GI903">
        <v>43.121429202215886</v>
      </c>
      <c r="GJ903"/>
      <c r="GK903"/>
      <c r="GL903"/>
      <c r="GM903"/>
    </row>
    <row r="904" spans="1:195" s="7" customFormat="1">
      <c r="A904" s="4"/>
      <c r="B904" s="4"/>
      <c r="C904" s="4"/>
      <c r="D904" s="4"/>
      <c r="E904" s="4"/>
      <c r="F904" s="28"/>
      <c r="G904" s="28"/>
      <c r="H904" s="83"/>
      <c r="I904" s="4"/>
      <c r="J904" s="4"/>
      <c r="K904" s="4"/>
      <c r="L904" s="4"/>
      <c r="M904" s="4"/>
      <c r="N904" s="28"/>
      <c r="O904" s="4"/>
      <c r="P904" s="4"/>
      <c r="Q904" s="4"/>
      <c r="R904" s="4"/>
      <c r="S904" s="4"/>
      <c r="T904" s="4"/>
      <c r="U904" s="4"/>
      <c r="V904" s="4"/>
      <c r="W904" s="4"/>
      <c r="X904" s="4"/>
      <c r="Y904" s="4"/>
      <c r="Z904" s="4"/>
      <c r="AA904" s="4"/>
      <c r="AB904" s="4"/>
      <c r="AC904" s="4"/>
      <c r="AD904" s="4"/>
      <c r="AE904" s="4"/>
      <c r="AF904" s="81"/>
      <c r="AG904" s="81"/>
      <c r="AH904" s="81"/>
      <c r="AI904" s="4"/>
      <c r="AJ904" s="81"/>
      <c r="AK904" s="81"/>
      <c r="AL904" s="81"/>
      <c r="AM904" s="43">
        <v>888</v>
      </c>
      <c r="AN904">
        <v>249.65818051679517</v>
      </c>
      <c r="AO904">
        <v>81.682733029533722</v>
      </c>
      <c r="AP904">
        <v>532.95380397862391</v>
      </c>
      <c r="AQ904">
        <v>426.64721640972073</v>
      </c>
      <c r="AR904">
        <v>73.894513692122615</v>
      </c>
      <c r="AS904">
        <v>619.62433982835455</v>
      </c>
      <c r="AT904">
        <v>41.066649039987531</v>
      </c>
      <c r="AU904">
        <v>68.031523145566098</v>
      </c>
      <c r="AV904"/>
      <c r="AW904"/>
      <c r="FY904" s="211">
        <v>899</v>
      </c>
      <c r="FZ904">
        <v>19.347159148341799</v>
      </c>
      <c r="GA904">
        <v>67.429899894304583</v>
      </c>
      <c r="GB904">
        <v>96.793817215267836</v>
      </c>
      <c r="GC904">
        <v>49.952864479067188</v>
      </c>
      <c r="GD904">
        <v>13.434907332606585</v>
      </c>
      <c r="GE904">
        <v>28.908437644764149</v>
      </c>
      <c r="GF904">
        <v>63.313669618921516</v>
      </c>
      <c r="GG904">
        <v>37.289637124807157</v>
      </c>
      <c r="GH904">
        <v>8.2698281900171686</v>
      </c>
      <c r="GI904">
        <v>50.670152411270799</v>
      </c>
      <c r="GJ904"/>
      <c r="GK904"/>
      <c r="GL904"/>
      <c r="GM904"/>
    </row>
    <row r="905" spans="1:195" s="7" customFormat="1">
      <c r="A905" s="4"/>
      <c r="B905" s="4"/>
      <c r="C905" s="4"/>
      <c r="D905" s="4"/>
      <c r="E905" s="4"/>
      <c r="F905" s="28"/>
      <c r="G905" s="28"/>
      <c r="H905" s="83"/>
      <c r="I905" s="4"/>
      <c r="J905" s="4"/>
      <c r="K905" s="4"/>
      <c r="L905" s="4"/>
      <c r="M905" s="4"/>
      <c r="N905" s="28"/>
      <c r="O905" s="4"/>
      <c r="P905" s="4"/>
      <c r="Q905" s="4"/>
      <c r="R905" s="4"/>
      <c r="S905" s="4"/>
      <c r="T905" s="4"/>
      <c r="U905" s="4"/>
      <c r="V905" s="4"/>
      <c r="W905" s="4"/>
      <c r="X905" s="4"/>
      <c r="Y905" s="4"/>
      <c r="Z905" s="4"/>
      <c r="AA905" s="4"/>
      <c r="AB905" s="4"/>
      <c r="AC905" s="4"/>
      <c r="AD905" s="4"/>
      <c r="AE905" s="4"/>
      <c r="AF905" s="81"/>
      <c r="AG905" s="81"/>
      <c r="AH905" s="81"/>
      <c r="AI905" s="4"/>
      <c r="AJ905" s="81"/>
      <c r="AK905" s="81"/>
      <c r="AL905" s="81"/>
      <c r="AM905" s="43">
        <v>889</v>
      </c>
      <c r="AN905">
        <v>191.65267609315569</v>
      </c>
      <c r="AO905">
        <v>73.596366718367165</v>
      </c>
      <c r="AP905">
        <v>514.98217717105308</v>
      </c>
      <c r="AQ905">
        <v>404.91066150189681</v>
      </c>
      <c r="AR905">
        <v>65.428935477720373</v>
      </c>
      <c r="AS905">
        <v>511.19440673652906</v>
      </c>
      <c r="AT905" t="e">
        <v>#DIV/0!</v>
      </c>
      <c r="AU905" t="e">
        <v>#DIV/0!</v>
      </c>
      <c r="AV905"/>
      <c r="AW905"/>
      <c r="FY905" s="211">
        <v>900</v>
      </c>
      <c r="FZ905">
        <v>24.921038762079629</v>
      </c>
      <c r="GA905">
        <v>65.010539203657771</v>
      </c>
      <c r="GB905">
        <v>94.197646778540701</v>
      </c>
      <c r="GC905">
        <v>55.34425743624201</v>
      </c>
      <c r="GD905">
        <v>22.24766656479731</v>
      </c>
      <c r="GE905">
        <v>55.139552698272944</v>
      </c>
      <c r="GF905">
        <v>87.228929375289624</v>
      </c>
      <c r="GG905">
        <v>72.911146183229391</v>
      </c>
      <c r="GH905">
        <v>56.836027451988549</v>
      </c>
      <c r="GI905">
        <v>68.212128430354426</v>
      </c>
      <c r="GJ905"/>
      <c r="GK905"/>
      <c r="GL905"/>
      <c r="GM905"/>
    </row>
    <row r="906" spans="1:195" s="7" customFormat="1">
      <c r="A906" s="4"/>
      <c r="B906" s="4"/>
      <c r="C906" s="4"/>
      <c r="D906" s="4"/>
      <c r="E906" s="4"/>
      <c r="F906" s="28"/>
      <c r="G906" s="28"/>
      <c r="H906" s="83"/>
      <c r="I906" s="4"/>
      <c r="J906" s="4"/>
      <c r="K906" s="4"/>
      <c r="L906" s="4"/>
      <c r="M906" s="4"/>
      <c r="N906" s="28"/>
      <c r="O906" s="4"/>
      <c r="P906" s="4"/>
      <c r="Q906" s="4"/>
      <c r="R906" s="4"/>
      <c r="S906" s="4"/>
      <c r="T906" s="4"/>
      <c r="U906" s="4"/>
      <c r="V906" s="4"/>
      <c r="W906" s="4"/>
      <c r="X906" s="4"/>
      <c r="Y906" s="4"/>
      <c r="Z906" s="4"/>
      <c r="AA906" s="4"/>
      <c r="AB906" s="4"/>
      <c r="AC906" s="4"/>
      <c r="AD906" s="4"/>
      <c r="AE906" s="4"/>
      <c r="AF906" s="81"/>
      <c r="AG906" s="81"/>
      <c r="AH906" s="81"/>
      <c r="AI906" s="4"/>
      <c r="AJ906" s="81"/>
      <c r="AK906" s="81"/>
      <c r="AL906" s="81"/>
      <c r="AM906" s="43">
        <v>890</v>
      </c>
      <c r="AN906">
        <v>252.58337343380745</v>
      </c>
      <c r="AO906">
        <v>92.471800625921958</v>
      </c>
      <c r="AP906">
        <v>698.42174820409218</v>
      </c>
      <c r="AQ906">
        <v>519.39854071276898</v>
      </c>
      <c r="AR906">
        <v>83.28944258464719</v>
      </c>
      <c r="AS906">
        <v>674.83206120620048</v>
      </c>
      <c r="AT906">
        <v>45.503086185706771</v>
      </c>
      <c r="AU906">
        <v>161.31414689695669</v>
      </c>
      <c r="AV906"/>
      <c r="AW906"/>
      <c r="FY906" s="211">
        <v>901</v>
      </c>
      <c r="FZ906">
        <v>6.9245049178588172</v>
      </c>
      <c r="GA906">
        <v>43.777065246495717</v>
      </c>
      <c r="GB906">
        <v>74.560297179450799</v>
      </c>
      <c r="GC906">
        <v>42.137925727061898</v>
      </c>
      <c r="GD906">
        <v>19.353153565799438</v>
      </c>
      <c r="GE906">
        <v>36.902132397899727</v>
      </c>
      <c r="GF906">
        <v>47.960127653177643</v>
      </c>
      <c r="GG906">
        <v>34.737469927239012</v>
      </c>
      <c r="GH906">
        <v>22.208032333089726</v>
      </c>
      <c r="GI906">
        <v>44.923150306408054</v>
      </c>
      <c r="GJ906"/>
      <c r="GK906"/>
      <c r="GL906"/>
      <c r="GM906"/>
    </row>
    <row r="907" spans="1:195" s="7" customFormat="1">
      <c r="A907" s="4"/>
      <c r="B907" s="4"/>
      <c r="C907" s="4"/>
      <c r="D907" s="4"/>
      <c r="E907" s="4"/>
      <c r="F907" s="28"/>
      <c r="G907" s="28"/>
      <c r="H907" s="83"/>
      <c r="I907" s="4"/>
      <c r="J907" s="4"/>
      <c r="K907" s="4"/>
      <c r="L907" s="4"/>
      <c r="M907" s="4"/>
      <c r="N907" s="28"/>
      <c r="O907" s="4"/>
      <c r="P907" s="4"/>
      <c r="Q907" s="4"/>
      <c r="R907" s="4"/>
      <c r="S907" s="4"/>
      <c r="T907" s="4"/>
      <c r="U907" s="4"/>
      <c r="V907" s="4"/>
      <c r="W907" s="4"/>
      <c r="X907" s="4"/>
      <c r="Y907" s="4"/>
      <c r="Z907" s="4"/>
      <c r="AA907" s="4"/>
      <c r="AB907" s="4"/>
      <c r="AC907" s="4"/>
      <c r="AD907" s="4"/>
      <c r="AE907" s="4"/>
      <c r="AF907" s="81"/>
      <c r="AG907" s="81"/>
      <c r="AH907" s="81"/>
      <c r="AI907" s="4"/>
      <c r="AJ907" s="81"/>
      <c r="AK907" s="81"/>
      <c r="AL907" s="81"/>
      <c r="AM907" s="43">
        <v>891</v>
      </c>
      <c r="AN907">
        <v>240.55733170371028</v>
      </c>
      <c r="AO907">
        <v>80.864127652316455</v>
      </c>
      <c r="AP907">
        <v>532.97189503285563</v>
      </c>
      <c r="AQ907">
        <v>408.78915045017106</v>
      </c>
      <c r="AR907">
        <v>72.300806157687305</v>
      </c>
      <c r="AS907">
        <v>611.50079995296301</v>
      </c>
      <c r="AT907">
        <v>39.286010877507238</v>
      </c>
      <c r="AU907">
        <v>48.730095844163571</v>
      </c>
      <c r="AV907"/>
      <c r="AW907"/>
      <c r="FY907" s="211">
        <v>902</v>
      </c>
      <c r="FZ907">
        <v>16.64656302088342</v>
      </c>
      <c r="GA907">
        <v>48.483076908312853</v>
      </c>
      <c r="GB907">
        <v>67.719918863352987</v>
      </c>
      <c r="GC907">
        <v>41.172635454011228</v>
      </c>
      <c r="GD907">
        <v>15.195907140509327</v>
      </c>
      <c r="GE907">
        <v>41.997235290939287</v>
      </c>
      <c r="GF907">
        <v>89.479831960806635</v>
      </c>
      <c r="GG907">
        <v>40.3018521399121</v>
      </c>
      <c r="GH907">
        <v>6.7105068653829427</v>
      </c>
      <c r="GI907">
        <v>47.972246879763219</v>
      </c>
      <c r="GJ907"/>
      <c r="GK907"/>
      <c r="GL907"/>
      <c r="GM907"/>
    </row>
    <row r="908" spans="1:195" s="7" customFormat="1">
      <c r="A908" s="4"/>
      <c r="B908" s="4"/>
      <c r="C908" s="4"/>
      <c r="D908" s="4"/>
      <c r="E908" s="4"/>
      <c r="F908" s="28"/>
      <c r="G908" s="28"/>
      <c r="H908" s="83"/>
      <c r="I908" s="4"/>
      <c r="J908" s="4"/>
      <c r="K908" s="4"/>
      <c r="L908" s="4"/>
      <c r="M908" s="4"/>
      <c r="N908" s="28"/>
      <c r="O908" s="4"/>
      <c r="P908" s="4"/>
      <c r="Q908" s="4"/>
      <c r="R908" s="4"/>
      <c r="S908" s="4"/>
      <c r="T908" s="4"/>
      <c r="U908" s="4"/>
      <c r="V908" s="4"/>
      <c r="W908" s="4"/>
      <c r="X908" s="4"/>
      <c r="Y908" s="4"/>
      <c r="Z908" s="4"/>
      <c r="AA908" s="4"/>
      <c r="AB908" s="4"/>
      <c r="AC908" s="4"/>
      <c r="AD908" s="4"/>
      <c r="AE908" s="4"/>
      <c r="AF908" s="81"/>
      <c r="AG908" s="81"/>
      <c r="AH908" s="81"/>
      <c r="AI908" s="4"/>
      <c r="AJ908" s="81"/>
      <c r="AK908" s="81"/>
      <c r="AL908" s="81"/>
      <c r="AM908" s="43">
        <v>892</v>
      </c>
      <c r="AN908">
        <v>274.14580746612262</v>
      </c>
      <c r="AO908">
        <v>91.851818698171172</v>
      </c>
      <c r="AP908">
        <v>707.46586762625827</v>
      </c>
      <c r="AQ908">
        <v>513.80113347682391</v>
      </c>
      <c r="AR908">
        <v>82.705277912680273</v>
      </c>
      <c r="AS908">
        <v>689.77356010478002</v>
      </c>
      <c r="AT908">
        <v>45.16430082944018</v>
      </c>
      <c r="AU908">
        <v>107.00936589944234</v>
      </c>
      <c r="AV908"/>
      <c r="AW908"/>
      <c r="FY908" s="211">
        <v>903</v>
      </c>
      <c r="FZ908">
        <v>9.1514907733001021</v>
      </c>
      <c r="GA908">
        <v>26.790198434101612</v>
      </c>
      <c r="GB908">
        <v>78.205899911396244</v>
      </c>
      <c r="GC908">
        <v>51.847184246284158</v>
      </c>
      <c r="GD908">
        <v>22.983845057609575</v>
      </c>
      <c r="GE908">
        <v>53.704999236378072</v>
      </c>
      <c r="GF908">
        <v>95.015500239166798</v>
      </c>
      <c r="GG908">
        <v>48.607434316782502</v>
      </c>
      <c r="GH908">
        <v>8.9292939346514419</v>
      </c>
      <c r="GI908">
        <v>56.938440822579437</v>
      </c>
      <c r="GJ908"/>
      <c r="GK908"/>
      <c r="GL908"/>
      <c r="GM908"/>
    </row>
    <row r="909" spans="1:195" s="7" customFormat="1">
      <c r="A909" s="4"/>
      <c r="B909" s="4"/>
      <c r="C909" s="4"/>
      <c r="D909" s="4"/>
      <c r="E909" s="4"/>
      <c r="F909" s="28"/>
      <c r="G909" s="28"/>
      <c r="H909" s="83"/>
      <c r="I909" s="4"/>
      <c r="J909" s="4"/>
      <c r="K909" s="4"/>
      <c r="L909" s="4"/>
      <c r="M909" s="4"/>
      <c r="N909" s="28"/>
      <c r="O909" s="4"/>
      <c r="P909" s="4"/>
      <c r="Q909" s="4"/>
      <c r="R909" s="4"/>
      <c r="S909" s="4"/>
      <c r="T909" s="4"/>
      <c r="U909" s="4"/>
      <c r="V909" s="4"/>
      <c r="W909" s="4"/>
      <c r="X909" s="4"/>
      <c r="Y909" s="4"/>
      <c r="Z909" s="4"/>
      <c r="AA909" s="4"/>
      <c r="AB909" s="4"/>
      <c r="AC909" s="4"/>
      <c r="AD909" s="4"/>
      <c r="AE909" s="4"/>
      <c r="AF909" s="81"/>
      <c r="AG909" s="81"/>
      <c r="AH909" s="81"/>
      <c r="AI909" s="4"/>
      <c r="AJ909" s="81"/>
      <c r="AK909" s="81"/>
      <c r="AL909" s="81"/>
      <c r="AM909" s="43">
        <v>893</v>
      </c>
      <c r="AN909">
        <v>253.37038649049572</v>
      </c>
      <c r="AO909">
        <v>76.766003490110265</v>
      </c>
      <c r="AP909">
        <v>537.4526555861629</v>
      </c>
      <c r="AQ909">
        <v>410.78020696241879</v>
      </c>
      <c r="AR909">
        <v>69.458836315723033</v>
      </c>
      <c r="AS909">
        <v>598.78832955937753</v>
      </c>
      <c r="AT909">
        <v>39.408559072743479</v>
      </c>
      <c r="AU909">
        <v>50.792249494340275</v>
      </c>
      <c r="AV909"/>
      <c r="AW909"/>
      <c r="FY909" s="211">
        <v>904</v>
      </c>
      <c r="FZ909">
        <v>10.991164531742687</v>
      </c>
      <c r="GA909">
        <v>61.621762659267915</v>
      </c>
      <c r="GB909">
        <v>96.132927621028713</v>
      </c>
      <c r="GC909">
        <v>46.673584458964029</v>
      </c>
      <c r="GD909">
        <v>11.972271993275594</v>
      </c>
      <c r="GE909">
        <v>44.89640547810037</v>
      </c>
      <c r="GF909">
        <v>122.21444929803663</v>
      </c>
      <c r="GG909">
        <v>75.69477535371081</v>
      </c>
      <c r="GH909">
        <v>20.115074261329866</v>
      </c>
      <c r="GI909">
        <v>62.361646017230001</v>
      </c>
      <c r="GJ909"/>
      <c r="GK909"/>
      <c r="GL909"/>
      <c r="GM909"/>
    </row>
    <row r="910" spans="1:195" s="7" customFormat="1">
      <c r="A910" s="4"/>
      <c r="B910" s="4"/>
      <c r="C910" s="4"/>
      <c r="D910" s="4"/>
      <c r="E910" s="4"/>
      <c r="F910" s="28"/>
      <c r="G910" s="28"/>
      <c r="H910" s="83"/>
      <c r="I910" s="4"/>
      <c r="J910" s="4"/>
      <c r="K910" s="4"/>
      <c r="L910" s="4"/>
      <c r="M910" s="4"/>
      <c r="N910" s="28"/>
      <c r="O910" s="4"/>
      <c r="P910" s="4"/>
      <c r="Q910" s="4"/>
      <c r="R910" s="4"/>
      <c r="S910" s="4"/>
      <c r="T910" s="4"/>
      <c r="U910" s="4"/>
      <c r="V910" s="4"/>
      <c r="W910" s="4"/>
      <c r="X910" s="4"/>
      <c r="Y910" s="4"/>
      <c r="Z910" s="4"/>
      <c r="AA910" s="4"/>
      <c r="AB910" s="4"/>
      <c r="AC910" s="4"/>
      <c r="AD910" s="4"/>
      <c r="AE910" s="4"/>
      <c r="AF910" s="81"/>
      <c r="AG910" s="81"/>
      <c r="AH910" s="81"/>
      <c r="AI910" s="4"/>
      <c r="AJ910" s="81"/>
      <c r="AK910" s="81"/>
      <c r="AL910" s="81"/>
      <c r="AM910" s="43">
        <v>894</v>
      </c>
      <c r="AN910">
        <v>292.88892679032745</v>
      </c>
      <c r="AO910">
        <v>80.877305576361309</v>
      </c>
      <c r="AP910">
        <v>599.6116261911817</v>
      </c>
      <c r="AQ910">
        <v>454.86496754617451</v>
      </c>
      <c r="AR910">
        <v>71.949469934742098</v>
      </c>
      <c r="AS910">
        <v>639.35038654260848</v>
      </c>
      <c r="AT910">
        <v>37.398165209200151</v>
      </c>
      <c r="AU910">
        <v>45.151565107687141</v>
      </c>
      <c r="AV910"/>
      <c r="AW910"/>
      <c r="FY910" s="211">
        <v>905</v>
      </c>
      <c r="FZ910">
        <v>7.3374999586212422</v>
      </c>
      <c r="GA910">
        <v>38.153437930782154</v>
      </c>
      <c r="GB910">
        <v>110.37903947548136</v>
      </c>
      <c r="GC910">
        <v>60.155794277183745</v>
      </c>
      <c r="GD910">
        <v>18.518748558743134</v>
      </c>
      <c r="GE910">
        <v>41.295195821441951</v>
      </c>
      <c r="GF910">
        <v>56.536709021489543</v>
      </c>
      <c r="GG910">
        <v>37.165064301342582</v>
      </c>
      <c r="GH910">
        <v>17.657361963818374</v>
      </c>
      <c r="GI910">
        <v>54.633090144446037</v>
      </c>
      <c r="GJ910"/>
      <c r="GK910"/>
      <c r="GL910"/>
      <c r="GM910"/>
    </row>
    <row r="911" spans="1:195" s="7" customFormat="1">
      <c r="A911" s="4"/>
      <c r="B911" s="4"/>
      <c r="C911" s="4"/>
      <c r="D911" s="4"/>
      <c r="E911" s="4"/>
      <c r="F911" s="28"/>
      <c r="G911" s="28"/>
      <c r="H911" s="83"/>
      <c r="I911" s="4"/>
      <c r="J911" s="4"/>
      <c r="K911" s="4"/>
      <c r="L911" s="4"/>
      <c r="M911" s="4"/>
      <c r="N911" s="28"/>
      <c r="O911" s="4"/>
      <c r="P911" s="4"/>
      <c r="Q911" s="4"/>
      <c r="R911" s="4"/>
      <c r="S911" s="4"/>
      <c r="T911" s="4"/>
      <c r="U911" s="4"/>
      <c r="V911" s="4"/>
      <c r="W911" s="4"/>
      <c r="X911" s="4"/>
      <c r="Y911" s="4"/>
      <c r="Z911" s="4"/>
      <c r="AA911" s="4"/>
      <c r="AB911" s="4"/>
      <c r="AC911" s="4"/>
      <c r="AD911" s="4"/>
      <c r="AE911" s="4"/>
      <c r="AF911" s="81"/>
      <c r="AG911" s="81"/>
      <c r="AH911" s="81"/>
      <c r="AI911" s="4"/>
      <c r="AJ911" s="81"/>
      <c r="AK911" s="81"/>
      <c r="AL911" s="81"/>
      <c r="AM911" s="43">
        <v>895</v>
      </c>
      <c r="AN911">
        <v>248.25766913411658</v>
      </c>
      <c r="AO911">
        <v>83.637644334591982</v>
      </c>
      <c r="AP911">
        <v>609.33480311163567</v>
      </c>
      <c r="AQ911">
        <v>456.18591578829597</v>
      </c>
      <c r="AR911">
        <v>74.383280138461458</v>
      </c>
      <c r="AS911">
        <v>625.90004052789163</v>
      </c>
      <c r="AT911">
        <v>40.221511542853627</v>
      </c>
      <c r="AU911">
        <v>103.82166441967202</v>
      </c>
      <c r="AV911"/>
      <c r="AW911"/>
      <c r="FY911" s="211">
        <v>906</v>
      </c>
      <c r="FZ911">
        <v>19.673126102160403</v>
      </c>
      <c r="GA911">
        <v>54.22471094226043</v>
      </c>
      <c r="GB911">
        <v>75.973095564190203</v>
      </c>
      <c r="GC911">
        <v>44.671578714322315</v>
      </c>
      <c r="GD911">
        <v>16.400446222991334</v>
      </c>
      <c r="GE911">
        <v>26.213064136112742</v>
      </c>
      <c r="GF911">
        <v>51.728934796006428</v>
      </c>
      <c r="GG911">
        <v>70.196350323852471</v>
      </c>
      <c r="GH911">
        <v>57.420282908792821</v>
      </c>
      <c r="GI911">
        <v>52.711968310070553</v>
      </c>
      <c r="GJ911"/>
      <c r="GK911"/>
      <c r="GL911"/>
      <c r="GM911"/>
    </row>
    <row r="912" spans="1:195" s="7" customFormat="1">
      <c r="A912" s="4"/>
      <c r="B912" s="4"/>
      <c r="C912" s="4"/>
      <c r="D912" s="4"/>
      <c r="E912" s="4"/>
      <c r="F912" s="28"/>
      <c r="G912" s="28"/>
      <c r="H912" s="83"/>
      <c r="I912" s="4"/>
      <c r="J912" s="4"/>
      <c r="K912" s="4"/>
      <c r="L912" s="4"/>
      <c r="M912" s="4"/>
      <c r="N912" s="28"/>
      <c r="O912" s="4"/>
      <c r="P912" s="4"/>
      <c r="Q912" s="4"/>
      <c r="R912" s="4"/>
      <c r="S912" s="4"/>
      <c r="T912" s="4"/>
      <c r="U912" s="4"/>
      <c r="V912" s="4"/>
      <c r="W912" s="4"/>
      <c r="X912" s="4"/>
      <c r="Y912" s="4"/>
      <c r="Z912" s="4"/>
      <c r="AA912" s="4"/>
      <c r="AB912" s="4"/>
      <c r="AC912" s="4"/>
      <c r="AD912" s="4"/>
      <c r="AE912" s="4"/>
      <c r="AF912" s="81"/>
      <c r="AG912" s="81"/>
      <c r="AH912" s="81"/>
      <c r="AI912" s="4"/>
      <c r="AJ912" s="81"/>
      <c r="AK912" s="81"/>
      <c r="AL912" s="81"/>
      <c r="AM912" s="43">
        <v>896</v>
      </c>
      <c r="AN912">
        <v>224.7310844454345</v>
      </c>
      <c r="AO912">
        <v>76.917720958238135</v>
      </c>
      <c r="AP912">
        <v>596.23538804048121</v>
      </c>
      <c r="AQ912">
        <v>431.88759317305608</v>
      </c>
      <c r="AR912">
        <v>67.095561738883305</v>
      </c>
      <c r="AS912">
        <v>520.87305679178871</v>
      </c>
      <c r="AT912">
        <v>35.732397601505561</v>
      </c>
      <c r="AU912">
        <v>37.594166816025982</v>
      </c>
      <c r="AV912"/>
      <c r="AW912"/>
      <c r="FY912" s="211">
        <v>907</v>
      </c>
      <c r="FZ912">
        <v>8.0759077634093384</v>
      </c>
      <c r="GA912">
        <v>37.861965343332649</v>
      </c>
      <c r="GB912">
        <v>57.758731786164041</v>
      </c>
      <c r="GC912">
        <v>38.638717746246456</v>
      </c>
      <c r="GD912">
        <v>17.591107872986733</v>
      </c>
      <c r="GE912">
        <v>39.115450085074812</v>
      </c>
      <c r="GF912">
        <v>70.417267949159552</v>
      </c>
      <c r="GG912">
        <v>24.996841084125087</v>
      </c>
      <c r="GH912">
        <v>1.6707490415051549</v>
      </c>
      <c r="GI912">
        <v>41.11146222451454</v>
      </c>
      <c r="GJ912"/>
      <c r="GK912"/>
      <c r="GL912"/>
      <c r="GM912"/>
    </row>
    <row r="913" spans="1:195" s="7" customFormat="1">
      <c r="A913" s="4"/>
      <c r="B913" s="4"/>
      <c r="C913" s="4"/>
      <c r="D913" s="4"/>
      <c r="E913" s="4"/>
      <c r="F913" s="28"/>
      <c r="G913" s="28"/>
      <c r="H913" s="83"/>
      <c r="I913" s="4"/>
      <c r="J913" s="4"/>
      <c r="K913" s="4"/>
      <c r="L913" s="4"/>
      <c r="M913" s="4"/>
      <c r="N913" s="28"/>
      <c r="O913" s="4"/>
      <c r="P913" s="4"/>
      <c r="Q913" s="4"/>
      <c r="R913" s="4"/>
      <c r="S913" s="4"/>
      <c r="T913" s="4"/>
      <c r="U913" s="4"/>
      <c r="V913" s="4"/>
      <c r="W913" s="4"/>
      <c r="X913" s="4"/>
      <c r="Y913" s="4"/>
      <c r="Z913" s="4"/>
      <c r="AA913" s="4"/>
      <c r="AB913" s="4"/>
      <c r="AC913" s="4"/>
      <c r="AD913" s="4"/>
      <c r="AE913" s="4"/>
      <c r="AF913" s="81"/>
      <c r="AG913" s="81"/>
      <c r="AH913" s="81"/>
      <c r="AI913" s="4"/>
      <c r="AJ913" s="81"/>
      <c r="AK913" s="81"/>
      <c r="AL913" s="81"/>
      <c r="AM913" s="43">
        <v>897</v>
      </c>
      <c r="AN913">
        <v>244.67872629638654</v>
      </c>
      <c r="AO913">
        <v>94.508134219447086</v>
      </c>
      <c r="AP913">
        <v>618.29815861663974</v>
      </c>
      <c r="AQ913">
        <v>480.07764679422314</v>
      </c>
      <c r="AR913">
        <v>85.441171042119876</v>
      </c>
      <c r="AS913">
        <v>708.17866151036174</v>
      </c>
      <c r="AT913" t="e">
        <v>#DIV/0!</v>
      </c>
      <c r="AU913" t="e">
        <v>#DIV/0!</v>
      </c>
      <c r="AV913"/>
      <c r="AW913"/>
      <c r="FY913" s="211">
        <v>908</v>
      </c>
      <c r="FZ913">
        <v>22.469981934354607</v>
      </c>
      <c r="GA913">
        <v>56.150624032008352</v>
      </c>
      <c r="GB913">
        <v>48.690592911767503</v>
      </c>
      <c r="GC913">
        <v>31.069483612790364</v>
      </c>
      <c r="GD913">
        <v>15.921239238650589</v>
      </c>
      <c r="GE913">
        <v>19.808447297529167</v>
      </c>
      <c r="GF913">
        <v>49.283962875351044</v>
      </c>
      <c r="GG913">
        <v>49.13800860037265</v>
      </c>
      <c r="GH913">
        <v>21.134968154556905</v>
      </c>
      <c r="GI913">
        <v>38.84939373567277</v>
      </c>
      <c r="GJ913"/>
      <c r="GK913"/>
      <c r="GL913"/>
      <c r="GM913"/>
    </row>
    <row r="914" spans="1:195" s="7" customFormat="1">
      <c r="A914" s="4"/>
      <c r="B914" s="4"/>
      <c r="C914" s="4"/>
      <c r="D914" s="4"/>
      <c r="E914" s="4"/>
      <c r="F914" s="28"/>
      <c r="G914" s="28"/>
      <c r="H914" s="83"/>
      <c r="I914" s="4"/>
      <c r="J914" s="4"/>
      <c r="K914" s="4"/>
      <c r="L914" s="4"/>
      <c r="M914" s="4"/>
      <c r="N914" s="28"/>
      <c r="O914" s="4"/>
      <c r="P914" s="4"/>
      <c r="Q914" s="4"/>
      <c r="R914" s="4"/>
      <c r="S914" s="4"/>
      <c r="T914" s="4"/>
      <c r="U914" s="4"/>
      <c r="V914" s="4"/>
      <c r="W914" s="4"/>
      <c r="X914" s="4"/>
      <c r="Y914" s="4"/>
      <c r="Z914" s="4"/>
      <c r="AA914" s="4"/>
      <c r="AB914" s="4"/>
      <c r="AC914" s="4"/>
      <c r="AD914" s="4"/>
      <c r="AE914" s="4"/>
      <c r="AF914" s="81"/>
      <c r="AG914" s="81"/>
      <c r="AH914" s="81"/>
      <c r="AI914" s="4"/>
      <c r="AJ914" s="81"/>
      <c r="AK914" s="81"/>
      <c r="AL914" s="81"/>
      <c r="AM914" s="43">
        <v>898</v>
      </c>
      <c r="AN914">
        <v>227.28937857838423</v>
      </c>
      <c r="AO914">
        <v>67.425738754842428</v>
      </c>
      <c r="AP914">
        <v>510.78920305232879</v>
      </c>
      <c r="AQ914">
        <v>381.762564644392</v>
      </c>
      <c r="AR914">
        <v>62.386708747627402</v>
      </c>
      <c r="AS914">
        <v>569.77379212024528</v>
      </c>
      <c r="AT914">
        <v>34.792302434417167</v>
      </c>
      <c r="AU914">
        <v>47.329024182094535</v>
      </c>
      <c r="AV914"/>
      <c r="AW914"/>
      <c r="FY914" s="211">
        <v>909</v>
      </c>
      <c r="FZ914">
        <v>5.1584421450847202</v>
      </c>
      <c r="GA914">
        <v>30.045712553178294</v>
      </c>
      <c r="GB914">
        <v>67.226106432349894</v>
      </c>
      <c r="GC914">
        <v>38.031581813191352</v>
      </c>
      <c r="GD914">
        <v>17.28590458462655</v>
      </c>
      <c r="GE914">
        <v>33.859781116234096</v>
      </c>
      <c r="GF914">
        <v>65.993935595200583</v>
      </c>
      <c r="GG914">
        <v>67.92171633083332</v>
      </c>
      <c r="GH914">
        <v>35.472216288124002</v>
      </c>
      <c r="GI914">
        <v>48.026101083417103</v>
      </c>
      <c r="GJ914"/>
      <c r="GK914"/>
      <c r="GL914"/>
      <c r="GM914"/>
    </row>
    <row r="915" spans="1:195" s="7" customFormat="1">
      <c r="A915" s="4"/>
      <c r="B915" s="4"/>
      <c r="C915" s="4"/>
      <c r="D915" s="4"/>
      <c r="E915" s="4"/>
      <c r="F915" s="28"/>
      <c r="G915" s="28"/>
      <c r="H915" s="83"/>
      <c r="I915" s="4"/>
      <c r="J915" s="4"/>
      <c r="K915" s="4"/>
      <c r="L915" s="4"/>
      <c r="M915" s="4"/>
      <c r="N915" s="28"/>
      <c r="O915" s="4"/>
      <c r="P915" s="4"/>
      <c r="Q915" s="4"/>
      <c r="R915" s="4"/>
      <c r="S915" s="4"/>
      <c r="T915" s="4"/>
      <c r="U915" s="4"/>
      <c r="V915" s="4"/>
      <c r="W915" s="4"/>
      <c r="X915" s="4"/>
      <c r="Y915" s="4"/>
      <c r="Z915" s="4"/>
      <c r="AA915" s="4"/>
      <c r="AB915" s="4"/>
      <c r="AC915" s="4"/>
      <c r="AD915" s="4"/>
      <c r="AE915" s="4"/>
      <c r="AF915" s="81"/>
      <c r="AG915" s="81"/>
      <c r="AH915" s="81"/>
      <c r="AI915" s="4"/>
      <c r="AJ915" s="81"/>
      <c r="AK915" s="81"/>
      <c r="AL915" s="81"/>
      <c r="AM915" s="43">
        <v>899</v>
      </c>
      <c r="AN915">
        <v>222.75916595231587</v>
      </c>
      <c r="AO915">
        <v>81.169125414199726</v>
      </c>
      <c r="AP915">
        <v>620.60623411247821</v>
      </c>
      <c r="AQ915">
        <v>435.41037305936874</v>
      </c>
      <c r="AR915">
        <v>73.268922284385027</v>
      </c>
      <c r="AS915">
        <v>594.13963325901295</v>
      </c>
      <c r="AT915">
        <v>40.125163153790972</v>
      </c>
      <c r="AU915">
        <v>-41.79221968294501</v>
      </c>
      <c r="AV915"/>
      <c r="AW915"/>
      <c r="FY915" s="211">
        <v>910</v>
      </c>
      <c r="FZ915">
        <v>31.844578525854683</v>
      </c>
      <c r="GA915">
        <v>70.817472428385329</v>
      </c>
      <c r="GB915">
        <v>84.74563132286373</v>
      </c>
      <c r="GC915">
        <v>43.810658093558168</v>
      </c>
      <c r="GD915">
        <v>14.164998671238894</v>
      </c>
      <c r="GE915">
        <v>52.526610558295339</v>
      </c>
      <c r="GF915">
        <v>80.91044085123778</v>
      </c>
      <c r="GG915">
        <v>36.670877174353741</v>
      </c>
      <c r="GH915">
        <v>23.384125538657294</v>
      </c>
      <c r="GI915">
        <v>55.088293250345949</v>
      </c>
      <c r="GJ915"/>
      <c r="GK915"/>
      <c r="GL915"/>
      <c r="GM915"/>
    </row>
    <row r="916" spans="1:195" s="7" customFormat="1">
      <c r="A916" s="4"/>
      <c r="B916" s="4"/>
      <c r="C916" s="4"/>
      <c r="D916" s="4"/>
      <c r="E916" s="4"/>
      <c r="F916" s="28"/>
      <c r="G916" s="28"/>
      <c r="H916" s="83"/>
      <c r="I916" s="4"/>
      <c r="J916" s="4"/>
      <c r="K916" s="4"/>
      <c r="L916" s="4"/>
      <c r="M916" s="4"/>
      <c r="N916" s="28"/>
      <c r="O916" s="4"/>
      <c r="P916" s="4"/>
      <c r="Q916" s="4"/>
      <c r="R916" s="4"/>
      <c r="S916" s="4"/>
      <c r="T916" s="4"/>
      <c r="U916" s="4"/>
      <c r="V916" s="4"/>
      <c r="W916" s="4"/>
      <c r="X916" s="4"/>
      <c r="Y916" s="4"/>
      <c r="Z916" s="4"/>
      <c r="AA916" s="4"/>
      <c r="AB916" s="4"/>
      <c r="AC916" s="4"/>
      <c r="AD916" s="4"/>
      <c r="AE916" s="4"/>
      <c r="AF916" s="81"/>
      <c r="AG916" s="81"/>
      <c r="AH916" s="81"/>
      <c r="AI916" s="4"/>
      <c r="AJ916" s="81"/>
      <c r="AK916" s="81"/>
      <c r="AL916" s="81"/>
      <c r="AM916" s="43">
        <v>900</v>
      </c>
      <c r="AN916">
        <v>301.50973259232268</v>
      </c>
      <c r="AO916">
        <v>108.14534345828733</v>
      </c>
      <c r="AP916">
        <v>806.15244332695113</v>
      </c>
      <c r="AQ916">
        <v>602.04893288445237</v>
      </c>
      <c r="AR916">
        <v>97.213742037036027</v>
      </c>
      <c r="AS916">
        <v>778.5861656488571</v>
      </c>
      <c r="AT916">
        <v>52.791141670978078</v>
      </c>
      <c r="AU916">
        <v>102.0534914416114</v>
      </c>
      <c r="AV916"/>
      <c r="AW916"/>
      <c r="FY916" s="211">
        <v>911</v>
      </c>
      <c r="FZ916">
        <v>3.922155309420055</v>
      </c>
      <c r="GA916">
        <v>40.367708614490759</v>
      </c>
      <c r="GB916">
        <v>84.562174721560694</v>
      </c>
      <c r="GC916">
        <v>52.720618955128103</v>
      </c>
      <c r="GD916">
        <v>26.791128695893168</v>
      </c>
      <c r="GE916">
        <v>44.225031521867308</v>
      </c>
      <c r="GF916">
        <v>49.012402368222389</v>
      </c>
      <c r="GG916">
        <v>37.659536024676896</v>
      </c>
      <c r="GH916">
        <v>22.772357706028036</v>
      </c>
      <c r="GI916">
        <v>52.495269549488242</v>
      </c>
      <c r="GJ916"/>
      <c r="GK916"/>
      <c r="GL916"/>
      <c r="GM916"/>
    </row>
    <row r="917" spans="1:195" s="7" customFormat="1">
      <c r="A917" s="4"/>
      <c r="B917" s="4"/>
      <c r="C917" s="4"/>
      <c r="D917" s="4"/>
      <c r="E917" s="4"/>
      <c r="F917" s="28"/>
      <c r="G917" s="28"/>
      <c r="H917" s="83"/>
      <c r="I917" s="4"/>
      <c r="J917" s="4"/>
      <c r="K917" s="4"/>
      <c r="L917" s="4"/>
      <c r="M917" s="4"/>
      <c r="N917" s="28"/>
      <c r="O917" s="4"/>
      <c r="P917" s="4"/>
      <c r="Q917" s="4"/>
      <c r="R917" s="4"/>
      <c r="S917" s="4"/>
      <c r="T917" s="4"/>
      <c r="U917" s="4"/>
      <c r="V917" s="4"/>
      <c r="W917" s="4"/>
      <c r="X917" s="4"/>
      <c r="Y917" s="4"/>
      <c r="Z917" s="4"/>
      <c r="AA917" s="4"/>
      <c r="AB917" s="4"/>
      <c r="AC917" s="4"/>
      <c r="AD917" s="4"/>
      <c r="AE917" s="4"/>
      <c r="AF917" s="81"/>
      <c r="AG917" s="81"/>
      <c r="AH917" s="81"/>
      <c r="AI917" s="4"/>
      <c r="AJ917" s="81"/>
      <c r="AK917" s="81"/>
      <c r="AL917" s="81"/>
      <c r="AM917" s="43">
        <v>901</v>
      </c>
      <c r="AN917">
        <v>228.84476086733102</v>
      </c>
      <c r="AO917">
        <v>69.589291063577775</v>
      </c>
      <c r="AP917">
        <v>479.77656609357211</v>
      </c>
      <c r="AQ917">
        <v>373.48385925448082</v>
      </c>
      <c r="AR917">
        <v>63.254235145038848</v>
      </c>
      <c r="AS917">
        <v>558.34131992577602</v>
      </c>
      <c r="AT917">
        <v>35.157165537130275</v>
      </c>
      <c r="AU917">
        <v>63.04698124901148</v>
      </c>
      <c r="AV917"/>
      <c r="AW917"/>
      <c r="FY917" s="211">
        <v>912</v>
      </c>
      <c r="FZ917">
        <v>2.7763672909692674</v>
      </c>
      <c r="GA917">
        <v>26.734907327664867</v>
      </c>
      <c r="GB917">
        <v>65.258841212924523</v>
      </c>
      <c r="GC917">
        <v>45.960100059243857</v>
      </c>
      <c r="GD917">
        <v>18.785533844888214</v>
      </c>
      <c r="GE917">
        <v>41.195596127347343</v>
      </c>
      <c r="GF917">
        <v>67.868709425626093</v>
      </c>
      <c r="GG917">
        <v>37.264350070944687</v>
      </c>
      <c r="GH917">
        <v>27.238232504501351</v>
      </c>
      <c r="GI917">
        <v>47.111745990727698</v>
      </c>
      <c r="GJ917"/>
      <c r="GK917"/>
      <c r="GL917"/>
      <c r="GM917"/>
    </row>
    <row r="918" spans="1:195" s="7" customFormat="1">
      <c r="A918" s="4"/>
      <c r="B918" s="4"/>
      <c r="C918" s="4"/>
      <c r="D918" s="4"/>
      <c r="E918" s="4"/>
      <c r="F918" s="28"/>
      <c r="G918" s="28"/>
      <c r="H918" s="83"/>
      <c r="I918" s="4"/>
      <c r="J918" s="4"/>
      <c r="K918" s="4"/>
      <c r="L918" s="4"/>
      <c r="M918" s="4"/>
      <c r="N918" s="28"/>
      <c r="O918" s="4"/>
      <c r="P918" s="4"/>
      <c r="Q918" s="4"/>
      <c r="R918" s="4"/>
      <c r="S918" s="4"/>
      <c r="T918" s="4"/>
      <c r="U918" s="4"/>
      <c r="V918" s="4"/>
      <c r="W918" s="4"/>
      <c r="X918" s="4"/>
      <c r="Y918" s="4"/>
      <c r="Z918" s="4"/>
      <c r="AA918" s="4"/>
      <c r="AB918" s="4"/>
      <c r="AC918" s="4"/>
      <c r="AD918" s="4"/>
      <c r="AE918" s="4"/>
      <c r="AF918" s="81"/>
      <c r="AG918" s="81"/>
      <c r="AH918" s="81"/>
      <c r="AI918" s="4"/>
      <c r="AJ918" s="81"/>
      <c r="AK918" s="81"/>
      <c r="AL918" s="81"/>
      <c r="AM918" s="43">
        <v>902</v>
      </c>
      <c r="AN918">
        <v>227.72883728399393</v>
      </c>
      <c r="AO918">
        <v>75.477693081737968</v>
      </c>
      <c r="AP918">
        <v>561.0329558938804</v>
      </c>
      <c r="AQ918">
        <v>415.67977452387402</v>
      </c>
      <c r="AR918">
        <v>67.379102776330598</v>
      </c>
      <c r="AS918">
        <v>553.83805247898488</v>
      </c>
      <c r="AT918">
        <v>37.589760111523567</v>
      </c>
      <c r="AU918">
        <v>66.801171898160007</v>
      </c>
      <c r="AV918"/>
      <c r="AW918"/>
      <c r="FY918" s="211">
        <v>913</v>
      </c>
      <c r="FZ918">
        <v>11.269518252658655</v>
      </c>
      <c r="GA918">
        <v>48.419206170730348</v>
      </c>
      <c r="GB918">
        <v>74.693023849092938</v>
      </c>
      <c r="GC918">
        <v>39.61523236459405</v>
      </c>
      <c r="GD918">
        <v>16.92804074251109</v>
      </c>
      <c r="GE918">
        <v>41.906154531413151</v>
      </c>
      <c r="GF918">
        <v>94.450455284043457</v>
      </c>
      <c r="GG918">
        <v>58.51922380017875</v>
      </c>
      <c r="GH918">
        <v>5.6578073026563631</v>
      </c>
      <c r="GI918">
        <v>52.048283753864482</v>
      </c>
      <c r="GJ918"/>
      <c r="GK918"/>
      <c r="GL918"/>
      <c r="GM918"/>
    </row>
    <row r="919" spans="1:195" s="7" customFormat="1">
      <c r="A919" s="4"/>
      <c r="B919" s="4"/>
      <c r="C919" s="4"/>
      <c r="D919" s="4"/>
      <c r="E919" s="4"/>
      <c r="F919" s="28"/>
      <c r="G919" s="28"/>
      <c r="H919" s="83"/>
      <c r="I919" s="4"/>
      <c r="J919" s="4"/>
      <c r="K919" s="4"/>
      <c r="L919" s="4"/>
      <c r="M919" s="4"/>
      <c r="N919" s="28"/>
      <c r="O919" s="4"/>
      <c r="P919" s="4"/>
      <c r="Q919" s="4"/>
      <c r="R919" s="4"/>
      <c r="S919" s="4"/>
      <c r="T919" s="4"/>
      <c r="U919" s="4"/>
      <c r="V919" s="4"/>
      <c r="W919" s="4"/>
      <c r="X919" s="4"/>
      <c r="Y919" s="4"/>
      <c r="Z919" s="4"/>
      <c r="AA919" s="4"/>
      <c r="AB919" s="4"/>
      <c r="AC919" s="4"/>
      <c r="AD919" s="4"/>
      <c r="AE919" s="4"/>
      <c r="AF919" s="81"/>
      <c r="AG919" s="81"/>
      <c r="AH919" s="81"/>
      <c r="AI919" s="4"/>
      <c r="AJ919" s="81"/>
      <c r="AK919" s="81"/>
      <c r="AL919" s="81"/>
      <c r="AM919" s="43">
        <v>903</v>
      </c>
      <c r="AN919">
        <v>275.28212712940899</v>
      </c>
      <c r="AO919">
        <v>90.539948441378755</v>
      </c>
      <c r="AP919">
        <v>613.59624034004378</v>
      </c>
      <c r="AQ919">
        <v>452.17428697224989</v>
      </c>
      <c r="AR919">
        <v>80.957773668061577</v>
      </c>
      <c r="AS919">
        <v>646.45659028995635</v>
      </c>
      <c r="AT919">
        <v>42.243767353244515</v>
      </c>
      <c r="AU919">
        <v>67.426237807883822</v>
      </c>
      <c r="AV919"/>
      <c r="AW919"/>
      <c r="FY919" s="211">
        <v>914</v>
      </c>
      <c r="FZ919">
        <v>15.575007818498468</v>
      </c>
      <c r="GA919">
        <v>44.042228308522454</v>
      </c>
      <c r="GB919">
        <v>79.447473516716769</v>
      </c>
      <c r="GC919">
        <v>48.140217570784607</v>
      </c>
      <c r="GD919">
        <v>21.809674042280669</v>
      </c>
      <c r="GE919">
        <v>62.018003273605402</v>
      </c>
      <c r="GF919">
        <v>109.68994085407311</v>
      </c>
      <c r="GG919">
        <v>79.242902808885319</v>
      </c>
      <c r="GH919">
        <v>46.788194244461131</v>
      </c>
      <c r="GI919">
        <v>66.336739737944185</v>
      </c>
      <c r="GJ919"/>
      <c r="GK919"/>
      <c r="GL919"/>
      <c r="GM919"/>
    </row>
    <row r="920" spans="1:195" s="7" customFormat="1">
      <c r="A920" s="4"/>
      <c r="B920" s="4"/>
      <c r="C920" s="4"/>
      <c r="D920" s="4"/>
      <c r="E920" s="4"/>
      <c r="F920" s="28"/>
      <c r="G920" s="28"/>
      <c r="H920" s="83"/>
      <c r="I920" s="4"/>
      <c r="J920" s="4"/>
      <c r="K920" s="4"/>
      <c r="L920" s="4"/>
      <c r="M920" s="4"/>
      <c r="N920" s="28"/>
      <c r="O920" s="4"/>
      <c r="P920" s="4"/>
      <c r="Q920" s="4"/>
      <c r="R920" s="4"/>
      <c r="S920" s="4"/>
      <c r="T920" s="4"/>
      <c r="U920" s="4"/>
      <c r="V920" s="4"/>
      <c r="W920" s="4"/>
      <c r="X920" s="4"/>
      <c r="Y920" s="4"/>
      <c r="Z920" s="4"/>
      <c r="AA920" s="4"/>
      <c r="AB920" s="4"/>
      <c r="AC920" s="4"/>
      <c r="AD920" s="4"/>
      <c r="AE920" s="4"/>
      <c r="AF920" s="81"/>
      <c r="AG920" s="81"/>
      <c r="AH920" s="81"/>
      <c r="AI920" s="4"/>
      <c r="AJ920" s="81"/>
      <c r="AK920" s="81"/>
      <c r="AL920" s="81"/>
      <c r="AM920" s="43">
        <v>904</v>
      </c>
      <c r="AN920">
        <v>306.1314341950341</v>
      </c>
      <c r="AO920">
        <v>100.15270327291719</v>
      </c>
      <c r="AP920">
        <v>801.03080790402544</v>
      </c>
      <c r="AQ920">
        <v>552.67406167268666</v>
      </c>
      <c r="AR920">
        <v>89.32241554480332</v>
      </c>
      <c r="AS920">
        <v>744.14932303117223</v>
      </c>
      <c r="AT920">
        <v>47.358163409370206</v>
      </c>
      <c r="AU920">
        <v>102.47663423193681</v>
      </c>
      <c r="AV920"/>
      <c r="AW920"/>
      <c r="FY920" s="211">
        <v>915</v>
      </c>
      <c r="FZ920">
        <v>28.390596038064871</v>
      </c>
      <c r="GA920">
        <v>54.332998010494507</v>
      </c>
      <c r="GB920">
        <v>73.686946429932959</v>
      </c>
      <c r="GC920">
        <v>50.994208068082742</v>
      </c>
      <c r="GD920">
        <v>18.930960771981148</v>
      </c>
      <c r="GE920">
        <v>27.134765470611917</v>
      </c>
      <c r="GF920">
        <v>66.057677042502149</v>
      </c>
      <c r="GG920">
        <v>53.813508895781965</v>
      </c>
      <c r="GH920">
        <v>23.114295810390466</v>
      </c>
      <c r="GI920">
        <v>51.321225864175616</v>
      </c>
      <c r="GJ920"/>
      <c r="GK920"/>
      <c r="GL920"/>
      <c r="GM920"/>
    </row>
    <row r="921" spans="1:195" s="7" customFormat="1">
      <c r="A921" s="4"/>
      <c r="B921" s="4"/>
      <c r="C921" s="4"/>
      <c r="D921" s="4"/>
      <c r="E921" s="4"/>
      <c r="F921" s="28"/>
      <c r="G921" s="28"/>
      <c r="H921" s="83"/>
      <c r="I921" s="4"/>
      <c r="J921" s="4"/>
      <c r="K921" s="4"/>
      <c r="L921" s="4"/>
      <c r="M921" s="4"/>
      <c r="N921" s="28"/>
      <c r="O921" s="4"/>
      <c r="P921" s="4"/>
      <c r="Q921" s="4"/>
      <c r="R921" s="4"/>
      <c r="S921" s="4"/>
      <c r="T921" s="4"/>
      <c r="U921" s="4"/>
      <c r="V921" s="4"/>
      <c r="W921" s="4"/>
      <c r="X921" s="4"/>
      <c r="Y921" s="4"/>
      <c r="Z921" s="4"/>
      <c r="AA921" s="4"/>
      <c r="AB921" s="4"/>
      <c r="AC921" s="4"/>
      <c r="AD921" s="4"/>
      <c r="AE921" s="4"/>
      <c r="AF921" s="81"/>
      <c r="AG921" s="81"/>
      <c r="AH921" s="81"/>
      <c r="AI921" s="4"/>
      <c r="AJ921" s="81"/>
      <c r="AK921" s="81"/>
      <c r="AL921" s="81"/>
      <c r="AM921" s="43">
        <v>905</v>
      </c>
      <c r="AN921">
        <v>253.57408604431089</v>
      </c>
      <c r="AO921">
        <v>84.872974218643307</v>
      </c>
      <c r="AP921">
        <v>583.45236984143446</v>
      </c>
      <c r="AQ921">
        <v>441.83194145335011</v>
      </c>
      <c r="AR921">
        <v>77.046836172487588</v>
      </c>
      <c r="AS921">
        <v>655.82271845871026</v>
      </c>
      <c r="AT921">
        <v>45.400255927508276</v>
      </c>
      <c r="AU921">
        <v>69.18018304849393</v>
      </c>
      <c r="AV921"/>
      <c r="AW921"/>
      <c r="FY921" s="211">
        <v>916</v>
      </c>
      <c r="FZ921">
        <v>13.363602956138266</v>
      </c>
      <c r="GA921">
        <v>31.738098131302493</v>
      </c>
      <c r="GB921">
        <v>50.287380864720411</v>
      </c>
      <c r="GC921">
        <v>36.004861375081333</v>
      </c>
      <c r="GD921">
        <v>15.817359227599875</v>
      </c>
      <c r="GE921">
        <v>33.567521717652731</v>
      </c>
      <c r="GF921">
        <v>55.831184058271262</v>
      </c>
      <c r="GG921">
        <v>39.159653861290458</v>
      </c>
      <c r="GH921">
        <v>30.796023284723763</v>
      </c>
      <c r="GI921">
        <v>40.757711224529174</v>
      </c>
      <c r="GJ921"/>
      <c r="GK921"/>
      <c r="GL921"/>
      <c r="GM921"/>
    </row>
    <row r="922" spans="1:195" s="7" customFormat="1">
      <c r="A922" s="4"/>
      <c r="B922" s="4"/>
      <c r="C922" s="4"/>
      <c r="D922" s="4"/>
      <c r="E922" s="4"/>
      <c r="F922" s="28"/>
      <c r="G922" s="28"/>
      <c r="H922" s="83"/>
      <c r="I922" s="4"/>
      <c r="J922" s="4"/>
      <c r="K922" s="4"/>
      <c r="L922" s="4"/>
      <c r="M922" s="4"/>
      <c r="N922" s="28"/>
      <c r="O922" s="4"/>
      <c r="P922" s="4"/>
      <c r="Q922" s="4"/>
      <c r="R922" s="4"/>
      <c r="S922" s="4"/>
      <c r="T922" s="4"/>
      <c r="U922" s="4"/>
      <c r="V922" s="4"/>
      <c r="W922" s="4"/>
      <c r="X922" s="4"/>
      <c r="Y922" s="4"/>
      <c r="Z922" s="4"/>
      <c r="AA922" s="4"/>
      <c r="AB922" s="4"/>
      <c r="AC922" s="4"/>
      <c r="AD922" s="4"/>
      <c r="AE922" s="4"/>
      <c r="AF922" s="81"/>
      <c r="AG922" s="81"/>
      <c r="AH922" s="81"/>
      <c r="AI922" s="4"/>
      <c r="AJ922" s="81"/>
      <c r="AK922" s="81"/>
      <c r="AL922" s="81"/>
      <c r="AM922" s="43">
        <v>906</v>
      </c>
      <c r="AN922">
        <v>226.09925874733599</v>
      </c>
      <c r="AO922">
        <v>84.01538265434057</v>
      </c>
      <c r="AP922">
        <v>646.98068110587201</v>
      </c>
      <c r="AQ922">
        <v>469.21355802075971</v>
      </c>
      <c r="AR922">
        <v>76.514329885267756</v>
      </c>
      <c r="AS922">
        <v>617.63087042778989</v>
      </c>
      <c r="AT922">
        <v>44.051634178549989</v>
      </c>
      <c r="AU922">
        <v>117.77719531772921</v>
      </c>
      <c r="AV922"/>
      <c r="AW922"/>
      <c r="FY922" s="211">
        <v>917</v>
      </c>
      <c r="FZ922">
        <v>16.318094220116382</v>
      </c>
      <c r="GA922">
        <v>48.973119595046157</v>
      </c>
      <c r="GB922">
        <v>77.285477797185635</v>
      </c>
      <c r="GC922">
        <v>45.363703329431623</v>
      </c>
      <c r="GD922">
        <v>14.221284680370285</v>
      </c>
      <c r="GE922">
        <v>40.506353177233336</v>
      </c>
      <c r="GF922">
        <v>132.24079265006642</v>
      </c>
      <c r="GG922">
        <v>90.371784959938907</v>
      </c>
      <c r="GH922">
        <v>20.128877362429343</v>
      </c>
      <c r="GI922">
        <v>60.815514146472609</v>
      </c>
      <c r="GJ922"/>
      <c r="GK922"/>
      <c r="GL922"/>
      <c r="GM922"/>
    </row>
    <row r="923" spans="1:195" s="7" customFormat="1">
      <c r="A923" s="4"/>
      <c r="B923" s="4"/>
      <c r="C923" s="4"/>
      <c r="D923" s="4"/>
      <c r="E923" s="4"/>
      <c r="F923" s="28"/>
      <c r="G923" s="28"/>
      <c r="H923" s="83"/>
      <c r="I923" s="4"/>
      <c r="J923" s="4"/>
      <c r="K923" s="4"/>
      <c r="L923" s="4"/>
      <c r="M923" s="4"/>
      <c r="N923" s="28"/>
      <c r="O923" s="4"/>
      <c r="P923" s="4"/>
      <c r="Q923" s="4"/>
      <c r="R923" s="4"/>
      <c r="S923" s="4"/>
      <c r="T923" s="4"/>
      <c r="U923" s="4"/>
      <c r="V923" s="4"/>
      <c r="W923" s="4"/>
      <c r="X923" s="4"/>
      <c r="Y923" s="4"/>
      <c r="Z923" s="4"/>
      <c r="AA923" s="4"/>
      <c r="AB923" s="4"/>
      <c r="AC923" s="4"/>
      <c r="AD923" s="4"/>
      <c r="AE923" s="4"/>
      <c r="AF923" s="81"/>
      <c r="AG923" s="81"/>
      <c r="AH923" s="81"/>
      <c r="AI923" s="4"/>
      <c r="AJ923" s="81"/>
      <c r="AK923" s="81"/>
      <c r="AL923" s="81"/>
      <c r="AM923" s="43">
        <v>907</v>
      </c>
      <c r="AN923">
        <v>217.18214830510163</v>
      </c>
      <c r="AO923">
        <v>63.875293055710202</v>
      </c>
      <c r="AP923">
        <v>434.98005546257451</v>
      </c>
      <c r="AQ923">
        <v>337.23820089651832</v>
      </c>
      <c r="AR923">
        <v>56.733502288774041</v>
      </c>
      <c r="AS923">
        <v>530.62701056249068</v>
      </c>
      <c r="AT923">
        <v>32.482747708392047</v>
      </c>
      <c r="AU923">
        <v>82.368376822625123</v>
      </c>
      <c r="AV923"/>
      <c r="AW923"/>
      <c r="FY923" s="211">
        <v>918</v>
      </c>
      <c r="FZ923">
        <v>13.103094773445454</v>
      </c>
      <c r="GA923">
        <v>42.984426739082807</v>
      </c>
      <c r="GB923">
        <v>46.965003101826703</v>
      </c>
      <c r="GC923">
        <v>27.722979191244313</v>
      </c>
      <c r="GD923">
        <v>19.605089388070041</v>
      </c>
      <c r="GE923">
        <v>44.06844139453807</v>
      </c>
      <c r="GF923">
        <v>47.910494851875484</v>
      </c>
      <c r="GG923">
        <v>17.765152522965252</v>
      </c>
      <c r="GH923">
        <v>5.8141562933359507</v>
      </c>
      <c r="GI923">
        <v>36.128618037920013</v>
      </c>
      <c r="GJ923"/>
      <c r="GK923"/>
      <c r="GL923"/>
      <c r="GM923"/>
    </row>
    <row r="924" spans="1:195" s="7" customFormat="1">
      <c r="A924" s="4"/>
      <c r="B924" s="4"/>
      <c r="C924" s="4"/>
      <c r="D924" s="4"/>
      <c r="E924" s="4"/>
      <c r="F924" s="28"/>
      <c r="G924" s="28"/>
      <c r="H924" s="83"/>
      <c r="I924" s="4"/>
      <c r="J924" s="4"/>
      <c r="K924" s="4"/>
      <c r="L924" s="4"/>
      <c r="M924" s="4"/>
      <c r="N924" s="28"/>
      <c r="O924" s="4"/>
      <c r="P924" s="4"/>
      <c r="Q924" s="4"/>
      <c r="R924" s="4"/>
      <c r="S924" s="4"/>
      <c r="T924" s="4"/>
      <c r="U924" s="4"/>
      <c r="V924" s="4"/>
      <c r="W924" s="4"/>
      <c r="X924" s="4"/>
      <c r="Y924" s="4"/>
      <c r="Z924" s="4"/>
      <c r="AA924" s="4"/>
      <c r="AB924" s="4"/>
      <c r="AC924" s="4"/>
      <c r="AD924" s="4"/>
      <c r="AE924" s="4"/>
      <c r="AF924" s="81"/>
      <c r="AG924" s="81"/>
      <c r="AH924" s="81"/>
      <c r="AI924" s="4"/>
      <c r="AJ924" s="81"/>
      <c r="AK924" s="81"/>
      <c r="AL924" s="81"/>
      <c r="AM924" s="43">
        <v>908</v>
      </c>
      <c r="AN924">
        <v>224.25634075443577</v>
      </c>
      <c r="AO924">
        <v>61.494646878080104</v>
      </c>
      <c r="AP924">
        <v>472.08419649923167</v>
      </c>
      <c r="AQ924">
        <v>352.516702393054</v>
      </c>
      <c r="AR924">
        <v>56.488898262042873</v>
      </c>
      <c r="AS924">
        <v>486.18269217658059</v>
      </c>
      <c r="AT924" t="e">
        <v>#DIV/0!</v>
      </c>
      <c r="AU924" t="e">
        <v>#DIV/0!</v>
      </c>
      <c r="AV924"/>
      <c r="AW924"/>
      <c r="FY924" s="211">
        <v>919</v>
      </c>
      <c r="FZ924">
        <v>5.6682779404798067</v>
      </c>
      <c r="GA924">
        <v>34.706911206789883</v>
      </c>
      <c r="GB924">
        <v>69.898363865388689</v>
      </c>
      <c r="GC924">
        <v>42.586663946292902</v>
      </c>
      <c r="GD924">
        <v>20.009112056046998</v>
      </c>
      <c r="GE924">
        <v>44.259598856146091</v>
      </c>
      <c r="GF924">
        <v>62.643996277676166</v>
      </c>
      <c r="GG924">
        <v>54.560719905324426</v>
      </c>
      <c r="GH924">
        <v>43.570943611990231</v>
      </c>
      <c r="GI924">
        <v>50.640292702732623</v>
      </c>
      <c r="GJ924"/>
      <c r="GK924"/>
      <c r="GL924"/>
      <c r="GM924"/>
    </row>
    <row r="925" spans="1:195" s="7" customFormat="1">
      <c r="A925" s="4"/>
      <c r="B925" s="4"/>
      <c r="C925" s="4"/>
      <c r="D925" s="4"/>
      <c r="E925" s="4"/>
      <c r="F925" s="28"/>
      <c r="G925" s="28"/>
      <c r="H925" s="83"/>
      <c r="I925" s="4"/>
      <c r="J925" s="4"/>
      <c r="K925" s="4"/>
      <c r="L925" s="4"/>
      <c r="M925" s="4"/>
      <c r="N925" s="28"/>
      <c r="O925" s="4"/>
      <c r="P925" s="4"/>
      <c r="Q925" s="4"/>
      <c r="R925" s="4"/>
      <c r="S925" s="4"/>
      <c r="T925" s="4"/>
      <c r="U925" s="4"/>
      <c r="V925" s="4"/>
      <c r="W925" s="4"/>
      <c r="X925" s="4"/>
      <c r="Y925" s="4"/>
      <c r="Z925" s="4"/>
      <c r="AA925" s="4"/>
      <c r="AB925" s="4"/>
      <c r="AC925" s="4"/>
      <c r="AD925" s="4"/>
      <c r="AE925" s="4"/>
      <c r="AF925" s="81"/>
      <c r="AG925" s="81"/>
      <c r="AH925" s="81"/>
      <c r="AI925" s="4"/>
      <c r="AJ925" s="81"/>
      <c r="AK925" s="81"/>
      <c r="AL925" s="81"/>
      <c r="AM925" s="43">
        <v>909</v>
      </c>
      <c r="AN925">
        <v>192.72821778931211</v>
      </c>
      <c r="AO925">
        <v>76.166022661204792</v>
      </c>
      <c r="AP925">
        <v>558.88188106447978</v>
      </c>
      <c r="AQ925">
        <v>409.02149794223988</v>
      </c>
      <c r="AR925">
        <v>69.431748855396293</v>
      </c>
      <c r="AS925">
        <v>545.84202304580958</v>
      </c>
      <c r="AT925">
        <v>40.368973460206512</v>
      </c>
      <c r="AU925">
        <v>94.507785631369089</v>
      </c>
      <c r="AV925"/>
      <c r="AW925"/>
      <c r="FY925" s="211">
        <v>920</v>
      </c>
      <c r="FZ925">
        <v>20.273317901327324</v>
      </c>
      <c r="GA925">
        <v>58.583752136793962</v>
      </c>
      <c r="GB925">
        <v>103.55403212133751</v>
      </c>
      <c r="GC925">
        <v>59.110196423374191</v>
      </c>
      <c r="GD925">
        <v>15.581757350959119</v>
      </c>
      <c r="GE925">
        <v>48.830146653750539</v>
      </c>
      <c r="GF925">
        <v>105.57362580802763</v>
      </c>
      <c r="GG925">
        <v>55.837041605843936</v>
      </c>
      <c r="GH925">
        <v>22.598502038549107</v>
      </c>
      <c r="GI925">
        <v>64.732264472186955</v>
      </c>
      <c r="GJ925"/>
      <c r="GK925"/>
      <c r="GL925"/>
      <c r="GM925"/>
    </row>
    <row r="926" spans="1:195" s="7" customFormat="1">
      <c r="A926" s="4"/>
      <c r="B926" s="4"/>
      <c r="C926" s="4"/>
      <c r="D926" s="4"/>
      <c r="E926" s="4"/>
      <c r="F926" s="28"/>
      <c r="G926" s="28"/>
      <c r="H926" s="83"/>
      <c r="I926" s="4"/>
      <c r="J926" s="4"/>
      <c r="K926" s="4"/>
      <c r="L926" s="4"/>
      <c r="M926" s="4"/>
      <c r="N926" s="28"/>
      <c r="O926" s="4"/>
      <c r="P926" s="4"/>
      <c r="Q926" s="4"/>
      <c r="R926" s="4"/>
      <c r="S926" s="4"/>
      <c r="T926" s="4"/>
      <c r="U926" s="4"/>
      <c r="V926" s="4"/>
      <c r="W926" s="4"/>
      <c r="X926" s="4"/>
      <c r="Y926" s="4"/>
      <c r="Z926" s="4"/>
      <c r="AA926" s="4"/>
      <c r="AB926" s="4"/>
      <c r="AC926" s="4"/>
      <c r="AD926" s="4"/>
      <c r="AE926" s="4"/>
      <c r="AF926" s="81"/>
      <c r="AG926" s="81"/>
      <c r="AH926" s="81"/>
      <c r="AI926" s="4"/>
      <c r="AJ926" s="81"/>
      <c r="AK926" s="81"/>
      <c r="AL926" s="81"/>
      <c r="AM926" s="43">
        <v>910</v>
      </c>
      <c r="AN926">
        <v>265.20509072056143</v>
      </c>
      <c r="AO926">
        <v>87.340475801576019</v>
      </c>
      <c r="AP926">
        <v>665.38886381016528</v>
      </c>
      <c r="AQ926">
        <v>493.96368641479091</v>
      </c>
      <c r="AR926">
        <v>77.283252157108961</v>
      </c>
      <c r="AS926">
        <v>624.85845835105943</v>
      </c>
      <c r="AT926">
        <v>41.573203488669812</v>
      </c>
      <c r="AU926">
        <v>77.823204279036332</v>
      </c>
      <c r="AV926"/>
      <c r="AW926"/>
      <c r="FY926" s="211">
        <v>921</v>
      </c>
      <c r="FZ926">
        <v>7.8196956362423524</v>
      </c>
      <c r="GA926">
        <v>48.178171579314515</v>
      </c>
      <c r="GB926">
        <v>55.490882165292426</v>
      </c>
      <c r="GC926">
        <v>28.46625728516824</v>
      </c>
      <c r="GD926">
        <v>14.630888935519698</v>
      </c>
      <c r="GE926">
        <v>37.187468944021617</v>
      </c>
      <c r="GF926">
        <v>67.776505080651503</v>
      </c>
      <c r="GG926">
        <v>36.172070839448139</v>
      </c>
      <c r="GH926">
        <v>9.8962052478440565</v>
      </c>
      <c r="GI926">
        <v>39.769234550886836</v>
      </c>
      <c r="GJ926"/>
      <c r="GK926"/>
      <c r="GL926"/>
      <c r="GM926"/>
    </row>
    <row r="927" spans="1:195" s="7" customFormat="1">
      <c r="A927" s="4"/>
      <c r="B927" s="4"/>
      <c r="C927" s="4"/>
      <c r="D927" s="4"/>
      <c r="E927" s="4"/>
      <c r="F927" s="28"/>
      <c r="G927" s="28"/>
      <c r="H927" s="83"/>
      <c r="I927" s="4"/>
      <c r="J927" s="4"/>
      <c r="K927" s="4"/>
      <c r="L927" s="4"/>
      <c r="M927" s="4"/>
      <c r="N927" s="28"/>
      <c r="O927" s="4"/>
      <c r="P927" s="4"/>
      <c r="Q927" s="4"/>
      <c r="R927" s="4"/>
      <c r="S927" s="4"/>
      <c r="T927" s="4"/>
      <c r="U927" s="4"/>
      <c r="V927" s="4"/>
      <c r="W927" s="4"/>
      <c r="X927" s="4"/>
      <c r="Y927" s="4"/>
      <c r="Z927" s="4"/>
      <c r="AA927" s="4"/>
      <c r="AB927" s="4"/>
      <c r="AC927" s="4"/>
      <c r="AD927" s="4"/>
      <c r="AE927" s="4"/>
      <c r="AF927" s="81"/>
      <c r="AG927" s="81"/>
      <c r="AH927" s="81"/>
      <c r="AI927" s="4"/>
      <c r="AJ927" s="81"/>
      <c r="AK927" s="81"/>
      <c r="AL927" s="81"/>
      <c r="AM927" s="43">
        <v>911</v>
      </c>
      <c r="AN927">
        <v>245.35796669130067</v>
      </c>
      <c r="AO927">
        <v>82.128670871224443</v>
      </c>
      <c r="AP927">
        <v>530.66264338170197</v>
      </c>
      <c r="AQ927">
        <v>414.52838346677567</v>
      </c>
      <c r="AR927">
        <v>74.728935602997637</v>
      </c>
      <c r="AS927">
        <v>613.02479055027493</v>
      </c>
      <c r="AT927">
        <v>42.04769543354233</v>
      </c>
      <c r="AU927">
        <v>112.16097074631784</v>
      </c>
      <c r="AV927"/>
      <c r="AW927"/>
      <c r="FY927" s="211">
        <v>922</v>
      </c>
      <c r="FZ927">
        <v>11.609704499211812</v>
      </c>
      <c r="GA927">
        <v>35.541634637043671</v>
      </c>
      <c r="GB927">
        <v>62.084563998315289</v>
      </c>
      <c r="GC927">
        <v>35.757726037649888</v>
      </c>
      <c r="GD927">
        <v>17.691898946486681</v>
      </c>
      <c r="GE927">
        <v>35.755673760363479</v>
      </c>
      <c r="GF927">
        <v>93.999388851602333</v>
      </c>
      <c r="GG927">
        <v>71.731902868077583</v>
      </c>
      <c r="GH927">
        <v>5.8246903506758478</v>
      </c>
      <c r="GI927">
        <v>49.425136247137928</v>
      </c>
      <c r="GJ927"/>
      <c r="GK927"/>
      <c r="GL927"/>
      <c r="GM927"/>
    </row>
    <row r="928" spans="1:195" s="7" customFormat="1">
      <c r="A928" s="4"/>
      <c r="B928" s="4"/>
      <c r="C928" s="4"/>
      <c r="D928" s="4"/>
      <c r="E928" s="4"/>
      <c r="F928" s="28"/>
      <c r="G928" s="28"/>
      <c r="H928" s="83"/>
      <c r="I928" s="4"/>
      <c r="J928" s="4"/>
      <c r="K928" s="4"/>
      <c r="L928" s="4"/>
      <c r="M928" s="4"/>
      <c r="N928" s="28"/>
      <c r="O928" s="4"/>
      <c r="P928" s="4"/>
      <c r="Q928" s="4"/>
      <c r="R928" s="4"/>
      <c r="S928" s="4"/>
      <c r="T928" s="4"/>
      <c r="U928" s="4"/>
      <c r="V928" s="4"/>
      <c r="W928" s="4"/>
      <c r="X928" s="4"/>
      <c r="Y928" s="4"/>
      <c r="Z928" s="4"/>
      <c r="AA928" s="4"/>
      <c r="AB928" s="4"/>
      <c r="AC928" s="4"/>
      <c r="AD928" s="4"/>
      <c r="AE928" s="4"/>
      <c r="AF928" s="81"/>
      <c r="AG928" s="81"/>
      <c r="AH928" s="81"/>
      <c r="AI928" s="4"/>
      <c r="AJ928" s="81"/>
      <c r="AK928" s="81"/>
      <c r="AL928" s="81"/>
      <c r="AM928" s="43">
        <v>912</v>
      </c>
      <c r="AN928">
        <v>187.70196198807315</v>
      </c>
      <c r="AO928">
        <v>74.222647134862825</v>
      </c>
      <c r="AP928">
        <v>503.05321150146585</v>
      </c>
      <c r="AQ928">
        <v>380.19438385483795</v>
      </c>
      <c r="AR928">
        <v>65.75655875325819</v>
      </c>
      <c r="AS928">
        <v>530.76211966274934</v>
      </c>
      <c r="AT928">
        <v>37.718524999578953</v>
      </c>
      <c r="AU928">
        <v>65.267845762293092</v>
      </c>
      <c r="AV928"/>
      <c r="AW928"/>
      <c r="FY928" s="211">
        <v>923</v>
      </c>
      <c r="FZ928">
        <v>17.35659423181415</v>
      </c>
      <c r="GA928">
        <v>46.602572146623828</v>
      </c>
      <c r="GB928">
        <v>70.680656125046255</v>
      </c>
      <c r="GC928">
        <v>45.379961695948005</v>
      </c>
      <c r="GD928">
        <v>22.803969282506195</v>
      </c>
      <c r="GE928">
        <v>58.969450256180444</v>
      </c>
      <c r="GF928">
        <v>74.753165373195372</v>
      </c>
      <c r="GG928">
        <v>26.721097204352972</v>
      </c>
      <c r="GH928">
        <v>15.618361158704804</v>
      </c>
      <c r="GI928">
        <v>52.125805250988691</v>
      </c>
      <c r="GJ928"/>
      <c r="GK928"/>
      <c r="GL928"/>
      <c r="GM928"/>
    </row>
    <row r="929" spans="1:195" s="7" customFormat="1">
      <c r="A929" s="4"/>
      <c r="B929" s="4"/>
      <c r="C929" s="4"/>
      <c r="D929" s="4"/>
      <c r="E929" s="4"/>
      <c r="F929" s="28"/>
      <c r="G929" s="28"/>
      <c r="H929" s="83"/>
      <c r="I929" s="4"/>
      <c r="J929" s="4"/>
      <c r="K929" s="4"/>
      <c r="L929" s="4"/>
      <c r="M929" s="4"/>
      <c r="N929" s="28"/>
      <c r="O929" s="4"/>
      <c r="P929" s="4"/>
      <c r="Q929" s="4"/>
      <c r="R929" s="4"/>
      <c r="S929" s="4"/>
      <c r="T929" s="4"/>
      <c r="U929" s="4"/>
      <c r="V929" s="4"/>
      <c r="W929" s="4"/>
      <c r="X929" s="4"/>
      <c r="Y929" s="4"/>
      <c r="Z929" s="4"/>
      <c r="AA929" s="4"/>
      <c r="AB929" s="4"/>
      <c r="AC929" s="4"/>
      <c r="AD929" s="4"/>
      <c r="AE929" s="4"/>
      <c r="AF929" s="81"/>
      <c r="AG929" s="81"/>
      <c r="AH929" s="81"/>
      <c r="AI929" s="4"/>
      <c r="AJ929" s="81"/>
      <c r="AK929" s="81"/>
      <c r="AL929" s="81"/>
      <c r="AM929" s="43">
        <v>913</v>
      </c>
      <c r="AN929">
        <v>230.65709388763653</v>
      </c>
      <c r="AO929">
        <v>83.538058942569549</v>
      </c>
      <c r="AP929">
        <v>627.35803362071897</v>
      </c>
      <c r="AQ929">
        <v>443.50694605174328</v>
      </c>
      <c r="AR929">
        <v>75.299638100169233</v>
      </c>
      <c r="AS929">
        <v>643.38559852457536</v>
      </c>
      <c r="AT929">
        <v>40.265629771592039</v>
      </c>
      <c r="AU929">
        <v>68.492691651606251</v>
      </c>
      <c r="AV929"/>
      <c r="AW929"/>
      <c r="FY929" s="211">
        <v>924</v>
      </c>
      <c r="FZ929">
        <v>29.874312322349752</v>
      </c>
      <c r="GA929">
        <v>66.447704773617801</v>
      </c>
      <c r="GB929">
        <v>77.081542015613437</v>
      </c>
      <c r="GC929">
        <v>42.412999645974388</v>
      </c>
      <c r="GD929">
        <v>18.544715292235761</v>
      </c>
      <c r="GE929">
        <v>47.978717442801162</v>
      </c>
      <c r="GF929">
        <v>75.422629366718198</v>
      </c>
      <c r="GG929">
        <v>52.466238987632401</v>
      </c>
      <c r="GH929">
        <v>30.352799018818089</v>
      </c>
      <c r="GI929">
        <v>55.930164142978022</v>
      </c>
      <c r="GJ929"/>
      <c r="GK929"/>
      <c r="GL929"/>
      <c r="GM929"/>
    </row>
    <row r="930" spans="1:195" s="7" customFormat="1">
      <c r="A930" s="4"/>
      <c r="B930" s="4"/>
      <c r="C930" s="4"/>
      <c r="D930" s="4"/>
      <c r="E930" s="4"/>
      <c r="F930" s="28"/>
      <c r="G930" s="28"/>
      <c r="H930" s="83"/>
      <c r="I930" s="4"/>
      <c r="J930" s="4"/>
      <c r="K930" s="4"/>
      <c r="L930" s="4"/>
      <c r="M930" s="4"/>
      <c r="N930" s="28"/>
      <c r="O930" s="4"/>
      <c r="P930" s="4"/>
      <c r="Q930" s="4"/>
      <c r="R930" s="4"/>
      <c r="S930" s="4"/>
      <c r="T930" s="4"/>
      <c r="U930" s="4"/>
      <c r="V930" s="4"/>
      <c r="W930" s="4"/>
      <c r="X930" s="4"/>
      <c r="Y930" s="4"/>
      <c r="Z930" s="4"/>
      <c r="AA930" s="4"/>
      <c r="AB930" s="4"/>
      <c r="AC930" s="4"/>
      <c r="AD930" s="4"/>
      <c r="AE930" s="4"/>
      <c r="AF930" s="81"/>
      <c r="AG930" s="81"/>
      <c r="AH930" s="81"/>
      <c r="AI930" s="4"/>
      <c r="AJ930" s="81"/>
      <c r="AK930" s="81"/>
      <c r="AL930" s="81"/>
      <c r="AM930" s="43">
        <v>914</v>
      </c>
      <c r="AN930">
        <v>294.51788683691763</v>
      </c>
      <c r="AO930">
        <v>105.66948975448777</v>
      </c>
      <c r="AP930">
        <v>779.41183133214122</v>
      </c>
      <c r="AQ930">
        <v>573.09038217577211</v>
      </c>
      <c r="AR930">
        <v>94.213619652452437</v>
      </c>
      <c r="AS930">
        <v>750.25245403414431</v>
      </c>
      <c r="AT930">
        <v>52.473218440911715</v>
      </c>
      <c r="AU930">
        <v>146.54409513000437</v>
      </c>
      <c r="AV930"/>
      <c r="AW930"/>
      <c r="FY930" s="211">
        <v>925</v>
      </c>
      <c r="FZ930">
        <v>10.503818213889025</v>
      </c>
      <c r="GA930">
        <v>57.327523714046251</v>
      </c>
      <c r="GB930">
        <v>69.012160730999511</v>
      </c>
      <c r="GC930">
        <v>33.156858176813969</v>
      </c>
      <c r="GD930">
        <v>22.189540406775496</v>
      </c>
      <c r="GE930">
        <v>57.734982458164254</v>
      </c>
      <c r="GF930">
        <v>83.21507597009392</v>
      </c>
      <c r="GG930">
        <v>67.376586407718492</v>
      </c>
      <c r="GH930">
        <v>40.884189737424208</v>
      </c>
      <c r="GI930">
        <v>56.746122531536415</v>
      </c>
      <c r="GJ930"/>
      <c r="GK930"/>
      <c r="GL930"/>
      <c r="GM930"/>
    </row>
    <row r="931" spans="1:195" s="7" customFormat="1">
      <c r="A931" s="4"/>
      <c r="B931" s="4"/>
      <c r="C931" s="4"/>
      <c r="D931" s="4"/>
      <c r="E931" s="4"/>
      <c r="F931" s="28"/>
      <c r="G931" s="28"/>
      <c r="H931" s="83"/>
      <c r="I931" s="4"/>
      <c r="J931" s="4"/>
      <c r="K931" s="4"/>
      <c r="L931" s="4"/>
      <c r="M931" s="4"/>
      <c r="N931" s="28"/>
      <c r="O931" s="4"/>
      <c r="P931" s="4"/>
      <c r="Q931" s="4"/>
      <c r="R931" s="4"/>
      <c r="S931" s="4"/>
      <c r="T931" s="4"/>
      <c r="U931" s="4"/>
      <c r="V931" s="4"/>
      <c r="W931" s="4"/>
      <c r="X931" s="4"/>
      <c r="Y931" s="4"/>
      <c r="Z931" s="4"/>
      <c r="AA931" s="4"/>
      <c r="AB931" s="4"/>
      <c r="AC931" s="4"/>
      <c r="AD931" s="4"/>
      <c r="AE931" s="4"/>
      <c r="AF931" s="81"/>
      <c r="AG931" s="81"/>
      <c r="AH931" s="81"/>
      <c r="AI931" s="4"/>
      <c r="AJ931" s="81"/>
      <c r="AK931" s="81"/>
      <c r="AL931" s="81"/>
      <c r="AM931" s="43">
        <v>915</v>
      </c>
      <c r="AN931">
        <v>247.27124721282567</v>
      </c>
      <c r="AO931">
        <v>81.003310414890365</v>
      </c>
      <c r="AP931">
        <v>595.63724759720844</v>
      </c>
      <c r="AQ931">
        <v>447.77718240201835</v>
      </c>
      <c r="AR931">
        <v>73.822036959874382</v>
      </c>
      <c r="AS931">
        <v>600.38160469393199</v>
      </c>
      <c r="AT931">
        <v>39.273088295512885</v>
      </c>
      <c r="AU931">
        <v>61.557083020279826</v>
      </c>
      <c r="AV931"/>
      <c r="AW931"/>
      <c r="FY931" s="211">
        <v>926</v>
      </c>
      <c r="FZ931">
        <v>17.718126903658991</v>
      </c>
      <c r="GA931">
        <v>46.978333252484241</v>
      </c>
      <c r="GB931">
        <v>73.679465028206224</v>
      </c>
      <c r="GC931">
        <v>46.052016698727058</v>
      </c>
      <c r="GD931">
        <v>18.327729483778473</v>
      </c>
      <c r="GE931">
        <v>40.786323457010269</v>
      </c>
      <c r="GF931">
        <v>69.729377968805011</v>
      </c>
      <c r="GG931">
        <v>35.845989275736386</v>
      </c>
      <c r="GH931">
        <v>13.554892541538933</v>
      </c>
      <c r="GI931">
        <v>48.571128103678006</v>
      </c>
      <c r="GJ931"/>
      <c r="GK931"/>
      <c r="GL931"/>
      <c r="GM931"/>
    </row>
    <row r="932" spans="1:195" s="7" customFormat="1">
      <c r="A932" s="4"/>
      <c r="B932" s="4"/>
      <c r="C932" s="4"/>
      <c r="D932" s="4"/>
      <c r="E932" s="4"/>
      <c r="F932" s="28"/>
      <c r="G932" s="28"/>
      <c r="H932" s="83"/>
      <c r="I932" s="4"/>
      <c r="J932" s="4"/>
      <c r="K932" s="4"/>
      <c r="L932" s="4"/>
      <c r="M932" s="4"/>
      <c r="N932" s="28"/>
      <c r="O932" s="4"/>
      <c r="P932" s="4"/>
      <c r="Q932" s="4"/>
      <c r="R932" s="4"/>
      <c r="S932" s="4"/>
      <c r="T932" s="4"/>
      <c r="U932" s="4"/>
      <c r="V932" s="4"/>
      <c r="W932" s="4"/>
      <c r="X932" s="4"/>
      <c r="Y932" s="4"/>
      <c r="Z932" s="4"/>
      <c r="AA932" s="4"/>
      <c r="AB932" s="4"/>
      <c r="AC932" s="4"/>
      <c r="AD932" s="4"/>
      <c r="AE932" s="4"/>
      <c r="AF932" s="81"/>
      <c r="AG932" s="81"/>
      <c r="AH932" s="81"/>
      <c r="AI932" s="4"/>
      <c r="AJ932" s="81"/>
      <c r="AK932" s="81"/>
      <c r="AL932" s="81"/>
      <c r="AM932" s="43">
        <v>916</v>
      </c>
      <c r="AN932">
        <v>209.69076665231879</v>
      </c>
      <c r="AO932">
        <v>64.103609308403264</v>
      </c>
      <c r="AP932">
        <v>455.10654148062724</v>
      </c>
      <c r="AQ932">
        <v>347.32339670130978</v>
      </c>
      <c r="AR932">
        <v>57.286171501961149</v>
      </c>
      <c r="AS932">
        <v>512.09830767788628</v>
      </c>
      <c r="AT932">
        <v>30.90722018369874</v>
      </c>
      <c r="AU932">
        <v>32.478097973780251</v>
      </c>
      <c r="AV932"/>
      <c r="AW932"/>
      <c r="FY932" s="211">
        <v>927</v>
      </c>
      <c r="FZ932">
        <v>17.479171055615666</v>
      </c>
      <c r="GA932">
        <v>52.531517860261104</v>
      </c>
      <c r="GB932">
        <v>72.386167798428829</v>
      </c>
      <c r="GC932">
        <v>43.368538248402444</v>
      </c>
      <c r="GD932">
        <v>22.324083643079366</v>
      </c>
      <c r="GE932">
        <v>59.610503288335764</v>
      </c>
      <c r="GF932">
        <v>86.603466418831658</v>
      </c>
      <c r="GG932">
        <v>35.590735346237842</v>
      </c>
      <c r="GH932">
        <v>12.221829193205629</v>
      </c>
      <c r="GI932">
        <v>54.628311810164533</v>
      </c>
      <c r="GJ932"/>
      <c r="GK932"/>
      <c r="GL932"/>
      <c r="GM932"/>
    </row>
    <row r="933" spans="1:195" s="7" customFormat="1">
      <c r="A933" s="4"/>
      <c r="B933" s="4"/>
      <c r="C933" s="4"/>
      <c r="D933" s="4"/>
      <c r="E933" s="4"/>
      <c r="F933" s="28"/>
      <c r="G933" s="28"/>
      <c r="H933" s="83"/>
      <c r="I933" s="4"/>
      <c r="J933" s="4"/>
      <c r="K933" s="4"/>
      <c r="L933" s="4"/>
      <c r="M933" s="4"/>
      <c r="N933" s="28"/>
      <c r="O933" s="4"/>
      <c r="P933" s="4"/>
      <c r="Q933" s="4"/>
      <c r="R933" s="4"/>
      <c r="S933" s="4"/>
      <c r="T933" s="4"/>
      <c r="U933" s="4"/>
      <c r="V933" s="4"/>
      <c r="W933" s="4"/>
      <c r="X933" s="4"/>
      <c r="Y933" s="4"/>
      <c r="Z933" s="4"/>
      <c r="AA933" s="4"/>
      <c r="AB933" s="4"/>
      <c r="AC933" s="4"/>
      <c r="AD933" s="4"/>
      <c r="AE933" s="4"/>
      <c r="AF933" s="81"/>
      <c r="AG933" s="81"/>
      <c r="AH933" s="81"/>
      <c r="AI933" s="4"/>
      <c r="AJ933" s="81"/>
      <c r="AK933" s="81"/>
      <c r="AL933" s="81"/>
      <c r="AM933" s="43">
        <v>917</v>
      </c>
      <c r="AN933">
        <v>284.5289836853766</v>
      </c>
      <c r="AO933">
        <v>97.151941535642806</v>
      </c>
      <c r="AP933">
        <v>773.9556803142068</v>
      </c>
      <c r="AQ933">
        <v>546.22500191829067</v>
      </c>
      <c r="AR933">
        <v>87.448213560693631</v>
      </c>
      <c r="AS933">
        <v>730.77113484597862</v>
      </c>
      <c r="AT933">
        <v>46.985708119818305</v>
      </c>
      <c r="AU933">
        <v>108.56003214584337</v>
      </c>
      <c r="AV933"/>
      <c r="AW933"/>
      <c r="FY933" s="211">
        <v>928</v>
      </c>
      <c r="FZ933">
        <v>24.542465993381516</v>
      </c>
      <c r="GA933">
        <v>68.266140869491608</v>
      </c>
      <c r="GB933">
        <v>68.379857755611951</v>
      </c>
      <c r="GC933">
        <v>39.419832704115635</v>
      </c>
      <c r="GD933">
        <v>20.544212119983769</v>
      </c>
      <c r="GE933">
        <v>44.992328171737846</v>
      </c>
      <c r="GF933">
        <v>100.30819219940244</v>
      </c>
      <c r="GG933">
        <v>84.623765032214877</v>
      </c>
      <c r="GH933">
        <v>39.483505933739586</v>
      </c>
      <c r="GI933">
        <v>60.66147918580706</v>
      </c>
      <c r="GJ933"/>
      <c r="GK933"/>
      <c r="GL933"/>
      <c r="GM933"/>
    </row>
    <row r="934" spans="1:195" s="7" customFormat="1">
      <c r="A934" s="4"/>
      <c r="B934" s="4"/>
      <c r="C934" s="4"/>
      <c r="D934" s="4"/>
      <c r="E934" s="4"/>
      <c r="F934" s="28"/>
      <c r="G934" s="28"/>
      <c r="H934" s="83"/>
      <c r="I934" s="4"/>
      <c r="J934" s="4"/>
      <c r="K934" s="4"/>
      <c r="L934" s="4"/>
      <c r="M934" s="4"/>
      <c r="N934" s="28"/>
      <c r="O934" s="4"/>
      <c r="P934" s="4"/>
      <c r="Q934" s="4"/>
      <c r="R934" s="4"/>
      <c r="S934" s="4"/>
      <c r="T934" s="4"/>
      <c r="U934" s="4"/>
      <c r="V934" s="4"/>
      <c r="W934" s="4"/>
      <c r="X934" s="4"/>
      <c r="Y934" s="4"/>
      <c r="Z934" s="4"/>
      <c r="AA934" s="4"/>
      <c r="AB934" s="4"/>
      <c r="AC934" s="4"/>
      <c r="AD934" s="4"/>
      <c r="AE934" s="4"/>
      <c r="AF934" s="81"/>
      <c r="AG934" s="81"/>
      <c r="AH934" s="81"/>
      <c r="AI934" s="4"/>
      <c r="AJ934" s="81"/>
      <c r="AK934" s="81"/>
      <c r="AL934" s="81"/>
      <c r="AM934" s="43">
        <v>918</v>
      </c>
      <c r="AN934">
        <v>203.25946966908268</v>
      </c>
      <c r="AO934">
        <v>55.9503421670438</v>
      </c>
      <c r="AP934">
        <v>367.07785272799299</v>
      </c>
      <c r="AQ934">
        <v>302.06745629430412</v>
      </c>
      <c r="AR934">
        <v>50.21250780235863</v>
      </c>
      <c r="AS934">
        <v>448.69004961993551</v>
      </c>
      <c r="AT934">
        <v>27.066768102318964</v>
      </c>
      <c r="AU934">
        <v>30.521923253892151</v>
      </c>
      <c r="AV934"/>
      <c r="AW934"/>
      <c r="FY934" s="211">
        <v>929</v>
      </c>
      <c r="FZ934">
        <v>16.236022812309244</v>
      </c>
      <c r="GA934">
        <v>45.26219366753233</v>
      </c>
      <c r="GB934">
        <v>50.481261870127327</v>
      </c>
      <c r="GC934">
        <v>34.500245294850146</v>
      </c>
      <c r="GD934">
        <v>17.947092037592341</v>
      </c>
      <c r="GE934">
        <v>15.919408781072185</v>
      </c>
      <c r="GF934">
        <v>38.072025971495798</v>
      </c>
      <c r="GG934">
        <v>63.420369228100796</v>
      </c>
      <c r="GH934">
        <v>44.310144961645278</v>
      </c>
      <c r="GI934">
        <v>40.942552244458319</v>
      </c>
      <c r="GJ934"/>
      <c r="GK934"/>
      <c r="GL934"/>
      <c r="GM934"/>
    </row>
    <row r="935" spans="1:195" s="7" customFormat="1">
      <c r="A935" s="4"/>
      <c r="B935" s="4"/>
      <c r="C935" s="4"/>
      <c r="D935" s="4"/>
      <c r="E935" s="4"/>
      <c r="F935" s="28"/>
      <c r="G935" s="28"/>
      <c r="H935" s="83"/>
      <c r="I935" s="4"/>
      <c r="J935" s="4"/>
      <c r="K935" s="4"/>
      <c r="L935" s="4"/>
      <c r="M935" s="4"/>
      <c r="N935" s="28"/>
      <c r="O935" s="4"/>
      <c r="P935" s="4"/>
      <c r="Q935" s="4"/>
      <c r="R935" s="4"/>
      <c r="S935" s="4"/>
      <c r="T935" s="4"/>
      <c r="U935" s="4"/>
      <c r="V935" s="4"/>
      <c r="W935" s="4"/>
      <c r="X935" s="4"/>
      <c r="Y935" s="4"/>
      <c r="Z935" s="4"/>
      <c r="AA935" s="4"/>
      <c r="AB935" s="4"/>
      <c r="AC935" s="4"/>
      <c r="AD935" s="4"/>
      <c r="AE935" s="4"/>
      <c r="AF935" s="81"/>
      <c r="AG935" s="81"/>
      <c r="AH935" s="81"/>
      <c r="AI935" s="4"/>
      <c r="AJ935" s="81"/>
      <c r="AK935" s="81"/>
      <c r="AL935" s="81"/>
      <c r="AM935" s="43">
        <v>919</v>
      </c>
      <c r="AN935">
        <v>250.81296458169194</v>
      </c>
      <c r="AO935">
        <v>79.344438546134683</v>
      </c>
      <c r="AP935">
        <v>558.99346293802364</v>
      </c>
      <c r="AQ935">
        <v>428.54488036886778</v>
      </c>
      <c r="AR935">
        <v>71.31366942434606</v>
      </c>
      <c r="AS935">
        <v>617.05678190326296</v>
      </c>
      <c r="AT935">
        <v>40.615786014205376</v>
      </c>
      <c r="AU935">
        <v>105.88695535357567</v>
      </c>
      <c r="AV935"/>
      <c r="AW935"/>
      <c r="FY935" s="211">
        <v>930</v>
      </c>
      <c r="FZ935">
        <v>15.403425477701976</v>
      </c>
      <c r="GA935">
        <v>40.110240319920834</v>
      </c>
      <c r="GB935">
        <v>48.21829425372151</v>
      </c>
      <c r="GC935">
        <v>29.480602293592082</v>
      </c>
      <c r="GD935">
        <v>14.477782471487178</v>
      </c>
      <c r="GE935">
        <v>45.511729271450008</v>
      </c>
      <c r="GF935">
        <v>91.267699440933839</v>
      </c>
      <c r="GG935">
        <v>40.16212640006696</v>
      </c>
      <c r="GH935">
        <v>4.5772655735374448</v>
      </c>
      <c r="GI935">
        <v>42.829900496690605</v>
      </c>
      <c r="GJ935"/>
      <c r="GK935"/>
      <c r="GL935"/>
      <c r="GM935"/>
    </row>
    <row r="936" spans="1:195" s="7" customFormat="1">
      <c r="A936" s="4"/>
      <c r="B936" s="4"/>
      <c r="C936" s="4"/>
      <c r="D936" s="4"/>
      <c r="E936" s="4"/>
      <c r="F936" s="28"/>
      <c r="G936" s="28"/>
      <c r="H936" s="83"/>
      <c r="I936" s="4"/>
      <c r="J936" s="4"/>
      <c r="K936" s="4"/>
      <c r="L936" s="4"/>
      <c r="M936" s="4"/>
      <c r="N936" s="28"/>
      <c r="O936" s="4"/>
      <c r="P936" s="4"/>
      <c r="Q936" s="4"/>
      <c r="R936" s="4"/>
      <c r="S936" s="4"/>
      <c r="T936" s="4"/>
      <c r="U936" s="4"/>
      <c r="V936" s="4"/>
      <c r="W936" s="4"/>
      <c r="X936" s="4"/>
      <c r="Y936" s="4"/>
      <c r="Z936" s="4"/>
      <c r="AA936" s="4"/>
      <c r="AB936" s="4"/>
      <c r="AC936" s="4"/>
      <c r="AD936" s="4"/>
      <c r="AE936" s="4"/>
      <c r="AF936" s="81"/>
      <c r="AG936" s="81"/>
      <c r="AH936" s="81"/>
      <c r="AI936" s="4"/>
      <c r="AJ936" s="81"/>
      <c r="AK936" s="81"/>
      <c r="AL936" s="81"/>
      <c r="AM936" s="43">
        <v>920</v>
      </c>
      <c r="AN936">
        <v>271.24026520567281</v>
      </c>
      <c r="AO936">
        <v>103.52168259530352</v>
      </c>
      <c r="AP936">
        <v>780.3599688677524</v>
      </c>
      <c r="AQ936">
        <v>554.6746365121503</v>
      </c>
      <c r="AR936">
        <v>91.869226348718286</v>
      </c>
      <c r="AS936">
        <v>755.3034718270909</v>
      </c>
      <c r="AT936">
        <v>50.536196894022389</v>
      </c>
      <c r="AU936">
        <v>91.566179270898388</v>
      </c>
      <c r="AV936"/>
      <c r="AW936"/>
      <c r="FY936" s="211">
        <v>931</v>
      </c>
      <c r="FZ936">
        <v>23.681059144625959</v>
      </c>
      <c r="GA936">
        <v>70.854449474331261</v>
      </c>
      <c r="GB936">
        <v>68.89064489199454</v>
      </c>
      <c r="GC936">
        <v>39.151537895593485</v>
      </c>
      <c r="GD936">
        <v>17.418172420207391</v>
      </c>
      <c r="GE936">
        <v>34.036931739379177</v>
      </c>
      <c r="GF936">
        <v>80.021997482170946</v>
      </c>
      <c r="GG936">
        <v>59.268447059352702</v>
      </c>
      <c r="GH936">
        <v>23.279072261707583</v>
      </c>
      <c r="GI936">
        <v>51.642379233109075</v>
      </c>
      <c r="GJ936"/>
      <c r="GK936"/>
      <c r="GL936"/>
      <c r="GM936"/>
    </row>
    <row r="937" spans="1:195" s="7" customFormat="1">
      <c r="A937" s="4"/>
      <c r="B937" s="4"/>
      <c r="C937" s="4"/>
      <c r="D937" s="4"/>
      <c r="E937" s="4"/>
      <c r="F937" s="28"/>
      <c r="G937" s="28"/>
      <c r="H937" s="83"/>
      <c r="I937" s="4"/>
      <c r="J937" s="4"/>
      <c r="K937" s="4"/>
      <c r="L937" s="4"/>
      <c r="M937" s="4"/>
      <c r="N937" s="28"/>
      <c r="O937" s="4"/>
      <c r="P937" s="4"/>
      <c r="Q937" s="4"/>
      <c r="R937" s="4"/>
      <c r="S937" s="4"/>
      <c r="T937" s="4"/>
      <c r="U937" s="4"/>
      <c r="V937" s="4"/>
      <c r="W937" s="4"/>
      <c r="X937" s="4"/>
      <c r="Y937" s="4"/>
      <c r="Z937" s="4"/>
      <c r="AA937" s="4"/>
      <c r="AB937" s="4"/>
      <c r="AC937" s="4"/>
      <c r="AD937" s="4"/>
      <c r="AE937" s="4"/>
      <c r="AF937" s="81"/>
      <c r="AG937" s="81"/>
      <c r="AH937" s="81"/>
      <c r="AI937" s="4"/>
      <c r="AJ937" s="81"/>
      <c r="AK937" s="81"/>
      <c r="AL937" s="81"/>
      <c r="AM937" s="43">
        <v>921</v>
      </c>
      <c r="AN937">
        <v>235.46840157351144</v>
      </c>
      <c r="AO937">
        <v>63.027887587312726</v>
      </c>
      <c r="AP937">
        <v>470.80756112061681</v>
      </c>
      <c r="AQ937">
        <v>345.38738026438938</v>
      </c>
      <c r="AR937">
        <v>56.250379716492098</v>
      </c>
      <c r="AS937">
        <v>509.6713839392155</v>
      </c>
      <c r="AT937">
        <v>30.143518064255968</v>
      </c>
      <c r="AU937">
        <v>61.783795735925025</v>
      </c>
      <c r="AV937"/>
      <c r="AW937"/>
      <c r="FY937" s="211">
        <v>932</v>
      </c>
      <c r="FZ937">
        <v>16.508417137110424</v>
      </c>
      <c r="GA937">
        <v>43.763746367547839</v>
      </c>
      <c r="GB937">
        <v>109.3481785424738</v>
      </c>
      <c r="GC937">
        <v>61.543759251135242</v>
      </c>
      <c r="GD937">
        <v>23.891032973923139</v>
      </c>
      <c r="GE937">
        <v>67.850634733149306</v>
      </c>
      <c r="GF937">
        <v>89.802227173394527</v>
      </c>
      <c r="GG937">
        <v>48.471846883118019</v>
      </c>
      <c r="GH937">
        <v>22.570567078384865</v>
      </c>
      <c r="GI937">
        <v>67.061410066613689</v>
      </c>
      <c r="GJ937"/>
      <c r="GK937"/>
      <c r="GL937"/>
      <c r="GM937"/>
    </row>
    <row r="938" spans="1:195" s="7" customFormat="1">
      <c r="A938" s="4"/>
      <c r="B938" s="4"/>
      <c r="C938" s="4"/>
      <c r="D938" s="4"/>
      <c r="E938" s="4"/>
      <c r="F938" s="28"/>
      <c r="G938" s="28"/>
      <c r="H938" s="83"/>
      <c r="I938" s="4"/>
      <c r="J938" s="4"/>
      <c r="K938" s="4"/>
      <c r="L938" s="4"/>
      <c r="M938" s="4"/>
      <c r="N938" s="28"/>
      <c r="O938" s="4"/>
      <c r="P938" s="4"/>
      <c r="Q938" s="4"/>
      <c r="R938" s="4"/>
      <c r="S938" s="4"/>
      <c r="T938" s="4"/>
      <c r="U938" s="4"/>
      <c r="V938" s="4"/>
      <c r="W938" s="4"/>
      <c r="X938" s="4"/>
      <c r="Y938" s="4"/>
      <c r="Z938" s="4"/>
      <c r="AA938" s="4"/>
      <c r="AB938" s="4"/>
      <c r="AC938" s="4"/>
      <c r="AD938" s="4"/>
      <c r="AE938" s="4"/>
      <c r="AF938" s="81"/>
      <c r="AG938" s="81"/>
      <c r="AH938" s="81"/>
      <c r="AI938" s="4"/>
      <c r="AJ938" s="81"/>
      <c r="AK938" s="81"/>
      <c r="AL938" s="81"/>
      <c r="AM938" s="43">
        <v>922</v>
      </c>
      <c r="AN938">
        <v>190.59967708119831</v>
      </c>
      <c r="AO938">
        <v>79.676412615037009</v>
      </c>
      <c r="AP938">
        <v>597.73068631622618</v>
      </c>
      <c r="AQ938">
        <v>419.4223201965645</v>
      </c>
      <c r="AR938">
        <v>72.598158046941307</v>
      </c>
      <c r="AS938">
        <v>565.93002518344338</v>
      </c>
      <c r="AT938">
        <v>39.979069305283751</v>
      </c>
      <c r="AU938">
        <v>22.821346657114201</v>
      </c>
      <c r="AV938"/>
      <c r="AW938"/>
      <c r="FY938" s="211">
        <v>933</v>
      </c>
      <c r="FZ938">
        <v>15.673908869112413</v>
      </c>
      <c r="GA938">
        <v>56.581171066278699</v>
      </c>
      <c r="GB938">
        <v>78.67144779654457</v>
      </c>
      <c r="GC938">
        <v>43.528554153855374</v>
      </c>
      <c r="GD938">
        <v>17.004955112716381</v>
      </c>
      <c r="GE938">
        <v>63.383945154682586</v>
      </c>
      <c r="GF938">
        <v>102.39361471161948</v>
      </c>
      <c r="GG938">
        <v>31.484293744591533</v>
      </c>
      <c r="GH938">
        <v>11.605935200537262</v>
      </c>
      <c r="GI938">
        <v>55.311644998443114</v>
      </c>
      <c r="GJ938"/>
      <c r="GK938"/>
      <c r="GL938"/>
      <c r="GM938"/>
    </row>
    <row r="939" spans="1:195" s="7" customFormat="1">
      <c r="A939" s="4"/>
      <c r="B939" s="4"/>
      <c r="C939" s="4"/>
      <c r="D939" s="4"/>
      <c r="E939" s="4"/>
      <c r="F939" s="28"/>
      <c r="G939" s="28"/>
      <c r="H939" s="83"/>
      <c r="I939" s="4"/>
      <c r="J939" s="4"/>
      <c r="K939" s="4"/>
      <c r="L939" s="4"/>
      <c r="M939" s="4"/>
      <c r="N939" s="28"/>
      <c r="O939" s="4"/>
      <c r="P939" s="4"/>
      <c r="Q939" s="4"/>
      <c r="R939" s="4"/>
      <c r="S939" s="4"/>
      <c r="T939" s="4"/>
      <c r="U939" s="4"/>
      <c r="V939" s="4"/>
      <c r="W939" s="4"/>
      <c r="X939" s="4"/>
      <c r="Y939" s="4"/>
      <c r="Z939" s="4"/>
      <c r="AA939" s="4"/>
      <c r="AB939" s="4"/>
      <c r="AC939" s="4"/>
      <c r="AD939" s="4"/>
      <c r="AE939" s="4"/>
      <c r="AF939" s="81"/>
      <c r="AG939" s="81"/>
      <c r="AH939" s="81"/>
      <c r="AI939" s="4"/>
      <c r="AJ939" s="81"/>
      <c r="AK939" s="81"/>
      <c r="AL939" s="81"/>
      <c r="AM939" s="43">
        <v>923</v>
      </c>
      <c r="AN939">
        <v>225.03333703157637</v>
      </c>
      <c r="AO939">
        <v>81.617724353399751</v>
      </c>
      <c r="AP939">
        <v>547.45106185372788</v>
      </c>
      <c r="AQ939">
        <v>431.01163272536076</v>
      </c>
      <c r="AR939">
        <v>72.426426458018526</v>
      </c>
      <c r="AS939">
        <v>581.04211236006802</v>
      </c>
      <c r="AT939">
        <v>41.133885379928564</v>
      </c>
      <c r="AU939">
        <v>101.37829095430125</v>
      </c>
      <c r="AV939"/>
      <c r="AW939"/>
      <c r="FY939" s="211">
        <v>934</v>
      </c>
      <c r="FZ939">
        <v>14.365818846589908</v>
      </c>
      <c r="GA939">
        <v>48.083224589386063</v>
      </c>
      <c r="GB939">
        <v>73.121134644540973</v>
      </c>
      <c r="GC939">
        <v>42.55831573748781</v>
      </c>
      <c r="GD939">
        <v>24.215228090261661</v>
      </c>
      <c r="GE939">
        <v>48.249407198943771</v>
      </c>
      <c r="GF939">
        <v>46.038877795699044</v>
      </c>
      <c r="GG939">
        <v>25.011677192161297</v>
      </c>
      <c r="GH939">
        <v>13.17855469514431</v>
      </c>
      <c r="GI939">
        <v>47.3875268243942</v>
      </c>
      <c r="GJ939"/>
      <c r="GK939"/>
      <c r="GL939"/>
      <c r="GM939"/>
    </row>
    <row r="940" spans="1:195" s="7" customFormat="1">
      <c r="A940" s="4"/>
      <c r="B940" s="4"/>
      <c r="C940" s="4"/>
      <c r="D940" s="4"/>
      <c r="E940" s="4"/>
      <c r="F940" s="28"/>
      <c r="G940" s="28"/>
      <c r="H940" s="83"/>
      <c r="I940" s="4"/>
      <c r="J940" s="4"/>
      <c r="K940" s="4"/>
      <c r="L940" s="4"/>
      <c r="M940" s="4"/>
      <c r="N940" s="28"/>
      <c r="O940" s="4"/>
      <c r="P940" s="4"/>
      <c r="Q940" s="4"/>
      <c r="R940" s="4"/>
      <c r="S940" s="4"/>
      <c r="T940" s="4"/>
      <c r="U940" s="4"/>
      <c r="V940" s="4"/>
      <c r="W940" s="4"/>
      <c r="X940" s="4"/>
      <c r="Y940" s="4"/>
      <c r="Z940" s="4"/>
      <c r="AA940" s="4"/>
      <c r="AB940" s="4"/>
      <c r="AC940" s="4"/>
      <c r="AD940" s="4"/>
      <c r="AE940" s="4"/>
      <c r="AF940" s="81"/>
      <c r="AG940" s="81"/>
      <c r="AH940" s="81"/>
      <c r="AI940" s="4"/>
      <c r="AJ940" s="81"/>
      <c r="AK940" s="81"/>
      <c r="AL940" s="81"/>
      <c r="AM940" s="43">
        <v>924</v>
      </c>
      <c r="AN940">
        <v>232.07998806910496</v>
      </c>
      <c r="AO940">
        <v>89.145116123537306</v>
      </c>
      <c r="AP940">
        <v>669.49346203674077</v>
      </c>
      <c r="AQ940">
        <v>496.51182300873899</v>
      </c>
      <c r="AR940">
        <v>80.207309511358829</v>
      </c>
      <c r="AS940">
        <v>650.09268877559612</v>
      </c>
      <c r="AT940">
        <v>43.293684881904717</v>
      </c>
      <c r="AU940">
        <v>90.874159257069167</v>
      </c>
      <c r="AV940"/>
      <c r="AW940"/>
      <c r="FY940" s="211">
        <v>935</v>
      </c>
      <c r="FZ940">
        <v>2.0066043627782095</v>
      </c>
      <c r="GA940">
        <v>17.846384692442804</v>
      </c>
      <c r="GB940">
        <v>60.241669599537609</v>
      </c>
      <c r="GC940">
        <v>37.872344605640066</v>
      </c>
      <c r="GD940">
        <v>28.066761527596228</v>
      </c>
      <c r="GE940">
        <v>56.154378708879285</v>
      </c>
      <c r="GF940">
        <v>57.185388087286341</v>
      </c>
      <c r="GG940">
        <v>40.435532915500374</v>
      </c>
      <c r="GH940">
        <v>12.975162401925427</v>
      </c>
      <c r="GI940">
        <v>47.315015937426928</v>
      </c>
      <c r="GJ940"/>
      <c r="GK940"/>
      <c r="GL940"/>
      <c r="GM940"/>
    </row>
    <row r="941" spans="1:195" s="7" customFormat="1">
      <c r="A941" s="4"/>
      <c r="B941" s="4"/>
      <c r="C941" s="4"/>
      <c r="D941" s="4"/>
      <c r="E941" s="4"/>
      <c r="F941" s="28"/>
      <c r="G941" s="28"/>
      <c r="H941" s="83"/>
      <c r="I941" s="4"/>
      <c r="J941" s="4"/>
      <c r="K941" s="4"/>
      <c r="L941" s="4"/>
      <c r="M941" s="4"/>
      <c r="N941" s="28"/>
      <c r="O941" s="4"/>
      <c r="P941" s="4"/>
      <c r="Q941" s="4"/>
      <c r="R941" s="4"/>
      <c r="S941" s="4"/>
      <c r="T941" s="4"/>
      <c r="U941" s="4"/>
      <c r="V941" s="4"/>
      <c r="W941" s="4"/>
      <c r="X941" s="4"/>
      <c r="Y941" s="4"/>
      <c r="Z941" s="4"/>
      <c r="AA941" s="4"/>
      <c r="AB941" s="4"/>
      <c r="AC941" s="4"/>
      <c r="AD941" s="4"/>
      <c r="AE941" s="4"/>
      <c r="AF941" s="81"/>
      <c r="AG941" s="81"/>
      <c r="AH941" s="81"/>
      <c r="AI941" s="4"/>
      <c r="AJ941" s="81"/>
      <c r="AK941" s="81"/>
      <c r="AL941" s="81"/>
      <c r="AM941" s="43">
        <v>925</v>
      </c>
      <c r="AN941">
        <v>262.61589493838494</v>
      </c>
      <c r="AO941">
        <v>89.807403810459704</v>
      </c>
      <c r="AP941">
        <v>662.47079081084576</v>
      </c>
      <c r="AQ941">
        <v>498.14685834746155</v>
      </c>
      <c r="AR941">
        <v>80.834113668206342</v>
      </c>
      <c r="AS941">
        <v>696.28088736654001</v>
      </c>
      <c r="AT941">
        <v>45.244235192522034</v>
      </c>
      <c r="AU941">
        <v>96.875253629999321</v>
      </c>
      <c r="AV941"/>
      <c r="AW941"/>
      <c r="FY941" s="211">
        <v>936</v>
      </c>
      <c r="FZ941">
        <v>10.48337668742427</v>
      </c>
      <c r="GA941">
        <v>49.057152383932369</v>
      </c>
      <c r="GB941">
        <v>57.418356150684055</v>
      </c>
      <c r="GC941">
        <v>30.214768282625474</v>
      </c>
      <c r="GD941">
        <v>17.103844158393699</v>
      </c>
      <c r="GE941">
        <v>57.19179533868612</v>
      </c>
      <c r="GF941">
        <v>107.92169610009587</v>
      </c>
      <c r="GG941">
        <v>67.118393658925115</v>
      </c>
      <c r="GH941">
        <v>32.341740076005415</v>
      </c>
      <c r="GI941">
        <v>54.623213006127315</v>
      </c>
      <c r="GJ941"/>
      <c r="GK941"/>
      <c r="GL941"/>
      <c r="GM941"/>
    </row>
    <row r="942" spans="1:195" s="7" customFormat="1">
      <c r="A942" s="4"/>
      <c r="B942" s="4"/>
      <c r="C942" s="4"/>
      <c r="D942" s="4"/>
      <c r="E942" s="4"/>
      <c r="F942" s="28"/>
      <c r="G942" s="28"/>
      <c r="H942" s="83"/>
      <c r="I942" s="4"/>
      <c r="J942" s="4"/>
      <c r="K942" s="4"/>
      <c r="L942" s="4"/>
      <c r="M942" s="4"/>
      <c r="N942" s="28"/>
      <c r="O942" s="4"/>
      <c r="P942" s="4"/>
      <c r="Q942" s="4"/>
      <c r="R942" s="4"/>
      <c r="S942" s="4"/>
      <c r="T942" s="4"/>
      <c r="U942" s="4"/>
      <c r="V942" s="4"/>
      <c r="W942" s="4"/>
      <c r="X942" s="4"/>
      <c r="Y942" s="4"/>
      <c r="Z942" s="4"/>
      <c r="AA942" s="4"/>
      <c r="AB942" s="4"/>
      <c r="AC942" s="4"/>
      <c r="AD942" s="4"/>
      <c r="AE942" s="4"/>
      <c r="AF942" s="81"/>
      <c r="AG942" s="81"/>
      <c r="AH942" s="81"/>
      <c r="AI942" s="4"/>
      <c r="AJ942" s="81"/>
      <c r="AK942" s="81"/>
      <c r="AL942" s="81"/>
      <c r="AM942" s="43">
        <v>926</v>
      </c>
      <c r="AN942">
        <v>239.54142346794387</v>
      </c>
      <c r="AO942">
        <v>75.846886957311625</v>
      </c>
      <c r="AP942">
        <v>536.62649763833542</v>
      </c>
      <c r="AQ942">
        <v>411.24338271362359</v>
      </c>
      <c r="AR942">
        <v>67.987771171666708</v>
      </c>
      <c r="AS942">
        <v>582.47127899400846</v>
      </c>
      <c r="AT942">
        <v>37.990342805030281</v>
      </c>
      <c r="AU942">
        <v>68.499880416796813</v>
      </c>
      <c r="AV942"/>
      <c r="AW942"/>
      <c r="FY942" s="211">
        <v>937</v>
      </c>
      <c r="FZ942">
        <v>13.144784513073491</v>
      </c>
      <c r="GA942">
        <v>33.270747944127763</v>
      </c>
      <c r="GB942">
        <v>57.112792108620219</v>
      </c>
      <c r="GC942">
        <v>39.982014372809559</v>
      </c>
      <c r="GD942">
        <v>16.897273630337015</v>
      </c>
      <c r="GE942">
        <v>43.804268767776733</v>
      </c>
      <c r="GF942">
        <v>95.340266678343113</v>
      </c>
      <c r="GG942">
        <v>56.610694032837152</v>
      </c>
      <c r="GH942">
        <v>22.611650530182867</v>
      </c>
      <c r="GI942">
        <v>49.243422262393835</v>
      </c>
      <c r="GJ942"/>
      <c r="GK942"/>
      <c r="GL942"/>
      <c r="GM942"/>
    </row>
    <row r="943" spans="1:195" s="7" customFormat="1">
      <c r="A943" s="4"/>
      <c r="B943" s="4"/>
      <c r="C943" s="4"/>
      <c r="D943" s="4"/>
      <c r="E943" s="4"/>
      <c r="F943" s="28"/>
      <c r="G943" s="28"/>
      <c r="H943" s="83"/>
      <c r="I943" s="4"/>
      <c r="J943" s="4"/>
      <c r="K943" s="4"/>
      <c r="L943" s="4"/>
      <c r="M943" s="4"/>
      <c r="N943" s="28"/>
      <c r="O943" s="4"/>
      <c r="P943" s="4"/>
      <c r="Q943" s="4"/>
      <c r="R943" s="4"/>
      <c r="S943" s="4"/>
      <c r="T943" s="4"/>
      <c r="U943" s="4"/>
      <c r="V943" s="4"/>
      <c r="W943" s="4"/>
      <c r="X943" s="4"/>
      <c r="Y943" s="4"/>
      <c r="Z943" s="4"/>
      <c r="AA943" s="4"/>
      <c r="AB943" s="4"/>
      <c r="AC943" s="4"/>
      <c r="AD943" s="4"/>
      <c r="AE943" s="4"/>
      <c r="AF943" s="81"/>
      <c r="AG943" s="81"/>
      <c r="AH943" s="81"/>
      <c r="AI943" s="4"/>
      <c r="AJ943" s="81"/>
      <c r="AK943" s="81"/>
      <c r="AL943" s="81"/>
      <c r="AM943" s="43">
        <v>927</v>
      </c>
      <c r="AN943">
        <v>266.00280552412244</v>
      </c>
      <c r="AO943">
        <v>86.260467804990654</v>
      </c>
      <c r="AP943">
        <v>596.38337608197139</v>
      </c>
      <c r="AQ943">
        <v>456.74432466256286</v>
      </c>
      <c r="AR943">
        <v>76.356510394564026</v>
      </c>
      <c r="AS943">
        <v>656.41013467224116</v>
      </c>
      <c r="AT943">
        <v>39.708414615749959</v>
      </c>
      <c r="AU943">
        <v>64.462968974105678</v>
      </c>
      <c r="AV943"/>
      <c r="AW943"/>
      <c r="FY943" s="211">
        <v>938</v>
      </c>
      <c r="FZ943">
        <v>26.982805251782452</v>
      </c>
      <c r="GA943">
        <v>62.748550289184209</v>
      </c>
      <c r="GB943">
        <v>56.404739579896514</v>
      </c>
      <c r="GC943">
        <v>31.955491472109827</v>
      </c>
      <c r="GD943">
        <v>22.679216136216656</v>
      </c>
      <c r="GE943">
        <v>64.258464106133758</v>
      </c>
      <c r="GF943">
        <v>107.21561554619817</v>
      </c>
      <c r="GG943">
        <v>71.299458277487773</v>
      </c>
      <c r="GH943">
        <v>34.056613644034101</v>
      </c>
      <c r="GI943">
        <v>60.82268183696322</v>
      </c>
      <c r="GJ943"/>
      <c r="GK943"/>
      <c r="GL943"/>
      <c r="GM943"/>
    </row>
    <row r="944" spans="1:195" s="7" customFormat="1">
      <c r="A944" s="4"/>
      <c r="B944" s="4"/>
      <c r="C944" s="4"/>
      <c r="D944" s="4"/>
      <c r="E944" s="4"/>
      <c r="F944" s="28"/>
      <c r="G944" s="28"/>
      <c r="H944" s="83"/>
      <c r="I944" s="4"/>
      <c r="J944" s="4"/>
      <c r="K944" s="4"/>
      <c r="L944" s="4"/>
      <c r="M944" s="4"/>
      <c r="N944" s="28"/>
      <c r="O944" s="4"/>
      <c r="P944" s="4"/>
      <c r="Q944" s="4"/>
      <c r="R944" s="4"/>
      <c r="S944" s="4"/>
      <c r="T944" s="4"/>
      <c r="U944" s="4"/>
      <c r="V944" s="4"/>
      <c r="W944" s="4"/>
      <c r="X944" s="4"/>
      <c r="Y944" s="4"/>
      <c r="Z944" s="4"/>
      <c r="AA944" s="4"/>
      <c r="AB944" s="4"/>
      <c r="AC944" s="4"/>
      <c r="AD944" s="4"/>
      <c r="AE944" s="4"/>
      <c r="AF944" s="81"/>
      <c r="AG944" s="81"/>
      <c r="AH944" s="81"/>
      <c r="AI944" s="4"/>
      <c r="AJ944" s="81"/>
      <c r="AK944" s="81"/>
      <c r="AL944" s="81"/>
      <c r="AM944" s="43">
        <v>928</v>
      </c>
      <c r="AN944">
        <v>282.01891173857456</v>
      </c>
      <c r="AO944">
        <v>96.993601901395664</v>
      </c>
      <c r="AP944">
        <v>753.33169796422919</v>
      </c>
      <c r="AQ944">
        <v>551.22177996548623</v>
      </c>
      <c r="AR944">
        <v>87.617454544311443</v>
      </c>
      <c r="AS944">
        <v>688.2601569994556</v>
      </c>
      <c r="AT944">
        <v>47.459014453845846</v>
      </c>
      <c r="AU944">
        <v>72.447170455438908</v>
      </c>
      <c r="AV944"/>
      <c r="AW944"/>
      <c r="FY944" s="211">
        <v>939</v>
      </c>
      <c r="FZ944">
        <v>22.120424161950201</v>
      </c>
      <c r="GA944">
        <v>51.189227464366581</v>
      </c>
      <c r="GB944">
        <v>77.457575438743831</v>
      </c>
      <c r="GC944">
        <v>43.751793545727473</v>
      </c>
      <c r="GD944">
        <v>12.773050306423595</v>
      </c>
      <c r="GE944">
        <v>37.944629648897333</v>
      </c>
      <c r="GF944">
        <v>58.333475495542643</v>
      </c>
      <c r="GG944">
        <v>51.237893619833926</v>
      </c>
      <c r="GH944">
        <v>52.908165039492559</v>
      </c>
      <c r="GI944">
        <v>51.357560109976625</v>
      </c>
      <c r="GJ944"/>
      <c r="GK944"/>
      <c r="GL944"/>
      <c r="GM944"/>
    </row>
    <row r="945" spans="1:195" s="7" customFormat="1">
      <c r="A945" s="4"/>
      <c r="B945" s="4"/>
      <c r="C945" s="4"/>
      <c r="D945" s="4"/>
      <c r="E945" s="4"/>
      <c r="F945" s="28"/>
      <c r="G945" s="28"/>
      <c r="H945" s="83"/>
      <c r="I945" s="4"/>
      <c r="J945" s="4"/>
      <c r="K945" s="4"/>
      <c r="L945" s="4"/>
      <c r="M945" s="4"/>
      <c r="N945" s="28"/>
      <c r="O945" s="4"/>
      <c r="P945" s="4"/>
      <c r="Q945" s="4"/>
      <c r="R945" s="4"/>
      <c r="S945" s="4"/>
      <c r="T945" s="4"/>
      <c r="U945" s="4"/>
      <c r="V945" s="4"/>
      <c r="W945" s="4"/>
      <c r="X945" s="4"/>
      <c r="Y945" s="4"/>
      <c r="Z945" s="4"/>
      <c r="AA945" s="4"/>
      <c r="AB945" s="4"/>
      <c r="AC945" s="4"/>
      <c r="AD945" s="4"/>
      <c r="AE945" s="4"/>
      <c r="AF945" s="81"/>
      <c r="AG945" s="81"/>
      <c r="AH945" s="81"/>
      <c r="AI945" s="4"/>
      <c r="AJ945" s="81"/>
      <c r="AK945" s="81"/>
      <c r="AL945" s="81"/>
      <c r="AM945" s="43">
        <v>929</v>
      </c>
      <c r="AN945">
        <v>242.11876614300922</v>
      </c>
      <c r="AO945">
        <v>64.761699221629229</v>
      </c>
      <c r="AP945">
        <v>488.76755312657343</v>
      </c>
      <c r="AQ945">
        <v>367.0913168691838</v>
      </c>
      <c r="AR945">
        <v>59.963146805328172</v>
      </c>
      <c r="AS945">
        <v>556.6781571207282</v>
      </c>
      <c r="AT945">
        <v>33.35504912237014</v>
      </c>
      <c r="AU945">
        <v>105.24935310164639</v>
      </c>
      <c r="AV945"/>
      <c r="AW945"/>
      <c r="FY945" s="211">
        <v>940</v>
      </c>
      <c r="FZ945">
        <v>23.844207102463137</v>
      </c>
      <c r="GA945">
        <v>65.24762577988578</v>
      </c>
      <c r="GB945">
        <v>51.134373440477916</v>
      </c>
      <c r="GC945">
        <v>36.482081298422543</v>
      </c>
      <c r="GD945">
        <v>24.655809648060103</v>
      </c>
      <c r="GE945">
        <v>48.561615423685964</v>
      </c>
      <c r="GF945">
        <v>83.368147424043585</v>
      </c>
      <c r="GG945">
        <v>47.819780193902766</v>
      </c>
      <c r="GH945">
        <v>19.222240862482199</v>
      </c>
      <c r="GI945">
        <v>51.519724161404696</v>
      </c>
      <c r="GJ945"/>
      <c r="GK945"/>
      <c r="GL945"/>
      <c r="GM945"/>
    </row>
    <row r="946" spans="1:195" s="7" customFormat="1">
      <c r="A946" s="4"/>
      <c r="B946" s="4"/>
      <c r="C946" s="4"/>
      <c r="D946" s="4"/>
      <c r="E946" s="4"/>
      <c r="F946" s="28"/>
      <c r="G946" s="28"/>
      <c r="H946" s="83"/>
      <c r="I946" s="4"/>
      <c r="J946" s="4"/>
      <c r="K946" s="4"/>
      <c r="L946" s="4"/>
      <c r="M946" s="4"/>
      <c r="N946" s="28"/>
      <c r="O946" s="4"/>
      <c r="P946" s="4"/>
      <c r="Q946" s="4"/>
      <c r="R946" s="4"/>
      <c r="S946" s="4"/>
      <c r="T946" s="4"/>
      <c r="U946" s="4"/>
      <c r="V946" s="4"/>
      <c r="W946" s="4"/>
      <c r="X946" s="4"/>
      <c r="Y946" s="4"/>
      <c r="Z946" s="4"/>
      <c r="AA946" s="4"/>
      <c r="AB946" s="4"/>
      <c r="AC946" s="4"/>
      <c r="AD946" s="4"/>
      <c r="AE946" s="4"/>
      <c r="AF946" s="81"/>
      <c r="AG946" s="81"/>
      <c r="AH946" s="81"/>
      <c r="AI946" s="4"/>
      <c r="AJ946" s="81"/>
      <c r="AK946" s="81"/>
      <c r="AL946" s="81"/>
      <c r="AM946" s="43">
        <v>930</v>
      </c>
      <c r="AN946">
        <v>237.77419237171981</v>
      </c>
      <c r="AO946">
        <v>67.908553432153269</v>
      </c>
      <c r="AP946">
        <v>504.59993053732524</v>
      </c>
      <c r="AQ946">
        <v>372.03906599910238</v>
      </c>
      <c r="AR946">
        <v>60.07975007808713</v>
      </c>
      <c r="AS946">
        <v>515.47155104974354</v>
      </c>
      <c r="AT946">
        <v>32.236044744643557</v>
      </c>
      <c r="AU946">
        <v>65.387532251156273</v>
      </c>
      <c r="AV946"/>
      <c r="AW946"/>
      <c r="FY946" s="211">
        <v>941</v>
      </c>
      <c r="FZ946">
        <v>19.925114440991358</v>
      </c>
      <c r="GA946">
        <v>53.205395339717114</v>
      </c>
      <c r="GB946">
        <v>61.861774632588045</v>
      </c>
      <c r="GC946">
        <v>39.397154467956092</v>
      </c>
      <c r="GD946">
        <v>25.700888114595006</v>
      </c>
      <c r="GE946">
        <v>35.396873465698008</v>
      </c>
      <c r="GF946">
        <v>45.154276324370379</v>
      </c>
      <c r="GG946">
        <v>49.930737204360724</v>
      </c>
      <c r="GH946">
        <v>22.734360162270988</v>
      </c>
      <c r="GI946">
        <v>47.234590436077546</v>
      </c>
      <c r="GJ946"/>
      <c r="GK946"/>
      <c r="GL946"/>
      <c r="GM946"/>
    </row>
    <row r="947" spans="1:195" s="7" customFormat="1">
      <c r="A947" s="4"/>
      <c r="B947" s="4"/>
      <c r="C947" s="4"/>
      <c r="D947" s="4"/>
      <c r="E947" s="4"/>
      <c r="F947" s="28"/>
      <c r="G947" s="28"/>
      <c r="H947" s="83"/>
      <c r="I947" s="4"/>
      <c r="J947" s="4"/>
      <c r="K947" s="4"/>
      <c r="L947" s="4"/>
      <c r="M947" s="4"/>
      <c r="N947" s="28"/>
      <c r="O947" s="4"/>
      <c r="P947" s="4"/>
      <c r="Q947" s="4"/>
      <c r="R947" s="4"/>
      <c r="S947" s="4"/>
      <c r="T947" s="4"/>
      <c r="U947" s="4"/>
      <c r="V947" s="4"/>
      <c r="W947" s="4"/>
      <c r="X947" s="4"/>
      <c r="Y947" s="4"/>
      <c r="Z947" s="4"/>
      <c r="AA947" s="4"/>
      <c r="AB947" s="4"/>
      <c r="AC947" s="4"/>
      <c r="AD947" s="4"/>
      <c r="AE947" s="4"/>
      <c r="AF947" s="81"/>
      <c r="AG947" s="81"/>
      <c r="AH947" s="81"/>
      <c r="AI947" s="4"/>
      <c r="AJ947" s="81"/>
      <c r="AK947" s="81"/>
      <c r="AL947" s="81"/>
      <c r="AM947" s="43">
        <v>931</v>
      </c>
      <c r="AN947">
        <v>262.18164804556898</v>
      </c>
      <c r="AO947">
        <v>81.776748911135854</v>
      </c>
      <c r="AP947">
        <v>634.10306497768681</v>
      </c>
      <c r="AQ947">
        <v>468.24469160247213</v>
      </c>
      <c r="AR947">
        <v>73.844381899524478</v>
      </c>
      <c r="AS947">
        <v>631.49347636944401</v>
      </c>
      <c r="AT947">
        <v>40.121861508554545</v>
      </c>
      <c r="AU947">
        <v>56.285524667665001</v>
      </c>
      <c r="AV947"/>
      <c r="AW947"/>
      <c r="FY947" s="211">
        <v>942</v>
      </c>
      <c r="FZ947">
        <v>9.9605922020899484</v>
      </c>
      <c r="GA947">
        <v>41.516561413653541</v>
      </c>
      <c r="GB947">
        <v>78.011143028514113</v>
      </c>
      <c r="GC947">
        <v>41.459155086779113</v>
      </c>
      <c r="GD947">
        <v>12.573986957897771</v>
      </c>
      <c r="GE947">
        <v>28.341780307135171</v>
      </c>
      <c r="GF947">
        <v>63.190470951350946</v>
      </c>
      <c r="GG947">
        <v>66.284521499347548</v>
      </c>
      <c r="GH947">
        <v>43.186031480560452</v>
      </c>
      <c r="GI947">
        <v>48.80905177412383</v>
      </c>
      <c r="GJ947"/>
      <c r="GK947"/>
      <c r="GL947"/>
      <c r="GM947"/>
    </row>
    <row r="948" spans="1:195" s="7" customFormat="1">
      <c r="A948" s="4"/>
      <c r="B948" s="4"/>
      <c r="C948" s="4"/>
      <c r="D948" s="4"/>
      <c r="E948" s="4"/>
      <c r="F948" s="28"/>
      <c r="G948" s="28"/>
      <c r="H948" s="83"/>
      <c r="I948" s="4"/>
      <c r="J948" s="4"/>
      <c r="K948" s="4"/>
      <c r="L948" s="4"/>
      <c r="M948" s="4"/>
      <c r="N948" s="28"/>
      <c r="O948" s="4"/>
      <c r="P948" s="4"/>
      <c r="Q948" s="4"/>
      <c r="R948" s="4"/>
      <c r="S948" s="4"/>
      <c r="T948" s="4"/>
      <c r="U948" s="4"/>
      <c r="V948" s="4"/>
      <c r="W948" s="4"/>
      <c r="X948" s="4"/>
      <c r="Y948" s="4"/>
      <c r="Z948" s="4"/>
      <c r="AA948" s="4"/>
      <c r="AB948" s="4"/>
      <c r="AC948" s="4"/>
      <c r="AD948" s="4"/>
      <c r="AE948" s="4"/>
      <c r="AF948" s="81"/>
      <c r="AG948" s="81"/>
      <c r="AH948" s="81"/>
      <c r="AI948" s="4"/>
      <c r="AJ948" s="81"/>
      <c r="AK948" s="81"/>
      <c r="AL948" s="81"/>
      <c r="AM948" s="43">
        <v>932</v>
      </c>
      <c r="AN948">
        <v>283.79276166433795</v>
      </c>
      <c r="AO948">
        <v>105.82248797652574</v>
      </c>
      <c r="AP948">
        <v>731.90155514231071</v>
      </c>
      <c r="AQ948">
        <v>550.81182020685083</v>
      </c>
      <c r="AR948">
        <v>95.138081300387412</v>
      </c>
      <c r="AS948">
        <v>787.79422562903562</v>
      </c>
      <c r="AT948">
        <v>50.871748048179967</v>
      </c>
      <c r="AU948">
        <v>76.108784159254839</v>
      </c>
      <c r="AV948"/>
      <c r="AW948"/>
      <c r="FY948" s="211">
        <v>943</v>
      </c>
      <c r="FZ948">
        <v>31.504693498070399</v>
      </c>
      <c r="GA948">
        <v>77.183780031603249</v>
      </c>
      <c r="GB948">
        <v>70.789398813298675</v>
      </c>
      <c r="GC948">
        <v>40.484804759069441</v>
      </c>
      <c r="GD948">
        <v>21.80629615855576</v>
      </c>
      <c r="GE948">
        <v>35.480052166977686</v>
      </c>
      <c r="GF948">
        <v>61.355225326099614</v>
      </c>
      <c r="GG948">
        <v>61.011652803161283</v>
      </c>
      <c r="GH948">
        <v>32.370048058816053</v>
      </c>
      <c r="GI948">
        <v>54.673099885266041</v>
      </c>
      <c r="GJ948"/>
      <c r="GK948"/>
      <c r="GL948"/>
      <c r="GM948"/>
    </row>
    <row r="949" spans="1:195" s="7" customFormat="1">
      <c r="A949" s="4"/>
      <c r="B949" s="4"/>
      <c r="C949" s="4"/>
      <c r="D949" s="4"/>
      <c r="E949" s="4"/>
      <c r="F949" s="28"/>
      <c r="G949" s="28"/>
      <c r="H949" s="83"/>
      <c r="I949" s="4"/>
      <c r="J949" s="4"/>
      <c r="K949" s="4"/>
      <c r="L949" s="4"/>
      <c r="M949" s="4"/>
      <c r="N949" s="28"/>
      <c r="O949" s="4"/>
      <c r="P949" s="4"/>
      <c r="Q949" s="4"/>
      <c r="R949" s="4"/>
      <c r="S949" s="4"/>
      <c r="T949" s="4"/>
      <c r="U949" s="4"/>
      <c r="V949" s="4"/>
      <c r="W949" s="4"/>
      <c r="X949" s="4"/>
      <c r="Y949" s="4"/>
      <c r="Z949" s="4"/>
      <c r="AA949" s="4"/>
      <c r="AB949" s="4"/>
      <c r="AC949" s="4"/>
      <c r="AD949" s="4"/>
      <c r="AE949" s="4"/>
      <c r="AF949" s="81"/>
      <c r="AG949" s="81"/>
      <c r="AH949" s="81"/>
      <c r="AI949" s="4"/>
      <c r="AJ949" s="81"/>
      <c r="AK949" s="81"/>
      <c r="AL949" s="81"/>
      <c r="AM949" s="43">
        <v>933</v>
      </c>
      <c r="AN949">
        <v>310.10023168178628</v>
      </c>
      <c r="AO949">
        <v>86.984742413793569</v>
      </c>
      <c r="AP949">
        <v>632.92707039715583</v>
      </c>
      <c r="AQ949">
        <v>475.63947080838136</v>
      </c>
      <c r="AR949">
        <v>75.978282284008884</v>
      </c>
      <c r="AS949">
        <v>666.50008660606977</v>
      </c>
      <c r="AT949">
        <v>40.406546134131538</v>
      </c>
      <c r="AU949">
        <v>108.74336323848696</v>
      </c>
      <c r="AV949"/>
      <c r="AW949"/>
      <c r="FY949" s="211">
        <v>944</v>
      </c>
      <c r="FZ949">
        <v>14.246975585077905</v>
      </c>
      <c r="GA949">
        <v>54.547829258971667</v>
      </c>
      <c r="GB949">
        <v>79.962680744631243</v>
      </c>
      <c r="GC949">
        <v>46.655293943366964</v>
      </c>
      <c r="GD949">
        <v>15.944328449042983</v>
      </c>
      <c r="GE949">
        <v>26.618838461558017</v>
      </c>
      <c r="GF949">
        <v>83.660149843019028</v>
      </c>
      <c r="GG949">
        <v>75.053745328461858</v>
      </c>
      <c r="GH949">
        <v>31.674401826947665</v>
      </c>
      <c r="GI949">
        <v>54.712087906964612</v>
      </c>
      <c r="GJ949"/>
      <c r="GK949"/>
      <c r="GL949"/>
      <c r="GM949"/>
    </row>
    <row r="950" spans="1:195" s="7" customFormat="1">
      <c r="A950" s="4"/>
      <c r="B950" s="4"/>
      <c r="C950" s="4"/>
      <c r="D950" s="4"/>
      <c r="E950" s="4"/>
      <c r="F950" s="28"/>
      <c r="G950" s="28"/>
      <c r="H950" s="83"/>
      <c r="I950" s="4"/>
      <c r="J950" s="4"/>
      <c r="K950" s="4"/>
      <c r="L950" s="4"/>
      <c r="M950" s="4"/>
      <c r="N950" s="28"/>
      <c r="O950" s="4"/>
      <c r="P950" s="4"/>
      <c r="Q950" s="4"/>
      <c r="R950" s="4"/>
      <c r="S950" s="4"/>
      <c r="T950" s="4"/>
      <c r="U950" s="4"/>
      <c r="V950" s="4"/>
      <c r="W950" s="4"/>
      <c r="X950" s="4"/>
      <c r="Y950" s="4"/>
      <c r="Z950" s="4"/>
      <c r="AA950" s="4"/>
      <c r="AB950" s="4"/>
      <c r="AC950" s="4"/>
      <c r="AD950" s="4"/>
      <c r="AE950" s="4"/>
      <c r="AF950" s="81"/>
      <c r="AG950" s="81"/>
      <c r="AH950" s="81"/>
      <c r="AI950" s="4"/>
      <c r="AJ950" s="81"/>
      <c r="AK950" s="81"/>
      <c r="AL950" s="81"/>
      <c r="AM950" s="43">
        <v>934</v>
      </c>
      <c r="AN950">
        <v>215.33172712894776</v>
      </c>
      <c r="AO950">
        <v>74.257968432266821</v>
      </c>
      <c r="AP950">
        <v>484.44896875198128</v>
      </c>
      <c r="AQ950">
        <v>382.20976561460907</v>
      </c>
      <c r="AR950">
        <v>67.215715908590354</v>
      </c>
      <c r="AS950">
        <v>540.08389692902836</v>
      </c>
      <c r="AT950">
        <v>34.741127856933154</v>
      </c>
      <c r="AU950">
        <v>40.808039788184978</v>
      </c>
      <c r="AV950"/>
      <c r="AW950"/>
      <c r="FY950" s="211">
        <v>945</v>
      </c>
      <c r="FZ950">
        <v>8.857799925532424</v>
      </c>
      <c r="GA950">
        <v>51.045588975776191</v>
      </c>
      <c r="GB950">
        <v>71.790011262898616</v>
      </c>
      <c r="GC950">
        <v>40.779844479454482</v>
      </c>
      <c r="GD950">
        <v>15.993103402777528</v>
      </c>
      <c r="GE950">
        <v>43.656521950289559</v>
      </c>
      <c r="GF950">
        <v>85.39599545019054</v>
      </c>
      <c r="GG950">
        <v>53.966277718948845</v>
      </c>
      <c r="GH950">
        <v>33.751623520125619</v>
      </c>
      <c r="GI950">
        <v>53.165528268597157</v>
      </c>
      <c r="GJ950"/>
      <c r="GK950"/>
      <c r="GL950"/>
      <c r="GM950"/>
    </row>
    <row r="951" spans="1:195" s="7" customFormat="1">
      <c r="A951" s="4"/>
      <c r="B951" s="4"/>
      <c r="C951" s="4"/>
      <c r="D951" s="4"/>
      <c r="E951" s="4"/>
      <c r="F951" s="28"/>
      <c r="G951" s="28"/>
      <c r="H951" s="83"/>
      <c r="I951" s="4"/>
      <c r="J951" s="4"/>
      <c r="K951" s="4"/>
      <c r="L951" s="4"/>
      <c r="M951" s="4"/>
      <c r="N951" s="28"/>
      <c r="O951" s="4"/>
      <c r="P951" s="4"/>
      <c r="Q951" s="4"/>
      <c r="R951" s="4"/>
      <c r="S951" s="4"/>
      <c r="T951" s="4"/>
      <c r="U951" s="4"/>
      <c r="V951" s="4"/>
      <c r="W951" s="4"/>
      <c r="X951" s="4"/>
      <c r="Y951" s="4"/>
      <c r="Z951" s="4"/>
      <c r="AA951" s="4"/>
      <c r="AB951" s="4"/>
      <c r="AC951" s="4"/>
      <c r="AD951" s="4"/>
      <c r="AE951" s="4"/>
      <c r="AF951" s="81"/>
      <c r="AG951" s="81"/>
      <c r="AH951" s="81"/>
      <c r="AI951" s="4"/>
      <c r="AJ951" s="81"/>
      <c r="AK951" s="81"/>
      <c r="AL951" s="81"/>
      <c r="AM951" s="43">
        <v>935</v>
      </c>
      <c r="AN951">
        <v>192.65753523085931</v>
      </c>
      <c r="AO951">
        <v>74.400314691754986</v>
      </c>
      <c r="AP951">
        <v>451.4863366999349</v>
      </c>
      <c r="AQ951">
        <v>360.09924283901336</v>
      </c>
      <c r="AR951">
        <v>67.568755343533866</v>
      </c>
      <c r="AS951">
        <v>533.34997615825966</v>
      </c>
      <c r="AT951">
        <v>39.47667137540477</v>
      </c>
      <c r="AU951">
        <v>77.484851704888229</v>
      </c>
      <c r="AV951"/>
      <c r="AW951"/>
      <c r="FY951" s="211">
        <v>946</v>
      </c>
      <c r="FZ951">
        <v>14.753707033928411</v>
      </c>
      <c r="GA951">
        <v>60.984638664987031</v>
      </c>
      <c r="GB951">
        <v>87.230500608353879</v>
      </c>
      <c r="GC951">
        <v>48.197428905946182</v>
      </c>
      <c r="GD951">
        <v>15.153646118391404</v>
      </c>
      <c r="GE951">
        <v>32.226628687080044</v>
      </c>
      <c r="GF951">
        <v>81.668067226900945</v>
      </c>
      <c r="GG951">
        <v>52.710531562570999</v>
      </c>
      <c r="GH951">
        <v>15.828144715045219</v>
      </c>
      <c r="GI951">
        <v>52.42364552009812</v>
      </c>
      <c r="GJ951"/>
      <c r="GK951"/>
      <c r="GL951"/>
      <c r="GM951"/>
    </row>
    <row r="952" spans="1:195" s="7" customFormat="1">
      <c r="A952" s="4"/>
      <c r="B952" s="4"/>
      <c r="C952" s="4"/>
      <c r="D952" s="4"/>
      <c r="E952" s="4"/>
      <c r="F952" s="28"/>
      <c r="G952" s="28"/>
      <c r="H952" s="83"/>
      <c r="I952" s="4"/>
      <c r="J952" s="4"/>
      <c r="K952" s="4"/>
      <c r="L952" s="4"/>
      <c r="M952" s="4"/>
      <c r="N952" s="28"/>
      <c r="O952" s="4"/>
      <c r="P952" s="4"/>
      <c r="Q952" s="4"/>
      <c r="R952" s="4"/>
      <c r="S952" s="4"/>
      <c r="T952" s="4"/>
      <c r="U952" s="4"/>
      <c r="V952" s="4"/>
      <c r="W952" s="4"/>
      <c r="X952" s="4"/>
      <c r="Y952" s="4"/>
      <c r="Z952" s="4"/>
      <c r="AA952" s="4"/>
      <c r="AB952" s="4"/>
      <c r="AC952" s="4"/>
      <c r="AD952" s="4"/>
      <c r="AE952" s="4"/>
      <c r="AF952" s="81"/>
      <c r="AG952" s="81"/>
      <c r="AH952" s="81"/>
      <c r="AI952" s="4"/>
      <c r="AJ952" s="81"/>
      <c r="AK952" s="81"/>
      <c r="AL952" s="81"/>
      <c r="AM952" s="43">
        <v>936</v>
      </c>
      <c r="AN952">
        <v>236.10096813805058</v>
      </c>
      <c r="AO952">
        <v>87.187502170119458</v>
      </c>
      <c r="AP952">
        <v>664.02784517780071</v>
      </c>
      <c r="AQ952">
        <v>483.47433584289968</v>
      </c>
      <c r="AR952">
        <v>77.075762703254739</v>
      </c>
      <c r="AS952">
        <v>640.52352803039287</v>
      </c>
      <c r="AT952">
        <v>43.296760767427031</v>
      </c>
      <c r="AU952">
        <v>92.870262698357735</v>
      </c>
      <c r="AV952"/>
      <c r="AW952"/>
      <c r="FY952" s="211">
        <v>947</v>
      </c>
      <c r="FZ952">
        <v>10.716026089093988</v>
      </c>
      <c r="GA952">
        <v>51.425651685475607</v>
      </c>
      <c r="GB952">
        <v>49.344604943308276</v>
      </c>
      <c r="GC952">
        <v>31.355338694469832</v>
      </c>
      <c r="GD952">
        <v>32.413801143568278</v>
      </c>
      <c r="GE952">
        <v>75.461353947001683</v>
      </c>
      <c r="GF952">
        <v>98.873259653615165</v>
      </c>
      <c r="GG952">
        <v>67.922680147315091</v>
      </c>
      <c r="GH952">
        <v>36.495980889076094</v>
      </c>
      <c r="GI952">
        <v>60.731777805360196</v>
      </c>
      <c r="GJ952"/>
      <c r="GK952"/>
      <c r="GL952"/>
      <c r="GM952"/>
    </row>
    <row r="953" spans="1:195" s="7" customFormat="1">
      <c r="A953" s="4"/>
      <c r="B953" s="4"/>
      <c r="C953" s="4"/>
      <c r="D953" s="4"/>
      <c r="E953" s="4"/>
      <c r="F953" s="28"/>
      <c r="G953" s="28"/>
      <c r="H953" s="83"/>
      <c r="I953" s="4"/>
      <c r="J953" s="4"/>
      <c r="K953" s="4"/>
      <c r="L953" s="4"/>
      <c r="M953" s="4"/>
      <c r="N953" s="28"/>
      <c r="O953" s="4"/>
      <c r="P953" s="4"/>
      <c r="Q953" s="4"/>
      <c r="R953" s="4"/>
      <c r="S953" s="4"/>
      <c r="T953" s="4"/>
      <c r="U953" s="4"/>
      <c r="V953" s="4"/>
      <c r="W953" s="4"/>
      <c r="X953" s="4"/>
      <c r="Y953" s="4"/>
      <c r="Z953" s="4"/>
      <c r="AA953" s="4"/>
      <c r="AB953" s="4"/>
      <c r="AC953" s="4"/>
      <c r="AD953" s="4"/>
      <c r="AE953" s="4"/>
      <c r="AF953" s="81"/>
      <c r="AG953" s="81"/>
      <c r="AH953" s="81"/>
      <c r="AI953" s="4"/>
      <c r="AJ953" s="81"/>
      <c r="AK953" s="81"/>
      <c r="AL953" s="81"/>
      <c r="AM953" s="43">
        <v>937</v>
      </c>
      <c r="AN953">
        <v>248.20510454934006</v>
      </c>
      <c r="AO953">
        <v>77.290774884113489</v>
      </c>
      <c r="AP953">
        <v>566.62248922344725</v>
      </c>
      <c r="AQ953">
        <v>428.01791484050182</v>
      </c>
      <c r="AR953">
        <v>68.968698197466395</v>
      </c>
      <c r="AS953">
        <v>608.20686183686428</v>
      </c>
      <c r="AT953">
        <v>38.142707773548317</v>
      </c>
      <c r="AU953">
        <v>66.004698712942357</v>
      </c>
      <c r="AV953"/>
      <c r="AW953"/>
      <c r="FY953" s="211">
        <v>948</v>
      </c>
      <c r="FZ953">
        <v>22.274358178338385</v>
      </c>
      <c r="GA953">
        <v>52.03963912727248</v>
      </c>
      <c r="GB953">
        <v>70.345154489352524</v>
      </c>
      <c r="GC953">
        <v>36.690040608691795</v>
      </c>
      <c r="GD953">
        <v>12.365694821233552</v>
      </c>
      <c r="GE953">
        <v>41.286328183696654</v>
      </c>
      <c r="GF953">
        <v>109.77922626678729</v>
      </c>
      <c r="GG953">
        <v>89.797332632708134</v>
      </c>
      <c r="GH953">
        <v>39.280694996858621</v>
      </c>
      <c r="GI953">
        <v>58.822026748666154</v>
      </c>
      <c r="GJ953"/>
      <c r="GK953"/>
      <c r="GL953"/>
      <c r="GM953"/>
    </row>
    <row r="954" spans="1:195" s="7" customFormat="1">
      <c r="A954" s="4"/>
      <c r="B954" s="4"/>
      <c r="C954" s="4"/>
      <c r="D954" s="4"/>
      <c r="E954" s="4"/>
      <c r="F954" s="28"/>
      <c r="G954" s="28"/>
      <c r="H954" s="83"/>
      <c r="I954" s="4"/>
      <c r="J954" s="4"/>
      <c r="K954" s="4"/>
      <c r="L954" s="4"/>
      <c r="M954" s="4"/>
      <c r="N954" s="28"/>
      <c r="O954" s="4"/>
      <c r="P954" s="4"/>
      <c r="Q954" s="4"/>
      <c r="R954" s="4"/>
      <c r="S954" s="4"/>
      <c r="T954" s="4"/>
      <c r="U954" s="4"/>
      <c r="V954" s="4"/>
      <c r="W954" s="4"/>
      <c r="X954" s="4"/>
      <c r="Y954" s="4"/>
      <c r="Z954" s="4"/>
      <c r="AA954" s="4"/>
      <c r="AB954" s="4"/>
      <c r="AC954" s="4"/>
      <c r="AD954" s="4"/>
      <c r="AE954" s="4"/>
      <c r="AF954" s="81"/>
      <c r="AG954" s="81"/>
      <c r="AH954" s="81"/>
      <c r="AI954" s="4"/>
      <c r="AJ954" s="81"/>
      <c r="AK954" s="81"/>
      <c r="AL954" s="81"/>
      <c r="AM954" s="43">
        <v>938</v>
      </c>
      <c r="AN954">
        <v>271.70020962220832</v>
      </c>
      <c r="AO954">
        <v>98.121782152872683</v>
      </c>
      <c r="AP954">
        <v>735.48046844850433</v>
      </c>
      <c r="AQ954">
        <v>538.42363614000669</v>
      </c>
      <c r="AR954">
        <v>87.575284733738968</v>
      </c>
      <c r="AS954">
        <v>701.24403560815813</v>
      </c>
      <c r="AT954">
        <v>46.010497074447727</v>
      </c>
      <c r="AU954">
        <v>52.77214805540347</v>
      </c>
      <c r="AV954"/>
      <c r="AW954"/>
      <c r="FY954" s="211">
        <v>949</v>
      </c>
      <c r="FZ954">
        <v>18.937576237315838</v>
      </c>
      <c r="GA954">
        <v>54.221601953652069</v>
      </c>
      <c r="GB954">
        <v>87.977516048057083</v>
      </c>
      <c r="GC954">
        <v>50.678056111519197</v>
      </c>
      <c r="GD954">
        <v>25.534606048582003</v>
      </c>
      <c r="GE954">
        <v>52.789433789652136</v>
      </c>
      <c r="GF954">
        <v>117.94237078586478</v>
      </c>
      <c r="GG954">
        <v>89.608082777086153</v>
      </c>
      <c r="GH954">
        <v>14.338832029283999</v>
      </c>
      <c r="GI954">
        <v>68.121597240229846</v>
      </c>
      <c r="GJ954"/>
      <c r="GK954"/>
      <c r="GL954"/>
      <c r="GM954"/>
    </row>
    <row r="955" spans="1:195" s="7" customFormat="1">
      <c r="A955" s="4"/>
      <c r="B955" s="4"/>
      <c r="C955" s="4"/>
      <c r="D955" s="4"/>
      <c r="E955" s="4"/>
      <c r="F955" s="28"/>
      <c r="G955" s="28"/>
      <c r="H955" s="83"/>
      <c r="I955" s="4"/>
      <c r="J955" s="4"/>
      <c r="K955" s="4"/>
      <c r="L955" s="4"/>
      <c r="M955" s="4"/>
      <c r="N955" s="28"/>
      <c r="O955" s="4"/>
      <c r="P955" s="4"/>
      <c r="Q955" s="4"/>
      <c r="R955" s="4"/>
      <c r="S955" s="4"/>
      <c r="T955" s="4"/>
      <c r="U955" s="4"/>
      <c r="V955" s="4"/>
      <c r="W955" s="4"/>
      <c r="X955" s="4"/>
      <c r="Y955" s="4"/>
      <c r="Z955" s="4"/>
      <c r="AA955" s="4"/>
      <c r="AB955" s="4"/>
      <c r="AC955" s="4"/>
      <c r="AD955" s="4"/>
      <c r="AE955" s="4"/>
      <c r="AF955" s="81"/>
      <c r="AG955" s="81"/>
      <c r="AH955" s="81"/>
      <c r="AI955" s="4"/>
      <c r="AJ955" s="81"/>
      <c r="AK955" s="81"/>
      <c r="AL955" s="81"/>
      <c r="AM955" s="43">
        <v>939</v>
      </c>
      <c r="AN955">
        <v>212.11437912986148</v>
      </c>
      <c r="AO955">
        <v>81.607881404715314</v>
      </c>
      <c r="AP955">
        <v>623.61675730982506</v>
      </c>
      <c r="AQ955">
        <v>459.0737948309548</v>
      </c>
      <c r="AR955">
        <v>72.848509407638332</v>
      </c>
      <c r="AS955">
        <v>583.37718971819231</v>
      </c>
      <c r="AT955">
        <v>41.065963856885553</v>
      </c>
      <c r="AU955">
        <v>17.782913176256539</v>
      </c>
      <c r="AV955"/>
      <c r="AW955"/>
      <c r="FY955" s="211">
        <v>950</v>
      </c>
      <c r="FZ955">
        <v>16.996120793287826</v>
      </c>
      <c r="GA955">
        <v>55.63955461380651</v>
      </c>
      <c r="GB955">
        <v>48.272199360261716</v>
      </c>
      <c r="GC955">
        <v>26.683645250035951</v>
      </c>
      <c r="GD955">
        <v>24.719751345918354</v>
      </c>
      <c r="GE955">
        <v>64.825185681856112</v>
      </c>
      <c r="GF955">
        <v>68.998867600055419</v>
      </c>
      <c r="GG955">
        <v>43.097088513718774</v>
      </c>
      <c r="GH955">
        <v>37.824941504557877</v>
      </c>
      <c r="GI955">
        <v>51.077258606414937</v>
      </c>
      <c r="GJ955"/>
      <c r="GK955"/>
      <c r="GL955"/>
      <c r="GM955"/>
    </row>
    <row r="956" spans="1:195" s="7" customFormat="1">
      <c r="A956" s="4"/>
      <c r="B956" s="4"/>
      <c r="C956" s="4"/>
      <c r="D956" s="4"/>
      <c r="E956" s="4"/>
      <c r="F956" s="28"/>
      <c r="G956" s="28"/>
      <c r="H956" s="83"/>
      <c r="I956" s="4"/>
      <c r="J956" s="4"/>
      <c r="K956" s="4"/>
      <c r="L956" s="4"/>
      <c r="M956" s="4"/>
      <c r="N956" s="28"/>
      <c r="O956" s="4"/>
      <c r="P956" s="4"/>
      <c r="Q956" s="4"/>
      <c r="R956" s="4"/>
      <c r="S956" s="4"/>
      <c r="T956" s="4"/>
      <c r="U956" s="4"/>
      <c r="V956" s="4"/>
      <c r="W956" s="4"/>
      <c r="X956" s="4"/>
      <c r="Y956" s="4"/>
      <c r="Z956" s="4"/>
      <c r="AA956" s="4"/>
      <c r="AB956" s="4"/>
      <c r="AC956" s="4"/>
      <c r="AD956" s="4"/>
      <c r="AE956" s="4"/>
      <c r="AF956" s="81"/>
      <c r="AG956" s="81"/>
      <c r="AH956" s="81"/>
      <c r="AI956" s="4"/>
      <c r="AJ956" s="81"/>
      <c r="AK956" s="81"/>
      <c r="AL956" s="81"/>
      <c r="AM956" s="43">
        <v>940</v>
      </c>
      <c r="AN956">
        <v>244.3147779679278</v>
      </c>
      <c r="AO956">
        <v>81.10979259631165</v>
      </c>
      <c r="AP956">
        <v>578.31560590774382</v>
      </c>
      <c r="AQ956">
        <v>451.85560533482874</v>
      </c>
      <c r="AR956">
        <v>72.771413477117662</v>
      </c>
      <c r="AS956">
        <v>607.27913797432393</v>
      </c>
      <c r="AT956" t="e">
        <v>#DIV/0!</v>
      </c>
      <c r="AU956" t="e">
        <v>#DIV/0!</v>
      </c>
      <c r="AV956"/>
      <c r="AW956"/>
      <c r="FY956" s="211">
        <v>951</v>
      </c>
      <c r="FZ956">
        <v>27.596979865732642</v>
      </c>
      <c r="GA956">
        <v>50.68018669350046</v>
      </c>
      <c r="GB956">
        <v>53.823611794968755</v>
      </c>
      <c r="GC956">
        <v>36.133949559796179</v>
      </c>
      <c r="GD956">
        <v>16.593168920594092</v>
      </c>
      <c r="GE956">
        <v>35.283180388780067</v>
      </c>
      <c r="GF956">
        <v>46.40724008280484</v>
      </c>
      <c r="GG956">
        <v>42.119950764325999</v>
      </c>
      <c r="GH956">
        <v>43.806111036131689</v>
      </c>
      <c r="GI956">
        <v>44.178108985866714</v>
      </c>
      <c r="GJ956"/>
      <c r="GK956"/>
      <c r="GL956"/>
      <c r="GM956"/>
    </row>
    <row r="957" spans="1:195" s="7" customFormat="1">
      <c r="A957" s="4"/>
      <c r="B957" s="4"/>
      <c r="C957" s="4"/>
      <c r="D957" s="4"/>
      <c r="E957" s="4"/>
      <c r="F957" s="28"/>
      <c r="G957" s="28"/>
      <c r="H957" s="83"/>
      <c r="I957" s="4"/>
      <c r="J957" s="4"/>
      <c r="K957" s="4"/>
      <c r="L957" s="4"/>
      <c r="M957" s="4"/>
      <c r="N957" s="28"/>
      <c r="O957" s="4"/>
      <c r="P957" s="4"/>
      <c r="Q957" s="4"/>
      <c r="R957" s="4"/>
      <c r="S957" s="4"/>
      <c r="T957" s="4"/>
      <c r="U957" s="4"/>
      <c r="V957" s="4"/>
      <c r="W957" s="4"/>
      <c r="X957" s="4"/>
      <c r="Y957" s="4"/>
      <c r="Z957" s="4"/>
      <c r="AA957" s="4"/>
      <c r="AB957" s="4"/>
      <c r="AC957" s="4"/>
      <c r="AD957" s="4"/>
      <c r="AE957" s="4"/>
      <c r="AF957" s="81"/>
      <c r="AG957" s="81"/>
      <c r="AH957" s="81"/>
      <c r="AI957" s="4"/>
      <c r="AJ957" s="81"/>
      <c r="AK957" s="81"/>
      <c r="AL957" s="81"/>
      <c r="AM957" s="43">
        <v>941</v>
      </c>
      <c r="AN957">
        <v>250.97583349378405</v>
      </c>
      <c r="AO957">
        <v>73.794794394728484</v>
      </c>
      <c r="AP957">
        <v>502.32743298931086</v>
      </c>
      <c r="AQ957">
        <v>400.54116458862529</v>
      </c>
      <c r="AR957">
        <v>68.104300016216939</v>
      </c>
      <c r="AS957">
        <v>577.33957983094876</v>
      </c>
      <c r="AT957">
        <v>36.763549720631445</v>
      </c>
      <c r="AU957">
        <v>94.130352406960426</v>
      </c>
      <c r="AV957"/>
      <c r="AW957"/>
      <c r="FY957" s="211">
        <v>952</v>
      </c>
      <c r="FZ957">
        <v>12.832157061759183</v>
      </c>
      <c r="GA957">
        <v>53.786103674636337</v>
      </c>
      <c r="GB957">
        <v>97.741833494768954</v>
      </c>
      <c r="GC957">
        <v>60.439306346528028</v>
      </c>
      <c r="GD957">
        <v>19.474545229664063</v>
      </c>
      <c r="GE957">
        <v>26.514828362250981</v>
      </c>
      <c r="GF957">
        <v>56.414797352808968</v>
      </c>
      <c r="GG957">
        <v>41.940620946133002</v>
      </c>
      <c r="GH957">
        <v>20.678313346803606</v>
      </c>
      <c r="GI957">
        <v>54.15169414735746</v>
      </c>
      <c r="GJ957"/>
      <c r="GK957"/>
      <c r="GL957"/>
      <c r="GM957"/>
    </row>
    <row r="958" spans="1:195" s="7" customFormat="1">
      <c r="A958" s="4"/>
      <c r="B958" s="4"/>
      <c r="C958" s="4"/>
      <c r="D958" s="4"/>
      <c r="E958" s="4"/>
      <c r="F958" s="28"/>
      <c r="G958" s="28"/>
      <c r="H958" s="83"/>
      <c r="I958" s="4"/>
      <c r="J958" s="4"/>
      <c r="K958" s="4"/>
      <c r="L958" s="4"/>
      <c r="M958" s="4"/>
      <c r="N958" s="28"/>
      <c r="O958" s="4"/>
      <c r="P958" s="4"/>
      <c r="Q958" s="4"/>
      <c r="R958" s="4"/>
      <c r="S958" s="4"/>
      <c r="T958" s="4"/>
      <c r="U958" s="4"/>
      <c r="V958" s="4"/>
      <c r="W958" s="4"/>
      <c r="X958" s="4"/>
      <c r="Y958" s="4"/>
      <c r="Z958" s="4"/>
      <c r="AA958" s="4"/>
      <c r="AB958" s="4"/>
      <c r="AC958" s="4"/>
      <c r="AD958" s="4"/>
      <c r="AE958" s="4"/>
      <c r="AF958" s="81"/>
      <c r="AG958" s="81"/>
      <c r="AH958" s="81"/>
      <c r="AI958" s="4"/>
      <c r="AJ958" s="81"/>
      <c r="AK958" s="81"/>
      <c r="AL958" s="81"/>
      <c r="AM958" s="43">
        <v>942</v>
      </c>
      <c r="AN958">
        <v>224.91545510732257</v>
      </c>
      <c r="AO958">
        <v>77.299688178989541</v>
      </c>
      <c r="AP958">
        <v>598.99027501951844</v>
      </c>
      <c r="AQ958">
        <v>433.33329470145242</v>
      </c>
      <c r="AR958">
        <v>70.143504520905282</v>
      </c>
      <c r="AS958">
        <v>577.5884898579161</v>
      </c>
      <c r="AT958" t="e">
        <v>#DIV/0!</v>
      </c>
      <c r="AU958" t="e">
        <v>#DIV/0!</v>
      </c>
      <c r="AV958"/>
      <c r="AW958"/>
      <c r="FY958" s="211">
        <v>953</v>
      </c>
      <c r="FZ958">
        <v>18.246388374552048</v>
      </c>
      <c r="GA958">
        <v>50.941049622438939</v>
      </c>
      <c r="GB958">
        <v>50.997877251588179</v>
      </c>
      <c r="GC958">
        <v>33.440656965474496</v>
      </c>
      <c r="GD958">
        <v>18.293354620053133</v>
      </c>
      <c r="GE958">
        <v>52.824373757483784</v>
      </c>
      <c r="GF958">
        <v>111.86877825341459</v>
      </c>
      <c r="GG958">
        <v>56.574268801650923</v>
      </c>
      <c r="GH958">
        <v>15.452132720151038</v>
      </c>
      <c r="GI958">
        <v>51.930279820565161</v>
      </c>
      <c r="GJ958"/>
      <c r="GK958"/>
      <c r="GL958"/>
      <c r="GM958"/>
    </row>
    <row r="959" spans="1:195" s="7" customFormat="1">
      <c r="A959" s="4"/>
      <c r="B959" s="4"/>
      <c r="C959" s="4"/>
      <c r="D959" s="4"/>
      <c r="E959" s="4"/>
      <c r="F959" s="28"/>
      <c r="G959" s="28"/>
      <c r="H959" s="83"/>
      <c r="I959" s="4"/>
      <c r="J959" s="4"/>
      <c r="K959" s="4"/>
      <c r="L959" s="4"/>
      <c r="M959" s="4"/>
      <c r="N959" s="28"/>
      <c r="O959" s="4"/>
      <c r="P959" s="4"/>
      <c r="Q959" s="4"/>
      <c r="R959" s="4"/>
      <c r="S959" s="4"/>
      <c r="T959" s="4"/>
      <c r="U959" s="4"/>
      <c r="V959" s="4"/>
      <c r="W959" s="4"/>
      <c r="X959" s="4"/>
      <c r="Y959" s="4"/>
      <c r="Z959" s="4"/>
      <c r="AA959" s="4"/>
      <c r="AB959" s="4"/>
      <c r="AC959" s="4"/>
      <c r="AD959" s="4"/>
      <c r="AE959" s="4"/>
      <c r="AF959" s="81"/>
      <c r="AG959" s="81"/>
      <c r="AH959" s="81"/>
      <c r="AI959" s="4"/>
      <c r="AJ959" s="81"/>
      <c r="AK959" s="81"/>
      <c r="AL959" s="81"/>
      <c r="AM959" s="43">
        <v>943</v>
      </c>
      <c r="AN959">
        <v>217.35206582405743</v>
      </c>
      <c r="AO959">
        <v>87.782730216012766</v>
      </c>
      <c r="AP959">
        <v>662.76573973392794</v>
      </c>
      <c r="AQ959">
        <v>486.65905150091822</v>
      </c>
      <c r="AR959">
        <v>79.924260692518089</v>
      </c>
      <c r="AS959">
        <v>606.41365246969008</v>
      </c>
      <c r="AT959">
        <v>44.716656111083502</v>
      </c>
      <c r="AU959">
        <v>131.92023571592196</v>
      </c>
      <c r="AV959"/>
      <c r="AW959"/>
      <c r="FY959" s="211">
        <v>954</v>
      </c>
      <c r="FZ959">
        <v>18.762308971265895</v>
      </c>
      <c r="GA959">
        <v>56.427642033910338</v>
      </c>
      <c r="GB959">
        <v>65.934449722906564</v>
      </c>
      <c r="GC959">
        <v>42.187909796882373</v>
      </c>
      <c r="GD959">
        <v>16.739384257553784</v>
      </c>
      <c r="GE959">
        <v>27.953277811579028</v>
      </c>
      <c r="GF959">
        <v>56.538637275910197</v>
      </c>
      <c r="GG959">
        <v>34.982780335066842</v>
      </c>
      <c r="GH959">
        <v>15.983463167147846</v>
      </c>
      <c r="GI959">
        <v>43.330734362663812</v>
      </c>
      <c r="GJ959"/>
      <c r="GK959"/>
      <c r="GL959"/>
      <c r="GM959"/>
    </row>
    <row r="960" spans="1:195" s="7" customFormat="1">
      <c r="A960" s="4"/>
      <c r="B960" s="4"/>
      <c r="C960" s="4"/>
      <c r="D960" s="4"/>
      <c r="E960" s="4"/>
      <c r="F960" s="28"/>
      <c r="G960" s="28"/>
      <c r="H960" s="83"/>
      <c r="I960" s="4"/>
      <c r="J960" s="4"/>
      <c r="K960" s="4"/>
      <c r="L960" s="4"/>
      <c r="M960" s="4"/>
      <c r="N960" s="28"/>
      <c r="O960" s="4"/>
      <c r="P960" s="4"/>
      <c r="Q960" s="4"/>
      <c r="R960" s="4"/>
      <c r="S960" s="4"/>
      <c r="T960" s="4"/>
      <c r="U960" s="4"/>
      <c r="V960" s="4"/>
      <c r="W960" s="4"/>
      <c r="X960" s="4"/>
      <c r="Y960" s="4"/>
      <c r="Z960" s="4"/>
      <c r="AA960" s="4"/>
      <c r="AB960" s="4"/>
      <c r="AC960" s="4"/>
      <c r="AD960" s="4"/>
      <c r="AE960" s="4"/>
      <c r="AF960" s="81"/>
      <c r="AG960" s="81"/>
      <c r="AH960" s="81"/>
      <c r="AI960" s="4"/>
      <c r="AJ960" s="81"/>
      <c r="AK960" s="81"/>
      <c r="AL960" s="81"/>
      <c r="AM960" s="43">
        <v>944</v>
      </c>
      <c r="AN960">
        <v>252.79227678618594</v>
      </c>
      <c r="AO960">
        <v>87.348411550350946</v>
      </c>
      <c r="AP960">
        <v>681.35611461528265</v>
      </c>
      <c r="AQ960">
        <v>483.07633134804189</v>
      </c>
      <c r="AR960">
        <v>79.460467453089763</v>
      </c>
      <c r="AS960">
        <v>654.16372480713596</v>
      </c>
      <c r="AT960">
        <v>43.973038007536822</v>
      </c>
      <c r="AU960">
        <v>66.365401956930953</v>
      </c>
      <c r="AV960"/>
      <c r="AW960"/>
      <c r="FY960" s="211">
        <v>955</v>
      </c>
      <c r="FZ960">
        <v>23.583601937818237</v>
      </c>
      <c r="GA960">
        <v>64.334914939802331</v>
      </c>
      <c r="GB960">
        <v>104.98265166958438</v>
      </c>
      <c r="GC960">
        <v>57.028195729620101</v>
      </c>
      <c r="GD960">
        <v>29.839861516161701</v>
      </c>
      <c r="GE960">
        <v>54.164870289670731</v>
      </c>
      <c r="GF960">
        <v>105.48333190256309</v>
      </c>
      <c r="GG960">
        <v>93.084137239756501</v>
      </c>
      <c r="GH960">
        <v>18.994249312125309</v>
      </c>
      <c r="GI960">
        <v>74.662351582513367</v>
      </c>
      <c r="GJ960"/>
      <c r="GK960"/>
      <c r="GL960"/>
      <c r="GM960"/>
    </row>
    <row r="961" spans="1:195" s="7" customFormat="1">
      <c r="A961" s="4"/>
      <c r="B961" s="4"/>
      <c r="C961" s="4"/>
      <c r="D961" s="4"/>
      <c r="E961" s="4"/>
      <c r="F961" s="28"/>
      <c r="G961" s="28"/>
      <c r="H961" s="83"/>
      <c r="I961" s="4"/>
      <c r="J961" s="4"/>
      <c r="K961" s="4"/>
      <c r="L961" s="4"/>
      <c r="M961" s="4"/>
      <c r="N961" s="28"/>
      <c r="O961" s="4"/>
      <c r="P961" s="4"/>
      <c r="Q961" s="4"/>
      <c r="R961" s="4"/>
      <c r="S961" s="4"/>
      <c r="T961" s="4"/>
      <c r="U961" s="4"/>
      <c r="V961" s="4"/>
      <c r="W961" s="4"/>
      <c r="X961" s="4"/>
      <c r="Y961" s="4"/>
      <c r="Z961" s="4"/>
      <c r="AA961" s="4"/>
      <c r="AB961" s="4"/>
      <c r="AC961" s="4"/>
      <c r="AD961" s="4"/>
      <c r="AE961" s="4"/>
      <c r="AF961" s="81"/>
      <c r="AG961" s="81"/>
      <c r="AH961" s="81"/>
      <c r="AI961" s="4"/>
      <c r="AJ961" s="81"/>
      <c r="AK961" s="81"/>
      <c r="AL961" s="81"/>
      <c r="AM961" s="43">
        <v>945</v>
      </c>
      <c r="AN961">
        <v>252.64769743469418</v>
      </c>
      <c r="AO961">
        <v>85.260625923532828</v>
      </c>
      <c r="AP961">
        <v>643.1224070278937</v>
      </c>
      <c r="AQ961">
        <v>458.40229495459096</v>
      </c>
      <c r="AR961">
        <v>75.474640200498968</v>
      </c>
      <c r="AS961">
        <v>634.8044052637897</v>
      </c>
      <c r="AT961" t="e">
        <v>#DIV/0!</v>
      </c>
      <c r="AU961" t="e">
        <v>#DIV/0!</v>
      </c>
      <c r="AV961"/>
      <c r="AW961"/>
      <c r="FY961" s="211">
        <v>956</v>
      </c>
      <c r="FZ961">
        <v>18.34874945264562</v>
      </c>
      <c r="GA961">
        <v>50.451888212988237</v>
      </c>
      <c r="GB961">
        <v>54.364641584785282</v>
      </c>
      <c r="GC961">
        <v>34.545556687579207</v>
      </c>
      <c r="GD961">
        <v>23.491637382775544</v>
      </c>
      <c r="GE961">
        <v>46.95049044509431</v>
      </c>
      <c r="GF961">
        <v>121.44481836255689</v>
      </c>
      <c r="GG961">
        <v>102.89447642105098</v>
      </c>
      <c r="GH961">
        <v>29.7431377828912</v>
      </c>
      <c r="GI961">
        <v>61.532316871379471</v>
      </c>
      <c r="GJ961"/>
      <c r="GK961"/>
      <c r="GL961"/>
      <c r="GM961"/>
    </row>
    <row r="962" spans="1:195" s="7" customFormat="1">
      <c r="A962" s="4"/>
      <c r="B962" s="4"/>
      <c r="C962" s="4"/>
      <c r="D962" s="4"/>
      <c r="E962" s="4"/>
      <c r="F962" s="28"/>
      <c r="G962" s="28"/>
      <c r="H962" s="83"/>
      <c r="I962" s="4"/>
      <c r="J962" s="4"/>
      <c r="K962" s="4"/>
      <c r="L962" s="4"/>
      <c r="M962" s="4"/>
      <c r="N962" s="28"/>
      <c r="O962" s="4"/>
      <c r="P962" s="4"/>
      <c r="Q962" s="4"/>
      <c r="R962" s="4"/>
      <c r="S962" s="4"/>
      <c r="T962" s="4"/>
      <c r="U962" s="4"/>
      <c r="V962" s="4"/>
      <c r="W962" s="4"/>
      <c r="X962" s="4"/>
      <c r="Y962" s="4"/>
      <c r="Z962" s="4"/>
      <c r="AA962" s="4"/>
      <c r="AB962" s="4"/>
      <c r="AC962" s="4"/>
      <c r="AD962" s="4"/>
      <c r="AE962" s="4"/>
      <c r="AF962" s="81"/>
      <c r="AG962" s="81"/>
      <c r="AH962" s="81"/>
      <c r="AI962" s="4"/>
      <c r="AJ962" s="81"/>
      <c r="AK962" s="81"/>
      <c r="AL962" s="81"/>
      <c r="AM962" s="43">
        <v>946</v>
      </c>
      <c r="AN962">
        <v>241.97537872387744</v>
      </c>
      <c r="AO962">
        <v>82.43822328081967</v>
      </c>
      <c r="AP962">
        <v>628.83486040534103</v>
      </c>
      <c r="AQ962">
        <v>461.17693904330224</v>
      </c>
      <c r="AR962">
        <v>74.537938089760686</v>
      </c>
      <c r="AS962">
        <v>639.10349448447664</v>
      </c>
      <c r="AT962">
        <v>41.545754451087539</v>
      </c>
      <c r="AU962">
        <v>89.500467727174581</v>
      </c>
      <c r="AV962"/>
      <c r="AW962"/>
      <c r="FY962" s="211">
        <v>957</v>
      </c>
      <c r="FZ962">
        <v>25.887431053638338</v>
      </c>
      <c r="GA962">
        <v>65.399754548267595</v>
      </c>
      <c r="GB962">
        <v>56.151966514754918</v>
      </c>
      <c r="GC962">
        <v>31.529772838164067</v>
      </c>
      <c r="GD962">
        <v>19.291818215872336</v>
      </c>
      <c r="GE962">
        <v>40.370225361241225</v>
      </c>
      <c r="GF962">
        <v>57.342754243653474</v>
      </c>
      <c r="GG962">
        <v>38.989509807428121</v>
      </c>
      <c r="GH962">
        <v>20.751657688702842</v>
      </c>
      <c r="GI962">
        <v>44.965462548692066</v>
      </c>
      <c r="GJ962"/>
      <c r="GK962"/>
      <c r="GL962"/>
      <c r="GM962"/>
    </row>
    <row r="963" spans="1:195" s="7" customFormat="1">
      <c r="A963" s="4"/>
      <c r="B963" s="4"/>
      <c r="C963" s="4"/>
      <c r="D963" s="4"/>
      <c r="E963" s="4"/>
      <c r="F963" s="28"/>
      <c r="G963" s="28"/>
      <c r="H963" s="83"/>
      <c r="I963" s="4"/>
      <c r="J963" s="4"/>
      <c r="K963" s="4"/>
      <c r="L963" s="4"/>
      <c r="M963" s="4"/>
      <c r="N963" s="28"/>
      <c r="O963" s="4"/>
      <c r="P963" s="4"/>
      <c r="Q963" s="4"/>
      <c r="R963" s="4"/>
      <c r="S963" s="4"/>
      <c r="T963" s="4"/>
      <c r="U963" s="4"/>
      <c r="V963" s="4"/>
      <c r="W963" s="4"/>
      <c r="X963" s="4"/>
      <c r="Y963" s="4"/>
      <c r="Z963" s="4"/>
      <c r="AA963" s="4"/>
      <c r="AB963" s="4"/>
      <c r="AC963" s="4"/>
      <c r="AD963" s="4"/>
      <c r="AE963" s="4"/>
      <c r="AF963" s="81"/>
      <c r="AG963" s="81"/>
      <c r="AH963" s="81"/>
      <c r="AI963" s="4"/>
      <c r="AJ963" s="81"/>
      <c r="AK963" s="81"/>
      <c r="AL963" s="81"/>
      <c r="AM963" s="43">
        <v>947</v>
      </c>
      <c r="AN963">
        <v>277.10972695334186</v>
      </c>
      <c r="AO963">
        <v>96.505917323374177</v>
      </c>
      <c r="AP963">
        <v>658.06803448925882</v>
      </c>
      <c r="AQ963">
        <v>514.74047499828407</v>
      </c>
      <c r="AR963">
        <v>86.185968377620583</v>
      </c>
      <c r="AS963">
        <v>681.07851333148733</v>
      </c>
      <c r="AT963" t="e">
        <v>#DIV/0!</v>
      </c>
      <c r="AU963" t="e">
        <v>#DIV/0!</v>
      </c>
      <c r="AV963"/>
      <c r="AW963"/>
      <c r="FY963" s="211">
        <v>958</v>
      </c>
      <c r="FZ963">
        <v>26.179457736961979</v>
      </c>
      <c r="GA963">
        <v>64.747372201147215</v>
      </c>
      <c r="GB963">
        <v>103.46127273178011</v>
      </c>
      <c r="GC963">
        <v>54.015029973216627</v>
      </c>
      <c r="GD963">
        <v>13.809804393201318</v>
      </c>
      <c r="GE963">
        <v>41.725343346246667</v>
      </c>
      <c r="GF963">
        <v>119.0557835966266</v>
      </c>
      <c r="GG963">
        <v>94.387081813864881</v>
      </c>
      <c r="GH963">
        <v>34.815185898157381</v>
      </c>
      <c r="GI963">
        <v>68.88911901426917</v>
      </c>
      <c r="GJ963"/>
      <c r="GK963"/>
      <c r="GL963"/>
      <c r="GM963"/>
    </row>
    <row r="964" spans="1:195" s="7" customFormat="1">
      <c r="A964" s="4"/>
      <c r="B964" s="4"/>
      <c r="C964" s="4"/>
      <c r="D964" s="4"/>
      <c r="E964" s="4"/>
      <c r="F964" s="28"/>
      <c r="G964" s="28"/>
      <c r="H964" s="83"/>
      <c r="I964" s="4"/>
      <c r="J964" s="4"/>
      <c r="K964" s="4"/>
      <c r="L964" s="4"/>
      <c r="M964" s="4"/>
      <c r="N964" s="28"/>
      <c r="O964" s="4"/>
      <c r="P964" s="4"/>
      <c r="Q964" s="4"/>
      <c r="R964" s="4"/>
      <c r="S964" s="4"/>
      <c r="T964" s="4"/>
      <c r="U964" s="4"/>
      <c r="V964" s="4"/>
      <c r="W964" s="4"/>
      <c r="X964" s="4"/>
      <c r="Y964" s="4"/>
      <c r="Z964" s="4"/>
      <c r="AA964" s="4"/>
      <c r="AB964" s="4"/>
      <c r="AC964" s="4"/>
      <c r="AD964" s="4"/>
      <c r="AE964" s="4"/>
      <c r="AF964" s="81"/>
      <c r="AG964" s="81"/>
      <c r="AH964" s="81"/>
      <c r="AI964" s="4"/>
      <c r="AJ964" s="81"/>
      <c r="AK964" s="81"/>
      <c r="AL964" s="81"/>
      <c r="AM964" s="43">
        <v>948</v>
      </c>
      <c r="AN964">
        <v>227.99634844658652</v>
      </c>
      <c r="AO964">
        <v>95.809726051960624</v>
      </c>
      <c r="AP964">
        <v>777.34056376912747</v>
      </c>
      <c r="AQ964">
        <v>532.68049605360568</v>
      </c>
      <c r="AR964">
        <v>85.81128207490076</v>
      </c>
      <c r="AS964">
        <v>627.76160718647475</v>
      </c>
      <c r="AT964">
        <v>47.596877626457349</v>
      </c>
      <c r="AU964">
        <v>95.427486342840794</v>
      </c>
      <c r="AV964"/>
      <c r="AW964"/>
      <c r="FY964" s="211">
        <v>959</v>
      </c>
      <c r="FZ964">
        <v>7.0288899770334279</v>
      </c>
      <c r="GA964">
        <v>30.920202452336877</v>
      </c>
      <c r="GB964">
        <v>53.884160840868901</v>
      </c>
      <c r="GC964">
        <v>30.710177640207363</v>
      </c>
      <c r="GD964">
        <v>14.244167809500802</v>
      </c>
      <c r="GE964">
        <v>20.547533894447572</v>
      </c>
      <c r="GF964">
        <v>81.732585426295159</v>
      </c>
      <c r="GG964">
        <v>74.890644183144829</v>
      </c>
      <c r="GH964">
        <v>9.2546648252814645</v>
      </c>
      <c r="GI964">
        <v>42.054322776250316</v>
      </c>
      <c r="GJ964"/>
      <c r="GK964"/>
      <c r="GL964"/>
      <c r="GM964"/>
    </row>
    <row r="965" spans="1:195" s="7" customFormat="1">
      <c r="A965" s="4"/>
      <c r="B965" s="4"/>
      <c r="C965" s="4"/>
      <c r="D965" s="4"/>
      <c r="E965" s="4"/>
      <c r="F965" s="28"/>
      <c r="G965" s="28"/>
      <c r="H965" s="83"/>
      <c r="I965" s="4"/>
      <c r="J965" s="4"/>
      <c r="K965" s="4"/>
      <c r="L965" s="4"/>
      <c r="M965" s="4"/>
      <c r="N965" s="28"/>
      <c r="O965" s="4"/>
      <c r="P965" s="4"/>
      <c r="Q965" s="4"/>
      <c r="R965" s="4"/>
      <c r="S965" s="4"/>
      <c r="T965" s="4"/>
      <c r="U965" s="4"/>
      <c r="V965" s="4"/>
      <c r="W965" s="4"/>
      <c r="X965" s="4"/>
      <c r="Y965" s="4"/>
      <c r="Z965" s="4"/>
      <c r="AA965" s="4"/>
      <c r="AB965" s="4"/>
      <c r="AC965" s="4"/>
      <c r="AD965" s="4"/>
      <c r="AE965" s="4"/>
      <c r="AF965" s="81"/>
      <c r="AG965" s="81"/>
      <c r="AH965" s="81"/>
      <c r="AI965" s="4"/>
      <c r="AJ965" s="81"/>
      <c r="AK965" s="81"/>
      <c r="AL965" s="81"/>
      <c r="AM965" s="43">
        <v>949</v>
      </c>
      <c r="AN965">
        <v>291.46667972585561</v>
      </c>
      <c r="AO965">
        <v>109.49050410672517</v>
      </c>
      <c r="AP965">
        <v>808.05242577774027</v>
      </c>
      <c r="AQ965">
        <v>580.14967302124319</v>
      </c>
      <c r="AR965">
        <v>99.543785756786306</v>
      </c>
      <c r="AS965">
        <v>842.32075406050569</v>
      </c>
      <c r="AT965" t="e">
        <v>#DIV/0!</v>
      </c>
      <c r="AU965" t="e">
        <v>#DIV/0!</v>
      </c>
      <c r="AV965"/>
      <c r="AW965"/>
      <c r="FY965" s="211">
        <v>960</v>
      </c>
      <c r="FZ965">
        <v>24.557745767693728</v>
      </c>
      <c r="GA965">
        <v>63.823802056245974</v>
      </c>
      <c r="GB965">
        <v>63.381821876681713</v>
      </c>
      <c r="GC965">
        <v>36.913261277483947</v>
      </c>
      <c r="GD965">
        <v>16.582684165344531</v>
      </c>
      <c r="GE965">
        <v>28.371256641872662</v>
      </c>
      <c r="GF965">
        <v>33.904064154533863</v>
      </c>
      <c r="GG965">
        <v>35.098041359533681</v>
      </c>
      <c r="GH965">
        <v>37.074877339597663</v>
      </c>
      <c r="GI965">
        <v>42.732773318869029</v>
      </c>
      <c r="GJ965"/>
      <c r="GK965"/>
      <c r="GL965"/>
      <c r="GM965"/>
    </row>
    <row r="966" spans="1:195" s="7" customFormat="1">
      <c r="A966" s="4"/>
      <c r="B966" s="4"/>
      <c r="C966" s="4"/>
      <c r="D966" s="4"/>
      <c r="E966" s="4"/>
      <c r="F966" s="28"/>
      <c r="G966" s="28"/>
      <c r="H966" s="83"/>
      <c r="I966" s="4"/>
      <c r="J966" s="4"/>
      <c r="K966" s="4"/>
      <c r="L966" s="4"/>
      <c r="M966" s="4"/>
      <c r="N966" s="28"/>
      <c r="O966" s="4"/>
      <c r="P966" s="4"/>
      <c r="Q966" s="4"/>
      <c r="R966" s="4"/>
      <c r="S966" s="4"/>
      <c r="T966" s="4"/>
      <c r="U966" s="4"/>
      <c r="V966" s="4"/>
      <c r="W966" s="4"/>
      <c r="X966" s="4"/>
      <c r="Y966" s="4"/>
      <c r="Z966" s="4"/>
      <c r="AA966" s="4"/>
      <c r="AB966" s="4"/>
      <c r="AC966" s="4"/>
      <c r="AD966" s="4"/>
      <c r="AE966" s="4"/>
      <c r="AF966" s="81"/>
      <c r="AG966" s="81"/>
      <c r="AH966" s="81"/>
      <c r="AI966" s="4"/>
      <c r="AJ966" s="81"/>
      <c r="AK966" s="81"/>
      <c r="AL966" s="81"/>
      <c r="AM966" s="43">
        <v>950</v>
      </c>
      <c r="AN966">
        <v>242.73029233975549</v>
      </c>
      <c r="AO966">
        <v>81.496540500415463</v>
      </c>
      <c r="AP966">
        <v>565.51975448852056</v>
      </c>
      <c r="AQ966">
        <v>438.13461326991347</v>
      </c>
      <c r="AR966">
        <v>72.115464933652433</v>
      </c>
      <c r="AS966">
        <v>572.11036629845739</v>
      </c>
      <c r="AT966">
        <v>39.513359583746237</v>
      </c>
      <c r="AU966">
        <v>73.76674034966139</v>
      </c>
      <c r="AV966"/>
      <c r="AW966"/>
      <c r="FY966" s="211">
        <v>961</v>
      </c>
      <c r="FZ966">
        <v>15.011667538182841</v>
      </c>
      <c r="GA966">
        <v>49.603528636068162</v>
      </c>
      <c r="GB966">
        <v>75.174228007369933</v>
      </c>
      <c r="GC966">
        <v>44.932444627340068</v>
      </c>
      <c r="GD966">
        <v>22.049919659010687</v>
      </c>
      <c r="GE966">
        <v>45.254571228519126</v>
      </c>
      <c r="GF966">
        <v>50.685930265972694</v>
      </c>
      <c r="GG966">
        <v>34.230848790868201</v>
      </c>
      <c r="GH966">
        <v>26.998407391294332</v>
      </c>
      <c r="GI966">
        <v>49.57559174303703</v>
      </c>
      <c r="GJ966"/>
      <c r="GK966"/>
      <c r="GL966"/>
      <c r="GM966"/>
    </row>
    <row r="967" spans="1:195" s="7" customFormat="1">
      <c r="A967" s="4"/>
      <c r="B967" s="4"/>
      <c r="C967" s="4"/>
      <c r="D967" s="4"/>
      <c r="E967" s="4"/>
      <c r="F967" s="28"/>
      <c r="G967" s="28"/>
      <c r="H967" s="83"/>
      <c r="I967" s="4"/>
      <c r="J967" s="4"/>
      <c r="K967" s="4"/>
      <c r="L967" s="4"/>
      <c r="M967" s="4"/>
      <c r="N967" s="28"/>
      <c r="O967" s="4"/>
      <c r="P967" s="4"/>
      <c r="Q967" s="4"/>
      <c r="R967" s="4"/>
      <c r="S967" s="4"/>
      <c r="T967" s="4"/>
      <c r="U967" s="4"/>
      <c r="V967" s="4"/>
      <c r="W967" s="4"/>
      <c r="X967" s="4"/>
      <c r="Y967" s="4"/>
      <c r="Z967" s="4"/>
      <c r="AA967" s="4"/>
      <c r="AB967" s="4"/>
      <c r="AC967" s="4"/>
      <c r="AD967" s="4"/>
      <c r="AE967" s="4"/>
      <c r="AF967" s="81"/>
      <c r="AG967" s="81"/>
      <c r="AH967" s="81"/>
      <c r="AI967" s="4"/>
      <c r="AJ967" s="81"/>
      <c r="AK967" s="81"/>
      <c r="AL967" s="81"/>
      <c r="AM967" s="43">
        <v>951</v>
      </c>
      <c r="AN967">
        <v>220.34850011598587</v>
      </c>
      <c r="AO967">
        <v>69.690318286209546</v>
      </c>
      <c r="AP967">
        <v>514.53094616528551</v>
      </c>
      <c r="AQ967">
        <v>396.6224880925015</v>
      </c>
      <c r="AR967">
        <v>62.66452404475109</v>
      </c>
      <c r="AS967">
        <v>529.42289889945971</v>
      </c>
      <c r="AT967">
        <v>33.095776918146584</v>
      </c>
      <c r="AU967">
        <v>34.028874838153399</v>
      </c>
      <c r="AV967"/>
      <c r="AW967"/>
      <c r="FY967" s="211">
        <v>962</v>
      </c>
      <c r="FZ967">
        <v>23.593965071535916</v>
      </c>
      <c r="GA967">
        <v>64.668083398013962</v>
      </c>
      <c r="GB967">
        <v>91.932395659550181</v>
      </c>
      <c r="GC967">
        <v>51.331200010385011</v>
      </c>
      <c r="GD967">
        <v>15.352498207072202</v>
      </c>
      <c r="GE967">
        <v>24.690394401665152</v>
      </c>
      <c r="GF967">
        <v>51.329133834061828</v>
      </c>
      <c r="GG967">
        <v>34.868606346954081</v>
      </c>
      <c r="GH967">
        <v>9.7523001647991965</v>
      </c>
      <c r="GI967">
        <v>48.866422631778065</v>
      </c>
      <c r="GJ967"/>
      <c r="GK967"/>
      <c r="GL967"/>
      <c r="GM967"/>
    </row>
    <row r="968" spans="1:195" s="7" customFormat="1">
      <c r="A968" s="4"/>
      <c r="B968" s="4"/>
      <c r="C968" s="4"/>
      <c r="D968" s="4"/>
      <c r="E968" s="4"/>
      <c r="F968" s="28"/>
      <c r="G968" s="28"/>
      <c r="H968" s="83"/>
      <c r="I968" s="4"/>
      <c r="J968" s="4"/>
      <c r="K968" s="4"/>
      <c r="L968" s="4"/>
      <c r="M968" s="4"/>
      <c r="N968" s="28"/>
      <c r="O968" s="4"/>
      <c r="P968" s="4"/>
      <c r="Q968" s="4"/>
      <c r="R968" s="4"/>
      <c r="S968" s="4"/>
      <c r="T968" s="4"/>
      <c r="U968" s="4"/>
      <c r="V968" s="4"/>
      <c r="W968" s="4"/>
      <c r="X968" s="4"/>
      <c r="Y968" s="4"/>
      <c r="Z968" s="4"/>
      <c r="AA968" s="4"/>
      <c r="AB968" s="4"/>
      <c r="AC968" s="4"/>
      <c r="AD968" s="4"/>
      <c r="AE968" s="4"/>
      <c r="AF968" s="81"/>
      <c r="AG968" s="81"/>
      <c r="AH968" s="81"/>
      <c r="AI968" s="4"/>
      <c r="AJ968" s="81"/>
      <c r="AK968" s="81"/>
      <c r="AL968" s="81"/>
      <c r="AM968" s="43">
        <v>952</v>
      </c>
      <c r="AN968">
        <v>246.65309415245716</v>
      </c>
      <c r="AO968">
        <v>85.83886093482667</v>
      </c>
      <c r="AP968">
        <v>614.07650221986955</v>
      </c>
      <c r="AQ968">
        <v>443.9741999627106</v>
      </c>
      <c r="AR968">
        <v>77.825764904602991</v>
      </c>
      <c r="AS968">
        <v>656.80026648917647</v>
      </c>
      <c r="AT968">
        <v>45.157958637970943</v>
      </c>
      <c r="AU968">
        <v>68.288599184281324</v>
      </c>
      <c r="AV968"/>
      <c r="AW968"/>
      <c r="FY968" s="211">
        <v>963</v>
      </c>
      <c r="FZ968">
        <v>33.391522869779763</v>
      </c>
      <c r="GA968">
        <v>71.660877067857172</v>
      </c>
      <c r="GB968">
        <v>64.282365498457935</v>
      </c>
      <c r="GC968">
        <v>36.597163441401889</v>
      </c>
      <c r="GD968">
        <v>13.99268268138186</v>
      </c>
      <c r="GE968">
        <v>49.235529376528476</v>
      </c>
      <c r="GF968">
        <v>116.19213756879707</v>
      </c>
      <c r="GG968">
        <v>60.596169525185893</v>
      </c>
      <c r="GH968">
        <v>15.879111670809817</v>
      </c>
      <c r="GI968">
        <v>55.671957014460823</v>
      </c>
      <c r="GJ968"/>
      <c r="GK968"/>
      <c r="GL968"/>
      <c r="GM968"/>
    </row>
    <row r="969" spans="1:195" s="7" customFormat="1">
      <c r="A969" s="4"/>
      <c r="B969" s="4"/>
      <c r="C969" s="4"/>
      <c r="D969" s="4"/>
      <c r="E969" s="4"/>
      <c r="F969" s="28"/>
      <c r="G969" s="28"/>
      <c r="H969" s="83"/>
      <c r="I969" s="4"/>
      <c r="J969" s="4"/>
      <c r="K969" s="4"/>
      <c r="L969" s="4"/>
      <c r="M969" s="4"/>
      <c r="N969" s="28"/>
      <c r="O969" s="4"/>
      <c r="P969" s="4"/>
      <c r="Q969" s="4"/>
      <c r="R969" s="4"/>
      <c r="S969" s="4"/>
      <c r="T969" s="4"/>
      <c r="U969" s="4"/>
      <c r="V969" s="4"/>
      <c r="W969" s="4"/>
      <c r="X969" s="4"/>
      <c r="Y969" s="4"/>
      <c r="Z969" s="4"/>
      <c r="AA969" s="4"/>
      <c r="AB969" s="4"/>
      <c r="AC969" s="4"/>
      <c r="AD969" s="4"/>
      <c r="AE969" s="4"/>
      <c r="AF969" s="81"/>
      <c r="AG969" s="81"/>
      <c r="AH969" s="81"/>
      <c r="AI969" s="4"/>
      <c r="AJ969" s="81"/>
      <c r="AK969" s="81"/>
      <c r="AL969" s="81"/>
      <c r="AM969" s="43">
        <v>953</v>
      </c>
      <c r="AN969">
        <v>264.75630479115438</v>
      </c>
      <c r="AO969">
        <v>82.617331021545553</v>
      </c>
      <c r="AP969">
        <v>622.48630518494656</v>
      </c>
      <c r="AQ969">
        <v>460.56916018737229</v>
      </c>
      <c r="AR969">
        <v>73.271266354438708</v>
      </c>
      <c r="AS969">
        <v>615.22990782496504</v>
      </c>
      <c r="AT969">
        <v>39.793816447945851</v>
      </c>
      <c r="AU969">
        <v>163.92511250326822</v>
      </c>
      <c r="AV969"/>
      <c r="AW969"/>
      <c r="FY969" s="211">
        <v>964</v>
      </c>
      <c r="FZ969">
        <v>6.6169954563908142</v>
      </c>
      <c r="GA969">
        <v>45.734079174743869</v>
      </c>
      <c r="GB969">
        <v>58.881374870190847</v>
      </c>
      <c r="GC969">
        <v>34.370379095932257</v>
      </c>
      <c r="GD969">
        <v>29.493673215712406</v>
      </c>
      <c r="GE969">
        <v>69.790577781172345</v>
      </c>
      <c r="GF969">
        <v>83.799278750314414</v>
      </c>
      <c r="GG969">
        <v>45.09451260989038</v>
      </c>
      <c r="GH969">
        <v>18.023720709087144</v>
      </c>
      <c r="GI969">
        <v>54.12025097804473</v>
      </c>
      <c r="GJ969"/>
      <c r="GK969"/>
      <c r="GL969"/>
      <c r="GM969"/>
    </row>
    <row r="970" spans="1:195" s="7" customFormat="1">
      <c r="A970" s="4"/>
      <c r="B970" s="4"/>
      <c r="C970" s="4"/>
      <c r="D970" s="4"/>
      <c r="E970" s="4"/>
      <c r="F970" s="28"/>
      <c r="G970" s="28"/>
      <c r="H970" s="83"/>
      <c r="I970" s="4"/>
      <c r="J970" s="4"/>
      <c r="K970" s="4"/>
      <c r="L970" s="4"/>
      <c r="M970" s="4"/>
      <c r="N970" s="28"/>
      <c r="O970" s="4"/>
      <c r="P970" s="4"/>
      <c r="Q970" s="4"/>
      <c r="R970" s="4"/>
      <c r="S970" s="4"/>
      <c r="T970" s="4"/>
      <c r="U970" s="4"/>
      <c r="V970" s="4"/>
      <c r="W970" s="4"/>
      <c r="X970" s="4"/>
      <c r="Y970" s="4"/>
      <c r="Z970" s="4"/>
      <c r="AA970" s="4"/>
      <c r="AB970" s="4"/>
      <c r="AC970" s="4"/>
      <c r="AD970" s="4"/>
      <c r="AE970" s="4"/>
      <c r="AF970" s="81"/>
      <c r="AG970" s="81"/>
      <c r="AH970" s="81"/>
      <c r="AI970" s="4"/>
      <c r="AJ970" s="81"/>
      <c r="AK970" s="81"/>
      <c r="AL970" s="81"/>
      <c r="AM970" s="43">
        <v>954</v>
      </c>
      <c r="AN970">
        <v>250.574316645495</v>
      </c>
      <c r="AO970">
        <v>67.118460590526382</v>
      </c>
      <c r="AP970">
        <v>488.59635854129004</v>
      </c>
      <c r="AQ970">
        <v>378.84058773488658</v>
      </c>
      <c r="AR970">
        <v>60.658050896271824</v>
      </c>
      <c r="AS970">
        <v>565.94852989618141</v>
      </c>
      <c r="AT970">
        <v>33.591972422608549</v>
      </c>
      <c r="AU970">
        <v>54.421780484480607</v>
      </c>
      <c r="AV970"/>
      <c r="AW970"/>
      <c r="FY970" s="211">
        <v>965</v>
      </c>
      <c r="FZ970">
        <v>23.333643040187319</v>
      </c>
      <c r="GA970">
        <v>69.59652529031419</v>
      </c>
      <c r="GB970">
        <v>93.790965359980959</v>
      </c>
      <c r="GC970">
        <v>50.962376108244278</v>
      </c>
      <c r="GD970">
        <v>19.551592933345649</v>
      </c>
      <c r="GE970">
        <v>43.003126828128906</v>
      </c>
      <c r="GF970">
        <v>60.536959180686004</v>
      </c>
      <c r="GG970">
        <v>24.123432675772854</v>
      </c>
      <c r="GH970">
        <v>3.2721371853683792</v>
      </c>
      <c r="GI970">
        <v>52.049030476178849</v>
      </c>
      <c r="GJ970"/>
      <c r="GK970"/>
      <c r="GL970"/>
      <c r="GM970"/>
    </row>
    <row r="971" spans="1:195" s="7" customFormat="1">
      <c r="A971" s="4"/>
      <c r="B971" s="4"/>
      <c r="C971" s="4"/>
      <c r="D971" s="4"/>
      <c r="E971" s="4"/>
      <c r="F971" s="28"/>
      <c r="G971" s="28"/>
      <c r="H971" s="83"/>
      <c r="I971" s="4"/>
      <c r="J971" s="4"/>
      <c r="K971" s="4"/>
      <c r="L971" s="4"/>
      <c r="M971" s="4"/>
      <c r="N971" s="28"/>
      <c r="O971" s="4"/>
      <c r="P971" s="4"/>
      <c r="Q971" s="4"/>
      <c r="R971" s="4"/>
      <c r="S971" s="4"/>
      <c r="T971" s="4"/>
      <c r="U971" s="4"/>
      <c r="V971" s="4"/>
      <c r="W971" s="4"/>
      <c r="X971" s="4"/>
      <c r="Y971" s="4"/>
      <c r="Z971" s="4"/>
      <c r="AA971" s="4"/>
      <c r="AB971" s="4"/>
      <c r="AC971" s="4"/>
      <c r="AD971" s="4"/>
      <c r="AE971" s="4"/>
      <c r="AF971" s="81"/>
      <c r="AG971" s="81"/>
      <c r="AH971" s="81"/>
      <c r="AI971" s="4"/>
      <c r="AJ971" s="81"/>
      <c r="AK971" s="81"/>
      <c r="AL971" s="81"/>
      <c r="AM971" s="43">
        <v>955</v>
      </c>
      <c r="AN971">
        <v>270.3382898869321</v>
      </c>
      <c r="AO971">
        <v>120.44632053580672</v>
      </c>
      <c r="AP971">
        <v>877.57664855368955</v>
      </c>
      <c r="AQ971">
        <v>626.15816611961577</v>
      </c>
      <c r="AR971">
        <v>110.71826463880936</v>
      </c>
      <c r="AS971">
        <v>859.24716649439347</v>
      </c>
      <c r="AT971">
        <v>62.112204594969221</v>
      </c>
      <c r="AU971">
        <v>112.40356050721984</v>
      </c>
      <c r="AV971"/>
      <c r="AW971"/>
      <c r="FY971" s="211">
        <v>966</v>
      </c>
      <c r="FZ971">
        <v>23.707243473140096</v>
      </c>
      <c r="GA971">
        <v>54.087257944218649</v>
      </c>
      <c r="GB971">
        <v>64.563075438327544</v>
      </c>
      <c r="GC971">
        <v>37.481603679919345</v>
      </c>
      <c r="GD971">
        <v>15.242712280074587</v>
      </c>
      <c r="GE971">
        <v>32.54208678310814</v>
      </c>
      <c r="GF971">
        <v>71.507738812680586</v>
      </c>
      <c r="GG971">
        <v>54.696538413599427</v>
      </c>
      <c r="GH971">
        <v>20.381634945837106</v>
      </c>
      <c r="GI971">
        <v>46.796138829673367</v>
      </c>
      <c r="GJ971"/>
      <c r="GK971"/>
      <c r="GL971"/>
      <c r="GM971"/>
    </row>
    <row r="972" spans="1:195" s="7" customFormat="1">
      <c r="A972" s="4"/>
      <c r="B972" s="4"/>
      <c r="C972" s="4"/>
      <c r="D972" s="4"/>
      <c r="E972" s="4"/>
      <c r="F972" s="28"/>
      <c r="G972" s="28"/>
      <c r="H972" s="83"/>
      <c r="I972" s="4"/>
      <c r="J972" s="4"/>
      <c r="K972" s="4"/>
      <c r="L972" s="4"/>
      <c r="M972" s="4"/>
      <c r="N972" s="28"/>
      <c r="O972" s="4"/>
      <c r="P972" s="4"/>
      <c r="Q972" s="4"/>
      <c r="R972" s="4"/>
      <c r="S972" s="4"/>
      <c r="T972" s="4"/>
      <c r="U972" s="4"/>
      <c r="V972" s="4"/>
      <c r="W972" s="4"/>
      <c r="X972" s="4"/>
      <c r="Y972" s="4"/>
      <c r="Z972" s="4"/>
      <c r="AA972" s="4"/>
      <c r="AB972" s="4"/>
      <c r="AC972" s="4"/>
      <c r="AD972" s="4"/>
      <c r="AE972" s="4"/>
      <c r="AF972" s="81"/>
      <c r="AG972" s="81"/>
      <c r="AH972" s="81"/>
      <c r="AI972" s="4"/>
      <c r="AJ972" s="81"/>
      <c r="AK972" s="81"/>
      <c r="AL972" s="81"/>
      <c r="AM972" s="43">
        <v>956</v>
      </c>
      <c r="AN972">
        <v>245.95872659520052</v>
      </c>
      <c r="AO972">
        <v>100.03916538569275</v>
      </c>
      <c r="AP972">
        <v>767.9463955406361</v>
      </c>
      <c r="AQ972">
        <v>543.76771320374678</v>
      </c>
      <c r="AR972">
        <v>91.051770767490737</v>
      </c>
      <c r="AS972">
        <v>729.82530651196078</v>
      </c>
      <c r="AT972">
        <v>49.36040549302043</v>
      </c>
      <c r="AU972">
        <v>153.52166124946967</v>
      </c>
      <c r="AV972"/>
      <c r="AW972"/>
      <c r="FY972" s="211">
        <v>967</v>
      </c>
      <c r="FZ972">
        <v>30.616631160380948</v>
      </c>
      <c r="GA972">
        <v>64.650900173886299</v>
      </c>
      <c r="GB972">
        <v>92.499464107829922</v>
      </c>
      <c r="GC972">
        <v>59.388481012965435</v>
      </c>
      <c r="GD972">
        <v>19.723283399051528</v>
      </c>
      <c r="GE972">
        <v>30.782682905762748</v>
      </c>
      <c r="GF972">
        <v>55.988944173517076</v>
      </c>
      <c r="GG972">
        <v>26.057126647681827</v>
      </c>
      <c r="GH972">
        <v>3.932436619094585</v>
      </c>
      <c r="GI972">
        <v>52.937087406298652</v>
      </c>
      <c r="GJ972"/>
      <c r="GK972"/>
      <c r="GL972"/>
      <c r="GM972"/>
    </row>
    <row r="973" spans="1:195" s="7" customFormat="1">
      <c r="A973" s="4"/>
      <c r="B973" s="4"/>
      <c r="C973" s="4"/>
      <c r="D973" s="4"/>
      <c r="E973" s="4"/>
      <c r="F973" s="28"/>
      <c r="G973" s="28"/>
      <c r="H973" s="83"/>
      <c r="I973" s="4"/>
      <c r="J973" s="4"/>
      <c r="K973" s="4"/>
      <c r="L973" s="4"/>
      <c r="M973" s="4"/>
      <c r="N973" s="28"/>
      <c r="O973" s="4"/>
      <c r="P973" s="4"/>
      <c r="Q973" s="4"/>
      <c r="R973" s="4"/>
      <c r="S973" s="4"/>
      <c r="T973" s="4"/>
      <c r="U973" s="4"/>
      <c r="V973" s="4"/>
      <c r="W973" s="4"/>
      <c r="X973" s="4"/>
      <c r="Y973" s="4"/>
      <c r="Z973" s="4"/>
      <c r="AA973" s="4"/>
      <c r="AB973" s="4"/>
      <c r="AC973" s="4"/>
      <c r="AD973" s="4"/>
      <c r="AE973" s="4"/>
      <c r="AF973" s="81"/>
      <c r="AG973" s="81"/>
      <c r="AH973" s="81"/>
      <c r="AI973" s="4"/>
      <c r="AJ973" s="81"/>
      <c r="AK973" s="81"/>
      <c r="AL973" s="81"/>
      <c r="AM973" s="43">
        <v>957</v>
      </c>
      <c r="AN973">
        <v>226.29024506226861</v>
      </c>
      <c r="AO973">
        <v>71.018019086514471</v>
      </c>
      <c r="AP973">
        <v>523.48252607745349</v>
      </c>
      <c r="AQ973">
        <v>400.68035282041501</v>
      </c>
      <c r="AR973">
        <v>64.384326934553357</v>
      </c>
      <c r="AS973">
        <v>535.24655636572868</v>
      </c>
      <c r="AT973">
        <v>33.612441063104235</v>
      </c>
      <c r="AU973">
        <v>71.859485706569686</v>
      </c>
      <c r="AV973"/>
      <c r="AW973"/>
      <c r="FY973" s="211">
        <v>968</v>
      </c>
      <c r="FZ973">
        <v>6.6440082836484411</v>
      </c>
      <c r="GA973">
        <v>48.001059882187228</v>
      </c>
      <c r="GB973">
        <v>68.340090379789089</v>
      </c>
      <c r="GC973">
        <v>37.647997249704964</v>
      </c>
      <c r="GD973">
        <v>14.894619125665413</v>
      </c>
      <c r="GE973">
        <v>35.542291265069387</v>
      </c>
      <c r="GF973">
        <v>63.295142914349746</v>
      </c>
      <c r="GG973">
        <v>36.371205270228636</v>
      </c>
      <c r="GH973">
        <v>21.09613692170792</v>
      </c>
      <c r="GI973">
        <v>44.156428001720073</v>
      </c>
      <c r="GJ973"/>
      <c r="GK973"/>
      <c r="GL973"/>
      <c r="GM973"/>
    </row>
    <row r="974" spans="1:195" s="7" customFormat="1">
      <c r="A974" s="4"/>
      <c r="B974" s="4"/>
      <c r="C974" s="4"/>
      <c r="D974" s="4"/>
      <c r="E974" s="4"/>
      <c r="F974" s="28"/>
      <c r="G974" s="28"/>
      <c r="H974" s="83"/>
      <c r="I974" s="4"/>
      <c r="J974" s="4"/>
      <c r="K974" s="4"/>
      <c r="L974" s="4"/>
      <c r="M974" s="4"/>
      <c r="N974" s="28"/>
      <c r="O974" s="4"/>
      <c r="P974" s="4"/>
      <c r="Q974" s="4"/>
      <c r="R974" s="4"/>
      <c r="S974" s="4"/>
      <c r="T974" s="4"/>
      <c r="U974" s="4"/>
      <c r="V974" s="4"/>
      <c r="W974" s="4"/>
      <c r="X974" s="4"/>
      <c r="Y974" s="4"/>
      <c r="Z974" s="4"/>
      <c r="AA974" s="4"/>
      <c r="AB974" s="4"/>
      <c r="AC974" s="4"/>
      <c r="AD974" s="4"/>
      <c r="AE974" s="4"/>
      <c r="AF974" s="81"/>
      <c r="AG974" s="81"/>
      <c r="AH974" s="81"/>
      <c r="AI974" s="4"/>
      <c r="AJ974" s="81"/>
      <c r="AK974" s="81"/>
      <c r="AL974" s="81"/>
      <c r="AM974" s="43">
        <v>958</v>
      </c>
      <c r="AN974">
        <v>300.40900941944619</v>
      </c>
      <c r="AO974">
        <v>110.53140222647085</v>
      </c>
      <c r="AP974">
        <v>890.78080381504083</v>
      </c>
      <c r="AQ974">
        <v>621.08545070547211</v>
      </c>
      <c r="AR974">
        <v>100.11709432373037</v>
      </c>
      <c r="AS974">
        <v>825.91084758475131</v>
      </c>
      <c r="AT974">
        <v>54.476612151560147</v>
      </c>
      <c r="AU974">
        <v>141.27084830079232</v>
      </c>
      <c r="AV974"/>
      <c r="AW974"/>
      <c r="FY974" s="211">
        <v>969</v>
      </c>
      <c r="FZ974">
        <v>15.879347359335725</v>
      </c>
      <c r="GA974">
        <v>40.562506499155177</v>
      </c>
      <c r="GB974">
        <v>74.446596059610144</v>
      </c>
      <c r="GC974">
        <v>47.511126936782588</v>
      </c>
      <c r="GD974">
        <v>25.665671077580054</v>
      </c>
      <c r="GE974">
        <v>53.219518775484531</v>
      </c>
      <c r="GF974">
        <v>80.597796270805915</v>
      </c>
      <c r="GG974">
        <v>62.884638361022567</v>
      </c>
      <c r="GH974">
        <v>31.160620825434705</v>
      </c>
      <c r="GI974">
        <v>59.008141396189465</v>
      </c>
      <c r="GJ974"/>
      <c r="GK974"/>
      <c r="GL974"/>
      <c r="GM974"/>
    </row>
    <row r="975" spans="1:195" s="7" customFormat="1">
      <c r="A975" s="4"/>
      <c r="B975" s="4"/>
      <c r="C975" s="4"/>
      <c r="D975" s="4"/>
      <c r="E975" s="4"/>
      <c r="F975" s="28"/>
      <c r="G975" s="28"/>
      <c r="H975" s="83"/>
      <c r="I975" s="4"/>
      <c r="J975" s="4"/>
      <c r="K975" s="4"/>
      <c r="L975" s="4"/>
      <c r="M975" s="4"/>
      <c r="N975" s="28"/>
      <c r="O975" s="4"/>
      <c r="P975" s="4"/>
      <c r="Q975" s="4"/>
      <c r="R975" s="4"/>
      <c r="S975" s="4"/>
      <c r="T975" s="4"/>
      <c r="U975" s="4"/>
      <c r="V975" s="4"/>
      <c r="W975" s="4"/>
      <c r="X975" s="4"/>
      <c r="Y975" s="4"/>
      <c r="Z975" s="4"/>
      <c r="AA975" s="4"/>
      <c r="AB975" s="4"/>
      <c r="AC975" s="4"/>
      <c r="AD975" s="4"/>
      <c r="AE975" s="4"/>
      <c r="AF975" s="81"/>
      <c r="AG975" s="81"/>
      <c r="AH975" s="81"/>
      <c r="AI975" s="4"/>
      <c r="AJ975" s="81"/>
      <c r="AK975" s="81"/>
      <c r="AL975" s="81"/>
      <c r="AM975" s="43">
        <v>959</v>
      </c>
      <c r="AN975">
        <v>205.2209226752951</v>
      </c>
      <c r="AO975">
        <v>67.798851198132184</v>
      </c>
      <c r="AP975">
        <v>528.86418143046751</v>
      </c>
      <c r="AQ975">
        <v>365.26734982536675</v>
      </c>
      <c r="AR975">
        <v>62.596441838542333</v>
      </c>
      <c r="AS975">
        <v>513.64436557949898</v>
      </c>
      <c r="AT975">
        <v>34.161928092976559</v>
      </c>
      <c r="AU975">
        <v>50.006357387487</v>
      </c>
      <c r="AV975"/>
      <c r="AW975"/>
      <c r="FY975" s="211">
        <v>970</v>
      </c>
      <c r="FZ975">
        <v>20.249670139331581</v>
      </c>
      <c r="GA975">
        <v>42.470632880531063</v>
      </c>
      <c r="GB975">
        <v>52.135152108499113</v>
      </c>
      <c r="GC975">
        <v>33.634723324348222</v>
      </c>
      <c r="GD975">
        <v>20.358570742817651</v>
      </c>
      <c r="GE975">
        <v>59.782887668095114</v>
      </c>
      <c r="GF975">
        <v>150.3461334714155</v>
      </c>
      <c r="GG975">
        <v>107.57785302374843</v>
      </c>
      <c r="GH975">
        <v>30.194816107334205</v>
      </c>
      <c r="GI975">
        <v>65.322056204978708</v>
      </c>
      <c r="GJ975"/>
      <c r="GK975"/>
      <c r="GL975"/>
      <c r="GM975"/>
    </row>
    <row r="976" spans="1:195" s="7" customFormat="1">
      <c r="A976" s="4"/>
      <c r="B976" s="4"/>
      <c r="C976" s="4"/>
      <c r="D976" s="4"/>
      <c r="E976" s="4"/>
      <c r="F976" s="28"/>
      <c r="G976" s="28"/>
      <c r="H976" s="83"/>
      <c r="I976" s="4"/>
      <c r="J976" s="4"/>
      <c r="K976" s="4"/>
      <c r="L976" s="4"/>
      <c r="M976" s="4"/>
      <c r="N976" s="28"/>
      <c r="O976" s="4"/>
      <c r="P976" s="4"/>
      <c r="Q976" s="4"/>
      <c r="R976" s="4"/>
      <c r="S976" s="4"/>
      <c r="T976" s="4"/>
      <c r="U976" s="4"/>
      <c r="V976" s="4"/>
      <c r="W976" s="4"/>
      <c r="X976" s="4"/>
      <c r="Y976" s="4"/>
      <c r="Z976" s="4"/>
      <c r="AA976" s="4"/>
      <c r="AB976" s="4"/>
      <c r="AC976" s="4"/>
      <c r="AD976" s="4"/>
      <c r="AE976" s="4"/>
      <c r="AF976" s="81"/>
      <c r="AG976" s="81"/>
      <c r="AH976" s="81"/>
      <c r="AI976" s="4"/>
      <c r="AJ976" s="81"/>
      <c r="AK976" s="81"/>
      <c r="AL976" s="81"/>
      <c r="AM976" s="43">
        <v>960</v>
      </c>
      <c r="AN976">
        <v>208.68300780271903</v>
      </c>
      <c r="AO976">
        <v>67.403679443475411</v>
      </c>
      <c r="AP976">
        <v>502.91598911688845</v>
      </c>
      <c r="AQ976">
        <v>382.44032795785677</v>
      </c>
      <c r="AR976">
        <v>61.159038830129731</v>
      </c>
      <c r="AS976">
        <v>505.04916572399105</v>
      </c>
      <c r="AT976">
        <v>33.084906315839774</v>
      </c>
      <c r="AU976">
        <v>32.384756251818096</v>
      </c>
      <c r="AV976"/>
      <c r="AW976"/>
      <c r="FY976" s="211">
        <v>971</v>
      </c>
      <c r="FZ976">
        <v>8.8666762715189353</v>
      </c>
      <c r="GA976">
        <v>43.478041901355873</v>
      </c>
      <c r="GB976">
        <v>96.628001148641275</v>
      </c>
      <c r="GC976">
        <v>57.185401814920638</v>
      </c>
      <c r="GD976">
        <v>16.900181573515489</v>
      </c>
      <c r="GE976">
        <v>30.145721057111821</v>
      </c>
      <c r="GF976">
        <v>82.639091360763572</v>
      </c>
      <c r="GG976">
        <v>62.104964245156829</v>
      </c>
      <c r="GH976">
        <v>18.707231218039926</v>
      </c>
      <c r="GI976">
        <v>56.571739891630642</v>
      </c>
      <c r="GJ976"/>
      <c r="GK976"/>
      <c r="GL976"/>
      <c r="GM976"/>
    </row>
    <row r="977" spans="1:195" s="7" customFormat="1">
      <c r="A977" s="4"/>
      <c r="B977" s="4"/>
      <c r="C977" s="4"/>
      <c r="D977" s="4"/>
      <c r="E977" s="4"/>
      <c r="F977" s="28"/>
      <c r="G977" s="28"/>
      <c r="H977" s="83"/>
      <c r="I977" s="4"/>
      <c r="J977" s="4"/>
      <c r="K977" s="4"/>
      <c r="L977" s="4"/>
      <c r="M977" s="4"/>
      <c r="N977" s="28"/>
      <c r="O977" s="4"/>
      <c r="P977" s="4"/>
      <c r="Q977" s="4"/>
      <c r="R977" s="4"/>
      <c r="S977" s="4"/>
      <c r="T977" s="4"/>
      <c r="U977" s="4"/>
      <c r="V977" s="4"/>
      <c r="W977" s="4"/>
      <c r="X977" s="4"/>
      <c r="Y977" s="4"/>
      <c r="Z977" s="4"/>
      <c r="AA977" s="4"/>
      <c r="AB977" s="4"/>
      <c r="AC977" s="4"/>
      <c r="AD977" s="4"/>
      <c r="AE977" s="4"/>
      <c r="AF977" s="81"/>
      <c r="AG977" s="81"/>
      <c r="AH977" s="81"/>
      <c r="AI977" s="4"/>
      <c r="AJ977" s="81"/>
      <c r="AK977" s="81"/>
      <c r="AL977" s="81"/>
      <c r="AM977" s="43">
        <v>961</v>
      </c>
      <c r="AN977">
        <v>269.38789913519588</v>
      </c>
      <c r="AO977">
        <v>77.903170348842963</v>
      </c>
      <c r="AP977">
        <v>532.53949505528783</v>
      </c>
      <c r="AQ977">
        <v>413.51713788766307</v>
      </c>
      <c r="AR977">
        <v>70.078537720793349</v>
      </c>
      <c r="AS977">
        <v>639.67785798210048</v>
      </c>
      <c r="AT977">
        <v>36.964753205791709</v>
      </c>
      <c r="AU977">
        <v>59.338914749177661</v>
      </c>
      <c r="AV977"/>
      <c r="AW977"/>
      <c r="FY977" s="211">
        <v>972</v>
      </c>
      <c r="FZ977">
        <v>22.428941709082899</v>
      </c>
      <c r="GA977">
        <v>64.804922747125119</v>
      </c>
      <c r="GB977">
        <v>51.153587432949365</v>
      </c>
      <c r="GC977">
        <v>26.872861762964639</v>
      </c>
      <c r="GD977">
        <v>17.507728450814245</v>
      </c>
      <c r="GE977">
        <v>35.985480318954309</v>
      </c>
      <c r="GF977">
        <v>54.037007187899768</v>
      </c>
      <c r="GG977">
        <v>60.871700726204693</v>
      </c>
      <c r="GH977">
        <v>50.717312930388303</v>
      </c>
      <c r="GI977">
        <v>47.003145715634886</v>
      </c>
      <c r="GJ977"/>
      <c r="GK977"/>
      <c r="GL977"/>
      <c r="GM977"/>
    </row>
    <row r="978" spans="1:195" s="7" customFormat="1">
      <c r="A978" s="4"/>
      <c r="B978" s="4"/>
      <c r="C978" s="4"/>
      <c r="D978" s="4"/>
      <c r="E978" s="4"/>
      <c r="F978" s="28"/>
      <c r="G978" s="28"/>
      <c r="H978" s="83"/>
      <c r="I978" s="4"/>
      <c r="J978" s="4"/>
      <c r="K978" s="4"/>
      <c r="L978" s="4"/>
      <c r="M978" s="4"/>
      <c r="N978" s="28"/>
      <c r="O978" s="4"/>
      <c r="P978" s="4"/>
      <c r="Q978" s="4"/>
      <c r="R978" s="4"/>
      <c r="S978" s="4"/>
      <c r="T978" s="4"/>
      <c r="U978" s="4"/>
      <c r="V978" s="4"/>
      <c r="W978" s="4"/>
      <c r="X978" s="4"/>
      <c r="Y978" s="4"/>
      <c r="Z978" s="4"/>
      <c r="AA978" s="4"/>
      <c r="AB978" s="4"/>
      <c r="AC978" s="4"/>
      <c r="AD978" s="4"/>
      <c r="AE978" s="4"/>
      <c r="AF978" s="81"/>
      <c r="AG978" s="81"/>
      <c r="AH978" s="81"/>
      <c r="AI978" s="4"/>
      <c r="AJ978" s="81"/>
      <c r="AK978" s="81"/>
      <c r="AL978" s="81"/>
      <c r="AM978" s="43">
        <v>962</v>
      </c>
      <c r="AN978">
        <v>229.38015679245046</v>
      </c>
      <c r="AO978">
        <v>77.98510320056559</v>
      </c>
      <c r="AP978">
        <v>582.04324846362772</v>
      </c>
      <c r="AQ978">
        <v>416.38499972581565</v>
      </c>
      <c r="AR978">
        <v>70.799129650260113</v>
      </c>
      <c r="AS978">
        <v>607.37353043164376</v>
      </c>
      <c r="AT978">
        <v>38.298844939653456</v>
      </c>
      <c r="AU978">
        <v>21.986049455564654</v>
      </c>
      <c r="AV978"/>
      <c r="AW978"/>
      <c r="FY978" s="211">
        <v>973</v>
      </c>
      <c r="FZ978">
        <v>6.4254329324073254</v>
      </c>
      <c r="GA978">
        <v>35.734125795949595</v>
      </c>
      <c r="GB978">
        <v>96.758354841403019</v>
      </c>
      <c r="GC978">
        <v>54.414930344834531</v>
      </c>
      <c r="GD978">
        <v>18.479184393456105</v>
      </c>
      <c r="GE978">
        <v>32.930011788273291</v>
      </c>
      <c r="GF978">
        <v>36.78018622110838</v>
      </c>
      <c r="GG978">
        <v>32.586910662249096</v>
      </c>
      <c r="GH978">
        <v>23.086360850226228</v>
      </c>
      <c r="GI978">
        <v>47.831662969700986</v>
      </c>
      <c r="GJ978"/>
      <c r="GK978"/>
      <c r="GL978"/>
      <c r="GM978"/>
    </row>
    <row r="979" spans="1:195" s="7" customFormat="1">
      <c r="A979" s="4"/>
      <c r="B979" s="4"/>
      <c r="C979" s="4"/>
      <c r="D979" s="4"/>
      <c r="E979" s="4"/>
      <c r="F979" s="28"/>
      <c r="G979" s="28"/>
      <c r="H979" s="83"/>
      <c r="I979" s="4"/>
      <c r="J979" s="4"/>
      <c r="K979" s="4"/>
      <c r="L979" s="4"/>
      <c r="M979" s="4"/>
      <c r="N979" s="28"/>
      <c r="O979" s="4"/>
      <c r="P979" s="4"/>
      <c r="Q979" s="4"/>
      <c r="R979" s="4"/>
      <c r="S979" s="4"/>
      <c r="T979" s="4"/>
      <c r="U979" s="4"/>
      <c r="V979" s="4"/>
      <c r="W979" s="4"/>
      <c r="X979" s="4"/>
      <c r="Y979" s="4"/>
      <c r="Z979" s="4"/>
      <c r="AA979" s="4"/>
      <c r="AB979" s="4"/>
      <c r="AC979" s="4"/>
      <c r="AD979" s="4"/>
      <c r="AE979" s="4"/>
      <c r="AF979" s="81"/>
      <c r="AG979" s="81"/>
      <c r="AH979" s="81"/>
      <c r="AI979" s="4"/>
      <c r="AJ979" s="81"/>
      <c r="AK979" s="81"/>
      <c r="AL979" s="81"/>
      <c r="AM979" s="43">
        <v>963</v>
      </c>
      <c r="AN979">
        <v>249.38734565810992</v>
      </c>
      <c r="AO979">
        <v>88.933036396040194</v>
      </c>
      <c r="AP979">
        <v>711.74151793566568</v>
      </c>
      <c r="AQ979">
        <v>517.49951671466079</v>
      </c>
      <c r="AR979">
        <v>79.103666767346539</v>
      </c>
      <c r="AS979">
        <v>679.89289681427283</v>
      </c>
      <c r="AT979">
        <v>42.972903290099943</v>
      </c>
      <c r="AU979">
        <v>127.48841713086698</v>
      </c>
      <c r="AV979"/>
      <c r="AW979"/>
      <c r="FY979" s="211">
        <v>974</v>
      </c>
      <c r="FZ979">
        <v>19.339504591977104</v>
      </c>
      <c r="GA979">
        <v>68.588623093986726</v>
      </c>
      <c r="GB979">
        <v>72.819689944901057</v>
      </c>
      <c r="GC979">
        <v>34.031411264828698</v>
      </c>
      <c r="GD979">
        <v>16.732221099112724</v>
      </c>
      <c r="GE979">
        <v>57.913727151039936</v>
      </c>
      <c r="GF979">
        <v>115.20296081672799</v>
      </c>
      <c r="GG979">
        <v>76.417205745275126</v>
      </c>
      <c r="GH979">
        <v>34.27229085524371</v>
      </c>
      <c r="GI979">
        <v>61.386830033841399</v>
      </c>
      <c r="GJ979"/>
      <c r="GK979"/>
      <c r="GL979"/>
      <c r="GM979"/>
    </row>
    <row r="980" spans="1:195" s="7" customFormat="1">
      <c r="A980" s="4"/>
      <c r="B980" s="4"/>
      <c r="C980" s="4"/>
      <c r="D980" s="4"/>
      <c r="E980" s="4"/>
      <c r="F980" s="28"/>
      <c r="G980" s="28"/>
      <c r="H980" s="83"/>
      <c r="I980" s="4"/>
      <c r="J980" s="4"/>
      <c r="K980" s="4"/>
      <c r="L980" s="4"/>
      <c r="M980" s="4"/>
      <c r="N980" s="28"/>
      <c r="O980" s="4"/>
      <c r="P980" s="4"/>
      <c r="Q980" s="4"/>
      <c r="R980" s="4"/>
      <c r="S980" s="4"/>
      <c r="T980" s="4"/>
      <c r="U980" s="4"/>
      <c r="V980" s="4"/>
      <c r="W980" s="4"/>
      <c r="X980" s="4"/>
      <c r="Y980" s="4"/>
      <c r="Z980" s="4"/>
      <c r="AA980" s="4"/>
      <c r="AB980" s="4"/>
      <c r="AC980" s="4"/>
      <c r="AD980" s="4"/>
      <c r="AE980" s="4"/>
      <c r="AF980" s="81"/>
      <c r="AG980" s="81"/>
      <c r="AH980" s="81"/>
      <c r="AI980" s="4"/>
      <c r="AJ980" s="81"/>
      <c r="AK980" s="81"/>
      <c r="AL980" s="81"/>
      <c r="AM980" s="43">
        <v>964</v>
      </c>
      <c r="AN980">
        <v>278.81815336283103</v>
      </c>
      <c r="AO980">
        <v>84.886944776080199</v>
      </c>
      <c r="AP980">
        <v>558.17039263812694</v>
      </c>
      <c r="AQ980">
        <v>445.92484264147924</v>
      </c>
      <c r="AR980">
        <v>76.128849918786798</v>
      </c>
      <c r="AS980">
        <v>664.60625978802182</v>
      </c>
      <c r="AT980">
        <v>41.290808189017568</v>
      </c>
      <c r="AU980">
        <v>94.747623964475679</v>
      </c>
      <c r="AV980"/>
      <c r="AW980"/>
      <c r="FY980" s="211">
        <v>975</v>
      </c>
      <c r="FZ980">
        <v>11.768864184715053</v>
      </c>
      <c r="GA980">
        <v>37.721148333107635</v>
      </c>
      <c r="GB980">
        <v>68.238417821471145</v>
      </c>
      <c r="GC980">
        <v>42.298043551329826</v>
      </c>
      <c r="GD980">
        <v>16.776780023601003</v>
      </c>
      <c r="GE980">
        <v>45.683613255115247</v>
      </c>
      <c r="GF980">
        <v>113.71188573484251</v>
      </c>
      <c r="GG980">
        <v>69.486368434361566</v>
      </c>
      <c r="GH980">
        <v>15.40289933844241</v>
      </c>
      <c r="GI980">
        <v>56.272792348338584</v>
      </c>
      <c r="GJ980"/>
      <c r="GK980"/>
      <c r="GL980"/>
      <c r="GM980"/>
    </row>
    <row r="981" spans="1:195" s="7" customFormat="1">
      <c r="A981" s="4"/>
      <c r="B981" s="4"/>
      <c r="C981" s="4"/>
      <c r="D981" s="4"/>
      <c r="E981" s="4"/>
      <c r="F981" s="28"/>
      <c r="G981" s="28"/>
      <c r="H981" s="83"/>
      <c r="I981" s="4"/>
      <c r="J981" s="4"/>
      <c r="K981" s="4"/>
      <c r="L981" s="4"/>
      <c r="M981" s="4"/>
      <c r="N981" s="28"/>
      <c r="O981" s="4"/>
      <c r="P981" s="4"/>
      <c r="Q981" s="4"/>
      <c r="R981" s="4"/>
      <c r="S981" s="4"/>
      <c r="T981" s="4"/>
      <c r="U981" s="4"/>
      <c r="V981" s="4"/>
      <c r="W981" s="4"/>
      <c r="X981" s="4"/>
      <c r="Y981" s="4"/>
      <c r="Z981" s="4"/>
      <c r="AA981" s="4"/>
      <c r="AB981" s="4"/>
      <c r="AC981" s="4"/>
      <c r="AD981" s="4"/>
      <c r="AE981" s="4"/>
      <c r="AF981" s="81"/>
      <c r="AG981" s="81"/>
      <c r="AH981" s="81"/>
      <c r="AI981" s="4"/>
      <c r="AJ981" s="81"/>
      <c r="AK981" s="81"/>
      <c r="AL981" s="81"/>
      <c r="AM981" s="43">
        <v>965</v>
      </c>
      <c r="AN981">
        <v>295.31767029501731</v>
      </c>
      <c r="AO981">
        <v>81.689790265167289</v>
      </c>
      <c r="AP981">
        <v>579.56235329157994</v>
      </c>
      <c r="AQ981">
        <v>440.21978907820738</v>
      </c>
      <c r="AR981">
        <v>73.52393327769407</v>
      </c>
      <c r="AS981">
        <v>657.05694224692195</v>
      </c>
      <c r="AT981">
        <v>37.210131854808431</v>
      </c>
      <c r="AU981">
        <v>55.666593990233565</v>
      </c>
      <c r="AV981"/>
      <c r="AW981"/>
      <c r="FY981" s="211">
        <v>976</v>
      </c>
      <c r="FZ981">
        <v>6.8647822433347709</v>
      </c>
      <c r="GA981">
        <v>52.404024698612417</v>
      </c>
      <c r="GB981">
        <v>87.268555899965023</v>
      </c>
      <c r="GC981">
        <v>45.112536529625132</v>
      </c>
      <c r="GD981">
        <v>17.644850621484078</v>
      </c>
      <c r="GE981">
        <v>38.676328606285281</v>
      </c>
      <c r="GF981">
        <v>46.551368803307867</v>
      </c>
      <c r="GG981">
        <v>23.300376412245161</v>
      </c>
      <c r="GH981">
        <v>12.482579705310641</v>
      </c>
      <c r="GI981">
        <v>45.943124509262091</v>
      </c>
      <c r="GJ981"/>
      <c r="GK981"/>
      <c r="GL981"/>
      <c r="GM981"/>
    </row>
    <row r="982" spans="1:195" s="7" customFormat="1">
      <c r="A982" s="4"/>
      <c r="B982" s="4"/>
      <c r="C982" s="4"/>
      <c r="D982" s="4"/>
      <c r="E982" s="4"/>
      <c r="F982" s="28"/>
      <c r="G982" s="28"/>
      <c r="H982" s="83"/>
      <c r="I982" s="4"/>
      <c r="J982" s="4"/>
      <c r="K982" s="4"/>
      <c r="L982" s="4"/>
      <c r="M982" s="4"/>
      <c r="N982" s="28"/>
      <c r="O982" s="4"/>
      <c r="P982" s="4"/>
      <c r="Q982" s="4"/>
      <c r="R982" s="4"/>
      <c r="S982" s="4"/>
      <c r="T982" s="4"/>
      <c r="U982" s="4"/>
      <c r="V982" s="4"/>
      <c r="W982" s="4"/>
      <c r="X982" s="4"/>
      <c r="Y982" s="4"/>
      <c r="Z982" s="4"/>
      <c r="AA982" s="4"/>
      <c r="AB982" s="4"/>
      <c r="AC982" s="4"/>
      <c r="AD982" s="4"/>
      <c r="AE982" s="4"/>
      <c r="AF982" s="81"/>
      <c r="AG982" s="81"/>
      <c r="AH982" s="81"/>
      <c r="AI982" s="4"/>
      <c r="AJ982" s="81"/>
      <c r="AK982" s="81"/>
      <c r="AL982" s="81"/>
      <c r="AM982" s="43">
        <v>966</v>
      </c>
      <c r="AN982">
        <v>235.12752093809974</v>
      </c>
      <c r="AO982">
        <v>73.963478152347321</v>
      </c>
      <c r="AP982">
        <v>566.24637464213072</v>
      </c>
      <c r="AQ982">
        <v>421.00603060057881</v>
      </c>
      <c r="AR982">
        <v>67.096079198868779</v>
      </c>
      <c r="AS982">
        <v>580.33585888979644</v>
      </c>
      <c r="AT982" t="e">
        <v>#DIV/0!</v>
      </c>
      <c r="AU982" t="e">
        <v>#DIV/0!</v>
      </c>
      <c r="AV982"/>
      <c r="AW982"/>
      <c r="FY982" s="211">
        <v>977</v>
      </c>
      <c r="FZ982">
        <v>18.944185147786953</v>
      </c>
      <c r="GA982">
        <v>45.249475465916888</v>
      </c>
      <c r="GB982">
        <v>43.286199262320871</v>
      </c>
      <c r="GC982">
        <v>34.089923195285991</v>
      </c>
      <c r="GD982">
        <v>33.578798462874509</v>
      </c>
      <c r="GE982">
        <v>86.436558961852285</v>
      </c>
      <c r="GF982">
        <v>86.283592155883071</v>
      </c>
      <c r="GG982">
        <v>45.583051017483342</v>
      </c>
      <c r="GH982">
        <v>46.932045296880254</v>
      </c>
      <c r="GI982">
        <v>60.05240344158846</v>
      </c>
      <c r="GJ982"/>
      <c r="GK982"/>
      <c r="GL982"/>
      <c r="GM982"/>
    </row>
    <row r="983" spans="1:195" s="7" customFormat="1">
      <c r="A983" s="4"/>
      <c r="B983" s="4"/>
      <c r="C983" s="4"/>
      <c r="D983" s="4"/>
      <c r="E983" s="4"/>
      <c r="F983" s="28"/>
      <c r="G983" s="28"/>
      <c r="H983" s="83"/>
      <c r="I983" s="4"/>
      <c r="J983" s="4"/>
      <c r="K983" s="4"/>
      <c r="L983" s="4"/>
      <c r="M983" s="4"/>
      <c r="N983" s="28"/>
      <c r="O983" s="4"/>
      <c r="P983" s="4"/>
      <c r="Q983" s="4"/>
      <c r="R983" s="4"/>
      <c r="S983" s="4"/>
      <c r="T983" s="4"/>
      <c r="U983" s="4"/>
      <c r="V983" s="4"/>
      <c r="W983" s="4"/>
      <c r="X983" s="4"/>
      <c r="Y983" s="4"/>
      <c r="Z983" s="4"/>
      <c r="AA983" s="4"/>
      <c r="AB983" s="4"/>
      <c r="AC983" s="4"/>
      <c r="AD983" s="4"/>
      <c r="AE983" s="4"/>
      <c r="AF983" s="81"/>
      <c r="AG983" s="81"/>
      <c r="AH983" s="81"/>
      <c r="AI983" s="4"/>
      <c r="AJ983" s="81"/>
      <c r="AK983" s="81"/>
      <c r="AL983" s="81"/>
      <c r="AM983" s="43">
        <v>967</v>
      </c>
      <c r="AN983">
        <v>265.4813551898809</v>
      </c>
      <c r="AO983">
        <v>84.457893555404354</v>
      </c>
      <c r="AP983">
        <v>595.41782706925824</v>
      </c>
      <c r="AQ983">
        <v>436.57703760646899</v>
      </c>
      <c r="AR983">
        <v>75.940491549115052</v>
      </c>
      <c r="AS983">
        <v>645.59669106310253</v>
      </c>
      <c r="AT983" t="e">
        <v>#DIV/0!</v>
      </c>
      <c r="AU983" t="e">
        <v>#DIV/0!</v>
      </c>
      <c r="AV983"/>
      <c r="AW983"/>
      <c r="FY983" s="211">
        <v>978</v>
      </c>
      <c r="FZ983">
        <v>15.151424369562335</v>
      </c>
      <c r="GA983">
        <v>38.465099819696178</v>
      </c>
      <c r="GB983">
        <v>51.655129581367696</v>
      </c>
      <c r="GC983">
        <v>32.759303579163962</v>
      </c>
      <c r="GD983">
        <v>14.56791418309475</v>
      </c>
      <c r="GE983">
        <v>29.720810111651538</v>
      </c>
      <c r="GF983">
        <v>60.843237242948646</v>
      </c>
      <c r="GG983">
        <v>40.00597167868419</v>
      </c>
      <c r="GH983">
        <v>13.838020439778585</v>
      </c>
      <c r="GI983">
        <v>39.090139351332823</v>
      </c>
      <c r="GJ983"/>
      <c r="GK983"/>
      <c r="GL983"/>
      <c r="GM983"/>
    </row>
    <row r="984" spans="1:195" s="7" customFormat="1">
      <c r="A984" s="4"/>
      <c r="B984" s="4"/>
      <c r="C984" s="4"/>
      <c r="D984" s="4"/>
      <c r="E984" s="4"/>
      <c r="F984" s="28"/>
      <c r="G984" s="28"/>
      <c r="H984" s="83"/>
      <c r="I984" s="4"/>
      <c r="J984" s="4"/>
      <c r="K984" s="4"/>
      <c r="L984" s="4"/>
      <c r="M984" s="4"/>
      <c r="N984" s="28"/>
      <c r="O984" s="4"/>
      <c r="P984" s="4"/>
      <c r="Q984" s="4"/>
      <c r="R984" s="4"/>
      <c r="S984" s="4"/>
      <c r="T984" s="4"/>
      <c r="U984" s="4"/>
      <c r="V984" s="4"/>
      <c r="W984" s="4"/>
      <c r="X984" s="4"/>
      <c r="Y984" s="4"/>
      <c r="Z984" s="4"/>
      <c r="AA984" s="4"/>
      <c r="AB984" s="4"/>
      <c r="AC984" s="4"/>
      <c r="AD984" s="4"/>
      <c r="AE984" s="4"/>
      <c r="AF984" s="81"/>
      <c r="AG984" s="81"/>
      <c r="AH984" s="81"/>
      <c r="AI984" s="4"/>
      <c r="AJ984" s="81"/>
      <c r="AK984" s="81"/>
      <c r="AL984" s="81"/>
      <c r="AM984" s="43">
        <v>968</v>
      </c>
      <c r="AN984">
        <v>209.8361512648095</v>
      </c>
      <c r="AO984">
        <v>69.720574556197732</v>
      </c>
      <c r="AP984">
        <v>511.42492600584654</v>
      </c>
      <c r="AQ984">
        <v>375.98897929407087</v>
      </c>
      <c r="AR984">
        <v>62.091277640604133</v>
      </c>
      <c r="AS984">
        <v>523.43081140417348</v>
      </c>
      <c r="AT984">
        <v>36.714010727074346</v>
      </c>
      <c r="AU984">
        <v>84.995169316050763</v>
      </c>
      <c r="AV984"/>
      <c r="AW984"/>
      <c r="FY984" s="211">
        <v>979</v>
      </c>
      <c r="FZ984">
        <v>2.373695754511929</v>
      </c>
      <c r="GA984">
        <v>36.044363721641453</v>
      </c>
      <c r="GB984">
        <v>66.137738637827127</v>
      </c>
      <c r="GC984">
        <v>38.920976666801259</v>
      </c>
      <c r="GD984">
        <v>30.48616049359703</v>
      </c>
      <c r="GE984">
        <v>74.002045250681505</v>
      </c>
      <c r="GF984">
        <v>110.7427299017686</v>
      </c>
      <c r="GG984">
        <v>71.795349578706563</v>
      </c>
      <c r="GH984">
        <v>23.576003261046715</v>
      </c>
      <c r="GI984">
        <v>62.980954736551908</v>
      </c>
      <c r="GJ984"/>
      <c r="GK984"/>
      <c r="GL984"/>
      <c r="GM984"/>
    </row>
    <row r="985" spans="1:195" s="7" customFormat="1">
      <c r="A985" s="4"/>
      <c r="B985" s="4"/>
      <c r="C985" s="4"/>
      <c r="D985" s="4"/>
      <c r="E985" s="4"/>
      <c r="F985" s="28"/>
      <c r="G985" s="28"/>
      <c r="H985" s="83"/>
      <c r="I985" s="4"/>
      <c r="J985" s="4"/>
      <c r="K985" s="4"/>
      <c r="L985" s="4"/>
      <c r="M985" s="4"/>
      <c r="N985" s="28"/>
      <c r="O985" s="4"/>
      <c r="P985" s="4"/>
      <c r="Q985" s="4"/>
      <c r="R985" s="4"/>
      <c r="S985" s="4"/>
      <c r="T985" s="4"/>
      <c r="U985" s="4"/>
      <c r="V985" s="4"/>
      <c r="W985" s="4"/>
      <c r="X985" s="4"/>
      <c r="Y985" s="4"/>
      <c r="Z985" s="4"/>
      <c r="AA985" s="4"/>
      <c r="AB985" s="4"/>
      <c r="AC985" s="4"/>
      <c r="AD985" s="4"/>
      <c r="AE985" s="4"/>
      <c r="AF985" s="81"/>
      <c r="AG985" s="81"/>
      <c r="AH985" s="81"/>
      <c r="AI985" s="4"/>
      <c r="AJ985" s="81"/>
      <c r="AK985" s="81"/>
      <c r="AL985" s="81"/>
      <c r="AM985" s="43">
        <v>969</v>
      </c>
      <c r="AN985">
        <v>225.73441263335903</v>
      </c>
      <c r="AO985">
        <v>93.380824149571666</v>
      </c>
      <c r="AP985">
        <v>645.98088190670239</v>
      </c>
      <c r="AQ985">
        <v>490.93596356140085</v>
      </c>
      <c r="AR985">
        <v>84.55290108449968</v>
      </c>
      <c r="AS985">
        <v>665.95224795646186</v>
      </c>
      <c r="AT985">
        <v>48.33221869156958</v>
      </c>
      <c r="AU985">
        <v>139.84562112046009</v>
      </c>
      <c r="AV985"/>
      <c r="AW985"/>
      <c r="FY985" s="211">
        <v>980</v>
      </c>
      <c r="FZ985">
        <v>30.485940503190189</v>
      </c>
      <c r="GA985">
        <v>91.299135319428373</v>
      </c>
      <c r="GB985">
        <v>101.15542747780945</v>
      </c>
      <c r="GC985">
        <v>53.161884121517275</v>
      </c>
      <c r="GD985">
        <v>22.189763682369392</v>
      </c>
      <c r="GE985">
        <v>33.943833596756335</v>
      </c>
      <c r="GF985">
        <v>29.900974725340635</v>
      </c>
      <c r="GG985">
        <v>13.794530751950672</v>
      </c>
      <c r="GH985">
        <v>4.1355001543481897</v>
      </c>
      <c r="GI985">
        <v>49.878531672143566</v>
      </c>
      <c r="GJ985"/>
      <c r="GK985"/>
      <c r="GL985"/>
      <c r="GM985"/>
    </row>
    <row r="986" spans="1:195" s="7" customFormat="1">
      <c r="A986" s="4"/>
      <c r="B986" s="4"/>
      <c r="C986" s="4"/>
      <c r="D986" s="4"/>
      <c r="E986" s="4"/>
      <c r="F986" s="28"/>
      <c r="G986" s="28"/>
      <c r="H986" s="83"/>
      <c r="I986" s="4"/>
      <c r="J986" s="4"/>
      <c r="K986" s="4"/>
      <c r="L986" s="4"/>
      <c r="M986" s="4"/>
      <c r="N986" s="28"/>
      <c r="O986" s="4"/>
      <c r="P986" s="4"/>
      <c r="Q986" s="4"/>
      <c r="R986" s="4"/>
      <c r="S986" s="4"/>
      <c r="T986" s="4"/>
      <c r="U986" s="4"/>
      <c r="V986" s="4"/>
      <c r="W986" s="4"/>
      <c r="X986" s="4"/>
      <c r="Y986" s="4"/>
      <c r="Z986" s="4"/>
      <c r="AA986" s="4"/>
      <c r="AB986" s="4"/>
      <c r="AC986" s="4"/>
      <c r="AD986" s="4"/>
      <c r="AE986" s="4"/>
      <c r="AF986" s="81"/>
      <c r="AG986" s="81"/>
      <c r="AH986" s="81"/>
      <c r="AI986" s="4"/>
      <c r="AJ986" s="81"/>
      <c r="AK986" s="81"/>
      <c r="AL986" s="81"/>
      <c r="AM986" s="43">
        <v>970</v>
      </c>
      <c r="AN986">
        <v>257.99526626947426</v>
      </c>
      <c r="AO986">
        <v>106.43892510969756</v>
      </c>
      <c r="AP986">
        <v>827.73591503230978</v>
      </c>
      <c r="AQ986">
        <v>582.07249567109966</v>
      </c>
      <c r="AR986">
        <v>95.281858895254373</v>
      </c>
      <c r="AS986">
        <v>771.38984287537187</v>
      </c>
      <c r="AT986">
        <v>50.479844145186966</v>
      </c>
      <c r="AU986">
        <v>188.24456708880018</v>
      </c>
      <c r="AV986"/>
      <c r="AW986"/>
      <c r="FY986" s="211">
        <v>981</v>
      </c>
      <c r="FZ986">
        <v>5.7966771427101804</v>
      </c>
      <c r="GA986">
        <v>41.743608211826</v>
      </c>
      <c r="GB986">
        <v>52.724373857481481</v>
      </c>
      <c r="GC986">
        <v>33.356403097268363</v>
      </c>
      <c r="GD986">
        <v>23.582310431332072</v>
      </c>
      <c r="GE986">
        <v>47.766591495337053</v>
      </c>
      <c r="GF986">
        <v>58.507598162379956</v>
      </c>
      <c r="GG986">
        <v>34.059774570122109</v>
      </c>
      <c r="GH986">
        <v>18.474415666099151</v>
      </c>
      <c r="GI986">
        <v>43.708306989051337</v>
      </c>
      <c r="GJ986"/>
      <c r="GK986"/>
      <c r="GL986"/>
      <c r="GM986"/>
    </row>
    <row r="987" spans="1:195" s="7" customFormat="1">
      <c r="A987" s="4"/>
      <c r="B987" s="4"/>
      <c r="C987" s="4"/>
      <c r="D987" s="4"/>
      <c r="E987" s="4"/>
      <c r="F987" s="28"/>
      <c r="G987" s="28"/>
      <c r="H987" s="83"/>
      <c r="I987" s="4"/>
      <c r="J987" s="4"/>
      <c r="K987" s="4"/>
      <c r="L987" s="4"/>
      <c r="M987" s="4"/>
      <c r="N987" s="28"/>
      <c r="O987" s="4"/>
      <c r="P987" s="4"/>
      <c r="Q987" s="4"/>
      <c r="R987" s="4"/>
      <c r="S987" s="4"/>
      <c r="T987" s="4"/>
      <c r="U987" s="4"/>
      <c r="V987" s="4"/>
      <c r="W987" s="4"/>
      <c r="X987" s="4"/>
      <c r="Y987" s="4"/>
      <c r="Z987" s="4"/>
      <c r="AA987" s="4"/>
      <c r="AB987" s="4"/>
      <c r="AC987" s="4"/>
      <c r="AD987" s="4"/>
      <c r="AE987" s="4"/>
      <c r="AF987" s="81"/>
      <c r="AG987" s="81"/>
      <c r="AH987" s="81"/>
      <c r="AI987" s="4"/>
      <c r="AJ987" s="81"/>
      <c r="AK987" s="81"/>
      <c r="AL987" s="81"/>
      <c r="AM987" s="43">
        <v>971</v>
      </c>
      <c r="AN987">
        <v>250.88624381088547</v>
      </c>
      <c r="AO987">
        <v>89.659676664749298</v>
      </c>
      <c r="AP987">
        <v>661.91219808314895</v>
      </c>
      <c r="AQ987">
        <v>473.22705048265493</v>
      </c>
      <c r="AR987">
        <v>81.126431403526027</v>
      </c>
      <c r="AS987">
        <v>685.51632896660044</v>
      </c>
      <c r="AT987" t="e">
        <v>#DIV/0!</v>
      </c>
      <c r="AU987" t="e">
        <v>#DIV/0!</v>
      </c>
      <c r="AV987"/>
      <c r="AW987"/>
      <c r="FY987" s="211">
        <v>982</v>
      </c>
      <c r="FZ987">
        <v>16.952532889577732</v>
      </c>
      <c r="GA987">
        <v>48.100523617992962</v>
      </c>
      <c r="GB987">
        <v>53.098275798866077</v>
      </c>
      <c r="GC987">
        <v>33.879308361800753</v>
      </c>
      <c r="GD987">
        <v>27.181730785477271</v>
      </c>
      <c r="GE987">
        <v>46.782290686387498</v>
      </c>
      <c r="GF987">
        <v>39.599346289799001</v>
      </c>
      <c r="GG987">
        <v>22.505898409763049</v>
      </c>
      <c r="GH987">
        <v>9.1520469029994018</v>
      </c>
      <c r="GI987">
        <v>42.504072339482484</v>
      </c>
      <c r="GJ987"/>
      <c r="GK987"/>
      <c r="GL987"/>
      <c r="GM987"/>
    </row>
    <row r="988" spans="1:195" s="7" customFormat="1">
      <c r="A988" s="4"/>
      <c r="B988" s="4"/>
      <c r="C988" s="4"/>
      <c r="D988" s="4"/>
      <c r="E988" s="4"/>
      <c r="F988" s="28"/>
      <c r="G988" s="28"/>
      <c r="H988" s="83"/>
      <c r="I988" s="4"/>
      <c r="J988" s="4"/>
      <c r="K988" s="4"/>
      <c r="L988" s="4"/>
      <c r="M988" s="4"/>
      <c r="N988" s="28"/>
      <c r="O988" s="4"/>
      <c r="P988" s="4"/>
      <c r="Q988" s="4"/>
      <c r="R988" s="4"/>
      <c r="S988" s="4"/>
      <c r="T988" s="4"/>
      <c r="U988" s="4"/>
      <c r="V988" s="4"/>
      <c r="W988" s="4"/>
      <c r="X988" s="4"/>
      <c r="Y988" s="4"/>
      <c r="Z988" s="4"/>
      <c r="AA988" s="4"/>
      <c r="AB988" s="4"/>
      <c r="AC988" s="4"/>
      <c r="AD988" s="4"/>
      <c r="AE988" s="4"/>
      <c r="AF988" s="81"/>
      <c r="AG988" s="81"/>
      <c r="AH988" s="81"/>
      <c r="AI988" s="4"/>
      <c r="AJ988" s="81"/>
      <c r="AK988" s="81"/>
      <c r="AL988" s="81"/>
      <c r="AM988" s="43">
        <v>972</v>
      </c>
      <c r="AN988">
        <v>171.76947494889109</v>
      </c>
      <c r="AO988">
        <v>75.272930614722696</v>
      </c>
      <c r="AP988">
        <v>583.25957053816921</v>
      </c>
      <c r="AQ988">
        <v>431.38268898201818</v>
      </c>
      <c r="AR988">
        <v>67.973373686953138</v>
      </c>
      <c r="AS988">
        <v>531.44436491120939</v>
      </c>
      <c r="AT988">
        <v>39.076808721835938</v>
      </c>
      <c r="AU988">
        <v>38.294685742602432</v>
      </c>
      <c r="AV988"/>
      <c r="AW988"/>
      <c r="FY988" s="211">
        <v>983</v>
      </c>
      <c r="FZ988">
        <v>22.721265475473444</v>
      </c>
      <c r="GA988">
        <v>60.15293517668654</v>
      </c>
      <c r="GB988">
        <v>75.834382707852228</v>
      </c>
      <c r="GC988">
        <v>42.746983927922038</v>
      </c>
      <c r="GD988">
        <v>13.717590275007034</v>
      </c>
      <c r="GE988">
        <v>40.853113257390447</v>
      </c>
      <c r="GF988">
        <v>68.400398370301602</v>
      </c>
      <c r="GG988">
        <v>28.987300365012572</v>
      </c>
      <c r="GH988">
        <v>17.828902700903424</v>
      </c>
      <c r="GI988">
        <v>47.039910758924343</v>
      </c>
      <c r="GJ988"/>
      <c r="GK988"/>
      <c r="GL988"/>
      <c r="GM988"/>
    </row>
    <row r="989" spans="1:195" s="7" customFormat="1">
      <c r="A989" s="4"/>
      <c r="B989" s="4"/>
      <c r="C989" s="4"/>
      <c r="D989" s="4"/>
      <c r="E989" s="4"/>
      <c r="F989" s="28"/>
      <c r="G989" s="28"/>
      <c r="H989" s="83"/>
      <c r="I989" s="4"/>
      <c r="J989" s="4"/>
      <c r="K989" s="4"/>
      <c r="L989" s="4"/>
      <c r="M989" s="4"/>
      <c r="N989" s="28"/>
      <c r="O989" s="4"/>
      <c r="P989" s="4"/>
      <c r="Q989" s="4"/>
      <c r="R989" s="4"/>
      <c r="S989" s="4"/>
      <c r="T989" s="4"/>
      <c r="U989" s="4"/>
      <c r="V989" s="4"/>
      <c r="W989" s="4"/>
      <c r="X989" s="4"/>
      <c r="Y989" s="4"/>
      <c r="Z989" s="4"/>
      <c r="AA989" s="4"/>
      <c r="AB989" s="4"/>
      <c r="AC989" s="4"/>
      <c r="AD989" s="4"/>
      <c r="AE989" s="4"/>
      <c r="AF989" s="81"/>
      <c r="AG989" s="81"/>
      <c r="AH989" s="81"/>
      <c r="AI989" s="4"/>
      <c r="AJ989" s="81"/>
      <c r="AK989" s="81"/>
      <c r="AL989" s="81"/>
      <c r="AM989" s="43">
        <v>973</v>
      </c>
      <c r="AN989">
        <v>229.02098151479973</v>
      </c>
      <c r="AO989">
        <v>74.421290076588349</v>
      </c>
      <c r="AP989">
        <v>501.80738779653649</v>
      </c>
      <c r="AQ989">
        <v>385.02716079960857</v>
      </c>
      <c r="AR989">
        <v>68.081115499180783</v>
      </c>
      <c r="AS989">
        <v>595.24166906395021</v>
      </c>
      <c r="AT989">
        <v>35.606563573769755</v>
      </c>
      <c r="AU989">
        <v>63.685967273021767</v>
      </c>
      <c r="AV989"/>
      <c r="AW989"/>
      <c r="FY989" s="211">
        <v>984</v>
      </c>
      <c r="FZ989">
        <v>11.848819176986034</v>
      </c>
      <c r="GA989">
        <v>43.658151067547074</v>
      </c>
      <c r="GB989">
        <v>88.477276631573133</v>
      </c>
      <c r="GC989">
        <v>49.500098638541651</v>
      </c>
      <c r="GD989">
        <v>22.569461669297759</v>
      </c>
      <c r="GE989">
        <v>44.86591658999653</v>
      </c>
      <c r="GF989">
        <v>43.856170767694699</v>
      </c>
      <c r="GG989">
        <v>48.689414631886393</v>
      </c>
      <c r="GH989">
        <v>43.627713417282749</v>
      </c>
      <c r="GI989">
        <v>54.245310034220275</v>
      </c>
      <c r="GJ989"/>
      <c r="GK989"/>
      <c r="GL989"/>
      <c r="GM989"/>
    </row>
    <row r="990" spans="1:195" s="7" customFormat="1">
      <c r="A990" s="4"/>
      <c r="B990" s="4"/>
      <c r="C990" s="4"/>
      <c r="D990" s="4"/>
      <c r="E990" s="4"/>
      <c r="F990" s="28"/>
      <c r="G990" s="28"/>
      <c r="H990" s="83"/>
      <c r="I990" s="4"/>
      <c r="J990" s="4"/>
      <c r="K990" s="4"/>
      <c r="L990" s="4"/>
      <c r="M990" s="4"/>
      <c r="N990" s="28"/>
      <c r="O990" s="4"/>
      <c r="P990" s="4"/>
      <c r="Q990" s="4"/>
      <c r="R990" s="4"/>
      <c r="S990" s="4"/>
      <c r="T990" s="4"/>
      <c r="U990" s="4"/>
      <c r="V990" s="4"/>
      <c r="W990" s="4"/>
      <c r="X990" s="4"/>
      <c r="Y990" s="4"/>
      <c r="Z990" s="4"/>
      <c r="AA990" s="4"/>
      <c r="AB990" s="4"/>
      <c r="AC990" s="4"/>
      <c r="AD990" s="4"/>
      <c r="AE990" s="4"/>
      <c r="AF990" s="81"/>
      <c r="AG990" s="81"/>
      <c r="AH990" s="81"/>
      <c r="AI990" s="4"/>
      <c r="AJ990" s="81"/>
      <c r="AK990" s="81"/>
      <c r="AL990" s="81"/>
      <c r="AM990" s="43">
        <v>974</v>
      </c>
      <c r="AN990">
        <v>288.44599712792467</v>
      </c>
      <c r="AO990">
        <v>98.563380969864298</v>
      </c>
      <c r="AP990">
        <v>777.82109849809035</v>
      </c>
      <c r="AQ990">
        <v>556.70446459693449</v>
      </c>
      <c r="AR990">
        <v>87.752251045761938</v>
      </c>
      <c r="AS990">
        <v>701.94094591483383</v>
      </c>
      <c r="AT990">
        <v>47.542350172233462</v>
      </c>
      <c r="AU990">
        <v>140.62683618709673</v>
      </c>
      <c r="AV990"/>
      <c r="AW990"/>
      <c r="FY990" s="211">
        <v>985</v>
      </c>
      <c r="FZ990">
        <v>14.490642130060937</v>
      </c>
      <c r="GA990">
        <v>45.8245704609337</v>
      </c>
      <c r="GB990">
        <v>75.255494740971244</v>
      </c>
      <c r="GC990">
        <v>40.739031167668387</v>
      </c>
      <c r="GD990">
        <v>13.440485792973867</v>
      </c>
      <c r="GE990">
        <v>54.925256137368017</v>
      </c>
      <c r="GF990">
        <v>132.11174958012467</v>
      </c>
      <c r="GG990">
        <v>84.349666718890234</v>
      </c>
      <c r="GH990">
        <v>31.59549991101883</v>
      </c>
      <c r="GI990">
        <v>62.469993777391025</v>
      </c>
      <c r="GJ990"/>
      <c r="GK990"/>
      <c r="GL990"/>
      <c r="GM990"/>
    </row>
    <row r="991" spans="1:195" s="7" customFormat="1">
      <c r="A991" s="4"/>
      <c r="B991" s="4"/>
      <c r="C991" s="4"/>
      <c r="D991" s="4"/>
      <c r="E991" s="4"/>
      <c r="F991" s="28"/>
      <c r="G991" s="28"/>
      <c r="H991" s="83"/>
      <c r="I991" s="4"/>
      <c r="J991" s="4"/>
      <c r="K991" s="4"/>
      <c r="L991" s="4"/>
      <c r="M991" s="4"/>
      <c r="N991" s="28"/>
      <c r="O991" s="4"/>
      <c r="P991" s="4"/>
      <c r="Q991" s="4"/>
      <c r="R991" s="4"/>
      <c r="S991" s="4"/>
      <c r="T991" s="4"/>
      <c r="U991" s="4"/>
      <c r="V991" s="4"/>
      <c r="W991" s="4"/>
      <c r="X991" s="4"/>
      <c r="Y991" s="4"/>
      <c r="Z991" s="4"/>
      <c r="AA991" s="4"/>
      <c r="AB991" s="4"/>
      <c r="AC991" s="4"/>
      <c r="AD991" s="4"/>
      <c r="AE991" s="4"/>
      <c r="AF991" s="81"/>
      <c r="AG991" s="81"/>
      <c r="AH991" s="81"/>
      <c r="AI991" s="4"/>
      <c r="AJ991" s="81"/>
      <c r="AK991" s="81"/>
      <c r="AL991" s="81"/>
      <c r="AM991" s="43">
        <v>975</v>
      </c>
      <c r="AN991">
        <v>260.69041143841343</v>
      </c>
      <c r="AO991">
        <v>90.65704917993645</v>
      </c>
      <c r="AP991">
        <v>681.45000948217159</v>
      </c>
      <c r="AQ991">
        <v>477.360813025325</v>
      </c>
      <c r="AR991">
        <v>80.691684791911015</v>
      </c>
      <c r="AS991">
        <v>674.2420191551015</v>
      </c>
      <c r="AT991">
        <v>42.557869312387943</v>
      </c>
      <c r="AU991">
        <v>28.595880431333292</v>
      </c>
      <c r="AV991"/>
      <c r="AW991"/>
      <c r="FY991" s="211">
        <v>986</v>
      </c>
      <c r="FZ991">
        <v>23.750747985131351</v>
      </c>
      <c r="GA991">
        <v>63.85658374280144</v>
      </c>
      <c r="GB991">
        <v>90.53244799391986</v>
      </c>
      <c r="GC991">
        <v>56.827669949107886</v>
      </c>
      <c r="GD991">
        <v>39.608039798013124</v>
      </c>
      <c r="GE991">
        <v>77.686558720046463</v>
      </c>
      <c r="GF991">
        <v>85.480254459371736</v>
      </c>
      <c r="GG991">
        <v>58.992420192320211</v>
      </c>
      <c r="GH991">
        <v>25.021515090128421</v>
      </c>
      <c r="GI991">
        <v>73.484004383092284</v>
      </c>
      <c r="GJ991"/>
      <c r="GK991"/>
      <c r="GL991"/>
      <c r="GM991"/>
    </row>
    <row r="992" spans="1:195" s="7" customFormat="1">
      <c r="A992" s="4"/>
      <c r="B992" s="4"/>
      <c r="C992" s="4"/>
      <c r="D992" s="4"/>
      <c r="E992" s="4"/>
      <c r="F992" s="28"/>
      <c r="G992" s="28"/>
      <c r="H992" s="83"/>
      <c r="I992" s="4"/>
      <c r="J992" s="4"/>
      <c r="K992" s="4"/>
      <c r="L992" s="4"/>
      <c r="M992" s="4"/>
      <c r="N992" s="28"/>
      <c r="O992" s="4"/>
      <c r="P992" s="4"/>
      <c r="Q992" s="4"/>
      <c r="R992" s="4"/>
      <c r="S992" s="4"/>
      <c r="T992" s="4"/>
      <c r="U992" s="4"/>
      <c r="V992" s="4"/>
      <c r="W992" s="4"/>
      <c r="X992" s="4"/>
      <c r="Y992" s="4"/>
      <c r="Z992" s="4"/>
      <c r="AA992" s="4"/>
      <c r="AB992" s="4"/>
      <c r="AC992" s="4"/>
      <c r="AD992" s="4"/>
      <c r="AE992" s="4"/>
      <c r="AF992" s="81"/>
      <c r="AG992" s="81"/>
      <c r="AH992" s="81"/>
      <c r="AI992" s="4"/>
      <c r="AJ992" s="81"/>
      <c r="AK992" s="81"/>
      <c r="AL992" s="81"/>
      <c r="AM992" s="43">
        <v>976</v>
      </c>
      <c r="AN992">
        <v>238.48315116484574</v>
      </c>
      <c r="AO992">
        <v>72.176810399111432</v>
      </c>
      <c r="AP992">
        <v>502.21552818091936</v>
      </c>
      <c r="AQ992">
        <v>376.24852802943241</v>
      </c>
      <c r="AR992">
        <v>64.79247944099734</v>
      </c>
      <c r="AS992">
        <v>563.92700774271225</v>
      </c>
      <c r="AT992">
        <v>35.5177716446358</v>
      </c>
      <c r="AU992">
        <v>62.760534829997233</v>
      </c>
      <c r="AV992"/>
      <c r="AW992"/>
      <c r="FY992" s="211">
        <v>987</v>
      </c>
      <c r="FZ992">
        <v>16.38735179771955</v>
      </c>
      <c r="GA992">
        <v>65.746535177386903</v>
      </c>
      <c r="GB992">
        <v>86.908423369899253</v>
      </c>
      <c r="GC992">
        <v>44.223724411497606</v>
      </c>
      <c r="GD992">
        <v>19.350661359535856</v>
      </c>
      <c r="GE992">
        <v>51.101046464587853</v>
      </c>
      <c r="GF992">
        <v>70.440540706196629</v>
      </c>
      <c r="GG992">
        <v>27.001168243553373</v>
      </c>
      <c r="GH992">
        <v>5.9635649197846741</v>
      </c>
      <c r="GI992">
        <v>51.46531519574188</v>
      </c>
      <c r="GJ992"/>
      <c r="GK992"/>
      <c r="GL992"/>
      <c r="GM992"/>
    </row>
    <row r="993" spans="1:195" s="7" customFormat="1">
      <c r="A993" s="4"/>
      <c r="B993" s="4"/>
      <c r="C993" s="4"/>
      <c r="D993" s="4"/>
      <c r="E993" s="4"/>
      <c r="F993" s="28"/>
      <c r="G993" s="28"/>
      <c r="H993" s="83"/>
      <c r="I993" s="4"/>
      <c r="J993" s="4"/>
      <c r="K993" s="4"/>
      <c r="L993" s="4"/>
      <c r="M993" s="4"/>
      <c r="N993" s="28"/>
      <c r="O993" s="4"/>
      <c r="P993" s="4"/>
      <c r="Q993" s="4"/>
      <c r="R993" s="4"/>
      <c r="S993" s="4"/>
      <c r="T993" s="4"/>
      <c r="U993" s="4"/>
      <c r="V993" s="4"/>
      <c r="W993" s="4"/>
      <c r="X993" s="4"/>
      <c r="Y993" s="4"/>
      <c r="Z993" s="4"/>
      <c r="AA993" s="4"/>
      <c r="AB993" s="4"/>
      <c r="AC993" s="4"/>
      <c r="AD993" s="4"/>
      <c r="AE993" s="4"/>
      <c r="AF993" s="81"/>
      <c r="AG993" s="81"/>
      <c r="AH993" s="81"/>
      <c r="AI993" s="4"/>
      <c r="AJ993" s="81"/>
      <c r="AK993" s="81"/>
      <c r="AL993" s="81"/>
      <c r="AM993" s="43">
        <v>977</v>
      </c>
      <c r="AN993">
        <v>243.77907152159159</v>
      </c>
      <c r="AO993">
        <v>95.131825198785663</v>
      </c>
      <c r="AP993">
        <v>614.06271182606156</v>
      </c>
      <c r="AQ993">
        <v>500.43623240787264</v>
      </c>
      <c r="AR993">
        <v>83.925799590128392</v>
      </c>
      <c r="AS993">
        <v>604.55649567500814</v>
      </c>
      <c r="AT993">
        <v>46.948823166759674</v>
      </c>
      <c r="AU993">
        <v>39.97168491773671</v>
      </c>
      <c r="AV993"/>
      <c r="AW993"/>
      <c r="FY993" s="211">
        <v>988</v>
      </c>
      <c r="FZ993">
        <v>4.4436337924891509</v>
      </c>
      <c r="GA993">
        <v>29.33283295478034</v>
      </c>
      <c r="GB993">
        <v>41.61620203636673</v>
      </c>
      <c r="GC993">
        <v>27.741931160499234</v>
      </c>
      <c r="GD993">
        <v>16.211747514600621</v>
      </c>
      <c r="GE993">
        <v>51.280703547564698</v>
      </c>
      <c r="GF993">
        <v>83.50683405017142</v>
      </c>
      <c r="GG993">
        <v>26.075437554386603</v>
      </c>
      <c r="GH993">
        <v>6.7878071157360624</v>
      </c>
      <c r="GI993">
        <v>39.076041705037511</v>
      </c>
      <c r="GJ993"/>
      <c r="GK993"/>
      <c r="GL993"/>
      <c r="GM993"/>
    </row>
    <row r="994" spans="1:195" s="7" customFormat="1">
      <c r="A994" s="4"/>
      <c r="B994" s="4"/>
      <c r="C994" s="4"/>
      <c r="D994" s="4"/>
      <c r="E994" s="4"/>
      <c r="F994" s="28"/>
      <c r="G994" s="28"/>
      <c r="H994" s="83"/>
      <c r="I994" s="4"/>
      <c r="J994" s="4"/>
      <c r="K994" s="4"/>
      <c r="L994" s="4"/>
      <c r="M994" s="4"/>
      <c r="N994" s="28"/>
      <c r="O994" s="4"/>
      <c r="P994" s="4"/>
      <c r="Q994" s="4"/>
      <c r="R994" s="4"/>
      <c r="S994" s="4"/>
      <c r="T994" s="4"/>
      <c r="U994" s="4"/>
      <c r="V994" s="4"/>
      <c r="W994" s="4"/>
      <c r="X994" s="4"/>
      <c r="Y994" s="4"/>
      <c r="Z994" s="4"/>
      <c r="AA994" s="4"/>
      <c r="AB994" s="4"/>
      <c r="AC994" s="4"/>
      <c r="AD994" s="4"/>
      <c r="AE994" s="4"/>
      <c r="AF994" s="81"/>
      <c r="AG994" s="81"/>
      <c r="AH994" s="81"/>
      <c r="AI994" s="4"/>
      <c r="AJ994" s="81"/>
      <c r="AK994" s="81"/>
      <c r="AL994" s="81"/>
      <c r="AM994" s="43">
        <v>978</v>
      </c>
      <c r="AN994">
        <v>182.98513329108374</v>
      </c>
      <c r="AO994">
        <v>61.519761369826469</v>
      </c>
      <c r="AP994">
        <v>449.1076272034681</v>
      </c>
      <c r="AQ994">
        <v>336.09705035728069</v>
      </c>
      <c r="AR994">
        <v>55.431511956990128</v>
      </c>
      <c r="AS994">
        <v>465.46989735540689</v>
      </c>
      <c r="AT994">
        <v>30.370109853008767</v>
      </c>
      <c r="AU994">
        <v>42.173997044004331</v>
      </c>
      <c r="AV994"/>
      <c r="AW994"/>
      <c r="FY994" s="211">
        <v>989</v>
      </c>
      <c r="FZ994">
        <v>31.765448449709911</v>
      </c>
      <c r="GA994">
        <v>70.726632735038123</v>
      </c>
      <c r="GB994">
        <v>61.731848045082749</v>
      </c>
      <c r="GC994">
        <v>34.112532770314985</v>
      </c>
      <c r="GD994">
        <v>19.630232298687904</v>
      </c>
      <c r="GE994">
        <v>38.94144839606588</v>
      </c>
      <c r="GF994">
        <v>48.489922369894359</v>
      </c>
      <c r="GG994">
        <v>42.318973201014273</v>
      </c>
      <c r="GH994">
        <v>29.868133091307904</v>
      </c>
      <c r="GI994">
        <v>47.281264905343228</v>
      </c>
      <c r="GJ994"/>
      <c r="GK994"/>
      <c r="GL994"/>
      <c r="GM994"/>
    </row>
    <row r="995" spans="1:195" s="7" customFormat="1">
      <c r="A995" s="4"/>
      <c r="B995" s="4"/>
      <c r="C995" s="4"/>
      <c r="D995" s="4"/>
      <c r="E995" s="4"/>
      <c r="F995" s="28"/>
      <c r="G995" s="28"/>
      <c r="H995" s="83"/>
      <c r="I995" s="4"/>
      <c r="J995" s="4"/>
      <c r="K995" s="4"/>
      <c r="L995" s="4"/>
      <c r="M995" s="4"/>
      <c r="N995" s="28"/>
      <c r="O995" s="4"/>
      <c r="P995" s="4"/>
      <c r="Q995" s="4"/>
      <c r="R995" s="4"/>
      <c r="S995" s="4"/>
      <c r="T995" s="4"/>
      <c r="U995" s="4"/>
      <c r="V995" s="4"/>
      <c r="W995" s="4"/>
      <c r="X995" s="4"/>
      <c r="Y995" s="4"/>
      <c r="Z995" s="4"/>
      <c r="AA995" s="4"/>
      <c r="AB995" s="4"/>
      <c r="AC995" s="4"/>
      <c r="AD995" s="4"/>
      <c r="AE995" s="4"/>
      <c r="AF995" s="81"/>
      <c r="AG995" s="81"/>
      <c r="AH995" s="81"/>
      <c r="AI995" s="4"/>
      <c r="AJ995" s="81"/>
      <c r="AK995" s="81"/>
      <c r="AL995" s="81"/>
      <c r="AM995" s="43">
        <v>979</v>
      </c>
      <c r="AN995">
        <v>245.25906646375228</v>
      </c>
      <c r="AO995">
        <v>100.25659070308178</v>
      </c>
      <c r="AP995">
        <v>682.76366000793644</v>
      </c>
      <c r="AQ995">
        <v>517.06001800313413</v>
      </c>
      <c r="AR995">
        <v>90.180970390381873</v>
      </c>
      <c r="AS995">
        <v>718.22761821224151</v>
      </c>
      <c r="AT995">
        <v>50.541244649127329</v>
      </c>
      <c r="AU995">
        <v>100.38025373767759</v>
      </c>
      <c r="AV995"/>
      <c r="AW995"/>
      <c r="FY995" s="211">
        <v>990</v>
      </c>
      <c r="FZ995">
        <v>9.1957261221828102</v>
      </c>
      <c r="GA995">
        <v>45.989779909769759</v>
      </c>
      <c r="GB995">
        <v>98.054231133724642</v>
      </c>
      <c r="GC995">
        <v>58.725651943506548</v>
      </c>
      <c r="GD995">
        <v>27.303925567068401</v>
      </c>
      <c r="GE995">
        <v>42.918233563391709</v>
      </c>
      <c r="GF995">
        <v>63.129585438386705</v>
      </c>
      <c r="GG995">
        <v>42.31228732466365</v>
      </c>
      <c r="GH995">
        <v>4.4842317985438509</v>
      </c>
      <c r="GI995">
        <v>56.81492734704424</v>
      </c>
      <c r="GJ995"/>
      <c r="GK995"/>
      <c r="GL995"/>
      <c r="GM995"/>
    </row>
    <row r="996" spans="1:195" s="7" customFormat="1">
      <c r="A996" s="4"/>
      <c r="B996" s="4"/>
      <c r="C996" s="4"/>
      <c r="D996" s="4"/>
      <c r="E996" s="4"/>
      <c r="F996" s="28"/>
      <c r="G996" s="28"/>
      <c r="H996" s="83"/>
      <c r="I996" s="4"/>
      <c r="J996" s="4"/>
      <c r="K996" s="4"/>
      <c r="L996" s="4"/>
      <c r="M996" s="4"/>
      <c r="N996" s="28"/>
      <c r="O996" s="4"/>
      <c r="P996" s="4"/>
      <c r="Q996" s="4"/>
      <c r="R996" s="4"/>
      <c r="S996" s="4"/>
      <c r="T996" s="4"/>
      <c r="U996" s="4"/>
      <c r="V996" s="4"/>
      <c r="W996" s="4"/>
      <c r="X996" s="4"/>
      <c r="Y996" s="4"/>
      <c r="Z996" s="4"/>
      <c r="AA996" s="4"/>
      <c r="AB996" s="4"/>
      <c r="AC996" s="4"/>
      <c r="AD996" s="4"/>
      <c r="AE996" s="4"/>
      <c r="AF996" s="81"/>
      <c r="AG996" s="81"/>
      <c r="AH996" s="81"/>
      <c r="AI996" s="4"/>
      <c r="AJ996" s="81"/>
      <c r="AK996" s="81"/>
      <c r="AL996" s="81"/>
      <c r="AM996" s="43">
        <v>980</v>
      </c>
      <c r="AN996">
        <v>263.68431319513218</v>
      </c>
      <c r="AO996">
        <v>77.481457129965321</v>
      </c>
      <c r="AP996">
        <v>546.27653939957077</v>
      </c>
      <c r="AQ996">
        <v>429.94552200485407</v>
      </c>
      <c r="AR996">
        <v>71.000838247200406</v>
      </c>
      <c r="AS996">
        <v>612.11660907167595</v>
      </c>
      <c r="AT996">
        <v>38.900507893891138</v>
      </c>
      <c r="AU996">
        <v>35.666517160102615</v>
      </c>
      <c r="AV996"/>
      <c r="AW996"/>
      <c r="FY996" s="211">
        <v>991</v>
      </c>
      <c r="FZ996">
        <v>23.286596354326242</v>
      </c>
      <c r="GA996">
        <v>46.75957974269587</v>
      </c>
      <c r="GB996">
        <v>70.554919170040165</v>
      </c>
      <c r="GC996">
        <v>47.222247689391402</v>
      </c>
      <c r="GD996">
        <v>21.310600664806099</v>
      </c>
      <c r="GE996">
        <v>57.049414583185481</v>
      </c>
      <c r="GF996">
        <v>107.78772654947419</v>
      </c>
      <c r="GG996">
        <v>48.653944160610742</v>
      </c>
      <c r="GH996">
        <v>7.0358777560129662</v>
      </c>
      <c r="GI996">
        <v>58.40178374417556</v>
      </c>
      <c r="GJ996"/>
      <c r="GK996"/>
      <c r="GL996"/>
      <c r="GM996"/>
    </row>
    <row r="997" spans="1:195" s="7" customFormat="1">
      <c r="A997" s="4"/>
      <c r="B997" s="4"/>
      <c r="C997" s="4"/>
      <c r="D997" s="4"/>
      <c r="E997" s="4"/>
      <c r="F997" s="28"/>
      <c r="G997" s="28"/>
      <c r="H997" s="83"/>
      <c r="I997" s="4"/>
      <c r="J997" s="4"/>
      <c r="K997" s="4"/>
      <c r="L997" s="4"/>
      <c r="M997" s="4"/>
      <c r="N997" s="28"/>
      <c r="O997" s="4"/>
      <c r="P997" s="4"/>
      <c r="Q997" s="4"/>
      <c r="R997" s="4"/>
      <c r="S997" s="4"/>
      <c r="T997" s="4"/>
      <c r="U997" s="4"/>
      <c r="V997" s="4"/>
      <c r="W997" s="4"/>
      <c r="X997" s="4"/>
      <c r="Y997" s="4"/>
      <c r="Z997" s="4"/>
      <c r="AA997" s="4"/>
      <c r="AB997" s="4"/>
      <c r="AC997" s="4"/>
      <c r="AD997" s="4"/>
      <c r="AE997" s="4"/>
      <c r="AF997" s="81"/>
      <c r="AG997" s="81"/>
      <c r="AH997" s="81"/>
      <c r="AI997" s="4"/>
      <c r="AJ997" s="81"/>
      <c r="AK997" s="81"/>
      <c r="AL997" s="81"/>
      <c r="AM997" s="43">
        <v>981</v>
      </c>
      <c r="AN997">
        <v>229.61070020786451</v>
      </c>
      <c r="AO997">
        <v>68.376052825786516</v>
      </c>
      <c r="AP997">
        <v>452.61674861248702</v>
      </c>
      <c r="AQ997">
        <v>359.72005962360771</v>
      </c>
      <c r="AR997">
        <v>61.240710706569359</v>
      </c>
      <c r="AS997">
        <v>531.31225565618513</v>
      </c>
      <c r="AT997" t="e">
        <v>#DIV/0!</v>
      </c>
      <c r="AU997" t="e">
        <v>#DIV/0!</v>
      </c>
      <c r="AV997"/>
      <c r="AW997"/>
      <c r="FY997" s="211">
        <v>992</v>
      </c>
      <c r="FZ997">
        <v>41.013375986639375</v>
      </c>
      <c r="GA997">
        <v>90.271178779101646</v>
      </c>
      <c r="GB997">
        <v>63.294513755515112</v>
      </c>
      <c r="GC997">
        <v>39.144430725581969</v>
      </c>
      <c r="GD997">
        <v>20.030910263202117</v>
      </c>
      <c r="GE997">
        <v>27.655333841921447</v>
      </c>
      <c r="GF997">
        <v>63.251903589374713</v>
      </c>
      <c r="GG997">
        <v>44.180317215320116</v>
      </c>
      <c r="GH997">
        <v>8.1677151988617602</v>
      </c>
      <c r="GI997">
        <v>48.577174211768472</v>
      </c>
      <c r="GJ997"/>
      <c r="GK997"/>
      <c r="GL997"/>
      <c r="GM997"/>
    </row>
    <row r="998" spans="1:195" s="7" customFormat="1">
      <c r="A998" s="4"/>
      <c r="B998" s="4"/>
      <c r="C998" s="4"/>
      <c r="D998" s="4"/>
      <c r="E998" s="4"/>
      <c r="F998" s="28"/>
      <c r="G998" s="28"/>
      <c r="H998" s="83"/>
      <c r="I998" s="4"/>
      <c r="J998" s="4"/>
      <c r="K998" s="4"/>
      <c r="L998" s="4"/>
      <c r="M998" s="4"/>
      <c r="N998" s="28"/>
      <c r="O998" s="4"/>
      <c r="P998" s="4"/>
      <c r="Q998" s="4"/>
      <c r="R998" s="4"/>
      <c r="S998" s="4"/>
      <c r="T998" s="4"/>
      <c r="U998" s="4"/>
      <c r="V998" s="4"/>
      <c r="W998" s="4"/>
      <c r="X998" s="4"/>
      <c r="Y998" s="4"/>
      <c r="Z998" s="4"/>
      <c r="AA998" s="4"/>
      <c r="AB998" s="4"/>
      <c r="AC998" s="4"/>
      <c r="AD998" s="4"/>
      <c r="AE998" s="4"/>
      <c r="AF998" s="81"/>
      <c r="AG998" s="81"/>
      <c r="AH998" s="81"/>
      <c r="AI998" s="4"/>
      <c r="AJ998" s="81"/>
      <c r="AK998" s="81"/>
      <c r="AL998" s="81"/>
      <c r="AM998" s="43">
        <v>982</v>
      </c>
      <c r="AN998">
        <v>199.89885962187071</v>
      </c>
      <c r="AO998">
        <v>66.592959577128312</v>
      </c>
      <c r="AP998">
        <v>413.08111415394302</v>
      </c>
      <c r="AQ998">
        <v>339.75602608214621</v>
      </c>
      <c r="AR998">
        <v>60.610690598646215</v>
      </c>
      <c r="AS998">
        <v>480.91814365597196</v>
      </c>
      <c r="AT998">
        <v>32.802528238959674</v>
      </c>
      <c r="AU998">
        <v>77.535936469040294</v>
      </c>
      <c r="AV998"/>
      <c r="AW998"/>
      <c r="FY998" s="211">
        <v>993</v>
      </c>
      <c r="FZ998">
        <v>15.440865814218711</v>
      </c>
      <c r="GA998">
        <v>55.518492296030644</v>
      </c>
      <c r="GB998">
        <v>81.82164237885641</v>
      </c>
      <c r="GC998">
        <v>44.837490041393366</v>
      </c>
      <c r="GD998">
        <v>14.520004175079412</v>
      </c>
      <c r="GE998">
        <v>37.709949936156875</v>
      </c>
      <c r="GF998">
        <v>63.531242393692573</v>
      </c>
      <c r="GG998">
        <v>25.898756530882665</v>
      </c>
      <c r="GH998">
        <v>10.799349359724278</v>
      </c>
      <c r="GI998">
        <v>46.975783527224991</v>
      </c>
      <c r="GJ998"/>
      <c r="GK998"/>
      <c r="GL998"/>
      <c r="GM998"/>
    </row>
    <row r="999" spans="1:195" s="7" customFormat="1">
      <c r="A999" s="4"/>
      <c r="B999" s="4"/>
      <c r="C999" s="4"/>
      <c r="D999" s="4"/>
      <c r="E999" s="4"/>
      <c r="F999" s="28"/>
      <c r="G999" s="28"/>
      <c r="H999" s="83"/>
      <c r="I999" s="4"/>
      <c r="J999" s="4"/>
      <c r="K999" s="4"/>
      <c r="L999" s="4"/>
      <c r="M999" s="4"/>
      <c r="N999" s="28"/>
      <c r="O999" s="4"/>
      <c r="P999" s="4"/>
      <c r="Q999" s="4"/>
      <c r="R999" s="4"/>
      <c r="S999" s="4"/>
      <c r="T999" s="4"/>
      <c r="U999" s="4"/>
      <c r="V999" s="4"/>
      <c r="W999" s="4"/>
      <c r="X999" s="4"/>
      <c r="Y999" s="4"/>
      <c r="Z999" s="4"/>
      <c r="AA999" s="4"/>
      <c r="AB999" s="4"/>
      <c r="AC999" s="4"/>
      <c r="AD999" s="4"/>
      <c r="AE999" s="4"/>
      <c r="AF999" s="81"/>
      <c r="AG999" s="81"/>
      <c r="AH999" s="81"/>
      <c r="AI999" s="4"/>
      <c r="AJ999" s="81"/>
      <c r="AK999" s="81"/>
      <c r="AL999" s="81"/>
      <c r="AM999" s="43">
        <v>983</v>
      </c>
      <c r="AN999">
        <v>235.2294614144308</v>
      </c>
      <c r="AO999">
        <v>73.678336963040664</v>
      </c>
      <c r="AP999">
        <v>547.89468687999533</v>
      </c>
      <c r="AQ999">
        <v>418.28278301547368</v>
      </c>
      <c r="AR999">
        <v>65.552053552179657</v>
      </c>
      <c r="AS999">
        <v>559.18060452120721</v>
      </c>
      <c r="AT999">
        <v>33.664361791486627</v>
      </c>
      <c r="AU999">
        <v>40.331886175857541</v>
      </c>
      <c r="AV999"/>
      <c r="AW999"/>
      <c r="FY999" s="211">
        <v>994</v>
      </c>
      <c r="FZ999">
        <v>6.7121451864755306</v>
      </c>
      <c r="GA999">
        <v>37.193194184088526</v>
      </c>
      <c r="GB999">
        <v>83.308651057075082</v>
      </c>
      <c r="GC999">
        <v>45.079207411071195</v>
      </c>
      <c r="GD999">
        <v>21.796392226674421</v>
      </c>
      <c r="GE999">
        <v>62.955840190530452</v>
      </c>
      <c r="GF999">
        <v>84.419860353146589</v>
      </c>
      <c r="GG999">
        <v>31.202277485025153</v>
      </c>
      <c r="GH999">
        <v>1.6298446693333717</v>
      </c>
      <c r="GI999">
        <v>53.23751288265148</v>
      </c>
      <c r="GJ999"/>
      <c r="GK999"/>
      <c r="GL999"/>
      <c r="GM999"/>
    </row>
    <row r="1000" spans="1:195" s="7" customFormat="1">
      <c r="A1000" s="4"/>
      <c r="B1000" s="4"/>
      <c r="C1000" s="4"/>
      <c r="D1000" s="4"/>
      <c r="E1000" s="4"/>
      <c r="F1000" s="28"/>
      <c r="G1000" s="28"/>
      <c r="H1000" s="83"/>
      <c r="I1000" s="4"/>
      <c r="J1000" s="4"/>
      <c r="K1000" s="4"/>
      <c r="L1000" s="4"/>
      <c r="M1000" s="4"/>
      <c r="N1000" s="28"/>
      <c r="O1000" s="4"/>
      <c r="P1000" s="4"/>
      <c r="Q1000" s="4"/>
      <c r="R1000" s="4"/>
      <c r="S1000" s="4"/>
      <c r="T1000" s="4"/>
      <c r="U1000" s="4"/>
      <c r="V1000" s="4"/>
      <c r="W1000" s="4"/>
      <c r="X1000" s="4"/>
      <c r="Y1000" s="4"/>
      <c r="Z1000" s="4"/>
      <c r="AA1000" s="4"/>
      <c r="AB1000" s="4"/>
      <c r="AC1000" s="4"/>
      <c r="AD1000" s="4"/>
      <c r="AE1000" s="4"/>
      <c r="AF1000" s="81"/>
      <c r="AG1000" s="81"/>
      <c r="AH1000" s="81"/>
      <c r="AI1000" s="4"/>
      <c r="AJ1000" s="81"/>
      <c r="AK1000" s="81"/>
      <c r="AL1000" s="81"/>
      <c r="AM1000" s="43">
        <v>984</v>
      </c>
      <c r="AN1000">
        <v>246.18119496342069</v>
      </c>
      <c r="AO1000">
        <v>85.010991744440076</v>
      </c>
      <c r="AP1000">
        <v>584.72447617561784</v>
      </c>
      <c r="AQ1000">
        <v>451.33833262502628</v>
      </c>
      <c r="AR1000">
        <v>77.397576663952165</v>
      </c>
      <c r="AS1000">
        <v>657.52511334605913</v>
      </c>
      <c r="AT1000">
        <v>42.582546394442161</v>
      </c>
      <c r="AU1000">
        <v>69.440552968641256</v>
      </c>
      <c r="AV1000"/>
      <c r="AW1000"/>
      <c r="FY1000" s="211">
        <v>995</v>
      </c>
      <c r="FZ1000">
        <v>23.64581907394313</v>
      </c>
      <c r="GA1000">
        <v>46.49268774836402</v>
      </c>
      <c r="GB1000">
        <v>97.632337791879905</v>
      </c>
      <c r="GC1000">
        <v>58.580285972244447</v>
      </c>
      <c r="GD1000">
        <v>16.928032645740828</v>
      </c>
      <c r="GE1000">
        <v>53.871234050844699</v>
      </c>
      <c r="GF1000">
        <v>107.88560330596241</v>
      </c>
      <c r="GG1000">
        <v>51.258233697698195</v>
      </c>
      <c r="GH1000">
        <v>12.375742829217568</v>
      </c>
      <c r="GI1000">
        <v>63.004405051507824</v>
      </c>
      <c r="GJ1000"/>
      <c r="GK1000"/>
      <c r="GL1000"/>
      <c r="GM1000"/>
    </row>
    <row r="1001" spans="1:195" s="7" customFormat="1">
      <c r="A1001" s="4"/>
      <c r="B1001" s="4"/>
      <c r="C1001" s="4"/>
      <c r="D1001" s="4"/>
      <c r="E1001" s="4"/>
      <c r="F1001" s="28"/>
      <c r="G1001" s="28"/>
      <c r="H1001" s="83"/>
      <c r="I1001" s="4"/>
      <c r="J1001" s="4"/>
      <c r="K1001" s="4"/>
      <c r="L1001" s="4"/>
      <c r="M1001" s="4"/>
      <c r="N1001" s="28"/>
      <c r="O1001" s="4"/>
      <c r="P1001" s="4"/>
      <c r="Q1001" s="4"/>
      <c r="R1001" s="4"/>
      <c r="S1001" s="4"/>
      <c r="T1001" s="4"/>
      <c r="U1001" s="4"/>
      <c r="V1001" s="4"/>
      <c r="W1001" s="4"/>
      <c r="X1001" s="4"/>
      <c r="Y1001" s="4"/>
      <c r="Z1001" s="4"/>
      <c r="AA1001" s="4"/>
      <c r="AB1001" s="4"/>
      <c r="AC1001" s="4"/>
      <c r="AD1001" s="4"/>
      <c r="AE1001" s="4"/>
      <c r="AF1001" s="81"/>
      <c r="AG1001" s="81"/>
      <c r="AH1001" s="81"/>
      <c r="AI1001" s="4"/>
      <c r="AJ1001" s="81"/>
      <c r="AK1001" s="81"/>
      <c r="AL1001" s="81"/>
      <c r="AM1001" s="43">
        <v>985</v>
      </c>
      <c r="AN1001">
        <v>250.2792734769061</v>
      </c>
      <c r="AO1001">
        <v>101.25350950264283</v>
      </c>
      <c r="AP1001">
        <v>801.7456235626629</v>
      </c>
      <c r="AQ1001">
        <v>555.20239041740081</v>
      </c>
      <c r="AR1001">
        <v>89.733527949695088</v>
      </c>
      <c r="AS1001">
        <v>698.62939267282036</v>
      </c>
      <c r="AT1001" t="e">
        <v>#DIV/0!</v>
      </c>
      <c r="AU1001" t="e">
        <v>#DIV/0!</v>
      </c>
      <c r="AV1001"/>
      <c r="AW1001"/>
      <c r="FY1001" s="211">
        <v>996</v>
      </c>
      <c r="FZ1001">
        <v>21.401063942145822</v>
      </c>
      <c r="GA1001">
        <v>62.813284380432648</v>
      </c>
      <c r="GB1001">
        <v>60.985235823016509</v>
      </c>
      <c r="GC1001">
        <v>39.002247322746882</v>
      </c>
      <c r="GD1001">
        <v>23.559496986043566</v>
      </c>
      <c r="GE1001">
        <v>36.621287654246686</v>
      </c>
      <c r="GF1001">
        <v>85.399294996684731</v>
      </c>
      <c r="GG1001">
        <v>61.008497153734368</v>
      </c>
      <c r="GH1001">
        <v>5.8396558988325395</v>
      </c>
      <c r="GI1001">
        <v>52.382234781203145</v>
      </c>
      <c r="GJ1001"/>
      <c r="GK1001"/>
      <c r="GL1001"/>
      <c r="GM1001"/>
    </row>
    <row r="1002" spans="1:195" s="7" customFormat="1">
      <c r="A1002" s="4"/>
      <c r="B1002" s="4"/>
      <c r="C1002" s="4"/>
      <c r="D1002" s="4"/>
      <c r="E1002" s="4"/>
      <c r="F1002" s="28"/>
      <c r="G1002" s="28"/>
      <c r="H1002" s="83"/>
      <c r="I1002" s="4"/>
      <c r="J1002" s="4"/>
      <c r="K1002" s="4"/>
      <c r="L1002" s="4"/>
      <c r="M1002" s="4"/>
      <c r="N1002" s="28"/>
      <c r="O1002" s="4"/>
      <c r="P1002" s="4"/>
      <c r="Q1002" s="4"/>
      <c r="R1002" s="4"/>
      <c r="S1002" s="4"/>
      <c r="T1002" s="4"/>
      <c r="U1002" s="4"/>
      <c r="V1002" s="4"/>
      <c r="W1002" s="4"/>
      <c r="X1002" s="4"/>
      <c r="Y1002" s="4"/>
      <c r="Z1002" s="4"/>
      <c r="AA1002" s="4"/>
      <c r="AB1002" s="4"/>
      <c r="AC1002" s="4"/>
      <c r="AD1002" s="4"/>
      <c r="AE1002" s="4"/>
      <c r="AF1002" s="81"/>
      <c r="AG1002" s="81"/>
      <c r="AH1002" s="81"/>
      <c r="AI1002" s="4"/>
      <c r="AJ1002" s="81"/>
      <c r="AK1002" s="81"/>
      <c r="AL1002" s="81"/>
      <c r="AM1002" s="43">
        <v>986</v>
      </c>
      <c r="AN1002">
        <v>296.48128263926316</v>
      </c>
      <c r="AO1002">
        <v>117.37167143325664</v>
      </c>
      <c r="AP1002">
        <v>772.93838583999445</v>
      </c>
      <c r="AQ1002">
        <v>595.24024231393275</v>
      </c>
      <c r="AR1002">
        <v>106.382726297418</v>
      </c>
      <c r="AS1002">
        <v>867.55572926916273</v>
      </c>
      <c r="AT1002">
        <v>58.80278398449051</v>
      </c>
      <c r="AU1002">
        <v>113.84293230034099</v>
      </c>
      <c r="AV1002"/>
      <c r="AW1002"/>
      <c r="FY1002" s="211">
        <v>997</v>
      </c>
      <c r="FZ1002">
        <v>15.638828039955493</v>
      </c>
      <c r="GA1002">
        <v>50.480789437719494</v>
      </c>
      <c r="GB1002">
        <v>70.135530613683329</v>
      </c>
      <c r="GC1002">
        <v>39.729088022095631</v>
      </c>
      <c r="GD1002">
        <v>17.796006295560655</v>
      </c>
      <c r="GE1002">
        <v>39.407971913408879</v>
      </c>
      <c r="GF1002">
        <v>97.937201481200887</v>
      </c>
      <c r="GG1002">
        <v>89.790502161247133</v>
      </c>
      <c r="GH1002">
        <v>41.534576265896668</v>
      </c>
      <c r="GI1002">
        <v>58.51833833563223</v>
      </c>
      <c r="GJ1002"/>
      <c r="GK1002"/>
      <c r="GL1002"/>
      <c r="GM1002"/>
    </row>
    <row r="1003" spans="1:195" s="7" customFormat="1">
      <c r="A1003" s="4"/>
      <c r="B1003" s="4"/>
      <c r="C1003" s="4"/>
      <c r="D1003" s="4"/>
      <c r="E1003" s="4"/>
      <c r="F1003" s="28"/>
      <c r="G1003" s="28"/>
      <c r="H1003" s="83"/>
      <c r="I1003" s="4"/>
      <c r="J1003" s="4"/>
      <c r="K1003" s="4"/>
      <c r="L1003" s="4"/>
      <c r="M1003" s="4"/>
      <c r="N1003" s="28"/>
      <c r="O1003" s="4"/>
      <c r="P1003" s="4"/>
      <c r="Q1003" s="4"/>
      <c r="R1003" s="4"/>
      <c r="S1003" s="4"/>
      <c r="T1003" s="4"/>
      <c r="U1003" s="4"/>
      <c r="V1003" s="4"/>
      <c r="W1003" s="4"/>
      <c r="X1003" s="4"/>
      <c r="Y1003" s="4"/>
      <c r="Z1003" s="4"/>
      <c r="AA1003" s="4"/>
      <c r="AB1003" s="4"/>
      <c r="AC1003" s="4"/>
      <c r="AD1003" s="4"/>
      <c r="AE1003" s="4"/>
      <c r="AF1003" s="81"/>
      <c r="AG1003" s="81"/>
      <c r="AH1003" s="81"/>
      <c r="AI1003" s="4"/>
      <c r="AJ1003" s="81"/>
      <c r="AK1003" s="81"/>
      <c r="AL1003" s="81"/>
      <c r="AM1003" s="43">
        <v>987</v>
      </c>
      <c r="AN1003">
        <v>273.75601349027067</v>
      </c>
      <c r="AO1003">
        <v>80.486007211606676</v>
      </c>
      <c r="AP1003">
        <v>572.95158101284846</v>
      </c>
      <c r="AQ1003">
        <v>438.58833164590362</v>
      </c>
      <c r="AR1003">
        <v>71.887517789502468</v>
      </c>
      <c r="AS1003">
        <v>626.32214489069486</v>
      </c>
      <c r="AT1003">
        <v>38.578116223338931</v>
      </c>
      <c r="AU1003">
        <v>75.425128268813111</v>
      </c>
      <c r="AV1003"/>
      <c r="AW1003"/>
      <c r="FY1003" s="211">
        <v>998</v>
      </c>
      <c r="FZ1003">
        <v>9.365806021304941</v>
      </c>
      <c r="GA1003">
        <v>44.045262253568609</v>
      </c>
      <c r="GB1003">
        <v>81.649869910435925</v>
      </c>
      <c r="GC1003">
        <v>48.937026464679661</v>
      </c>
      <c r="GD1003">
        <v>18.046535994039587</v>
      </c>
      <c r="GE1003">
        <v>24.667503380018641</v>
      </c>
      <c r="GF1003">
        <v>31.316455867243231</v>
      </c>
      <c r="GG1003">
        <v>19.52012224366247</v>
      </c>
      <c r="GH1003">
        <v>9.1034986677231995</v>
      </c>
      <c r="GI1003">
        <v>40.780379246585845</v>
      </c>
      <c r="GJ1003"/>
      <c r="GK1003"/>
      <c r="GL1003"/>
      <c r="GM1003"/>
    </row>
    <row r="1004" spans="1:195" s="7" customFormat="1">
      <c r="A1004" s="4"/>
      <c r="B1004" s="4"/>
      <c r="C1004" s="4"/>
      <c r="D1004" s="4"/>
      <c r="E1004" s="4"/>
      <c r="F1004" s="28"/>
      <c r="G1004" s="28"/>
      <c r="H1004" s="83"/>
      <c r="I1004" s="4"/>
      <c r="J1004" s="4"/>
      <c r="K1004" s="4"/>
      <c r="L1004" s="4"/>
      <c r="M1004" s="4"/>
      <c r="N1004" s="28"/>
      <c r="O1004" s="4"/>
      <c r="P1004" s="4"/>
      <c r="Q1004" s="4"/>
      <c r="R1004" s="4"/>
      <c r="S1004" s="4"/>
      <c r="T1004" s="4"/>
      <c r="U1004" s="4"/>
      <c r="V1004" s="4"/>
      <c r="W1004" s="4"/>
      <c r="X1004" s="4"/>
      <c r="Y1004" s="4"/>
      <c r="Z1004" s="4"/>
      <c r="AA1004" s="4"/>
      <c r="AB1004" s="4"/>
      <c r="AC1004" s="4"/>
      <c r="AD1004" s="4"/>
      <c r="AE1004" s="4"/>
      <c r="AF1004" s="81"/>
      <c r="AG1004" s="81"/>
      <c r="AH1004" s="81"/>
      <c r="AI1004" s="4"/>
      <c r="AJ1004" s="81"/>
      <c r="AK1004" s="81"/>
      <c r="AL1004" s="81"/>
      <c r="AM1004" s="43">
        <v>988</v>
      </c>
      <c r="AN1004">
        <v>206.95217117495676</v>
      </c>
      <c r="AO1004">
        <v>61.21814919411004</v>
      </c>
      <c r="AP1004">
        <v>420.50660709842117</v>
      </c>
      <c r="AQ1004">
        <v>326.07317143163243</v>
      </c>
      <c r="AR1004">
        <v>53.206697392257766</v>
      </c>
      <c r="AS1004">
        <v>476.32707217489872</v>
      </c>
      <c r="AT1004">
        <v>29.124499534389063</v>
      </c>
      <c r="AU1004">
        <v>54.926055033403223</v>
      </c>
      <c r="AV1004"/>
      <c r="AW1004"/>
      <c r="FY1004" s="211">
        <v>999</v>
      </c>
      <c r="FZ1004">
        <v>29.698480578441952</v>
      </c>
      <c r="GA1004">
        <v>62.010439411380482</v>
      </c>
      <c r="GB1004">
        <v>55.091291072877091</v>
      </c>
      <c r="GC1004">
        <v>33.649027330220278</v>
      </c>
      <c r="GD1004">
        <v>23.512641634319984</v>
      </c>
      <c r="GE1004">
        <v>55.812946677411148</v>
      </c>
      <c r="GF1004">
        <v>79.309150483419145</v>
      </c>
      <c r="GG1004">
        <v>40.213025569279864</v>
      </c>
      <c r="GH1004">
        <v>8.6831802127378435</v>
      </c>
      <c r="GI1004">
        <v>50.398977487641339</v>
      </c>
      <c r="GJ1004"/>
      <c r="GK1004"/>
      <c r="GL1004"/>
      <c r="GM1004"/>
    </row>
    <row r="1005" spans="1:195" s="7" customFormat="1">
      <c r="A1005" s="4"/>
      <c r="B1005" s="4"/>
      <c r="C1005" s="4"/>
      <c r="D1005" s="4"/>
      <c r="E1005" s="4"/>
      <c r="F1005" s="28"/>
      <c r="G1005" s="28"/>
      <c r="H1005" s="83"/>
      <c r="I1005" s="4"/>
      <c r="J1005" s="4"/>
      <c r="K1005" s="4"/>
      <c r="L1005" s="4"/>
      <c r="M1005" s="4"/>
      <c r="N1005" s="28"/>
      <c r="O1005" s="4"/>
      <c r="P1005" s="4"/>
      <c r="Q1005" s="4"/>
      <c r="R1005" s="4"/>
      <c r="S1005" s="4"/>
      <c r="T1005" s="4"/>
      <c r="U1005" s="4"/>
      <c r="V1005" s="4"/>
      <c r="W1005" s="4"/>
      <c r="X1005" s="4"/>
      <c r="Y1005" s="4"/>
      <c r="Z1005" s="4"/>
      <c r="AA1005" s="4"/>
      <c r="AB1005" s="4"/>
      <c r="AC1005" s="4"/>
      <c r="AD1005" s="4"/>
      <c r="AE1005" s="4"/>
      <c r="AF1005" s="81"/>
      <c r="AG1005" s="81"/>
      <c r="AH1005" s="81"/>
      <c r="AI1005" s="4"/>
      <c r="AJ1005" s="81"/>
      <c r="AK1005" s="81"/>
      <c r="AL1005" s="81"/>
      <c r="AM1005" s="43">
        <v>989</v>
      </c>
      <c r="AN1005">
        <v>204.45765182478502</v>
      </c>
      <c r="AO1005">
        <v>74.917408164752743</v>
      </c>
      <c r="AP1005">
        <v>554.39912607483893</v>
      </c>
      <c r="AQ1005">
        <v>424.86643626245933</v>
      </c>
      <c r="AR1005">
        <v>68.017121946632471</v>
      </c>
      <c r="AS1005">
        <v>565.54459867603896</v>
      </c>
      <c r="AT1005">
        <v>36.685597134403217</v>
      </c>
      <c r="AU1005">
        <v>77.313145591976507</v>
      </c>
      <c r="AV1005"/>
      <c r="AW1005"/>
      <c r="FY1005" s="211">
        <v>1000</v>
      </c>
      <c r="FZ1005">
        <v>14.094891422968558</v>
      </c>
      <c r="GA1005">
        <v>35.745847675731028</v>
      </c>
      <c r="GB1005">
        <v>79.508497734606806</v>
      </c>
      <c r="GC1005">
        <v>51.112237551976968</v>
      </c>
      <c r="GD1005">
        <v>22.771910934390895</v>
      </c>
      <c r="GE1005">
        <v>47.193868260173033</v>
      </c>
      <c r="GF1005">
        <v>68.512274731492383</v>
      </c>
      <c r="GG1005">
        <v>45.152072399189684</v>
      </c>
      <c r="GH1005">
        <v>22.672680069540274</v>
      </c>
      <c r="GI1005">
        <v>54.639588560653287</v>
      </c>
      <c r="GJ1005"/>
      <c r="GK1005"/>
      <c r="GL1005"/>
      <c r="GM1005"/>
    </row>
    <row r="1006" spans="1:195" s="7" customFormat="1">
      <c r="A1006" s="4"/>
      <c r="B1006" s="4"/>
      <c r="C1006" s="4"/>
      <c r="D1006" s="4"/>
      <c r="E1006" s="4"/>
      <c r="F1006" s="28"/>
      <c r="G1006" s="28"/>
      <c r="H1006" s="83"/>
      <c r="I1006" s="4"/>
      <c r="J1006" s="4"/>
      <c r="K1006" s="4"/>
      <c r="L1006" s="4"/>
      <c r="M1006" s="4"/>
      <c r="N1006" s="28"/>
      <c r="O1006" s="4"/>
      <c r="P1006" s="4"/>
      <c r="Q1006" s="4"/>
      <c r="R1006" s="4"/>
      <c r="S1006" s="4"/>
      <c r="T1006" s="4"/>
      <c r="U1006" s="4"/>
      <c r="V1006" s="4"/>
      <c r="W1006" s="4"/>
      <c r="X1006" s="4"/>
      <c r="Y1006" s="4"/>
      <c r="Z1006" s="4"/>
      <c r="AA1006" s="4"/>
      <c r="AB1006" s="4"/>
      <c r="AC1006" s="4"/>
      <c r="AD1006" s="4"/>
      <c r="AE1006" s="4"/>
      <c r="AF1006" s="81"/>
      <c r="AG1006" s="81"/>
      <c r="AH1006" s="81"/>
      <c r="AI1006" s="4"/>
      <c r="AJ1006" s="81"/>
      <c r="AK1006" s="81"/>
      <c r="AL1006" s="81"/>
      <c r="AM1006" s="43">
        <v>990</v>
      </c>
      <c r="AN1006">
        <v>281.97508736639702</v>
      </c>
      <c r="AO1006">
        <v>89.150478824194991</v>
      </c>
      <c r="AP1006">
        <v>588.76206936230233</v>
      </c>
      <c r="AQ1006">
        <v>448.92858014828238</v>
      </c>
      <c r="AR1006">
        <v>81.703880007406113</v>
      </c>
      <c r="AS1006">
        <v>693.99341033670214</v>
      </c>
      <c r="AT1006">
        <v>42.831926606329397</v>
      </c>
      <c r="AU1006">
        <v>16.734068812336549</v>
      </c>
      <c r="AV1006"/>
      <c r="AW1006"/>
      <c r="FY1006" s="205"/>
      <c r="FZ1006" s="205"/>
      <c r="GA1006" s="205"/>
      <c r="GB1006" s="205"/>
      <c r="GC1006" s="205"/>
      <c r="GD1006" s="205"/>
      <c r="GE1006" s="205"/>
      <c r="GF1006" s="205"/>
      <c r="GG1006" s="205"/>
      <c r="GH1006" s="205"/>
      <c r="GI1006" s="205"/>
      <c r="GJ1006" s="205"/>
      <c r="GK1006" s="205"/>
      <c r="GL1006" s="205"/>
      <c r="GM1006" s="205"/>
    </row>
    <row r="1007" spans="1:195" s="7" customFormat="1">
      <c r="A1007" s="4"/>
      <c r="B1007" s="4"/>
      <c r="C1007" s="4"/>
      <c r="D1007" s="4"/>
      <c r="E1007" s="4"/>
      <c r="F1007" s="28"/>
      <c r="G1007" s="28"/>
      <c r="H1007" s="83"/>
      <c r="I1007" s="4"/>
      <c r="J1007" s="4"/>
      <c r="K1007" s="4"/>
      <c r="L1007" s="4"/>
      <c r="M1007" s="4"/>
      <c r="N1007" s="28"/>
      <c r="O1007" s="4"/>
      <c r="P1007" s="4"/>
      <c r="Q1007" s="4"/>
      <c r="R1007" s="4"/>
      <c r="S1007" s="4"/>
      <c r="T1007" s="4"/>
      <c r="U1007" s="4"/>
      <c r="V1007" s="4"/>
      <c r="W1007" s="4"/>
      <c r="X1007" s="4"/>
      <c r="Y1007" s="4"/>
      <c r="Z1007" s="4"/>
      <c r="AA1007" s="4"/>
      <c r="AB1007" s="4"/>
      <c r="AC1007" s="4"/>
      <c r="AD1007" s="4"/>
      <c r="AE1007" s="4"/>
      <c r="AF1007" s="81"/>
      <c r="AG1007" s="81"/>
      <c r="AH1007" s="81"/>
      <c r="AI1007" s="4"/>
      <c r="AJ1007" s="81"/>
      <c r="AK1007" s="81"/>
      <c r="AL1007" s="81"/>
      <c r="AM1007" s="43">
        <v>991</v>
      </c>
      <c r="AN1007">
        <v>254.8722388286532</v>
      </c>
      <c r="AO1007">
        <v>93.911035949787987</v>
      </c>
      <c r="AP1007">
        <v>672.30170289142711</v>
      </c>
      <c r="AQ1007">
        <v>488.06269041471876</v>
      </c>
      <c r="AR1007">
        <v>83.380779360862249</v>
      </c>
      <c r="AS1007">
        <v>655.90069147824147</v>
      </c>
      <c r="AT1007">
        <v>44.183654999011985</v>
      </c>
      <c r="AU1007">
        <v>43.018548219195345</v>
      </c>
      <c r="AV1007"/>
      <c r="AW1007"/>
      <c r="FY1007" s="205"/>
      <c r="FZ1007" s="205"/>
      <c r="GA1007" s="205"/>
      <c r="GB1007" s="205"/>
      <c r="GC1007" s="205"/>
      <c r="GD1007" s="205"/>
      <c r="GE1007" s="205"/>
      <c r="GF1007" s="205"/>
      <c r="GG1007" s="205"/>
      <c r="GH1007" s="205"/>
      <c r="GI1007" s="205"/>
      <c r="GJ1007" s="205"/>
      <c r="GK1007" s="205"/>
      <c r="GL1007" s="205"/>
      <c r="GM1007" s="205"/>
    </row>
    <row r="1008" spans="1:195" s="7" customFormat="1">
      <c r="A1008" s="4"/>
      <c r="B1008" s="4"/>
      <c r="C1008" s="4"/>
      <c r="D1008" s="4"/>
      <c r="E1008" s="4"/>
      <c r="F1008" s="28"/>
      <c r="G1008" s="28"/>
      <c r="H1008" s="83"/>
      <c r="I1008" s="4"/>
      <c r="J1008" s="4"/>
      <c r="K1008" s="4"/>
      <c r="L1008" s="4"/>
      <c r="M1008" s="4"/>
      <c r="N1008" s="28"/>
      <c r="O1008" s="4"/>
      <c r="P1008" s="4"/>
      <c r="Q1008" s="4"/>
      <c r="R1008" s="4"/>
      <c r="S1008" s="4"/>
      <c r="T1008" s="4"/>
      <c r="U1008" s="4"/>
      <c r="V1008" s="4"/>
      <c r="W1008" s="4"/>
      <c r="X1008" s="4"/>
      <c r="Y1008" s="4"/>
      <c r="Z1008" s="4"/>
      <c r="AA1008" s="4"/>
      <c r="AB1008" s="4"/>
      <c r="AC1008" s="4"/>
      <c r="AD1008" s="4"/>
      <c r="AE1008" s="4"/>
      <c r="AF1008" s="81"/>
      <c r="AG1008" s="81"/>
      <c r="AH1008" s="81"/>
      <c r="AI1008" s="4"/>
      <c r="AJ1008" s="81"/>
      <c r="AK1008" s="81"/>
      <c r="AL1008" s="81"/>
      <c r="AM1008" s="43">
        <v>992</v>
      </c>
      <c r="AN1008">
        <v>242.2931421143131</v>
      </c>
      <c r="AO1008">
        <v>77.47883927792536</v>
      </c>
      <c r="AP1008">
        <v>595.49301348548022</v>
      </c>
      <c r="AQ1008">
        <v>445.58685356728665</v>
      </c>
      <c r="AR1008">
        <v>70.516215844769476</v>
      </c>
      <c r="AS1008">
        <v>597.30625347527246</v>
      </c>
      <c r="AT1008">
        <v>37.027920888722868</v>
      </c>
      <c r="AU1008">
        <v>27.664547489378478</v>
      </c>
      <c r="AV1008"/>
      <c r="AW1008"/>
      <c r="FY1008" s="205"/>
      <c r="FZ1008" s="205"/>
      <c r="GA1008" s="205"/>
      <c r="GB1008" s="205"/>
      <c r="GC1008" s="205"/>
      <c r="GD1008" s="205"/>
      <c r="GE1008" s="205"/>
      <c r="GF1008" s="205"/>
      <c r="GG1008" s="205"/>
      <c r="GH1008" s="205"/>
      <c r="GI1008" s="205"/>
      <c r="GJ1008" s="205"/>
      <c r="GK1008" s="205"/>
      <c r="GL1008" s="205"/>
      <c r="GM1008" s="205"/>
    </row>
    <row r="1009" spans="1:195" s="7" customFormat="1">
      <c r="A1009" s="4"/>
      <c r="B1009" s="4"/>
      <c r="C1009" s="4"/>
      <c r="D1009" s="4"/>
      <c r="E1009" s="4"/>
      <c r="F1009" s="28"/>
      <c r="G1009" s="28"/>
      <c r="H1009" s="83"/>
      <c r="I1009" s="4"/>
      <c r="J1009" s="4"/>
      <c r="K1009" s="4"/>
      <c r="L1009" s="4"/>
      <c r="M1009" s="4"/>
      <c r="N1009" s="28"/>
      <c r="O1009" s="4"/>
      <c r="P1009" s="4"/>
      <c r="Q1009" s="4"/>
      <c r="R1009" s="4"/>
      <c r="S1009" s="4"/>
      <c r="T1009" s="4"/>
      <c r="U1009" s="4"/>
      <c r="V1009" s="4"/>
      <c r="W1009" s="4"/>
      <c r="X1009" s="4"/>
      <c r="Y1009" s="4"/>
      <c r="Z1009" s="4"/>
      <c r="AA1009" s="4"/>
      <c r="AB1009" s="4"/>
      <c r="AC1009" s="4"/>
      <c r="AD1009" s="4"/>
      <c r="AE1009" s="4"/>
      <c r="AF1009" s="81"/>
      <c r="AG1009" s="81"/>
      <c r="AH1009" s="81"/>
      <c r="AI1009" s="4"/>
      <c r="AJ1009" s="81"/>
      <c r="AK1009" s="81"/>
      <c r="AL1009" s="81"/>
      <c r="AM1009" s="43">
        <v>993</v>
      </c>
      <c r="AN1009">
        <v>240.88590456573507</v>
      </c>
      <c r="AO1009">
        <v>73.971867189410759</v>
      </c>
      <c r="AP1009">
        <v>541.11819300930279</v>
      </c>
      <c r="AQ1009">
        <v>397.05357645325989</v>
      </c>
      <c r="AR1009">
        <v>65.953555990874008</v>
      </c>
      <c r="AS1009">
        <v>566.53509049007403</v>
      </c>
      <c r="AT1009">
        <v>36.287259868298541</v>
      </c>
      <c r="AU1009">
        <v>66.15531107075708</v>
      </c>
      <c r="AV1009"/>
      <c r="AW1009"/>
      <c r="FY1009" s="205"/>
      <c r="FZ1009" s="205"/>
      <c r="GA1009" s="205"/>
      <c r="GB1009" s="205"/>
      <c r="GC1009" s="205"/>
      <c r="GD1009" s="205"/>
      <c r="GE1009" s="205"/>
      <c r="GF1009" s="205"/>
      <c r="GG1009" s="205"/>
      <c r="GH1009" s="205"/>
      <c r="GI1009" s="205"/>
      <c r="GJ1009" s="205"/>
      <c r="GK1009" s="205"/>
      <c r="GL1009" s="205"/>
      <c r="GM1009" s="205"/>
    </row>
    <row r="1010" spans="1:195" s="7" customFormat="1">
      <c r="A1010" s="4"/>
      <c r="B1010" s="4"/>
      <c r="C1010" s="4"/>
      <c r="D1010" s="4"/>
      <c r="E1010" s="4"/>
      <c r="F1010" s="28"/>
      <c r="G1010" s="28"/>
      <c r="H1010" s="83"/>
      <c r="I1010" s="4"/>
      <c r="J1010" s="4"/>
      <c r="K1010" s="4"/>
      <c r="L1010" s="4"/>
      <c r="M1010" s="4"/>
      <c r="N1010" s="28"/>
      <c r="O1010" s="4"/>
      <c r="P1010" s="4"/>
      <c r="Q1010" s="4"/>
      <c r="R1010" s="4"/>
      <c r="S1010" s="4"/>
      <c r="T1010" s="4"/>
      <c r="U1010" s="4"/>
      <c r="V1010" s="4"/>
      <c r="W1010" s="4"/>
      <c r="X1010" s="4"/>
      <c r="Y1010" s="4"/>
      <c r="Z1010" s="4"/>
      <c r="AA1010" s="4"/>
      <c r="AB1010" s="4"/>
      <c r="AC1010" s="4"/>
      <c r="AD1010" s="4"/>
      <c r="AE1010" s="4"/>
      <c r="AF1010" s="81"/>
      <c r="AG1010" s="81"/>
      <c r="AH1010" s="81"/>
      <c r="AI1010" s="4"/>
      <c r="AJ1010" s="81"/>
      <c r="AK1010" s="81"/>
      <c r="AL1010" s="81"/>
      <c r="AM1010" s="43">
        <v>994</v>
      </c>
      <c r="AN1010">
        <v>280.48203690053344</v>
      </c>
      <c r="AO1010">
        <v>83.711666353681807</v>
      </c>
      <c r="AP1010">
        <v>561.4488516622481</v>
      </c>
      <c r="AQ1010">
        <v>427.53492564607177</v>
      </c>
      <c r="AR1010">
        <v>74.606638292975461</v>
      </c>
      <c r="AS1010">
        <v>636.01858410947398</v>
      </c>
      <c r="AT1010">
        <v>39.559586445362974</v>
      </c>
      <c r="AU1010">
        <v>67.451337416657736</v>
      </c>
      <c r="AV1010"/>
      <c r="AW1010"/>
      <c r="FY1010" s="205"/>
      <c r="FZ1010" s="205"/>
      <c r="GA1010" s="205"/>
      <c r="GB1010" s="205"/>
      <c r="GC1010" s="205"/>
      <c r="GD1010" s="205"/>
      <c r="GE1010" s="205"/>
      <c r="GF1010" s="205"/>
      <c r="GG1010" s="205"/>
      <c r="GH1010" s="205"/>
      <c r="GI1010" s="205"/>
      <c r="GJ1010" s="205"/>
      <c r="GK1010" s="205"/>
      <c r="GL1010" s="205"/>
      <c r="GM1010" s="205"/>
    </row>
    <row r="1011" spans="1:195" s="7" customFormat="1">
      <c r="A1011" s="4"/>
      <c r="B1011" s="4"/>
      <c r="C1011" s="4"/>
      <c r="D1011" s="4"/>
      <c r="E1011" s="4"/>
      <c r="F1011" s="28"/>
      <c r="G1011" s="28"/>
      <c r="H1011" s="83"/>
      <c r="I1011" s="4"/>
      <c r="J1011" s="4"/>
      <c r="K1011" s="4"/>
      <c r="L1011" s="4"/>
      <c r="M1011" s="4"/>
      <c r="N1011" s="28"/>
      <c r="O1011" s="4"/>
      <c r="P1011" s="4"/>
      <c r="Q1011" s="4"/>
      <c r="R1011" s="4"/>
      <c r="S1011" s="4"/>
      <c r="T1011" s="4"/>
      <c r="U1011" s="4"/>
      <c r="V1011" s="4"/>
      <c r="W1011" s="4"/>
      <c r="X1011" s="4"/>
      <c r="Y1011" s="4"/>
      <c r="Z1011" s="4"/>
      <c r="AA1011" s="4"/>
      <c r="AB1011" s="4"/>
      <c r="AC1011" s="4"/>
      <c r="AD1011" s="4"/>
      <c r="AE1011" s="4"/>
      <c r="AF1011" s="81"/>
      <c r="AG1011" s="81"/>
      <c r="AH1011" s="81"/>
      <c r="AI1011" s="4"/>
      <c r="AJ1011" s="81"/>
      <c r="AK1011" s="81"/>
      <c r="AL1011" s="81"/>
      <c r="AM1011" s="43">
        <v>995</v>
      </c>
      <c r="AN1011">
        <v>248.28757184300503</v>
      </c>
      <c r="AO1011">
        <v>100.28174565358043</v>
      </c>
      <c r="AP1011">
        <v>734.3400711521449</v>
      </c>
      <c r="AQ1011">
        <v>531.674382167403</v>
      </c>
      <c r="AR1011">
        <v>89.178382022804584</v>
      </c>
      <c r="AS1011">
        <v>734.06946672169192</v>
      </c>
      <c r="AT1011" t="e">
        <v>#DIV/0!</v>
      </c>
      <c r="AU1011" t="e">
        <v>#DIV/0!</v>
      </c>
      <c r="AV1011"/>
      <c r="AW1011"/>
      <c r="FY1011" s="205"/>
      <c r="FZ1011" s="205"/>
      <c r="GA1011" s="205"/>
      <c r="GB1011" s="205"/>
      <c r="GC1011" s="205"/>
      <c r="GD1011" s="205"/>
      <c r="GE1011" s="205"/>
      <c r="GF1011" s="205"/>
      <c r="GG1011" s="205"/>
      <c r="GH1011" s="205"/>
      <c r="GI1011" s="205"/>
      <c r="GJ1011" s="205"/>
      <c r="GK1011" s="205"/>
      <c r="GL1011" s="205"/>
      <c r="GM1011" s="205"/>
    </row>
    <row r="1012" spans="1:195" s="7" customFormat="1">
      <c r="A1012" s="4"/>
      <c r="B1012" s="4"/>
      <c r="C1012" s="4"/>
      <c r="D1012" s="4"/>
      <c r="E1012" s="4"/>
      <c r="F1012" s="28"/>
      <c r="G1012" s="28"/>
      <c r="H1012" s="83"/>
      <c r="I1012" s="4"/>
      <c r="J1012" s="4"/>
      <c r="K1012" s="4"/>
      <c r="L1012" s="4"/>
      <c r="M1012" s="4"/>
      <c r="N1012" s="28"/>
      <c r="O1012" s="4"/>
      <c r="P1012" s="4"/>
      <c r="Q1012" s="4"/>
      <c r="R1012" s="4"/>
      <c r="S1012" s="4"/>
      <c r="T1012" s="4"/>
      <c r="U1012" s="4"/>
      <c r="V1012" s="4"/>
      <c r="W1012" s="4"/>
      <c r="X1012" s="4"/>
      <c r="Y1012" s="4"/>
      <c r="Z1012" s="4"/>
      <c r="AA1012" s="4"/>
      <c r="AB1012" s="4"/>
      <c r="AC1012" s="4"/>
      <c r="AD1012" s="4"/>
      <c r="AE1012" s="4"/>
      <c r="AF1012" s="81"/>
      <c r="AG1012" s="81"/>
      <c r="AH1012" s="81"/>
      <c r="AI1012" s="4"/>
      <c r="AJ1012" s="81"/>
      <c r="AK1012" s="81"/>
      <c r="AL1012" s="81"/>
      <c r="AM1012" s="43">
        <v>996</v>
      </c>
      <c r="AN1012">
        <v>245.22436294903974</v>
      </c>
      <c r="AO1012">
        <v>84.269544487186096</v>
      </c>
      <c r="AP1012">
        <v>617.71558072840105</v>
      </c>
      <c r="AQ1012">
        <v>449.01229893908686</v>
      </c>
      <c r="AR1012">
        <v>76.655281496889643</v>
      </c>
      <c r="AS1012">
        <v>647.9635734941985</v>
      </c>
      <c r="AT1012" t="e">
        <v>#DIV/0!</v>
      </c>
      <c r="AU1012" t="e">
        <v>#DIV/0!</v>
      </c>
      <c r="AV1012"/>
      <c r="AW1012"/>
    </row>
    <row r="1013" spans="1:195" s="7" customFormat="1">
      <c r="A1013" s="4"/>
      <c r="B1013" s="4"/>
      <c r="C1013" s="4"/>
      <c r="D1013" s="4"/>
      <c r="E1013" s="4"/>
      <c r="F1013" s="28"/>
      <c r="G1013" s="28"/>
      <c r="H1013" s="83"/>
      <c r="I1013" s="4"/>
      <c r="J1013" s="4"/>
      <c r="K1013" s="4"/>
      <c r="L1013" s="4"/>
      <c r="M1013" s="4"/>
      <c r="N1013" s="28"/>
      <c r="O1013" s="4"/>
      <c r="P1013" s="4"/>
      <c r="Q1013" s="4"/>
      <c r="R1013" s="4"/>
      <c r="S1013" s="4"/>
      <c r="T1013" s="4"/>
      <c r="U1013" s="4"/>
      <c r="V1013" s="4"/>
      <c r="W1013" s="4"/>
      <c r="X1013" s="4"/>
      <c r="Y1013" s="4"/>
      <c r="Z1013" s="4"/>
      <c r="AA1013" s="4"/>
      <c r="AB1013" s="4"/>
      <c r="AC1013" s="4"/>
      <c r="AD1013" s="4"/>
      <c r="AE1013" s="4"/>
      <c r="AF1013" s="81"/>
      <c r="AG1013" s="81"/>
      <c r="AH1013" s="81"/>
      <c r="AI1013" s="4"/>
      <c r="AJ1013" s="81"/>
      <c r="AK1013" s="81"/>
      <c r="AL1013" s="81"/>
      <c r="AM1013" s="43">
        <v>997</v>
      </c>
      <c r="AN1013">
        <v>279.81547072429191</v>
      </c>
      <c r="AO1013">
        <v>94.121136661211466</v>
      </c>
      <c r="AP1013">
        <v>733.40379883524872</v>
      </c>
      <c r="AQ1013">
        <v>520.96883256640035</v>
      </c>
      <c r="AR1013">
        <v>85.292998862516043</v>
      </c>
      <c r="AS1013">
        <v>715.71000610771375</v>
      </c>
      <c r="AT1013">
        <v>43.677680058859387</v>
      </c>
      <c r="AU1013">
        <v>52.556051006235499</v>
      </c>
      <c r="AV1013"/>
      <c r="AW1013"/>
    </row>
    <row r="1014" spans="1:195" s="7" customFormat="1">
      <c r="A1014" s="4"/>
      <c r="B1014" s="4"/>
      <c r="C1014" s="4"/>
      <c r="D1014" s="4"/>
      <c r="E1014" s="4"/>
      <c r="F1014" s="28"/>
      <c r="G1014" s="28"/>
      <c r="H1014" s="83"/>
      <c r="I1014" s="4"/>
      <c r="J1014" s="4"/>
      <c r="K1014" s="4"/>
      <c r="L1014" s="4"/>
      <c r="M1014" s="4"/>
      <c r="N1014" s="28"/>
      <c r="O1014" s="4"/>
      <c r="P1014" s="4"/>
      <c r="Q1014" s="4"/>
      <c r="R1014" s="4"/>
      <c r="S1014" s="4"/>
      <c r="T1014" s="4"/>
      <c r="U1014" s="4"/>
      <c r="V1014" s="4"/>
      <c r="W1014" s="4"/>
      <c r="X1014" s="4"/>
      <c r="Y1014" s="4"/>
      <c r="Z1014" s="4"/>
      <c r="AA1014" s="4"/>
      <c r="AB1014" s="4"/>
      <c r="AC1014" s="4"/>
      <c r="AD1014" s="4"/>
      <c r="AE1014" s="4"/>
      <c r="AF1014" s="81"/>
      <c r="AG1014" s="81"/>
      <c r="AH1014" s="81"/>
      <c r="AI1014" s="4"/>
      <c r="AJ1014" s="81"/>
      <c r="AK1014" s="81"/>
      <c r="AL1014" s="81"/>
      <c r="AM1014" s="43">
        <v>998</v>
      </c>
      <c r="AN1014">
        <v>219.68290978414856</v>
      </c>
      <c r="AO1014">
        <v>63.105153086188807</v>
      </c>
      <c r="AP1014">
        <v>422.33881397926109</v>
      </c>
      <c r="AQ1014">
        <v>327.43246004926209</v>
      </c>
      <c r="AR1014">
        <v>57.520755448775773</v>
      </c>
      <c r="AS1014">
        <v>506.89201980158197</v>
      </c>
      <c r="AT1014" t="e">
        <v>#DIV/0!</v>
      </c>
      <c r="AU1014" t="e">
        <v>#DIV/0!</v>
      </c>
      <c r="AV1014"/>
      <c r="AW1014"/>
    </row>
    <row r="1015" spans="1:195" s="7" customFormat="1">
      <c r="A1015" s="4"/>
      <c r="B1015" s="4"/>
      <c r="C1015" s="4"/>
      <c r="D1015" s="4"/>
      <c r="E1015" s="4"/>
      <c r="F1015" s="28"/>
      <c r="G1015" s="28"/>
      <c r="H1015" s="83"/>
      <c r="I1015" s="4"/>
      <c r="J1015" s="4"/>
      <c r="K1015" s="4"/>
      <c r="L1015" s="4"/>
      <c r="M1015" s="4"/>
      <c r="N1015" s="28"/>
      <c r="O1015" s="4"/>
      <c r="P1015" s="4"/>
      <c r="Q1015" s="4"/>
      <c r="R1015" s="4"/>
      <c r="S1015" s="4"/>
      <c r="T1015" s="4"/>
      <c r="U1015" s="4"/>
      <c r="V1015" s="4"/>
      <c r="W1015" s="4"/>
      <c r="X1015" s="4"/>
      <c r="Y1015" s="4"/>
      <c r="Z1015" s="4"/>
      <c r="AA1015" s="4"/>
      <c r="AB1015" s="4"/>
      <c r="AC1015" s="4"/>
      <c r="AD1015" s="4"/>
      <c r="AE1015" s="4"/>
      <c r="AF1015" s="81"/>
      <c r="AG1015" s="81"/>
      <c r="AH1015" s="81"/>
      <c r="AI1015" s="4"/>
      <c r="AJ1015" s="81"/>
      <c r="AK1015" s="81"/>
      <c r="AL1015" s="81"/>
      <c r="AM1015" s="43">
        <v>999</v>
      </c>
      <c r="AN1015">
        <v>271.01094746312583</v>
      </c>
      <c r="AO1015">
        <v>79.800456868226206</v>
      </c>
      <c r="AP1015">
        <v>562.20655498792667</v>
      </c>
      <c r="AQ1015">
        <v>438.37916045772914</v>
      </c>
      <c r="AR1015">
        <v>71.695002215062317</v>
      </c>
      <c r="AS1015">
        <v>589.7047739676517</v>
      </c>
      <c r="AT1015">
        <v>37.396300969288326</v>
      </c>
      <c r="AU1015">
        <v>76.357513868643025</v>
      </c>
      <c r="AV1015"/>
      <c r="AW1015"/>
    </row>
    <row r="1016" spans="1:195" s="7" customFormat="1">
      <c r="A1016" s="4"/>
      <c r="B1016" s="4"/>
      <c r="C1016" s="4"/>
      <c r="D1016" s="4"/>
      <c r="E1016" s="4"/>
      <c r="F1016" s="28"/>
      <c r="G1016" s="28"/>
      <c r="H1016" s="83"/>
      <c r="I1016" s="4"/>
      <c r="J1016" s="4"/>
      <c r="K1016" s="4"/>
      <c r="L1016" s="4"/>
      <c r="M1016" s="4"/>
      <c r="N1016" s="28"/>
      <c r="O1016" s="4"/>
      <c r="P1016" s="4"/>
      <c r="Q1016" s="4"/>
      <c r="R1016" s="4"/>
      <c r="S1016" s="4"/>
      <c r="T1016" s="4"/>
      <c r="U1016" s="4"/>
      <c r="V1016" s="4"/>
      <c r="W1016" s="4"/>
      <c r="X1016" s="4"/>
      <c r="Y1016" s="4"/>
      <c r="Z1016" s="4"/>
      <c r="AA1016" s="4"/>
      <c r="AB1016" s="4"/>
      <c r="AC1016" s="4"/>
      <c r="AD1016" s="4"/>
      <c r="AE1016" s="4"/>
      <c r="AF1016" s="81"/>
      <c r="AG1016" s="81"/>
      <c r="AH1016" s="81"/>
      <c r="AI1016" s="4"/>
      <c r="AJ1016" s="81"/>
      <c r="AK1016" s="81"/>
      <c r="AL1016" s="81"/>
      <c r="AM1016" s="43">
        <v>1000</v>
      </c>
      <c r="AN1016">
        <v>250.70079557007725</v>
      </c>
      <c r="AO1016">
        <v>87.143593141914735</v>
      </c>
      <c r="AP1016">
        <v>595.2209144404477</v>
      </c>
      <c r="AQ1016">
        <v>441.40386934072291</v>
      </c>
      <c r="AR1016">
        <v>78.36155893504484</v>
      </c>
      <c r="AS1016">
        <v>664.67486405901116</v>
      </c>
      <c r="AT1016">
        <v>41.755629820183984</v>
      </c>
      <c r="AU1016">
        <v>90.55516889282093</v>
      </c>
      <c r="AV1016"/>
      <c r="AW1016"/>
    </row>
    <row r="1017" spans="1:195" s="7" customFormat="1">
      <c r="A1017" s="4"/>
      <c r="B1017" s="4"/>
      <c r="C1017" s="4"/>
      <c r="D1017" s="4"/>
      <c r="E1017" s="4"/>
      <c r="F1017" s="28"/>
      <c r="G1017" s="28"/>
      <c r="H1017" s="83"/>
      <c r="I1017" s="4"/>
      <c r="J1017" s="4"/>
      <c r="K1017" s="4"/>
      <c r="L1017" s="4"/>
      <c r="M1017" s="4"/>
      <c r="N1017" s="28"/>
      <c r="O1017" s="4"/>
      <c r="P1017" s="4"/>
      <c r="Q1017" s="4"/>
      <c r="R1017" s="4"/>
      <c r="S1017" s="4"/>
      <c r="T1017" s="4"/>
      <c r="U1017" s="4"/>
      <c r="V1017" s="4"/>
      <c r="W1017" s="4"/>
      <c r="X1017" s="4"/>
      <c r="Y1017" s="4"/>
      <c r="Z1017" s="4"/>
      <c r="AA1017" s="4"/>
      <c r="AB1017" s="4"/>
      <c r="AC1017" s="4"/>
      <c r="AD1017" s="4"/>
      <c r="AE1017" s="4"/>
      <c r="AF1017" s="81"/>
      <c r="AG1017" s="81"/>
      <c r="AH1017" s="81"/>
      <c r="AI1017" s="4"/>
      <c r="AJ1017" s="81"/>
      <c r="AK1017" s="81"/>
      <c r="AL1017" s="81"/>
      <c r="AM1017" s="35" t="s">
        <v>117</v>
      </c>
      <c r="AN1017" s="35" t="s">
        <v>117</v>
      </c>
      <c r="AO1017" s="35" t="s">
        <v>117</v>
      </c>
      <c r="AP1017" s="35" t="s">
        <v>117</v>
      </c>
      <c r="AQ1017" s="35" t="s">
        <v>117</v>
      </c>
      <c r="AR1017" s="35" t="s">
        <v>117</v>
      </c>
      <c r="AS1017" s="35" t="s">
        <v>117</v>
      </c>
      <c r="AT1017" s="35" t="s">
        <v>117</v>
      </c>
      <c r="AU1017" s="35" t="s">
        <v>117</v>
      </c>
      <c r="AV1017" s="121"/>
    </row>
    <row r="1018" spans="1:195" s="7" customFormat="1">
      <c r="A1018" s="4"/>
      <c r="B1018" s="4"/>
      <c r="C1018" s="4"/>
      <c r="D1018" s="4"/>
      <c r="E1018" s="4"/>
      <c r="F1018" s="28"/>
      <c r="G1018" s="28"/>
      <c r="H1018" s="83"/>
      <c r="I1018" s="4"/>
      <c r="J1018" s="4"/>
      <c r="K1018" s="4"/>
      <c r="L1018" s="4"/>
      <c r="M1018" s="4"/>
      <c r="N1018" s="28"/>
      <c r="O1018" s="4"/>
      <c r="P1018" s="4"/>
      <c r="Q1018" s="4"/>
      <c r="R1018" s="4"/>
      <c r="S1018" s="4"/>
      <c r="T1018" s="4"/>
      <c r="U1018" s="4"/>
      <c r="V1018" s="4"/>
      <c r="W1018" s="4"/>
      <c r="X1018" s="4"/>
      <c r="Y1018" s="4"/>
      <c r="Z1018" s="4"/>
      <c r="AA1018" s="4"/>
      <c r="AB1018" s="4"/>
      <c r="AC1018" s="4"/>
      <c r="AD1018" s="4"/>
      <c r="AE1018" s="4"/>
      <c r="AF1018" s="81"/>
      <c r="AG1018" s="81"/>
      <c r="AH1018" s="81"/>
      <c r="AI1018" s="4"/>
      <c r="AJ1018" s="81"/>
      <c r="AK1018" s="81"/>
      <c r="AL1018" s="81"/>
      <c r="AM1018" s="35" t="s">
        <v>117</v>
      </c>
      <c r="AN1018" s="35" t="s">
        <v>117</v>
      </c>
      <c r="AO1018" s="35" t="s">
        <v>117</v>
      </c>
      <c r="AP1018" s="35" t="s">
        <v>117</v>
      </c>
      <c r="AQ1018" s="35" t="s">
        <v>117</v>
      </c>
      <c r="AR1018" s="35" t="s">
        <v>117</v>
      </c>
      <c r="AS1018" s="35" t="s">
        <v>117</v>
      </c>
      <c r="AT1018" s="35" t="s">
        <v>117</v>
      </c>
      <c r="AU1018" s="35" t="s">
        <v>117</v>
      </c>
      <c r="AV1018" s="121"/>
    </row>
    <row r="1019" spans="1:195" s="7" customFormat="1">
      <c r="A1019" s="4"/>
      <c r="B1019" s="4"/>
      <c r="C1019" s="4"/>
      <c r="D1019" s="4"/>
      <c r="E1019" s="4"/>
      <c r="F1019" s="28"/>
      <c r="G1019" s="28"/>
      <c r="H1019" s="83"/>
      <c r="I1019" s="4"/>
      <c r="J1019" s="4"/>
      <c r="K1019" s="4"/>
      <c r="L1019" s="4"/>
      <c r="M1019" s="4"/>
      <c r="N1019" s="28"/>
      <c r="O1019" s="4"/>
      <c r="P1019" s="4"/>
      <c r="Q1019" s="4"/>
      <c r="R1019" s="4"/>
      <c r="S1019" s="4"/>
      <c r="T1019" s="4"/>
      <c r="U1019" s="4"/>
      <c r="V1019" s="4"/>
      <c r="W1019" s="4"/>
      <c r="X1019" s="4"/>
      <c r="Y1019" s="4"/>
      <c r="Z1019" s="4"/>
      <c r="AA1019" s="4"/>
      <c r="AB1019" s="4"/>
      <c r="AC1019" s="4"/>
      <c r="AD1019" s="4"/>
      <c r="AE1019" s="4"/>
      <c r="AF1019" s="81"/>
      <c r="AG1019" s="81"/>
      <c r="AH1019" s="81"/>
      <c r="AI1019" s="4"/>
      <c r="AJ1019" s="81"/>
      <c r="AK1019" s="81"/>
      <c r="AL1019" s="81"/>
      <c r="AM1019" s="81"/>
      <c r="AN1019" s="81"/>
      <c r="AO1019" s="81"/>
      <c r="AP1019" s="81"/>
      <c r="AQ1019" s="81"/>
      <c r="AR1019" s="81"/>
      <c r="AS1019" s="81"/>
    </row>
    <row r="1020" spans="1:195" s="7" customFormat="1">
      <c r="A1020" s="4"/>
      <c r="B1020" s="4"/>
      <c r="C1020" s="4"/>
      <c r="D1020" s="4"/>
      <c r="E1020" s="4"/>
      <c r="F1020" s="28"/>
      <c r="G1020" s="28"/>
      <c r="H1020" s="83"/>
      <c r="I1020" s="4"/>
      <c r="J1020" s="4"/>
      <c r="K1020" s="4"/>
      <c r="L1020" s="4"/>
      <c r="M1020" s="4"/>
      <c r="N1020" s="28"/>
      <c r="O1020" s="4"/>
      <c r="P1020" s="4"/>
      <c r="Q1020" s="4"/>
      <c r="R1020" s="4"/>
      <c r="S1020" s="4"/>
      <c r="T1020" s="4"/>
      <c r="U1020" s="4"/>
      <c r="V1020" s="4"/>
      <c r="W1020" s="4"/>
      <c r="X1020" s="4"/>
      <c r="Y1020" s="4"/>
      <c r="Z1020" s="4"/>
      <c r="AA1020" s="4"/>
      <c r="AB1020" s="4"/>
      <c r="AC1020" s="4"/>
      <c r="AD1020" s="4"/>
      <c r="AE1020" s="4"/>
      <c r="AF1020" s="81"/>
      <c r="AG1020" s="81"/>
      <c r="AH1020" s="81"/>
      <c r="AI1020" s="4"/>
      <c r="AJ1020" s="81"/>
      <c r="AK1020" s="81"/>
      <c r="AL1020" s="81"/>
      <c r="AM1020" s="81"/>
      <c r="AN1020" s="81"/>
      <c r="AO1020" s="81"/>
      <c r="AP1020" s="81"/>
      <c r="AQ1020" s="81"/>
      <c r="AR1020" s="81"/>
      <c r="AS1020" s="81"/>
    </row>
    <row r="1021" spans="1:195" s="7" customFormat="1">
      <c r="A1021" s="4"/>
      <c r="B1021" s="4"/>
      <c r="C1021" s="4"/>
      <c r="D1021" s="4"/>
      <c r="E1021" s="4"/>
      <c r="F1021" s="28"/>
      <c r="G1021" s="28"/>
      <c r="H1021" s="83"/>
      <c r="I1021" s="4"/>
      <c r="J1021" s="4"/>
      <c r="K1021" s="4"/>
      <c r="L1021" s="4"/>
      <c r="M1021" s="4"/>
      <c r="N1021" s="28"/>
      <c r="O1021" s="4"/>
      <c r="P1021" s="4"/>
      <c r="Q1021" s="4"/>
      <c r="R1021" s="4"/>
      <c r="S1021" s="4"/>
      <c r="T1021" s="4"/>
      <c r="U1021" s="4"/>
      <c r="V1021" s="4"/>
      <c r="W1021" s="4"/>
      <c r="X1021" s="4"/>
      <c r="Y1021" s="4"/>
      <c r="Z1021" s="4"/>
      <c r="AA1021" s="4"/>
      <c r="AB1021" s="4"/>
      <c r="AC1021" s="4"/>
      <c r="AD1021" s="4"/>
      <c r="AE1021" s="4"/>
      <c r="AF1021" s="81"/>
      <c r="AG1021" s="81"/>
      <c r="AH1021" s="81"/>
      <c r="AI1021" s="4"/>
      <c r="AJ1021" s="81"/>
      <c r="AK1021" s="81"/>
      <c r="AL1021" s="81"/>
      <c r="AM1021" s="81"/>
      <c r="AN1021" s="81"/>
      <c r="AO1021" s="81"/>
      <c r="AP1021" s="81"/>
      <c r="AQ1021" s="81"/>
      <c r="AR1021" s="81"/>
      <c r="AS1021" s="81"/>
    </row>
    <row r="1022" spans="1:195" s="7" customFormat="1">
      <c r="A1022" s="4"/>
      <c r="B1022" s="4"/>
      <c r="C1022" s="4"/>
      <c r="D1022" s="4"/>
      <c r="E1022" s="4"/>
      <c r="F1022" s="28"/>
      <c r="G1022" s="28"/>
      <c r="H1022" s="83"/>
      <c r="I1022" s="4"/>
      <c r="J1022" s="4"/>
      <c r="K1022" s="4"/>
      <c r="L1022" s="4"/>
      <c r="M1022" s="4"/>
      <c r="N1022" s="28"/>
      <c r="O1022" s="4"/>
      <c r="P1022" s="4"/>
      <c r="Q1022" s="4"/>
      <c r="R1022" s="4"/>
      <c r="S1022" s="4"/>
      <c r="T1022" s="4"/>
      <c r="U1022" s="4"/>
      <c r="V1022" s="4"/>
      <c r="W1022" s="4"/>
      <c r="X1022" s="4"/>
      <c r="Y1022" s="4"/>
      <c r="Z1022" s="4"/>
      <c r="AA1022" s="4"/>
      <c r="AB1022" s="4"/>
      <c r="AC1022" s="4"/>
      <c r="AD1022" s="4"/>
      <c r="AE1022" s="4"/>
      <c r="AF1022" s="81"/>
      <c r="AG1022" s="81"/>
      <c r="AH1022" s="81"/>
      <c r="AI1022" s="4"/>
      <c r="AJ1022" s="81"/>
      <c r="AK1022" s="81"/>
      <c r="AL1022" s="81"/>
      <c r="AM1022" s="81"/>
      <c r="AN1022" s="81"/>
      <c r="AO1022" s="81"/>
      <c r="AP1022" s="81"/>
      <c r="AQ1022" s="81"/>
      <c r="AR1022" s="81"/>
      <c r="AS1022" s="81"/>
    </row>
    <row r="1023" spans="1:195" s="7" customFormat="1">
      <c r="A1023" s="4"/>
      <c r="B1023" s="4"/>
      <c r="C1023" s="4"/>
      <c r="D1023" s="4"/>
      <c r="E1023" s="4"/>
      <c r="F1023" s="28"/>
      <c r="G1023" s="28"/>
      <c r="H1023" s="83"/>
      <c r="I1023" s="4"/>
      <c r="J1023" s="4"/>
      <c r="K1023" s="4"/>
      <c r="L1023" s="4"/>
      <c r="M1023" s="4"/>
      <c r="N1023" s="28"/>
      <c r="O1023" s="4"/>
      <c r="P1023" s="4"/>
      <c r="Q1023" s="4"/>
      <c r="R1023" s="4"/>
      <c r="S1023" s="4"/>
      <c r="T1023" s="4"/>
      <c r="U1023" s="4"/>
      <c r="V1023" s="4"/>
      <c r="W1023" s="4"/>
      <c r="X1023" s="4"/>
      <c r="Y1023" s="4"/>
      <c r="Z1023" s="4"/>
      <c r="AA1023" s="4"/>
      <c r="AB1023" s="4"/>
      <c r="AC1023" s="4"/>
      <c r="AD1023" s="4"/>
      <c r="AE1023" s="4"/>
      <c r="AF1023" s="81"/>
      <c r="AG1023" s="81"/>
      <c r="AH1023" s="81"/>
      <c r="AI1023" s="4"/>
      <c r="AJ1023" s="81"/>
      <c r="AK1023" s="81"/>
      <c r="AL1023" s="81"/>
      <c r="AM1023" s="81"/>
      <c r="AN1023" s="81"/>
      <c r="AO1023" s="81"/>
      <c r="AP1023" s="81"/>
      <c r="AQ1023" s="81"/>
      <c r="AR1023" s="81"/>
      <c r="AS1023" s="81"/>
    </row>
    <row r="1024" spans="1:195" s="7" customFormat="1">
      <c r="A1024" s="4"/>
      <c r="B1024" s="4"/>
      <c r="C1024" s="4"/>
      <c r="D1024" s="4"/>
      <c r="E1024" s="4"/>
      <c r="F1024" s="28"/>
      <c r="G1024" s="28"/>
      <c r="H1024" s="83"/>
      <c r="I1024" s="4"/>
      <c r="J1024" s="4"/>
      <c r="K1024" s="4"/>
      <c r="L1024" s="4"/>
      <c r="M1024" s="4"/>
      <c r="N1024" s="28"/>
      <c r="O1024" s="4"/>
      <c r="P1024" s="4"/>
      <c r="Q1024" s="4"/>
      <c r="R1024" s="4"/>
      <c r="S1024" s="4"/>
      <c r="T1024" s="4"/>
      <c r="U1024" s="4"/>
      <c r="V1024" s="4"/>
      <c r="W1024" s="4"/>
      <c r="X1024" s="4"/>
      <c r="Y1024" s="4"/>
      <c r="Z1024" s="4"/>
      <c r="AA1024" s="4"/>
      <c r="AB1024" s="4"/>
      <c r="AC1024" s="4"/>
      <c r="AD1024" s="4"/>
      <c r="AE1024" s="4"/>
      <c r="AF1024" s="81"/>
      <c r="AG1024" s="81"/>
      <c r="AH1024" s="81"/>
      <c r="AI1024" s="4"/>
      <c r="AJ1024" s="81"/>
      <c r="AK1024" s="81"/>
      <c r="AL1024" s="81"/>
      <c r="AM1024" s="81"/>
      <c r="AN1024" s="81"/>
      <c r="AO1024" s="81"/>
      <c r="AP1024" s="81"/>
      <c r="AQ1024" s="81"/>
      <c r="AR1024" s="81"/>
      <c r="AS1024" s="81"/>
    </row>
    <row r="1025" spans="1:45" s="7" customFormat="1">
      <c r="A1025" s="4"/>
      <c r="B1025" s="4"/>
      <c r="C1025" s="4"/>
      <c r="D1025" s="4"/>
      <c r="E1025" s="4"/>
      <c r="F1025" s="28"/>
      <c r="G1025" s="28"/>
      <c r="H1025" s="83"/>
      <c r="I1025" s="4"/>
      <c r="J1025" s="4"/>
      <c r="K1025" s="4"/>
      <c r="L1025" s="4"/>
      <c r="M1025" s="4"/>
      <c r="N1025" s="28"/>
      <c r="O1025" s="4"/>
      <c r="P1025" s="4"/>
      <c r="Q1025" s="4"/>
      <c r="R1025" s="4"/>
      <c r="S1025" s="4"/>
      <c r="T1025" s="4"/>
      <c r="U1025" s="4"/>
      <c r="V1025" s="4"/>
      <c r="W1025" s="4"/>
      <c r="X1025" s="4"/>
      <c r="Y1025" s="4"/>
      <c r="Z1025" s="4"/>
      <c r="AA1025" s="4"/>
      <c r="AB1025" s="4"/>
      <c r="AC1025" s="4"/>
      <c r="AD1025" s="4"/>
      <c r="AE1025" s="4"/>
      <c r="AF1025" s="81"/>
      <c r="AG1025" s="81"/>
      <c r="AH1025" s="81"/>
      <c r="AI1025" s="4"/>
      <c r="AJ1025" s="81"/>
      <c r="AK1025" s="81"/>
      <c r="AL1025" s="81"/>
      <c r="AM1025" s="81"/>
      <c r="AN1025" s="81"/>
      <c r="AO1025" s="81"/>
      <c r="AP1025" s="81"/>
      <c r="AQ1025" s="81"/>
      <c r="AR1025" s="81"/>
      <c r="AS1025" s="81"/>
    </row>
    <row r="1026" spans="1:45" s="7" customFormat="1">
      <c r="A1026" s="4"/>
      <c r="B1026" s="4"/>
      <c r="C1026" s="4"/>
      <c r="D1026" s="4"/>
      <c r="E1026" s="4"/>
      <c r="F1026" s="28"/>
      <c r="G1026" s="28"/>
      <c r="H1026" s="83"/>
      <c r="I1026" s="4"/>
      <c r="J1026" s="4"/>
      <c r="K1026" s="4"/>
      <c r="L1026" s="4"/>
      <c r="M1026" s="4"/>
      <c r="N1026" s="28"/>
      <c r="O1026" s="4"/>
      <c r="P1026" s="4"/>
      <c r="Q1026" s="4"/>
      <c r="R1026" s="4"/>
      <c r="S1026" s="4"/>
      <c r="T1026" s="4"/>
      <c r="U1026" s="4"/>
      <c r="V1026" s="4"/>
      <c r="W1026" s="4"/>
      <c r="X1026" s="4"/>
      <c r="Y1026" s="4"/>
      <c r="Z1026" s="4"/>
      <c r="AA1026" s="4"/>
      <c r="AB1026" s="4"/>
      <c r="AC1026" s="4"/>
      <c r="AD1026" s="4"/>
      <c r="AE1026" s="4"/>
      <c r="AF1026" s="81"/>
      <c r="AG1026" s="81"/>
      <c r="AH1026" s="81"/>
      <c r="AI1026" s="4"/>
      <c r="AJ1026" s="81"/>
      <c r="AK1026" s="81"/>
      <c r="AL1026" s="81"/>
      <c r="AM1026" s="81"/>
      <c r="AN1026" s="81"/>
      <c r="AO1026" s="81"/>
      <c r="AP1026" s="81"/>
      <c r="AQ1026" s="81"/>
      <c r="AR1026" s="81"/>
      <c r="AS1026" s="81"/>
    </row>
    <row r="1027" spans="1:45" s="7" customFormat="1">
      <c r="A1027" s="4"/>
      <c r="B1027" s="4"/>
      <c r="C1027" s="4"/>
      <c r="D1027" s="4"/>
      <c r="E1027" s="4"/>
      <c r="F1027" s="28"/>
      <c r="G1027" s="28"/>
      <c r="H1027" s="83"/>
      <c r="I1027" s="4"/>
      <c r="J1027" s="4"/>
      <c r="K1027" s="4"/>
      <c r="L1027" s="4"/>
      <c r="M1027" s="4"/>
      <c r="N1027" s="28"/>
      <c r="O1027" s="4"/>
      <c r="P1027" s="4"/>
      <c r="Q1027" s="4"/>
      <c r="R1027" s="4"/>
      <c r="S1027" s="4"/>
      <c r="T1027" s="4"/>
      <c r="U1027" s="4"/>
      <c r="V1027" s="4"/>
      <c r="W1027" s="4"/>
      <c r="X1027" s="4"/>
      <c r="Y1027" s="4"/>
      <c r="Z1027" s="4"/>
      <c r="AA1027" s="4"/>
      <c r="AB1027" s="4"/>
      <c r="AC1027" s="4"/>
      <c r="AD1027" s="4"/>
      <c r="AE1027" s="4"/>
      <c r="AF1027" s="81"/>
      <c r="AG1027" s="81"/>
      <c r="AH1027" s="81"/>
      <c r="AI1027" s="4"/>
      <c r="AJ1027" s="81"/>
      <c r="AK1027" s="81"/>
      <c r="AL1027" s="81"/>
      <c r="AM1027" s="81"/>
      <c r="AN1027" s="81"/>
      <c r="AO1027" s="81"/>
      <c r="AP1027" s="81"/>
      <c r="AQ1027" s="81"/>
      <c r="AR1027" s="81"/>
      <c r="AS1027" s="81"/>
    </row>
    <row r="1028" spans="1:45" s="7" customFormat="1">
      <c r="A1028" s="4"/>
      <c r="B1028" s="4"/>
      <c r="C1028" s="4"/>
      <c r="D1028" s="4"/>
      <c r="E1028" s="4"/>
      <c r="F1028" s="28"/>
      <c r="G1028" s="28"/>
      <c r="H1028" s="83"/>
      <c r="I1028" s="4"/>
      <c r="J1028" s="4"/>
      <c r="K1028" s="4"/>
      <c r="L1028" s="4"/>
      <c r="M1028" s="4"/>
      <c r="N1028" s="28"/>
      <c r="O1028" s="4"/>
      <c r="P1028" s="4"/>
      <c r="Q1028" s="4"/>
      <c r="R1028" s="4"/>
      <c r="S1028" s="4"/>
      <c r="T1028" s="4"/>
      <c r="U1028" s="4"/>
      <c r="V1028" s="4"/>
      <c r="W1028" s="4"/>
      <c r="X1028" s="4"/>
      <c r="Y1028" s="4"/>
      <c r="Z1028" s="4"/>
      <c r="AA1028" s="4"/>
      <c r="AB1028" s="4"/>
      <c r="AC1028" s="4"/>
      <c r="AD1028" s="4"/>
      <c r="AE1028" s="4"/>
      <c r="AF1028" s="81"/>
      <c r="AG1028" s="81"/>
      <c r="AH1028" s="81"/>
      <c r="AI1028" s="4"/>
      <c r="AJ1028" s="81"/>
      <c r="AK1028" s="81"/>
      <c r="AL1028" s="81"/>
      <c r="AM1028" s="81"/>
      <c r="AN1028" s="81"/>
      <c r="AO1028" s="81"/>
      <c r="AP1028" s="81"/>
      <c r="AQ1028" s="81"/>
      <c r="AR1028" s="81"/>
      <c r="AS1028" s="81"/>
    </row>
    <row r="1029" spans="1:45" s="7" customFormat="1">
      <c r="A1029" s="4"/>
      <c r="B1029" s="4"/>
      <c r="C1029" s="4"/>
      <c r="D1029" s="4"/>
      <c r="E1029" s="4"/>
      <c r="F1029" s="28"/>
      <c r="G1029" s="28"/>
      <c r="H1029" s="83"/>
      <c r="I1029" s="4"/>
      <c r="J1029" s="4"/>
      <c r="K1029" s="4"/>
      <c r="L1029" s="4"/>
      <c r="M1029" s="4"/>
      <c r="N1029" s="28"/>
      <c r="O1029" s="4"/>
      <c r="P1029" s="4"/>
      <c r="Q1029" s="4"/>
      <c r="R1029" s="4"/>
      <c r="S1029" s="4"/>
      <c r="T1029" s="4"/>
      <c r="U1029" s="4"/>
      <c r="V1029" s="4"/>
      <c r="W1029" s="4"/>
      <c r="X1029" s="4"/>
      <c r="Y1029" s="4"/>
      <c r="Z1029" s="4"/>
      <c r="AA1029" s="4"/>
      <c r="AB1029" s="4"/>
      <c r="AC1029" s="4"/>
      <c r="AD1029" s="4"/>
      <c r="AE1029" s="4"/>
      <c r="AF1029" s="81"/>
      <c r="AG1029" s="81"/>
      <c r="AH1029" s="81"/>
      <c r="AI1029" s="4"/>
      <c r="AJ1029" s="81"/>
      <c r="AK1029" s="81"/>
      <c r="AL1029" s="81"/>
      <c r="AM1029" s="81"/>
      <c r="AN1029" s="81"/>
      <c r="AO1029" s="81"/>
      <c r="AP1029" s="81"/>
      <c r="AQ1029" s="81"/>
      <c r="AR1029" s="81"/>
      <c r="AS1029" s="81"/>
    </row>
    <row r="1030" spans="1:45" s="7" customFormat="1">
      <c r="A1030" s="4"/>
      <c r="B1030" s="4"/>
      <c r="C1030" s="4"/>
      <c r="D1030" s="4"/>
      <c r="E1030" s="4"/>
      <c r="F1030" s="28"/>
      <c r="G1030" s="28"/>
      <c r="H1030" s="83"/>
      <c r="I1030" s="4"/>
      <c r="J1030" s="4"/>
      <c r="K1030" s="4"/>
      <c r="L1030" s="4"/>
      <c r="M1030" s="4"/>
      <c r="N1030" s="28"/>
      <c r="O1030" s="4"/>
      <c r="P1030" s="4"/>
      <c r="Q1030" s="4"/>
      <c r="R1030" s="4"/>
      <c r="S1030" s="4"/>
      <c r="T1030" s="4"/>
      <c r="U1030" s="4"/>
      <c r="V1030" s="4"/>
      <c r="W1030" s="4"/>
      <c r="X1030" s="4"/>
      <c r="Y1030" s="4"/>
      <c r="Z1030" s="4"/>
      <c r="AA1030" s="4"/>
      <c r="AB1030" s="4"/>
      <c r="AC1030" s="4"/>
      <c r="AD1030" s="4"/>
      <c r="AE1030" s="4"/>
      <c r="AF1030" s="81"/>
      <c r="AG1030" s="81"/>
      <c r="AH1030" s="81"/>
      <c r="AI1030" s="4"/>
      <c r="AJ1030" s="81"/>
      <c r="AK1030" s="81"/>
      <c r="AL1030" s="81"/>
      <c r="AM1030" s="81"/>
      <c r="AN1030" s="81"/>
      <c r="AO1030" s="81"/>
      <c r="AP1030" s="81"/>
      <c r="AQ1030" s="81"/>
      <c r="AR1030" s="81"/>
      <c r="AS1030" s="81"/>
    </row>
    <row r="1031" spans="1:45" s="7" customFormat="1">
      <c r="A1031" s="4"/>
      <c r="B1031" s="4"/>
      <c r="C1031" s="4"/>
      <c r="D1031" s="4"/>
      <c r="E1031" s="4"/>
      <c r="F1031" s="28"/>
      <c r="G1031" s="28"/>
      <c r="H1031" s="83"/>
      <c r="I1031" s="4"/>
      <c r="J1031" s="4"/>
      <c r="K1031" s="4"/>
      <c r="L1031" s="4"/>
      <c r="M1031" s="4"/>
      <c r="N1031" s="28"/>
      <c r="O1031" s="4"/>
      <c r="P1031" s="4"/>
      <c r="Q1031" s="4"/>
      <c r="R1031" s="4"/>
      <c r="S1031" s="4"/>
      <c r="T1031" s="4"/>
      <c r="U1031" s="4"/>
      <c r="V1031" s="4"/>
      <c r="W1031" s="4"/>
      <c r="X1031" s="4"/>
      <c r="Y1031" s="4"/>
      <c r="Z1031" s="4"/>
      <c r="AA1031" s="4"/>
      <c r="AB1031" s="4"/>
      <c r="AC1031" s="4"/>
      <c r="AD1031" s="4"/>
      <c r="AE1031" s="4"/>
      <c r="AF1031" s="81"/>
      <c r="AG1031" s="81"/>
      <c r="AH1031" s="81"/>
      <c r="AI1031" s="4"/>
      <c r="AJ1031" s="81"/>
      <c r="AK1031" s="81"/>
      <c r="AL1031" s="81"/>
      <c r="AM1031" s="81"/>
      <c r="AN1031" s="81"/>
      <c r="AO1031" s="81"/>
      <c r="AP1031" s="81"/>
      <c r="AQ1031" s="81"/>
      <c r="AR1031" s="81"/>
      <c r="AS1031" s="81"/>
    </row>
    <row r="1032" spans="1:45" s="7" customFormat="1">
      <c r="A1032" s="4"/>
      <c r="B1032" s="4"/>
      <c r="C1032" s="4"/>
      <c r="D1032" s="4"/>
      <c r="E1032" s="4"/>
      <c r="F1032" s="28"/>
      <c r="G1032" s="28"/>
      <c r="H1032" s="83"/>
      <c r="I1032" s="4"/>
      <c r="J1032" s="4"/>
      <c r="K1032" s="4"/>
      <c r="L1032" s="4"/>
      <c r="M1032" s="4"/>
      <c r="N1032" s="28"/>
      <c r="O1032" s="4"/>
      <c r="P1032" s="4"/>
      <c r="Q1032" s="4"/>
      <c r="R1032" s="4"/>
      <c r="S1032" s="4"/>
      <c r="T1032" s="4"/>
      <c r="U1032" s="4"/>
      <c r="V1032" s="4"/>
      <c r="W1032" s="4"/>
      <c r="X1032" s="4"/>
      <c r="Y1032" s="4"/>
      <c r="Z1032" s="4"/>
      <c r="AA1032" s="4"/>
      <c r="AB1032" s="4"/>
      <c r="AC1032" s="4"/>
      <c r="AD1032" s="4"/>
      <c r="AE1032" s="4"/>
      <c r="AF1032" s="81"/>
      <c r="AG1032" s="81"/>
      <c r="AH1032" s="81"/>
      <c r="AI1032" s="4"/>
      <c r="AJ1032" s="81"/>
      <c r="AK1032" s="81"/>
      <c r="AL1032" s="81"/>
      <c r="AM1032" s="81"/>
      <c r="AN1032" s="81"/>
      <c r="AO1032" s="81"/>
      <c r="AP1032" s="81"/>
      <c r="AQ1032" s="81"/>
      <c r="AR1032" s="81"/>
      <c r="AS1032" s="81"/>
    </row>
    <row r="1033" spans="1:45" s="7" customFormat="1">
      <c r="A1033" s="4"/>
      <c r="B1033" s="4"/>
      <c r="C1033" s="4"/>
      <c r="D1033" s="4"/>
      <c r="E1033" s="4"/>
      <c r="F1033" s="28"/>
      <c r="G1033" s="28"/>
      <c r="H1033" s="83"/>
      <c r="I1033" s="4"/>
      <c r="J1033" s="4"/>
      <c r="K1033" s="4"/>
      <c r="L1033" s="4"/>
      <c r="M1033" s="4"/>
      <c r="N1033" s="28"/>
      <c r="O1033" s="4"/>
      <c r="P1033" s="4"/>
      <c r="Q1033" s="4"/>
      <c r="R1033" s="4"/>
      <c r="S1033" s="4"/>
      <c r="T1033" s="4"/>
      <c r="U1033" s="4"/>
      <c r="V1033" s="4"/>
      <c r="W1033" s="4"/>
      <c r="X1033" s="4"/>
      <c r="Y1033" s="4"/>
      <c r="Z1033" s="4"/>
      <c r="AA1033" s="4"/>
      <c r="AB1033" s="4"/>
      <c r="AC1033" s="4"/>
      <c r="AD1033" s="4"/>
      <c r="AE1033" s="4"/>
      <c r="AF1033" s="81"/>
      <c r="AG1033" s="81"/>
      <c r="AH1033" s="81"/>
      <c r="AI1033" s="4"/>
      <c r="AJ1033" s="81"/>
      <c r="AK1033" s="81"/>
      <c r="AL1033" s="81"/>
    </row>
    <row r="1034" spans="1:45" s="7" customFormat="1">
      <c r="A1034" s="4"/>
      <c r="B1034" s="4"/>
      <c r="C1034" s="4"/>
      <c r="D1034" s="4"/>
      <c r="E1034" s="4"/>
      <c r="F1034" s="28"/>
      <c r="G1034" s="28"/>
      <c r="H1034" s="83"/>
      <c r="I1034" s="4"/>
      <c r="J1034" s="4"/>
      <c r="K1034" s="4"/>
      <c r="L1034" s="4"/>
      <c r="M1034" s="4"/>
      <c r="N1034" s="28"/>
      <c r="O1034" s="4"/>
      <c r="P1034" s="4"/>
      <c r="Q1034" s="4"/>
      <c r="R1034" s="4"/>
      <c r="S1034" s="4"/>
      <c r="T1034" s="4"/>
      <c r="U1034" s="4"/>
      <c r="V1034" s="4"/>
      <c r="W1034" s="4"/>
      <c r="X1034" s="4"/>
      <c r="Y1034" s="4"/>
      <c r="Z1034" s="4"/>
      <c r="AA1034" s="4"/>
      <c r="AB1034" s="4"/>
      <c r="AC1034" s="4"/>
      <c r="AD1034" s="4"/>
      <c r="AE1034" s="4"/>
      <c r="AF1034" s="81"/>
      <c r="AG1034" s="81"/>
      <c r="AH1034" s="81"/>
      <c r="AI1034" s="4"/>
      <c r="AJ1034" s="81"/>
      <c r="AK1034" s="81"/>
      <c r="AL1034" s="81"/>
    </row>
    <row r="1035" spans="1:45" s="7" customFormat="1">
      <c r="A1035" s="4"/>
      <c r="B1035" s="4"/>
      <c r="C1035" s="4"/>
      <c r="D1035" s="4"/>
      <c r="E1035" s="4"/>
      <c r="F1035" s="28"/>
      <c r="G1035" s="28"/>
      <c r="H1035" s="83"/>
      <c r="I1035" s="4"/>
      <c r="J1035" s="4"/>
      <c r="K1035" s="4"/>
      <c r="L1035" s="4"/>
      <c r="M1035" s="4"/>
      <c r="N1035" s="28"/>
      <c r="O1035" s="4"/>
      <c r="P1035" s="4"/>
      <c r="Q1035" s="4"/>
      <c r="R1035" s="4"/>
      <c r="S1035" s="4"/>
      <c r="T1035" s="4"/>
      <c r="U1035" s="4"/>
      <c r="V1035" s="4"/>
      <c r="W1035" s="4"/>
      <c r="X1035" s="4"/>
      <c r="Y1035" s="4"/>
      <c r="Z1035" s="4"/>
      <c r="AA1035" s="4"/>
      <c r="AB1035" s="4"/>
      <c r="AC1035" s="4"/>
      <c r="AD1035" s="4"/>
      <c r="AE1035" s="4"/>
      <c r="AF1035" s="81"/>
      <c r="AG1035" s="81"/>
      <c r="AH1035" s="81"/>
      <c r="AI1035" s="4"/>
      <c r="AJ1035" s="81"/>
      <c r="AK1035" s="81"/>
      <c r="AL1035" s="81"/>
    </row>
    <row r="1036" spans="1:45" s="7" customFormat="1">
      <c r="A1036" s="4"/>
      <c r="B1036" s="4"/>
      <c r="C1036" s="4"/>
      <c r="D1036" s="4"/>
      <c r="E1036" s="4"/>
      <c r="F1036" s="28"/>
      <c r="G1036" s="28"/>
      <c r="H1036" s="83"/>
      <c r="I1036" s="4"/>
      <c r="J1036" s="4"/>
      <c r="K1036" s="4"/>
      <c r="L1036" s="4"/>
      <c r="M1036" s="4"/>
      <c r="N1036" s="28"/>
      <c r="O1036" s="4"/>
      <c r="P1036" s="4"/>
      <c r="Q1036" s="4"/>
      <c r="R1036" s="4"/>
      <c r="S1036" s="4"/>
      <c r="T1036" s="4"/>
      <c r="U1036" s="4"/>
      <c r="V1036" s="4"/>
      <c r="W1036" s="4"/>
      <c r="X1036" s="4"/>
      <c r="Y1036" s="4"/>
      <c r="Z1036" s="4"/>
      <c r="AA1036" s="4"/>
      <c r="AB1036" s="4"/>
      <c r="AC1036" s="4"/>
      <c r="AD1036" s="4"/>
      <c r="AE1036" s="4"/>
      <c r="AF1036" s="81"/>
      <c r="AG1036" s="81"/>
      <c r="AH1036" s="81"/>
      <c r="AI1036" s="4"/>
      <c r="AJ1036" s="81"/>
      <c r="AK1036" s="81"/>
      <c r="AL1036" s="81"/>
    </row>
    <row r="1037" spans="1:45" s="7" customFormat="1">
      <c r="A1037" s="4"/>
      <c r="B1037" s="4"/>
      <c r="C1037" s="4"/>
      <c r="D1037" s="4"/>
      <c r="E1037" s="4"/>
      <c r="F1037" s="28"/>
      <c r="G1037" s="28"/>
      <c r="H1037" s="83"/>
      <c r="I1037" s="4"/>
      <c r="J1037" s="4"/>
      <c r="K1037" s="4"/>
      <c r="L1037" s="4"/>
      <c r="M1037" s="4"/>
      <c r="N1037" s="28"/>
      <c r="O1037" s="4"/>
      <c r="P1037" s="4"/>
      <c r="Q1037" s="4"/>
      <c r="R1037" s="4"/>
      <c r="S1037" s="4"/>
      <c r="T1037" s="4"/>
      <c r="U1037" s="4"/>
      <c r="V1037" s="4"/>
      <c r="W1037" s="4"/>
      <c r="X1037" s="4"/>
      <c r="Y1037" s="4"/>
      <c r="Z1037" s="4"/>
      <c r="AA1037" s="4"/>
      <c r="AB1037" s="4"/>
      <c r="AC1037" s="4"/>
      <c r="AD1037" s="4"/>
      <c r="AE1037" s="4"/>
      <c r="AF1037" s="81"/>
      <c r="AG1037" s="81"/>
      <c r="AH1037" s="81"/>
      <c r="AI1037" s="4"/>
      <c r="AJ1037" s="81"/>
      <c r="AK1037" s="81"/>
      <c r="AL1037" s="81"/>
    </row>
    <row r="1038" spans="1:45" s="7" customFormat="1">
      <c r="A1038" s="4"/>
      <c r="B1038" s="4"/>
      <c r="C1038" s="4"/>
      <c r="D1038" s="4"/>
      <c r="E1038" s="4"/>
      <c r="F1038" s="28"/>
      <c r="G1038" s="28"/>
      <c r="H1038" s="83"/>
      <c r="I1038" s="4"/>
      <c r="J1038" s="4"/>
      <c r="K1038" s="4"/>
      <c r="L1038" s="4"/>
      <c r="M1038" s="4"/>
      <c r="N1038" s="28"/>
      <c r="O1038" s="4"/>
      <c r="P1038" s="4"/>
      <c r="Q1038" s="4"/>
      <c r="R1038" s="4"/>
      <c r="S1038" s="4"/>
      <c r="T1038" s="4"/>
      <c r="U1038" s="4"/>
      <c r="V1038" s="4"/>
      <c r="W1038" s="4"/>
      <c r="X1038" s="4"/>
      <c r="Y1038" s="4"/>
      <c r="Z1038" s="4"/>
      <c r="AA1038" s="4"/>
      <c r="AB1038" s="4"/>
      <c r="AC1038" s="4"/>
      <c r="AD1038" s="4"/>
      <c r="AE1038" s="4"/>
      <c r="AF1038" s="81"/>
      <c r="AG1038" s="81"/>
      <c r="AH1038" s="81"/>
      <c r="AI1038" s="4"/>
      <c r="AJ1038" s="81"/>
      <c r="AK1038" s="81"/>
      <c r="AL1038" s="81"/>
    </row>
    <row r="1039" spans="1:45" s="7" customFormat="1">
      <c r="A1039" s="4"/>
      <c r="B1039" s="4"/>
      <c r="C1039" s="4"/>
      <c r="D1039" s="4"/>
      <c r="E1039" s="4"/>
      <c r="F1039" s="28"/>
      <c r="G1039" s="28"/>
      <c r="H1039" s="83"/>
      <c r="I1039" s="4"/>
      <c r="J1039" s="4"/>
      <c r="K1039" s="4"/>
      <c r="L1039" s="4"/>
      <c r="M1039" s="4"/>
      <c r="N1039" s="28"/>
      <c r="O1039" s="4"/>
      <c r="P1039" s="4"/>
      <c r="Q1039" s="4"/>
      <c r="R1039" s="4"/>
      <c r="S1039" s="4"/>
      <c r="T1039" s="4"/>
      <c r="U1039" s="4"/>
      <c r="V1039" s="4"/>
      <c r="W1039" s="4"/>
      <c r="X1039" s="4"/>
      <c r="Y1039" s="4"/>
      <c r="Z1039" s="4"/>
      <c r="AA1039" s="4"/>
      <c r="AB1039" s="4"/>
      <c r="AC1039" s="4"/>
      <c r="AD1039" s="4"/>
      <c r="AE1039" s="4"/>
      <c r="AF1039" s="81"/>
      <c r="AG1039" s="81"/>
      <c r="AH1039" s="81"/>
      <c r="AI1039" s="4"/>
      <c r="AJ1039" s="81"/>
      <c r="AK1039" s="81"/>
      <c r="AL1039" s="81"/>
    </row>
    <row r="1040" spans="1:45" s="7" customFormat="1">
      <c r="A1040" s="4"/>
      <c r="B1040" s="4"/>
      <c r="C1040" s="4"/>
      <c r="D1040" s="4"/>
      <c r="E1040" s="4"/>
      <c r="F1040" s="28"/>
      <c r="G1040" s="28"/>
      <c r="H1040" s="83"/>
      <c r="I1040" s="4"/>
      <c r="J1040" s="4"/>
      <c r="K1040" s="4"/>
      <c r="L1040" s="4"/>
      <c r="M1040" s="4"/>
      <c r="N1040" s="28"/>
      <c r="O1040" s="4"/>
      <c r="P1040" s="4"/>
      <c r="Q1040" s="4"/>
      <c r="R1040" s="4"/>
      <c r="S1040" s="4"/>
      <c r="T1040" s="4"/>
      <c r="U1040" s="4"/>
      <c r="V1040" s="4"/>
      <c r="W1040" s="4"/>
      <c r="X1040" s="4"/>
      <c r="Y1040" s="4"/>
      <c r="Z1040" s="4"/>
      <c r="AA1040" s="4"/>
      <c r="AB1040" s="4"/>
      <c r="AC1040" s="4"/>
      <c r="AD1040" s="4"/>
      <c r="AE1040" s="4"/>
      <c r="AF1040" s="81"/>
      <c r="AG1040" s="81"/>
      <c r="AH1040" s="81"/>
      <c r="AI1040" s="4"/>
      <c r="AJ1040" s="81"/>
      <c r="AK1040" s="81"/>
      <c r="AL1040" s="81"/>
    </row>
    <row r="1041" spans="1:38" s="7" customFormat="1">
      <c r="A1041" s="4"/>
      <c r="B1041" s="4"/>
      <c r="C1041" s="4"/>
      <c r="D1041" s="4"/>
      <c r="E1041" s="4"/>
      <c r="F1041" s="28"/>
      <c r="G1041" s="28"/>
      <c r="H1041" s="83"/>
      <c r="I1041" s="4"/>
      <c r="J1041" s="4"/>
      <c r="K1041" s="4"/>
      <c r="L1041" s="4"/>
      <c r="M1041" s="4"/>
      <c r="N1041" s="28"/>
      <c r="O1041" s="4"/>
      <c r="P1041" s="4"/>
      <c r="Q1041" s="4"/>
      <c r="R1041" s="4"/>
      <c r="S1041" s="4"/>
      <c r="T1041" s="4"/>
      <c r="U1041" s="4"/>
      <c r="V1041" s="4"/>
      <c r="W1041" s="4"/>
      <c r="X1041" s="4"/>
      <c r="Y1041" s="4"/>
      <c r="Z1041" s="4"/>
      <c r="AA1041" s="4"/>
      <c r="AB1041" s="4"/>
      <c r="AC1041" s="4"/>
      <c r="AD1041" s="4"/>
      <c r="AE1041" s="4"/>
      <c r="AF1041" s="81"/>
      <c r="AG1041" s="81"/>
      <c r="AH1041" s="81"/>
      <c r="AI1041" s="4"/>
      <c r="AJ1041" s="81"/>
      <c r="AK1041" s="81"/>
      <c r="AL1041" s="81"/>
    </row>
    <row r="1042" spans="1:38" s="7" customFormat="1">
      <c r="A1042" s="4"/>
      <c r="B1042" s="4"/>
      <c r="C1042" s="4"/>
      <c r="D1042" s="4"/>
      <c r="E1042" s="4"/>
      <c r="F1042" s="28"/>
      <c r="G1042" s="28"/>
      <c r="H1042" s="83"/>
      <c r="I1042" s="4"/>
      <c r="J1042" s="4"/>
      <c r="K1042" s="4"/>
      <c r="L1042" s="4"/>
      <c r="M1042" s="4"/>
      <c r="N1042" s="28"/>
      <c r="O1042" s="4"/>
      <c r="P1042" s="4"/>
      <c r="Q1042" s="4"/>
      <c r="R1042" s="4"/>
      <c r="S1042" s="4"/>
      <c r="T1042" s="4"/>
      <c r="U1042" s="4"/>
      <c r="V1042" s="4"/>
      <c r="W1042" s="4"/>
      <c r="X1042" s="4"/>
      <c r="Y1042" s="4"/>
      <c r="Z1042" s="4"/>
      <c r="AA1042" s="4"/>
      <c r="AB1042" s="4"/>
      <c r="AC1042" s="4"/>
      <c r="AD1042" s="4"/>
      <c r="AE1042" s="4"/>
      <c r="AF1042" s="81"/>
      <c r="AG1042" s="81"/>
      <c r="AH1042" s="81"/>
      <c r="AI1042" s="4"/>
      <c r="AJ1042" s="81"/>
      <c r="AK1042" s="81"/>
      <c r="AL1042" s="81"/>
    </row>
    <row r="1043" spans="1:38" s="7" customFormat="1">
      <c r="A1043" s="4"/>
      <c r="B1043" s="4"/>
      <c r="C1043" s="4"/>
      <c r="D1043" s="4"/>
      <c r="E1043" s="4"/>
      <c r="F1043" s="28"/>
      <c r="G1043" s="28"/>
      <c r="H1043" s="83"/>
      <c r="I1043" s="4"/>
      <c r="J1043" s="4"/>
      <c r="K1043" s="4"/>
      <c r="L1043" s="4"/>
      <c r="M1043" s="4"/>
      <c r="N1043" s="28"/>
      <c r="O1043" s="4"/>
      <c r="P1043" s="4"/>
      <c r="Q1043" s="4"/>
      <c r="R1043" s="4"/>
      <c r="S1043" s="4"/>
      <c r="T1043" s="4"/>
      <c r="U1043" s="4"/>
      <c r="V1043" s="4"/>
      <c r="W1043" s="4"/>
      <c r="X1043" s="4"/>
      <c r="Y1043" s="4"/>
      <c r="Z1043" s="4"/>
      <c r="AA1043" s="4"/>
      <c r="AB1043" s="4"/>
      <c r="AC1043" s="4"/>
      <c r="AD1043" s="4"/>
      <c r="AE1043" s="4"/>
      <c r="AF1043" s="81"/>
      <c r="AG1043" s="81"/>
      <c r="AH1043" s="81"/>
      <c r="AI1043" s="4"/>
      <c r="AJ1043" s="81"/>
      <c r="AK1043" s="81"/>
      <c r="AL1043" s="81"/>
    </row>
    <row r="1044" spans="1:38" s="7" customFormat="1">
      <c r="A1044" s="4"/>
      <c r="B1044" s="4"/>
      <c r="C1044" s="4"/>
      <c r="D1044" s="4"/>
      <c r="E1044" s="4"/>
      <c r="F1044" s="28"/>
      <c r="G1044" s="28"/>
      <c r="H1044" s="83"/>
      <c r="I1044" s="4"/>
      <c r="J1044" s="4"/>
      <c r="K1044" s="4"/>
      <c r="L1044" s="4"/>
      <c r="M1044" s="4"/>
      <c r="N1044" s="28"/>
      <c r="O1044" s="4"/>
      <c r="P1044" s="4"/>
      <c r="Q1044" s="4"/>
      <c r="R1044" s="4"/>
      <c r="S1044" s="4"/>
      <c r="T1044" s="4"/>
      <c r="U1044" s="4"/>
      <c r="V1044" s="4"/>
      <c r="W1044" s="4"/>
      <c r="X1044" s="4"/>
      <c r="Y1044" s="4"/>
      <c r="Z1044" s="4"/>
      <c r="AA1044" s="4"/>
      <c r="AB1044" s="4"/>
      <c r="AC1044" s="4"/>
      <c r="AD1044" s="4"/>
      <c r="AE1044" s="4"/>
      <c r="AF1044" s="81"/>
      <c r="AG1044" s="81"/>
      <c r="AH1044" s="81"/>
      <c r="AI1044" s="4"/>
      <c r="AJ1044" s="81"/>
      <c r="AK1044" s="81"/>
      <c r="AL1044" s="81"/>
    </row>
    <row r="1045" spans="1:38" s="7" customFormat="1">
      <c r="A1045" s="4"/>
      <c r="B1045" s="4"/>
      <c r="C1045" s="4"/>
      <c r="D1045" s="4"/>
      <c r="E1045" s="4"/>
      <c r="F1045" s="28"/>
      <c r="G1045" s="28"/>
      <c r="H1045" s="83"/>
      <c r="I1045" s="4"/>
      <c r="J1045" s="4"/>
      <c r="K1045" s="4"/>
      <c r="L1045" s="4"/>
      <c r="M1045" s="4"/>
      <c r="N1045" s="28"/>
      <c r="O1045" s="4"/>
      <c r="P1045" s="4"/>
      <c r="Q1045" s="4"/>
      <c r="R1045" s="4"/>
      <c r="S1045" s="4"/>
      <c r="T1045" s="4"/>
      <c r="U1045" s="4"/>
      <c r="V1045" s="4"/>
      <c r="W1045" s="4"/>
      <c r="X1045" s="4"/>
      <c r="Y1045" s="4"/>
      <c r="Z1045" s="4"/>
      <c r="AA1045" s="4"/>
      <c r="AB1045" s="4"/>
      <c r="AC1045" s="4"/>
      <c r="AD1045" s="4"/>
      <c r="AE1045" s="4"/>
      <c r="AF1045" s="81"/>
      <c r="AG1045" s="81"/>
      <c r="AH1045" s="81"/>
      <c r="AI1045" s="4"/>
      <c r="AJ1045" s="81"/>
      <c r="AK1045" s="81"/>
      <c r="AL1045" s="81"/>
    </row>
    <row r="1046" spans="1:38" s="7" customFormat="1">
      <c r="A1046" s="4"/>
      <c r="B1046" s="4"/>
      <c r="C1046" s="4"/>
      <c r="D1046" s="4"/>
      <c r="E1046" s="4"/>
      <c r="F1046" s="28"/>
      <c r="G1046" s="28"/>
      <c r="H1046" s="83"/>
      <c r="I1046" s="4"/>
      <c r="J1046" s="4"/>
      <c r="K1046" s="4"/>
      <c r="L1046" s="4"/>
      <c r="M1046" s="4"/>
      <c r="N1046" s="28"/>
      <c r="O1046" s="4"/>
      <c r="P1046" s="4"/>
      <c r="Q1046" s="4"/>
      <c r="R1046" s="4"/>
      <c r="S1046" s="4"/>
      <c r="T1046" s="4"/>
      <c r="U1046" s="4"/>
      <c r="V1046" s="4"/>
      <c r="W1046" s="4"/>
      <c r="X1046" s="4"/>
      <c r="Y1046" s="4"/>
      <c r="Z1046" s="4"/>
      <c r="AA1046" s="4"/>
      <c r="AB1046" s="4"/>
      <c r="AC1046" s="4"/>
      <c r="AD1046" s="4"/>
      <c r="AE1046" s="4"/>
      <c r="AF1046" s="81"/>
      <c r="AG1046" s="81"/>
      <c r="AH1046" s="81"/>
      <c r="AI1046" s="4"/>
      <c r="AJ1046" s="81"/>
      <c r="AK1046" s="81"/>
      <c r="AL1046" s="81"/>
    </row>
    <row r="1047" spans="1:38" s="7" customFormat="1">
      <c r="A1047" s="4"/>
      <c r="B1047" s="4"/>
      <c r="C1047" s="4"/>
      <c r="D1047" s="4"/>
      <c r="E1047" s="4"/>
      <c r="F1047" s="28"/>
      <c r="G1047" s="28"/>
      <c r="H1047" s="83"/>
      <c r="I1047" s="4"/>
      <c r="J1047" s="4"/>
      <c r="K1047" s="4"/>
      <c r="L1047" s="4"/>
      <c r="M1047" s="4"/>
      <c r="N1047" s="28"/>
      <c r="O1047" s="4"/>
      <c r="P1047" s="4"/>
      <c r="Q1047" s="4"/>
      <c r="R1047" s="4"/>
      <c r="S1047" s="4"/>
      <c r="T1047" s="4"/>
      <c r="U1047" s="4"/>
      <c r="V1047" s="4"/>
      <c r="W1047" s="4"/>
      <c r="X1047" s="4"/>
      <c r="Y1047" s="4"/>
      <c r="Z1047" s="4"/>
      <c r="AA1047" s="4"/>
      <c r="AB1047" s="4"/>
      <c r="AC1047" s="4"/>
      <c r="AD1047" s="4"/>
      <c r="AE1047" s="4"/>
      <c r="AF1047" s="81"/>
      <c r="AG1047" s="81"/>
      <c r="AH1047" s="81"/>
      <c r="AI1047" s="4"/>
      <c r="AJ1047" s="81"/>
      <c r="AK1047" s="81"/>
      <c r="AL1047" s="81"/>
    </row>
    <row r="1048" spans="1:38" s="7" customFormat="1">
      <c r="A1048" s="4"/>
      <c r="B1048" s="4"/>
      <c r="C1048" s="4"/>
      <c r="D1048" s="4"/>
      <c r="E1048" s="4"/>
      <c r="F1048" s="28"/>
      <c r="G1048" s="28"/>
      <c r="H1048" s="83"/>
      <c r="I1048" s="4"/>
      <c r="J1048" s="4"/>
      <c r="K1048" s="4"/>
      <c r="L1048" s="4"/>
      <c r="M1048" s="4"/>
      <c r="N1048" s="28"/>
      <c r="O1048" s="4"/>
      <c r="P1048" s="4"/>
      <c r="Q1048" s="4"/>
      <c r="R1048" s="4"/>
      <c r="S1048" s="4"/>
      <c r="T1048" s="4"/>
      <c r="U1048" s="4"/>
      <c r="V1048" s="4"/>
      <c r="W1048" s="4"/>
      <c r="X1048" s="4"/>
      <c r="Y1048" s="4"/>
      <c r="Z1048" s="4"/>
      <c r="AA1048" s="4"/>
      <c r="AB1048" s="4"/>
      <c r="AC1048" s="4"/>
      <c r="AD1048" s="4"/>
      <c r="AE1048" s="4"/>
      <c r="AF1048" s="81"/>
      <c r="AG1048" s="81"/>
      <c r="AH1048" s="81"/>
      <c r="AI1048" s="4"/>
      <c r="AJ1048" s="81"/>
      <c r="AK1048" s="81"/>
      <c r="AL1048" s="81"/>
    </row>
    <row r="1049" spans="1:38" s="7" customFormat="1">
      <c r="A1049" s="4"/>
      <c r="B1049" s="4"/>
      <c r="C1049" s="4"/>
      <c r="D1049" s="4"/>
      <c r="E1049" s="4"/>
      <c r="F1049" s="28"/>
      <c r="G1049" s="28"/>
      <c r="H1049" s="83"/>
      <c r="I1049" s="4"/>
      <c r="J1049" s="4"/>
      <c r="K1049" s="4"/>
      <c r="L1049" s="4"/>
      <c r="M1049" s="4"/>
      <c r="N1049" s="28"/>
      <c r="O1049" s="4"/>
      <c r="P1049" s="4"/>
      <c r="Q1049" s="4"/>
      <c r="R1049" s="4"/>
      <c r="S1049" s="4"/>
      <c r="T1049" s="4"/>
      <c r="U1049" s="4"/>
      <c r="V1049" s="4"/>
      <c r="W1049" s="4"/>
      <c r="X1049" s="4"/>
      <c r="Y1049" s="4"/>
      <c r="Z1049" s="4"/>
      <c r="AA1049" s="4"/>
      <c r="AB1049" s="4"/>
      <c r="AC1049" s="4"/>
      <c r="AD1049" s="4"/>
      <c r="AE1049" s="4"/>
      <c r="AF1049" s="81"/>
      <c r="AG1049" s="81"/>
      <c r="AH1049" s="81"/>
      <c r="AI1049" s="4"/>
      <c r="AJ1049" s="81"/>
      <c r="AK1049" s="81"/>
      <c r="AL1049" s="81"/>
    </row>
    <row r="1050" spans="1:38" s="7" customFormat="1">
      <c r="A1050" s="4"/>
      <c r="B1050" s="4"/>
      <c r="C1050" s="4"/>
      <c r="D1050" s="4"/>
      <c r="E1050" s="4"/>
      <c r="F1050" s="28"/>
      <c r="G1050" s="28"/>
      <c r="H1050" s="83"/>
      <c r="I1050" s="4"/>
      <c r="J1050" s="4"/>
      <c r="K1050" s="4"/>
      <c r="L1050" s="4"/>
      <c r="M1050" s="4"/>
      <c r="N1050" s="28"/>
      <c r="O1050" s="4"/>
      <c r="P1050" s="4"/>
      <c r="Q1050" s="4"/>
      <c r="R1050" s="4"/>
      <c r="S1050" s="4"/>
      <c r="T1050" s="4"/>
      <c r="U1050" s="4"/>
      <c r="V1050" s="4"/>
      <c r="W1050" s="4"/>
      <c r="X1050" s="4"/>
      <c r="Y1050" s="4"/>
      <c r="Z1050" s="4"/>
      <c r="AA1050" s="4"/>
      <c r="AB1050" s="4"/>
      <c r="AC1050" s="4"/>
      <c r="AD1050" s="4"/>
      <c r="AE1050" s="4"/>
      <c r="AF1050" s="81"/>
      <c r="AG1050" s="81"/>
      <c r="AH1050" s="81"/>
      <c r="AI1050" s="4"/>
      <c r="AJ1050" s="81"/>
      <c r="AK1050" s="81"/>
      <c r="AL1050" s="81"/>
    </row>
    <row r="1051" spans="1:38" s="7" customFormat="1">
      <c r="A1051" s="4"/>
      <c r="B1051" s="4"/>
      <c r="C1051" s="4"/>
      <c r="D1051" s="4"/>
      <c r="E1051" s="4"/>
      <c r="F1051" s="28"/>
      <c r="G1051" s="28"/>
      <c r="H1051" s="83"/>
      <c r="I1051" s="4"/>
      <c r="J1051" s="4"/>
      <c r="K1051" s="4"/>
      <c r="L1051" s="4"/>
      <c r="M1051" s="4"/>
      <c r="N1051" s="28"/>
      <c r="O1051" s="4"/>
      <c r="P1051" s="4"/>
      <c r="Q1051" s="4"/>
      <c r="R1051" s="4"/>
      <c r="S1051" s="4"/>
      <c r="T1051" s="4"/>
      <c r="U1051" s="4"/>
      <c r="V1051" s="4"/>
      <c r="W1051" s="4"/>
      <c r="X1051" s="4"/>
      <c r="Y1051" s="4"/>
      <c r="Z1051" s="4"/>
      <c r="AA1051" s="4"/>
      <c r="AB1051" s="4"/>
      <c r="AC1051" s="4"/>
      <c r="AD1051" s="4"/>
      <c r="AE1051" s="4"/>
      <c r="AF1051" s="81"/>
      <c r="AG1051" s="81"/>
      <c r="AH1051" s="81"/>
      <c r="AI1051" s="4"/>
      <c r="AJ1051" s="81"/>
      <c r="AK1051" s="81"/>
      <c r="AL1051" s="81"/>
    </row>
    <row r="1052" spans="1:38" s="7" customFormat="1">
      <c r="A1052" s="4"/>
      <c r="B1052" s="4"/>
      <c r="C1052" s="4"/>
      <c r="D1052" s="4"/>
      <c r="E1052" s="4"/>
      <c r="F1052" s="28"/>
      <c r="G1052" s="28"/>
      <c r="H1052" s="83"/>
      <c r="I1052" s="4"/>
      <c r="J1052" s="4"/>
      <c r="K1052" s="4"/>
      <c r="L1052" s="4"/>
      <c r="M1052" s="4"/>
      <c r="N1052" s="28"/>
      <c r="O1052" s="4"/>
      <c r="P1052" s="4"/>
      <c r="Q1052" s="4"/>
      <c r="R1052" s="4"/>
      <c r="S1052" s="4"/>
      <c r="T1052" s="4"/>
      <c r="U1052" s="4"/>
      <c r="V1052" s="4"/>
      <c r="W1052" s="4"/>
      <c r="X1052" s="4"/>
      <c r="Y1052" s="4"/>
      <c r="Z1052" s="4"/>
      <c r="AA1052" s="4"/>
      <c r="AB1052" s="4"/>
      <c r="AC1052" s="4"/>
      <c r="AD1052" s="4"/>
      <c r="AE1052" s="4"/>
      <c r="AF1052" s="81"/>
      <c r="AG1052" s="81"/>
      <c r="AH1052" s="81"/>
      <c r="AI1052" s="4"/>
      <c r="AJ1052" s="81"/>
      <c r="AK1052" s="81"/>
      <c r="AL1052" s="81"/>
    </row>
    <row r="1053" spans="1:38" s="7" customFormat="1">
      <c r="A1053" s="4"/>
      <c r="B1053" s="4"/>
      <c r="C1053" s="4"/>
      <c r="D1053" s="4"/>
      <c r="E1053" s="4"/>
      <c r="F1053" s="28"/>
      <c r="G1053" s="28"/>
      <c r="H1053" s="83"/>
      <c r="I1053" s="4"/>
      <c r="J1053" s="4"/>
      <c r="K1053" s="4"/>
      <c r="L1053" s="4"/>
      <c r="M1053" s="4"/>
      <c r="N1053" s="28"/>
      <c r="O1053" s="4"/>
      <c r="P1053" s="4"/>
      <c r="Q1053" s="4"/>
      <c r="R1053" s="4"/>
      <c r="S1053" s="4"/>
      <c r="T1053" s="4"/>
      <c r="U1053" s="4"/>
      <c r="V1053" s="4"/>
      <c r="W1053" s="4"/>
      <c r="X1053" s="4"/>
      <c r="Y1053" s="4"/>
      <c r="Z1053" s="4"/>
      <c r="AA1053" s="4"/>
      <c r="AB1053" s="4"/>
      <c r="AC1053" s="4"/>
      <c r="AD1053" s="4"/>
      <c r="AE1053" s="4"/>
      <c r="AF1053" s="81"/>
      <c r="AG1053" s="81"/>
      <c r="AH1053" s="81"/>
      <c r="AI1053" s="4"/>
      <c r="AJ1053" s="81"/>
      <c r="AK1053" s="81"/>
      <c r="AL1053" s="81"/>
    </row>
    <row r="1054" spans="1:38" s="7" customFormat="1">
      <c r="A1054" s="4"/>
      <c r="B1054" s="4"/>
      <c r="C1054" s="4"/>
      <c r="D1054" s="4"/>
      <c r="E1054" s="4"/>
      <c r="F1054" s="28"/>
      <c r="G1054" s="28"/>
      <c r="H1054" s="83"/>
      <c r="I1054" s="4"/>
      <c r="J1054" s="4"/>
      <c r="K1054" s="4"/>
      <c r="L1054" s="4"/>
      <c r="M1054" s="4"/>
      <c r="N1054" s="28"/>
      <c r="O1054" s="4"/>
      <c r="P1054" s="4"/>
      <c r="Q1054" s="4"/>
      <c r="R1054" s="4"/>
      <c r="S1054" s="4"/>
      <c r="T1054" s="4"/>
      <c r="U1054" s="4"/>
      <c r="V1054" s="4"/>
      <c r="W1054" s="4"/>
      <c r="X1054" s="4"/>
      <c r="Y1054" s="4"/>
      <c r="Z1054" s="4"/>
      <c r="AA1054" s="4"/>
      <c r="AB1054" s="4"/>
      <c r="AC1054" s="4"/>
      <c r="AD1054" s="4"/>
      <c r="AE1054" s="4"/>
      <c r="AF1054" s="81"/>
      <c r="AG1054" s="81"/>
      <c r="AH1054" s="81"/>
      <c r="AI1054" s="4"/>
      <c r="AJ1054" s="81"/>
      <c r="AK1054" s="81"/>
      <c r="AL1054" s="81"/>
    </row>
    <row r="1055" spans="1:38" s="7" customFormat="1">
      <c r="A1055" s="4"/>
      <c r="B1055" s="4"/>
      <c r="C1055" s="4"/>
      <c r="D1055" s="4"/>
      <c r="E1055" s="4"/>
      <c r="F1055" s="28"/>
      <c r="G1055" s="28"/>
      <c r="H1055" s="83"/>
      <c r="I1055" s="4"/>
      <c r="J1055" s="4"/>
      <c r="K1055" s="4"/>
      <c r="L1055" s="4"/>
      <c r="M1055" s="4"/>
      <c r="N1055" s="28"/>
      <c r="O1055" s="4"/>
      <c r="P1055" s="4"/>
      <c r="Q1055" s="4"/>
      <c r="R1055" s="4"/>
      <c r="S1055" s="4"/>
      <c r="T1055" s="4"/>
      <c r="U1055" s="4"/>
      <c r="V1055" s="4"/>
      <c r="W1055" s="4"/>
      <c r="X1055" s="4"/>
      <c r="Y1055" s="4"/>
      <c r="Z1055" s="4"/>
      <c r="AA1055" s="4"/>
      <c r="AB1055" s="4"/>
      <c r="AC1055" s="4"/>
      <c r="AD1055" s="4"/>
      <c r="AE1055" s="4"/>
      <c r="AF1055" s="81"/>
      <c r="AG1055" s="81"/>
      <c r="AH1055" s="81"/>
      <c r="AI1055" s="4"/>
      <c r="AJ1055" s="81"/>
      <c r="AK1055" s="81"/>
      <c r="AL1055" s="81"/>
    </row>
    <row r="1056" spans="1:38" s="7" customFormat="1">
      <c r="A1056" s="4"/>
      <c r="B1056" s="4"/>
      <c r="C1056" s="4"/>
      <c r="D1056" s="4"/>
      <c r="E1056" s="4"/>
      <c r="F1056" s="28"/>
      <c r="G1056" s="28"/>
      <c r="H1056" s="83"/>
      <c r="I1056" s="4"/>
      <c r="J1056" s="4"/>
      <c r="K1056" s="4"/>
      <c r="L1056" s="4"/>
      <c r="M1056" s="4"/>
      <c r="N1056" s="28"/>
      <c r="O1056" s="4"/>
      <c r="P1056" s="4"/>
      <c r="Q1056" s="4"/>
      <c r="R1056" s="4"/>
      <c r="S1056" s="4"/>
      <c r="T1056" s="4"/>
      <c r="U1056" s="4"/>
      <c r="V1056" s="4"/>
      <c r="W1056" s="4"/>
      <c r="X1056" s="4"/>
      <c r="Y1056" s="4"/>
      <c r="Z1056" s="4"/>
      <c r="AA1056" s="4"/>
      <c r="AB1056" s="4"/>
      <c r="AC1056" s="4"/>
      <c r="AD1056" s="4"/>
      <c r="AE1056" s="4"/>
      <c r="AF1056" s="81"/>
      <c r="AG1056" s="81"/>
      <c r="AH1056" s="81"/>
      <c r="AI1056" s="4"/>
      <c r="AJ1056" s="81"/>
      <c r="AK1056" s="81"/>
      <c r="AL1056" s="81"/>
    </row>
    <row r="1057" spans="1:38" s="7" customFormat="1">
      <c r="A1057" s="4"/>
      <c r="B1057" s="4"/>
      <c r="C1057" s="4"/>
      <c r="D1057" s="4"/>
      <c r="E1057" s="4"/>
      <c r="F1057" s="28"/>
      <c r="G1057" s="28"/>
      <c r="H1057" s="83"/>
      <c r="I1057" s="4"/>
      <c r="J1057" s="4"/>
      <c r="K1057" s="4"/>
      <c r="L1057" s="4"/>
      <c r="M1057" s="4"/>
      <c r="N1057" s="28"/>
      <c r="O1057" s="4"/>
      <c r="P1057" s="4"/>
      <c r="Q1057" s="4"/>
      <c r="R1057" s="4"/>
      <c r="S1057" s="4"/>
      <c r="T1057" s="4"/>
      <c r="U1057" s="4"/>
      <c r="V1057" s="4"/>
      <c r="W1057" s="4"/>
      <c r="X1057" s="4"/>
      <c r="Y1057" s="4"/>
      <c r="Z1057" s="4"/>
      <c r="AA1057" s="4"/>
      <c r="AB1057" s="4"/>
      <c r="AC1057" s="4"/>
      <c r="AD1057" s="4"/>
      <c r="AE1057" s="4"/>
      <c r="AF1057" s="81"/>
      <c r="AG1057" s="81"/>
      <c r="AH1057" s="81"/>
      <c r="AI1057" s="4"/>
      <c r="AJ1057" s="81"/>
      <c r="AK1057" s="81"/>
      <c r="AL1057" s="81"/>
    </row>
    <row r="1058" spans="1:38" s="7" customFormat="1">
      <c r="A1058" s="4"/>
      <c r="B1058" s="4"/>
      <c r="C1058" s="4"/>
      <c r="D1058" s="4"/>
      <c r="E1058" s="4"/>
      <c r="F1058" s="28"/>
      <c r="G1058" s="28"/>
      <c r="H1058" s="83"/>
      <c r="I1058" s="4"/>
      <c r="J1058" s="4"/>
      <c r="K1058" s="4"/>
      <c r="L1058" s="4"/>
      <c r="M1058" s="4"/>
      <c r="N1058" s="28"/>
      <c r="O1058" s="4"/>
      <c r="P1058" s="4"/>
      <c r="Q1058" s="4"/>
      <c r="R1058" s="4"/>
      <c r="S1058" s="4"/>
      <c r="T1058" s="4"/>
      <c r="U1058" s="4"/>
      <c r="V1058" s="4"/>
      <c r="W1058" s="4"/>
      <c r="X1058" s="4"/>
      <c r="Y1058" s="4"/>
      <c r="Z1058" s="4"/>
      <c r="AA1058" s="4"/>
      <c r="AB1058" s="4"/>
      <c r="AC1058" s="4"/>
      <c r="AD1058" s="4"/>
      <c r="AE1058" s="4"/>
      <c r="AF1058" s="81"/>
      <c r="AG1058" s="81"/>
      <c r="AH1058" s="81"/>
      <c r="AI1058" s="4"/>
      <c r="AJ1058" s="81"/>
      <c r="AK1058" s="81"/>
      <c r="AL1058" s="81"/>
    </row>
    <row r="1059" spans="1:38" s="7" customFormat="1">
      <c r="A1059" s="4"/>
      <c r="B1059" s="4"/>
      <c r="C1059" s="4"/>
      <c r="D1059" s="4"/>
      <c r="E1059" s="4"/>
      <c r="F1059" s="28"/>
      <c r="G1059" s="28"/>
      <c r="H1059" s="83"/>
      <c r="I1059" s="4"/>
      <c r="J1059" s="4"/>
      <c r="K1059" s="4"/>
      <c r="L1059" s="4"/>
      <c r="M1059" s="4"/>
      <c r="N1059" s="28"/>
      <c r="O1059" s="4"/>
      <c r="P1059" s="4"/>
      <c r="Q1059" s="4"/>
      <c r="R1059" s="4"/>
      <c r="S1059" s="4"/>
      <c r="T1059" s="4"/>
      <c r="U1059" s="4"/>
      <c r="V1059" s="4"/>
      <c r="W1059" s="4"/>
      <c r="X1059" s="4"/>
      <c r="Y1059" s="4"/>
      <c r="Z1059" s="4"/>
      <c r="AA1059" s="4"/>
      <c r="AB1059" s="4"/>
      <c r="AC1059" s="4"/>
      <c r="AD1059" s="4"/>
      <c r="AE1059" s="4"/>
      <c r="AF1059" s="81"/>
      <c r="AG1059" s="81"/>
      <c r="AH1059" s="81"/>
      <c r="AI1059" s="4"/>
      <c r="AJ1059" s="81"/>
      <c r="AK1059" s="81"/>
      <c r="AL1059" s="81"/>
    </row>
    <row r="1060" spans="1:38" s="7" customFormat="1">
      <c r="A1060" s="4"/>
      <c r="B1060" s="4"/>
      <c r="C1060" s="4"/>
      <c r="D1060" s="4"/>
      <c r="E1060" s="4"/>
      <c r="F1060" s="28"/>
      <c r="G1060" s="28"/>
      <c r="H1060" s="83"/>
      <c r="I1060" s="4"/>
      <c r="J1060" s="4"/>
      <c r="K1060" s="4"/>
      <c r="L1060" s="4"/>
      <c r="M1060" s="4"/>
      <c r="N1060" s="28"/>
      <c r="O1060" s="4"/>
      <c r="P1060" s="4"/>
      <c r="Q1060" s="4"/>
      <c r="R1060" s="4"/>
      <c r="S1060" s="4"/>
      <c r="T1060" s="4"/>
      <c r="U1060" s="4"/>
      <c r="V1060" s="4"/>
      <c r="W1060" s="4"/>
      <c r="X1060" s="4"/>
      <c r="Y1060" s="4"/>
      <c r="Z1060" s="4"/>
      <c r="AA1060" s="4"/>
      <c r="AB1060" s="4"/>
      <c r="AC1060" s="4"/>
      <c r="AD1060" s="4"/>
      <c r="AE1060" s="4"/>
      <c r="AF1060" s="81"/>
      <c r="AG1060" s="81"/>
      <c r="AH1060" s="81"/>
      <c r="AI1060" s="4"/>
      <c r="AJ1060" s="81"/>
      <c r="AK1060" s="81"/>
      <c r="AL1060" s="81"/>
    </row>
    <row r="1061" spans="1:38" s="7" customFormat="1">
      <c r="A1061" s="4"/>
      <c r="B1061" s="4"/>
      <c r="C1061" s="4"/>
      <c r="D1061" s="4"/>
      <c r="E1061" s="4"/>
      <c r="F1061" s="28"/>
      <c r="G1061" s="28"/>
      <c r="H1061" s="83"/>
      <c r="I1061" s="4"/>
      <c r="J1061" s="4"/>
      <c r="K1061" s="4"/>
      <c r="L1061" s="4"/>
      <c r="M1061" s="4"/>
      <c r="N1061" s="28"/>
      <c r="O1061" s="4"/>
      <c r="P1061" s="4"/>
      <c r="Q1061" s="4"/>
      <c r="R1061" s="4"/>
      <c r="S1061" s="4"/>
      <c r="T1061" s="4"/>
      <c r="U1061" s="4"/>
      <c r="V1061" s="4"/>
      <c r="W1061" s="4"/>
      <c r="X1061" s="4"/>
      <c r="Y1061" s="4"/>
      <c r="Z1061" s="4"/>
      <c r="AA1061" s="4"/>
      <c r="AB1061" s="4"/>
      <c r="AC1061" s="4"/>
      <c r="AD1061" s="4"/>
      <c r="AE1061" s="4"/>
      <c r="AF1061" s="81"/>
      <c r="AG1061" s="81"/>
      <c r="AH1061" s="81"/>
      <c r="AI1061" s="4"/>
      <c r="AJ1061" s="81"/>
      <c r="AK1061" s="81"/>
      <c r="AL1061" s="81"/>
    </row>
    <row r="1062" spans="1:38" s="7" customFormat="1">
      <c r="A1062" s="4"/>
      <c r="B1062" s="4"/>
      <c r="C1062" s="4"/>
      <c r="D1062" s="4"/>
      <c r="E1062" s="4"/>
      <c r="F1062" s="28"/>
      <c r="G1062" s="28"/>
      <c r="H1062" s="83"/>
      <c r="I1062" s="4"/>
      <c r="J1062" s="4"/>
      <c r="K1062" s="4"/>
      <c r="L1062" s="4"/>
      <c r="M1062" s="4"/>
      <c r="N1062" s="28"/>
      <c r="O1062" s="4"/>
      <c r="P1062" s="4"/>
      <c r="Q1062" s="4"/>
      <c r="R1062" s="4"/>
      <c r="S1062" s="4"/>
      <c r="T1062" s="4"/>
      <c r="U1062" s="4"/>
      <c r="V1062" s="4"/>
      <c r="W1062" s="4"/>
      <c r="X1062" s="4"/>
      <c r="Y1062" s="4"/>
      <c r="Z1062" s="4"/>
      <c r="AA1062" s="4"/>
      <c r="AB1062" s="4"/>
      <c r="AC1062" s="4"/>
      <c r="AD1062" s="4"/>
      <c r="AE1062" s="4"/>
      <c r="AF1062" s="81"/>
      <c r="AG1062" s="81"/>
      <c r="AH1062" s="81"/>
      <c r="AI1062" s="4"/>
      <c r="AJ1062" s="81"/>
      <c r="AK1062" s="81"/>
      <c r="AL1062" s="81"/>
    </row>
    <row r="1063" spans="1:38" s="7" customFormat="1">
      <c r="A1063" s="4"/>
      <c r="B1063" s="4"/>
      <c r="C1063" s="4"/>
      <c r="D1063" s="4"/>
      <c r="E1063" s="4"/>
      <c r="F1063" s="28"/>
      <c r="G1063" s="28"/>
      <c r="H1063" s="83"/>
      <c r="I1063" s="4"/>
      <c r="J1063" s="4"/>
      <c r="K1063" s="4"/>
      <c r="L1063" s="4"/>
      <c r="M1063" s="4"/>
      <c r="N1063" s="28"/>
      <c r="O1063" s="4"/>
      <c r="P1063" s="4"/>
      <c r="Q1063" s="4"/>
      <c r="R1063" s="4"/>
      <c r="S1063" s="4"/>
      <c r="T1063" s="4"/>
      <c r="U1063" s="4"/>
      <c r="V1063" s="4"/>
      <c r="W1063" s="4"/>
      <c r="X1063" s="4"/>
      <c r="Y1063" s="4"/>
      <c r="Z1063" s="4"/>
      <c r="AA1063" s="4"/>
      <c r="AB1063" s="4"/>
      <c r="AC1063" s="4"/>
      <c r="AD1063" s="4"/>
      <c r="AE1063" s="4"/>
      <c r="AF1063" s="81"/>
      <c r="AG1063" s="81"/>
      <c r="AH1063" s="81"/>
      <c r="AI1063" s="4"/>
      <c r="AJ1063" s="81"/>
      <c r="AK1063" s="81"/>
      <c r="AL1063" s="81"/>
    </row>
    <row r="1064" spans="1:38" s="7" customFormat="1">
      <c r="A1064" s="4"/>
      <c r="B1064" s="4"/>
      <c r="C1064" s="4"/>
      <c r="D1064" s="4"/>
      <c r="E1064" s="4"/>
      <c r="F1064" s="28"/>
      <c r="G1064" s="28"/>
      <c r="H1064" s="83"/>
      <c r="I1064" s="4"/>
      <c r="J1064" s="4"/>
      <c r="K1064" s="4"/>
      <c r="L1064" s="4"/>
      <c r="M1064" s="4"/>
      <c r="N1064" s="28"/>
      <c r="O1064" s="4"/>
      <c r="P1064" s="4"/>
      <c r="Q1064" s="4"/>
      <c r="R1064" s="4"/>
      <c r="S1064" s="4"/>
      <c r="T1064" s="4"/>
      <c r="U1064" s="4"/>
      <c r="V1064" s="4"/>
      <c r="W1064" s="4"/>
      <c r="X1064" s="4"/>
      <c r="Y1064" s="4"/>
      <c r="Z1064" s="4"/>
      <c r="AA1064" s="4"/>
      <c r="AB1064" s="4"/>
      <c r="AC1064" s="4"/>
      <c r="AD1064" s="4"/>
      <c r="AE1064" s="4"/>
      <c r="AF1064" s="81"/>
      <c r="AG1064" s="81"/>
      <c r="AH1064" s="81"/>
      <c r="AI1064" s="4"/>
      <c r="AJ1064" s="81"/>
      <c r="AK1064" s="81"/>
      <c r="AL1064" s="81"/>
    </row>
    <row r="1065" spans="1:38" s="7" customFormat="1">
      <c r="A1065" s="4"/>
      <c r="B1065" s="4"/>
      <c r="C1065" s="4"/>
      <c r="D1065" s="4"/>
      <c r="E1065" s="4"/>
      <c r="F1065" s="28"/>
      <c r="G1065" s="28"/>
      <c r="H1065" s="83"/>
      <c r="I1065" s="4"/>
      <c r="J1065" s="4"/>
      <c r="K1065" s="4"/>
      <c r="L1065" s="4"/>
      <c r="M1065" s="4"/>
      <c r="N1065" s="28"/>
      <c r="O1065" s="4"/>
      <c r="P1065" s="4"/>
      <c r="Q1065" s="4"/>
      <c r="R1065" s="4"/>
      <c r="S1065" s="4"/>
      <c r="T1065" s="4"/>
      <c r="U1065" s="4"/>
      <c r="V1065" s="4"/>
      <c r="W1065" s="4"/>
      <c r="X1065" s="4"/>
      <c r="Y1065" s="4"/>
      <c r="Z1065" s="4"/>
      <c r="AA1065" s="4"/>
      <c r="AB1065" s="4"/>
      <c r="AC1065" s="4"/>
      <c r="AD1065" s="4"/>
      <c r="AE1065" s="4"/>
      <c r="AF1065" s="81"/>
      <c r="AG1065" s="81"/>
      <c r="AH1065" s="81"/>
      <c r="AI1065" s="4"/>
      <c r="AJ1065" s="81"/>
      <c r="AK1065" s="81"/>
      <c r="AL1065" s="81"/>
    </row>
    <row r="1066" spans="1:38" s="7" customFormat="1">
      <c r="A1066" s="4"/>
      <c r="B1066" s="4"/>
      <c r="C1066" s="4"/>
      <c r="D1066" s="4"/>
      <c r="E1066" s="4"/>
      <c r="F1066" s="28"/>
      <c r="G1066" s="28"/>
      <c r="H1066" s="83"/>
      <c r="I1066" s="4"/>
      <c r="J1066" s="4"/>
      <c r="K1066" s="4"/>
      <c r="L1066" s="4"/>
      <c r="M1066" s="4"/>
      <c r="N1066" s="28"/>
      <c r="O1066" s="4"/>
      <c r="P1066" s="4"/>
      <c r="Q1066" s="4"/>
      <c r="R1066" s="4"/>
      <c r="S1066" s="4"/>
      <c r="T1066" s="4"/>
      <c r="U1066" s="4"/>
      <c r="V1066" s="4"/>
      <c r="W1066" s="4"/>
      <c r="X1066" s="4"/>
      <c r="Y1066" s="4"/>
      <c r="Z1066" s="4"/>
      <c r="AA1066" s="4"/>
      <c r="AB1066" s="4"/>
      <c r="AC1066" s="4"/>
      <c r="AD1066" s="4"/>
      <c r="AE1066" s="4"/>
      <c r="AF1066" s="81"/>
      <c r="AG1066" s="81"/>
      <c r="AH1066" s="81"/>
      <c r="AI1066" s="4"/>
      <c r="AJ1066" s="81"/>
      <c r="AK1066" s="81"/>
      <c r="AL1066" s="81"/>
    </row>
    <row r="1067" spans="1:38" s="7" customFormat="1">
      <c r="A1067" s="4"/>
      <c r="B1067" s="4"/>
      <c r="C1067" s="4"/>
      <c r="D1067" s="4"/>
      <c r="E1067" s="4"/>
      <c r="F1067" s="28"/>
      <c r="G1067" s="28"/>
      <c r="H1067" s="83"/>
      <c r="I1067" s="4"/>
      <c r="J1067" s="4"/>
      <c r="K1067" s="4"/>
      <c r="L1067" s="4"/>
      <c r="M1067" s="4"/>
      <c r="N1067" s="28"/>
      <c r="O1067" s="4"/>
      <c r="P1067" s="4"/>
      <c r="Q1067" s="4"/>
      <c r="R1067" s="4"/>
      <c r="S1067" s="4"/>
      <c r="T1067" s="4"/>
      <c r="U1067" s="4"/>
      <c r="V1067" s="4"/>
      <c r="W1067" s="4"/>
      <c r="X1067" s="4"/>
      <c r="Y1067" s="4"/>
      <c r="Z1067" s="4"/>
      <c r="AA1067" s="4"/>
      <c r="AB1067" s="4"/>
      <c r="AC1067" s="4"/>
      <c r="AD1067" s="4"/>
      <c r="AE1067" s="4"/>
      <c r="AF1067" s="81"/>
      <c r="AG1067" s="81"/>
      <c r="AH1067" s="81"/>
      <c r="AI1067" s="4"/>
      <c r="AJ1067" s="81"/>
      <c r="AK1067" s="81"/>
      <c r="AL1067" s="81"/>
    </row>
    <row r="1068" spans="1:38" s="7" customFormat="1">
      <c r="A1068" s="4"/>
      <c r="B1068" s="4"/>
      <c r="C1068" s="4"/>
      <c r="D1068" s="4"/>
      <c r="E1068" s="4"/>
      <c r="F1068" s="28"/>
      <c r="G1068" s="28"/>
      <c r="H1068" s="83"/>
      <c r="I1068" s="4"/>
      <c r="J1068" s="4"/>
      <c r="K1068" s="4"/>
      <c r="L1068" s="4"/>
      <c r="M1068" s="4"/>
      <c r="N1068" s="28"/>
      <c r="O1068" s="4"/>
      <c r="P1068" s="4"/>
      <c r="Q1068" s="4"/>
      <c r="R1068" s="4"/>
      <c r="S1068" s="4"/>
      <c r="T1068" s="4"/>
      <c r="U1068" s="4"/>
      <c r="V1068" s="4"/>
      <c r="W1068" s="4"/>
      <c r="X1068" s="4"/>
      <c r="Y1068" s="4"/>
      <c r="Z1068" s="4"/>
      <c r="AA1068" s="4"/>
      <c r="AB1068" s="4"/>
      <c r="AC1068" s="4"/>
      <c r="AD1068" s="4"/>
      <c r="AE1068" s="4"/>
      <c r="AF1068" s="81"/>
      <c r="AG1068" s="81"/>
      <c r="AH1068" s="81"/>
      <c r="AI1068" s="4"/>
      <c r="AJ1068" s="81"/>
      <c r="AK1068" s="81"/>
      <c r="AL1068" s="81"/>
    </row>
    <row r="1069" spans="1:38" s="7" customFormat="1">
      <c r="A1069" s="4"/>
      <c r="B1069" s="4"/>
      <c r="C1069" s="4"/>
      <c r="D1069" s="4"/>
      <c r="E1069" s="4"/>
      <c r="F1069" s="28"/>
      <c r="G1069" s="28"/>
      <c r="H1069" s="83"/>
      <c r="I1069" s="4"/>
      <c r="J1069" s="4"/>
      <c r="K1069" s="4"/>
      <c r="L1069" s="4"/>
      <c r="M1069" s="4"/>
      <c r="N1069" s="28"/>
      <c r="O1069" s="4"/>
      <c r="P1069" s="4"/>
      <c r="Q1069" s="4"/>
      <c r="R1069" s="4"/>
      <c r="S1069" s="4"/>
      <c r="T1069" s="4"/>
      <c r="U1069" s="4"/>
      <c r="V1069" s="4"/>
      <c r="W1069" s="4"/>
      <c r="X1069" s="4"/>
      <c r="Y1069" s="4"/>
      <c r="Z1069" s="4"/>
      <c r="AA1069" s="4"/>
      <c r="AB1069" s="4"/>
      <c r="AC1069" s="4"/>
      <c r="AD1069" s="4"/>
      <c r="AE1069" s="4"/>
      <c r="AF1069" s="81"/>
      <c r="AG1069" s="81"/>
      <c r="AH1069" s="81"/>
      <c r="AI1069" s="4"/>
      <c r="AJ1069" s="81"/>
      <c r="AK1069" s="81"/>
      <c r="AL1069" s="81"/>
    </row>
    <row r="1070" spans="1:38" s="7" customFormat="1">
      <c r="A1070" s="4"/>
      <c r="B1070" s="4"/>
      <c r="C1070" s="4"/>
      <c r="D1070" s="4"/>
      <c r="E1070" s="4"/>
      <c r="F1070" s="28"/>
      <c r="G1070" s="28"/>
      <c r="H1070" s="83"/>
      <c r="I1070" s="4"/>
      <c r="J1070" s="4"/>
      <c r="K1070" s="4"/>
      <c r="L1070" s="4"/>
      <c r="M1070" s="4"/>
      <c r="N1070" s="28"/>
      <c r="O1070" s="4"/>
      <c r="P1070" s="4"/>
      <c r="Q1070" s="4"/>
      <c r="R1070" s="4"/>
      <c r="S1070" s="4"/>
      <c r="T1070" s="4"/>
      <c r="U1070" s="4"/>
      <c r="V1070" s="4"/>
      <c r="W1070" s="4"/>
      <c r="X1070" s="4"/>
      <c r="Y1070" s="4"/>
      <c r="Z1070" s="4"/>
      <c r="AA1070" s="4"/>
      <c r="AB1070" s="4"/>
      <c r="AC1070" s="4"/>
      <c r="AD1070" s="4"/>
      <c r="AE1070" s="4"/>
      <c r="AF1070" s="81"/>
      <c r="AG1070" s="81"/>
      <c r="AH1070" s="81"/>
      <c r="AI1070" s="4"/>
      <c r="AJ1070" s="81"/>
      <c r="AK1070" s="81"/>
      <c r="AL1070" s="81"/>
    </row>
    <row r="1071" spans="1:38" s="7" customFormat="1">
      <c r="A1071" s="4"/>
      <c r="B1071" s="4"/>
      <c r="C1071" s="4"/>
      <c r="D1071" s="4"/>
      <c r="E1071" s="4"/>
      <c r="F1071" s="28"/>
      <c r="G1071" s="28"/>
      <c r="H1071" s="83"/>
      <c r="I1071" s="4"/>
      <c r="J1071" s="4"/>
      <c r="K1071" s="4"/>
      <c r="L1071" s="4"/>
      <c r="M1071" s="4"/>
      <c r="N1071" s="28"/>
      <c r="O1071" s="4"/>
      <c r="P1071" s="4"/>
      <c r="Q1071" s="4"/>
      <c r="R1071" s="4"/>
      <c r="S1071" s="4"/>
      <c r="T1071" s="4"/>
      <c r="U1071" s="4"/>
      <c r="V1071" s="4"/>
      <c r="W1071" s="4"/>
      <c r="X1071" s="4"/>
      <c r="Y1071" s="4"/>
      <c r="Z1071" s="4"/>
      <c r="AA1071" s="4"/>
      <c r="AB1071" s="4"/>
      <c r="AC1071" s="4"/>
      <c r="AD1071" s="4"/>
      <c r="AE1071" s="4"/>
      <c r="AF1071" s="81"/>
      <c r="AG1071" s="81"/>
      <c r="AH1071" s="81"/>
      <c r="AI1071" s="4"/>
      <c r="AJ1071" s="81"/>
      <c r="AK1071" s="81"/>
      <c r="AL1071" s="81"/>
    </row>
    <row r="1072" spans="1:38" s="7" customFormat="1">
      <c r="A1072" s="4"/>
      <c r="B1072" s="4"/>
      <c r="C1072" s="4"/>
      <c r="D1072" s="4"/>
      <c r="E1072" s="4"/>
      <c r="F1072" s="28"/>
      <c r="G1072" s="28"/>
      <c r="H1072" s="83"/>
      <c r="I1072" s="4"/>
      <c r="J1072" s="4"/>
      <c r="K1072" s="4"/>
      <c r="L1072" s="4"/>
      <c r="M1072" s="4"/>
      <c r="N1072" s="28"/>
      <c r="O1072" s="4"/>
      <c r="P1072" s="4"/>
      <c r="Q1072" s="4"/>
      <c r="R1072" s="4"/>
      <c r="S1072" s="4"/>
      <c r="T1072" s="4"/>
      <c r="U1072" s="4"/>
      <c r="V1072" s="4"/>
      <c r="W1072" s="4"/>
      <c r="X1072" s="4"/>
      <c r="Y1072" s="4"/>
      <c r="Z1072" s="4"/>
      <c r="AA1072" s="4"/>
      <c r="AB1072" s="4"/>
      <c r="AC1072" s="4"/>
      <c r="AD1072" s="4"/>
      <c r="AE1072" s="4"/>
      <c r="AF1072" s="81"/>
      <c r="AG1072" s="81"/>
      <c r="AH1072" s="81"/>
      <c r="AI1072" s="4"/>
      <c r="AJ1072" s="81"/>
      <c r="AK1072" s="81"/>
      <c r="AL1072" s="81"/>
    </row>
    <row r="1073" spans="1:38" s="7" customFormat="1">
      <c r="A1073" s="4"/>
      <c r="B1073" s="4"/>
      <c r="C1073" s="4"/>
      <c r="D1073" s="4"/>
      <c r="E1073" s="4"/>
      <c r="F1073" s="28"/>
      <c r="G1073" s="28"/>
      <c r="H1073" s="83"/>
      <c r="I1073" s="4"/>
      <c r="J1073" s="4"/>
      <c r="K1073" s="4"/>
      <c r="L1073" s="4"/>
      <c r="M1073" s="4"/>
      <c r="N1073" s="28"/>
      <c r="O1073" s="4"/>
      <c r="P1073" s="4"/>
      <c r="Q1073" s="4"/>
      <c r="R1073" s="4"/>
      <c r="S1073" s="4"/>
      <c r="T1073" s="4"/>
      <c r="U1073" s="4"/>
      <c r="V1073" s="4"/>
      <c r="W1073" s="4"/>
      <c r="X1073" s="4"/>
      <c r="Y1073" s="4"/>
      <c r="Z1073" s="4"/>
      <c r="AA1073" s="4"/>
      <c r="AB1073" s="4"/>
      <c r="AC1073" s="4"/>
      <c r="AD1073" s="4"/>
      <c r="AE1073" s="4"/>
      <c r="AF1073" s="81"/>
      <c r="AG1073" s="81"/>
      <c r="AH1073" s="81"/>
      <c r="AI1073" s="4"/>
      <c r="AJ1073" s="81"/>
      <c r="AK1073" s="81"/>
      <c r="AL1073" s="81"/>
    </row>
    <row r="1074" spans="1:38" s="7" customFormat="1">
      <c r="A1074" s="4"/>
      <c r="B1074" s="4"/>
      <c r="C1074" s="4"/>
      <c r="D1074" s="4"/>
      <c r="E1074" s="4"/>
      <c r="F1074" s="28"/>
      <c r="G1074" s="28"/>
      <c r="H1074" s="83"/>
      <c r="I1074" s="4"/>
      <c r="J1074" s="4"/>
      <c r="K1074" s="4"/>
      <c r="L1074" s="4"/>
      <c r="M1074" s="4"/>
      <c r="N1074" s="28"/>
      <c r="O1074" s="4"/>
      <c r="P1074" s="4"/>
      <c r="Q1074" s="4"/>
      <c r="R1074" s="4"/>
      <c r="S1074" s="4"/>
      <c r="T1074" s="4"/>
      <c r="U1074" s="4"/>
      <c r="V1074" s="4"/>
      <c r="W1074" s="4"/>
      <c r="X1074" s="4"/>
      <c r="Y1074" s="4"/>
      <c r="Z1074" s="4"/>
      <c r="AA1074" s="4"/>
      <c r="AB1074" s="4"/>
      <c r="AC1074" s="4"/>
      <c r="AD1074" s="4"/>
      <c r="AE1074" s="4"/>
      <c r="AF1074" s="81"/>
      <c r="AG1074" s="81"/>
      <c r="AH1074" s="81"/>
      <c r="AI1074" s="4"/>
      <c r="AJ1074" s="81"/>
      <c r="AK1074" s="81"/>
      <c r="AL1074" s="81"/>
    </row>
    <row r="1075" spans="1:38" s="7" customFormat="1">
      <c r="A1075" s="4"/>
      <c r="B1075" s="4"/>
      <c r="C1075" s="4"/>
      <c r="D1075" s="4"/>
      <c r="E1075" s="4"/>
      <c r="F1075" s="28"/>
      <c r="G1075" s="28"/>
      <c r="H1075" s="83"/>
      <c r="I1075" s="4"/>
      <c r="J1075" s="4"/>
      <c r="K1075" s="4"/>
      <c r="L1075" s="4"/>
      <c r="M1075" s="4"/>
      <c r="N1075" s="28"/>
      <c r="O1075" s="4"/>
      <c r="P1075" s="4"/>
      <c r="Q1075" s="4"/>
      <c r="R1075" s="4"/>
      <c r="S1075" s="4"/>
      <c r="T1075" s="4"/>
      <c r="U1075" s="4"/>
      <c r="V1075" s="4"/>
      <c r="W1075" s="4"/>
      <c r="X1075" s="4"/>
      <c r="Y1075" s="4"/>
      <c r="Z1075" s="4"/>
      <c r="AA1075" s="4"/>
      <c r="AB1075" s="4"/>
      <c r="AC1075" s="4"/>
      <c r="AD1075" s="4"/>
      <c r="AE1075" s="4"/>
      <c r="AF1075" s="81"/>
      <c r="AG1075" s="81"/>
      <c r="AH1075" s="81"/>
      <c r="AI1075" s="4"/>
      <c r="AJ1075" s="81"/>
      <c r="AK1075" s="81"/>
      <c r="AL1075" s="81"/>
    </row>
    <row r="1076" spans="1:38" s="7" customFormat="1">
      <c r="A1076" s="4"/>
      <c r="B1076" s="4"/>
      <c r="C1076" s="4"/>
      <c r="D1076" s="4"/>
      <c r="E1076" s="4"/>
      <c r="F1076" s="28"/>
      <c r="G1076" s="28"/>
      <c r="H1076" s="83"/>
      <c r="I1076" s="4"/>
      <c r="J1076" s="4"/>
      <c r="K1076" s="4"/>
      <c r="L1076" s="4"/>
      <c r="M1076" s="4"/>
      <c r="N1076" s="28"/>
      <c r="O1076" s="4"/>
      <c r="P1076" s="4"/>
      <c r="Q1076" s="4"/>
      <c r="R1076" s="4"/>
      <c r="S1076" s="4"/>
      <c r="T1076" s="4"/>
      <c r="U1076" s="4"/>
      <c r="V1076" s="4"/>
      <c r="W1076" s="4"/>
      <c r="X1076" s="4"/>
      <c r="Y1076" s="4"/>
      <c r="Z1076" s="4"/>
      <c r="AA1076" s="4"/>
      <c r="AB1076" s="4"/>
      <c r="AC1076" s="4"/>
      <c r="AD1076" s="4"/>
      <c r="AE1076" s="4"/>
      <c r="AF1076" s="81"/>
      <c r="AG1076" s="81"/>
      <c r="AH1076" s="81"/>
      <c r="AI1076" s="4"/>
      <c r="AJ1076" s="81"/>
      <c r="AK1076" s="81"/>
      <c r="AL1076" s="81"/>
    </row>
    <row r="1077" spans="1:38" s="7" customFormat="1">
      <c r="A1077" s="4"/>
      <c r="B1077" s="4"/>
      <c r="C1077" s="4"/>
      <c r="D1077" s="4"/>
      <c r="E1077" s="4"/>
      <c r="F1077" s="28"/>
      <c r="G1077" s="28"/>
      <c r="H1077" s="83"/>
      <c r="I1077" s="4"/>
      <c r="J1077" s="4"/>
      <c r="K1077" s="4"/>
      <c r="L1077" s="4"/>
      <c r="M1077" s="4"/>
      <c r="N1077" s="28"/>
      <c r="O1077" s="4"/>
      <c r="P1077" s="4"/>
      <c r="Q1077" s="4"/>
      <c r="R1077" s="4"/>
      <c r="S1077" s="4"/>
      <c r="T1077" s="4"/>
      <c r="U1077" s="4"/>
      <c r="V1077" s="4"/>
      <c r="W1077" s="4"/>
      <c r="X1077" s="4"/>
      <c r="Y1077" s="4"/>
      <c r="Z1077" s="4"/>
      <c r="AA1077" s="4"/>
      <c r="AB1077" s="4"/>
      <c r="AC1077" s="4"/>
      <c r="AD1077" s="4"/>
      <c r="AE1077" s="4"/>
      <c r="AF1077" s="81"/>
      <c r="AG1077" s="81"/>
      <c r="AH1077" s="81"/>
      <c r="AI1077" s="4"/>
      <c r="AJ1077" s="81"/>
      <c r="AK1077" s="81"/>
      <c r="AL1077" s="81"/>
    </row>
    <row r="1078" spans="1:38" s="7" customFormat="1">
      <c r="A1078" s="4"/>
      <c r="B1078" s="4"/>
      <c r="C1078" s="4"/>
      <c r="D1078" s="4"/>
      <c r="E1078" s="4"/>
      <c r="F1078" s="28"/>
      <c r="G1078" s="28"/>
      <c r="H1078" s="83"/>
      <c r="I1078" s="4"/>
      <c r="J1078" s="4"/>
      <c r="K1078" s="4"/>
      <c r="L1078" s="4"/>
      <c r="M1078" s="4"/>
      <c r="N1078" s="28"/>
      <c r="O1078" s="4"/>
      <c r="P1078" s="4"/>
      <c r="Q1078" s="4"/>
      <c r="R1078" s="4"/>
      <c r="S1078" s="4"/>
      <c r="T1078" s="4"/>
      <c r="U1078" s="4"/>
      <c r="V1078" s="4"/>
      <c r="W1078" s="4"/>
      <c r="X1078" s="4"/>
      <c r="Y1078" s="4"/>
      <c r="Z1078" s="4"/>
      <c r="AA1078" s="4"/>
      <c r="AB1078" s="4"/>
      <c r="AC1078" s="4"/>
      <c r="AD1078" s="4"/>
      <c r="AE1078" s="4"/>
      <c r="AF1078" s="81"/>
      <c r="AG1078" s="81"/>
      <c r="AH1078" s="81"/>
      <c r="AI1078" s="4"/>
      <c r="AJ1078" s="81"/>
      <c r="AK1078" s="81"/>
      <c r="AL1078" s="81"/>
    </row>
    <row r="1079" spans="1:38" s="7" customFormat="1">
      <c r="A1079" s="4"/>
      <c r="B1079" s="4"/>
      <c r="C1079" s="4"/>
      <c r="D1079" s="4"/>
      <c r="E1079" s="4"/>
      <c r="F1079" s="28"/>
      <c r="G1079" s="28"/>
      <c r="H1079" s="83"/>
      <c r="I1079" s="4"/>
      <c r="J1079" s="4"/>
      <c r="K1079" s="4"/>
      <c r="L1079" s="4"/>
      <c r="M1079" s="4"/>
      <c r="N1079" s="28"/>
      <c r="O1079" s="4"/>
      <c r="P1079" s="4"/>
      <c r="Q1079" s="4"/>
      <c r="R1079" s="4"/>
      <c r="S1079" s="4"/>
      <c r="T1079" s="4"/>
      <c r="U1079" s="4"/>
      <c r="V1079" s="4"/>
      <c r="W1079" s="4"/>
      <c r="X1079" s="4"/>
      <c r="Y1079" s="4"/>
      <c r="Z1079" s="4"/>
      <c r="AA1079" s="4"/>
      <c r="AB1079" s="4"/>
      <c r="AC1079" s="4"/>
      <c r="AD1079" s="4"/>
      <c r="AE1079" s="4"/>
      <c r="AF1079" s="81"/>
      <c r="AG1079" s="81"/>
      <c r="AH1079" s="81"/>
      <c r="AI1079" s="4"/>
      <c r="AJ1079" s="81"/>
      <c r="AK1079" s="81"/>
      <c r="AL1079" s="81"/>
    </row>
    <row r="1080" spans="1:38" s="7" customFormat="1">
      <c r="A1080" s="4"/>
      <c r="B1080" s="4"/>
      <c r="C1080" s="4"/>
      <c r="D1080" s="4"/>
      <c r="E1080" s="4"/>
      <c r="F1080" s="28"/>
      <c r="G1080" s="28"/>
      <c r="H1080" s="83"/>
      <c r="I1080" s="4"/>
      <c r="J1080" s="4"/>
      <c r="K1080" s="4"/>
      <c r="L1080" s="4"/>
      <c r="M1080" s="4"/>
      <c r="N1080" s="28"/>
      <c r="O1080" s="4"/>
      <c r="P1080" s="4"/>
      <c r="Q1080" s="4"/>
      <c r="R1080" s="4"/>
      <c r="S1080" s="4"/>
      <c r="T1080" s="4"/>
      <c r="U1080" s="4"/>
      <c r="V1080" s="4"/>
      <c r="W1080" s="4"/>
      <c r="X1080" s="4"/>
      <c r="Y1080" s="4"/>
      <c r="Z1080" s="4"/>
      <c r="AA1080" s="4"/>
      <c r="AB1080" s="4"/>
      <c r="AC1080" s="4"/>
      <c r="AD1080" s="4"/>
      <c r="AE1080" s="4"/>
      <c r="AF1080" s="81"/>
      <c r="AG1080" s="81"/>
      <c r="AH1080" s="81"/>
      <c r="AI1080" s="4"/>
      <c r="AJ1080" s="81"/>
      <c r="AK1080" s="81"/>
      <c r="AL1080" s="81"/>
    </row>
    <row r="1081" spans="1:38" s="7" customFormat="1">
      <c r="A1081" s="4"/>
      <c r="B1081" s="4"/>
      <c r="C1081" s="4"/>
      <c r="D1081" s="4"/>
      <c r="E1081" s="4"/>
      <c r="F1081" s="28"/>
      <c r="G1081" s="28"/>
      <c r="H1081" s="83"/>
      <c r="I1081" s="4"/>
      <c r="J1081" s="4"/>
      <c r="K1081" s="4"/>
      <c r="L1081" s="4"/>
      <c r="M1081" s="4"/>
      <c r="N1081" s="28"/>
      <c r="O1081" s="4"/>
      <c r="P1081" s="4"/>
      <c r="Q1081" s="4"/>
      <c r="R1081" s="4"/>
      <c r="S1081" s="4"/>
      <c r="T1081" s="4"/>
      <c r="U1081" s="4"/>
      <c r="V1081" s="4"/>
      <c r="W1081" s="4"/>
      <c r="X1081" s="4"/>
      <c r="Y1081" s="4"/>
      <c r="Z1081" s="4"/>
      <c r="AA1081" s="4"/>
      <c r="AB1081" s="4"/>
      <c r="AC1081" s="4"/>
      <c r="AD1081" s="4"/>
      <c r="AE1081" s="4"/>
      <c r="AF1081" s="81"/>
      <c r="AG1081" s="81"/>
      <c r="AH1081" s="81"/>
      <c r="AI1081" s="4"/>
      <c r="AJ1081" s="81"/>
      <c r="AK1081" s="81"/>
      <c r="AL1081" s="81"/>
    </row>
    <row r="1082" spans="1:38" s="7" customFormat="1">
      <c r="A1082" s="4"/>
      <c r="B1082" s="4"/>
      <c r="C1082" s="4"/>
      <c r="D1082" s="4"/>
      <c r="E1082" s="4"/>
      <c r="F1082" s="28"/>
      <c r="G1082" s="28"/>
      <c r="H1082" s="83"/>
      <c r="I1082" s="4"/>
      <c r="J1082" s="4"/>
      <c r="K1082" s="4"/>
      <c r="L1082" s="4"/>
      <c r="M1082" s="4"/>
      <c r="N1082" s="28"/>
      <c r="O1082" s="4"/>
      <c r="P1082" s="4"/>
      <c r="Q1082" s="4"/>
      <c r="R1082" s="4"/>
      <c r="S1082" s="4"/>
      <c r="T1082" s="4"/>
      <c r="U1082" s="4"/>
      <c r="V1082" s="4"/>
      <c r="W1082" s="4"/>
      <c r="X1082" s="4"/>
      <c r="Y1082" s="4"/>
      <c r="Z1082" s="4"/>
      <c r="AA1082" s="4"/>
      <c r="AB1082" s="4"/>
      <c r="AC1082" s="4"/>
      <c r="AD1082" s="4"/>
      <c r="AE1082" s="4"/>
      <c r="AF1082" s="81"/>
      <c r="AG1082" s="81"/>
      <c r="AH1082" s="81"/>
      <c r="AI1082" s="4"/>
      <c r="AJ1082" s="81"/>
      <c r="AK1082" s="81"/>
      <c r="AL1082" s="81"/>
    </row>
    <row r="1083" spans="1:38" s="7" customFormat="1">
      <c r="A1083" s="4"/>
      <c r="B1083" s="4"/>
      <c r="C1083" s="4"/>
      <c r="D1083" s="4"/>
      <c r="E1083" s="4"/>
      <c r="F1083" s="28"/>
      <c r="G1083" s="28"/>
      <c r="H1083" s="83"/>
      <c r="I1083" s="4"/>
      <c r="J1083" s="4"/>
      <c r="K1083" s="4"/>
      <c r="L1083" s="4"/>
      <c r="M1083" s="4"/>
      <c r="N1083" s="28"/>
      <c r="O1083" s="4"/>
      <c r="P1083" s="4"/>
      <c r="Q1083" s="4"/>
      <c r="R1083" s="4"/>
      <c r="S1083" s="4"/>
      <c r="T1083" s="4"/>
      <c r="U1083" s="4"/>
      <c r="V1083" s="4"/>
      <c r="W1083" s="4"/>
      <c r="X1083" s="4"/>
      <c r="Y1083" s="4"/>
      <c r="Z1083" s="4"/>
      <c r="AA1083" s="4"/>
      <c r="AB1083" s="4"/>
      <c r="AC1083" s="4"/>
      <c r="AD1083" s="4"/>
      <c r="AE1083" s="4"/>
      <c r="AF1083" s="81"/>
      <c r="AG1083" s="81"/>
      <c r="AH1083" s="81"/>
      <c r="AI1083" s="4"/>
      <c r="AJ1083" s="81"/>
      <c r="AK1083" s="81"/>
      <c r="AL1083" s="81"/>
    </row>
    <row r="1084" spans="1:38" s="7" customFormat="1">
      <c r="A1084" s="4"/>
      <c r="B1084" s="4"/>
      <c r="C1084" s="4"/>
      <c r="D1084" s="4"/>
      <c r="E1084" s="4"/>
      <c r="F1084" s="28"/>
      <c r="G1084" s="28"/>
      <c r="H1084" s="83"/>
      <c r="I1084" s="4"/>
      <c r="J1084" s="4"/>
      <c r="K1084" s="4"/>
      <c r="L1084" s="4"/>
      <c r="M1084" s="4"/>
      <c r="N1084" s="28"/>
      <c r="O1084" s="4"/>
      <c r="P1084" s="4"/>
      <c r="Q1084" s="4"/>
      <c r="R1084" s="4"/>
      <c r="S1084" s="4"/>
      <c r="T1084" s="4"/>
      <c r="U1084" s="4"/>
      <c r="V1084" s="4"/>
      <c r="W1084" s="4"/>
      <c r="X1084" s="4"/>
      <c r="Y1084" s="4"/>
      <c r="Z1084" s="4"/>
      <c r="AA1084" s="4"/>
      <c r="AB1084" s="4"/>
      <c r="AC1084" s="4"/>
      <c r="AD1084" s="4"/>
      <c r="AE1084" s="4"/>
      <c r="AF1084" s="81"/>
      <c r="AG1084" s="81"/>
      <c r="AH1084" s="81"/>
      <c r="AI1084" s="4"/>
      <c r="AJ1084" s="81"/>
      <c r="AK1084" s="81"/>
      <c r="AL1084" s="81"/>
    </row>
    <row r="1085" spans="1:38" s="7" customFormat="1">
      <c r="A1085" s="4"/>
      <c r="B1085" s="4"/>
      <c r="C1085" s="4"/>
      <c r="D1085" s="4"/>
      <c r="E1085" s="4"/>
      <c r="F1085" s="28"/>
      <c r="G1085" s="28"/>
      <c r="H1085" s="83"/>
      <c r="I1085" s="4"/>
      <c r="J1085" s="4"/>
      <c r="K1085" s="4"/>
      <c r="L1085" s="4"/>
      <c r="M1085" s="4"/>
      <c r="N1085" s="28"/>
      <c r="O1085" s="4"/>
      <c r="P1085" s="4"/>
      <c r="Q1085" s="4"/>
      <c r="R1085" s="4"/>
      <c r="S1085" s="4"/>
      <c r="T1085" s="4"/>
      <c r="U1085" s="4"/>
      <c r="V1085" s="4"/>
      <c r="W1085" s="4"/>
      <c r="X1085" s="4"/>
      <c r="Y1085" s="4"/>
      <c r="Z1085" s="4"/>
      <c r="AA1085" s="4"/>
      <c r="AB1085" s="4"/>
      <c r="AC1085" s="4"/>
      <c r="AD1085" s="4"/>
      <c r="AE1085" s="4"/>
      <c r="AF1085" s="81"/>
      <c r="AG1085" s="81"/>
      <c r="AH1085" s="81"/>
      <c r="AI1085" s="4"/>
      <c r="AJ1085" s="81"/>
      <c r="AK1085" s="81"/>
      <c r="AL1085" s="81"/>
    </row>
    <row r="1086" spans="1:38" s="7" customFormat="1">
      <c r="A1086" s="4"/>
      <c r="B1086" s="4"/>
      <c r="C1086" s="4"/>
      <c r="D1086" s="4"/>
      <c r="E1086" s="4"/>
      <c r="F1086" s="28"/>
      <c r="G1086" s="28"/>
      <c r="H1086" s="83"/>
      <c r="I1086" s="4"/>
      <c r="J1086" s="4"/>
      <c r="K1086" s="4"/>
      <c r="L1086" s="4"/>
      <c r="M1086" s="4"/>
      <c r="N1086" s="28"/>
      <c r="O1086" s="4"/>
      <c r="P1086" s="4"/>
      <c r="Q1086" s="4"/>
      <c r="R1086" s="4"/>
      <c r="S1086" s="4"/>
      <c r="T1086" s="4"/>
      <c r="U1086" s="4"/>
      <c r="V1086" s="4"/>
      <c r="W1086" s="4"/>
      <c r="X1086" s="4"/>
      <c r="Y1086" s="4"/>
      <c r="Z1086" s="4"/>
      <c r="AA1086" s="4"/>
      <c r="AB1086" s="4"/>
      <c r="AC1086" s="4"/>
      <c r="AD1086" s="4"/>
      <c r="AE1086" s="4"/>
      <c r="AF1086" s="81"/>
      <c r="AG1086" s="81"/>
      <c r="AH1086" s="81"/>
      <c r="AI1086" s="4"/>
      <c r="AJ1086" s="81"/>
      <c r="AK1086" s="81"/>
      <c r="AL1086" s="81"/>
    </row>
    <row r="1087" spans="1:38" s="7" customFormat="1">
      <c r="A1087" s="4"/>
      <c r="B1087" s="4"/>
      <c r="C1087" s="4"/>
      <c r="D1087" s="4"/>
      <c r="E1087" s="4"/>
      <c r="F1087" s="28"/>
      <c r="G1087" s="28"/>
      <c r="H1087" s="83"/>
      <c r="I1087" s="4"/>
      <c r="J1087" s="4"/>
      <c r="K1087" s="4"/>
      <c r="L1087" s="4"/>
      <c r="M1087" s="4"/>
      <c r="N1087" s="28"/>
      <c r="O1087" s="4"/>
      <c r="P1087" s="4"/>
      <c r="Q1087" s="4"/>
      <c r="R1087" s="4"/>
      <c r="S1087" s="4"/>
      <c r="T1087" s="4"/>
      <c r="U1087" s="4"/>
      <c r="V1087" s="4"/>
      <c r="W1087" s="4"/>
      <c r="X1087" s="4"/>
      <c r="Y1087" s="4"/>
      <c r="Z1087" s="4"/>
      <c r="AA1087" s="4"/>
      <c r="AB1087" s="4"/>
      <c r="AC1087" s="4"/>
      <c r="AD1087" s="4"/>
      <c r="AE1087" s="4"/>
      <c r="AF1087" s="81"/>
      <c r="AG1087" s="81"/>
      <c r="AH1087" s="81"/>
      <c r="AI1087" s="4"/>
      <c r="AJ1087" s="81"/>
      <c r="AK1087" s="81"/>
      <c r="AL1087" s="81"/>
    </row>
    <row r="1088" spans="1:38" s="7" customFormat="1">
      <c r="A1088" s="4"/>
      <c r="B1088" s="4"/>
      <c r="C1088" s="4"/>
      <c r="D1088" s="4"/>
      <c r="E1088" s="4"/>
      <c r="F1088" s="28"/>
      <c r="G1088" s="28"/>
      <c r="H1088" s="83"/>
      <c r="I1088" s="4"/>
      <c r="J1088" s="4"/>
      <c r="K1088" s="4"/>
      <c r="L1088" s="4"/>
      <c r="M1088" s="4"/>
      <c r="N1088" s="28"/>
      <c r="O1088" s="4"/>
      <c r="P1088" s="4"/>
      <c r="Q1088" s="4"/>
      <c r="R1088" s="4"/>
      <c r="S1088" s="4"/>
      <c r="T1088" s="4"/>
      <c r="U1088" s="4"/>
      <c r="V1088" s="4"/>
      <c r="W1088" s="4"/>
      <c r="X1088" s="4"/>
      <c r="Y1088" s="4"/>
      <c r="Z1088" s="4"/>
      <c r="AA1088" s="4"/>
      <c r="AB1088" s="4"/>
      <c r="AC1088" s="4"/>
      <c r="AD1088" s="4"/>
      <c r="AE1088" s="4"/>
      <c r="AF1088" s="81"/>
      <c r="AG1088" s="81"/>
      <c r="AH1088" s="81"/>
      <c r="AI1088" s="4"/>
      <c r="AJ1088" s="81"/>
      <c r="AK1088" s="81"/>
      <c r="AL1088" s="81"/>
    </row>
    <row r="1089" spans="1:38" s="7" customFormat="1">
      <c r="A1089" s="4"/>
      <c r="B1089" s="4"/>
      <c r="C1089" s="4"/>
      <c r="D1089" s="4"/>
      <c r="E1089" s="4"/>
      <c r="F1089" s="28"/>
      <c r="G1089" s="28"/>
      <c r="H1089" s="83"/>
      <c r="I1089" s="4"/>
      <c r="J1089" s="4"/>
      <c r="K1089" s="4"/>
      <c r="L1089" s="4"/>
      <c r="M1089" s="4"/>
      <c r="N1089" s="28"/>
      <c r="O1089" s="4"/>
      <c r="P1089" s="4"/>
      <c r="Q1089" s="4"/>
      <c r="R1089" s="4"/>
      <c r="S1089" s="4"/>
      <c r="T1089" s="4"/>
      <c r="U1089" s="4"/>
      <c r="V1089" s="4"/>
      <c r="W1089" s="4"/>
      <c r="X1089" s="4"/>
      <c r="Y1089" s="4"/>
      <c r="Z1089" s="4"/>
      <c r="AA1089" s="4"/>
      <c r="AB1089" s="4"/>
      <c r="AC1089" s="4"/>
      <c r="AD1089" s="4"/>
      <c r="AE1089" s="4"/>
      <c r="AF1089" s="81"/>
      <c r="AG1089" s="81"/>
      <c r="AH1089" s="81"/>
      <c r="AI1089" s="4"/>
      <c r="AJ1089" s="81"/>
      <c r="AK1089" s="81"/>
      <c r="AL1089" s="81"/>
    </row>
    <row r="1090" spans="1:38" s="7" customFormat="1">
      <c r="A1090" s="4"/>
      <c r="B1090" s="4"/>
      <c r="C1090" s="4"/>
      <c r="D1090" s="4"/>
      <c r="E1090" s="4"/>
      <c r="F1090" s="28"/>
      <c r="G1090" s="28"/>
      <c r="H1090" s="83"/>
      <c r="I1090" s="4"/>
      <c r="J1090" s="4"/>
      <c r="K1090" s="4"/>
      <c r="L1090" s="4"/>
      <c r="M1090" s="4"/>
      <c r="N1090" s="28"/>
      <c r="O1090" s="4"/>
      <c r="P1090" s="4"/>
      <c r="Q1090" s="4"/>
      <c r="R1090" s="4"/>
      <c r="S1090" s="4"/>
      <c r="T1090" s="4"/>
      <c r="U1090" s="4"/>
      <c r="V1090" s="4"/>
      <c r="W1090" s="4"/>
      <c r="X1090" s="4"/>
      <c r="Y1090" s="4"/>
      <c r="Z1090" s="4"/>
      <c r="AA1090" s="4"/>
      <c r="AB1090" s="4"/>
      <c r="AC1090" s="4"/>
      <c r="AD1090" s="4"/>
      <c r="AE1090" s="4"/>
      <c r="AF1090" s="81"/>
      <c r="AG1090" s="81"/>
      <c r="AH1090" s="81"/>
      <c r="AI1090" s="4"/>
      <c r="AJ1090" s="81"/>
      <c r="AK1090" s="81"/>
      <c r="AL1090" s="81"/>
    </row>
    <row r="1091" spans="1:38" s="7" customFormat="1">
      <c r="A1091" s="4"/>
      <c r="B1091" s="4"/>
      <c r="C1091" s="4"/>
      <c r="D1091" s="4"/>
      <c r="E1091" s="4"/>
      <c r="F1091" s="28"/>
      <c r="G1091" s="28"/>
      <c r="H1091" s="83"/>
      <c r="I1091" s="4"/>
      <c r="J1091" s="4"/>
      <c r="K1091" s="4"/>
      <c r="L1091" s="4"/>
      <c r="M1091" s="4"/>
      <c r="N1091" s="28"/>
      <c r="O1091" s="4"/>
      <c r="P1091" s="4"/>
      <c r="Q1091" s="4"/>
      <c r="R1091" s="4"/>
      <c r="S1091" s="4"/>
      <c r="T1091" s="4"/>
      <c r="U1091" s="4"/>
      <c r="V1091" s="4"/>
      <c r="W1091" s="4"/>
      <c r="X1091" s="4"/>
      <c r="Y1091" s="4"/>
      <c r="Z1091" s="4"/>
      <c r="AA1091" s="4"/>
      <c r="AB1091" s="4"/>
      <c r="AC1091" s="4"/>
      <c r="AD1091" s="4"/>
      <c r="AE1091" s="4"/>
      <c r="AF1091" s="81"/>
      <c r="AG1091" s="81"/>
      <c r="AH1091" s="81"/>
      <c r="AI1091" s="4"/>
      <c r="AJ1091" s="81"/>
      <c r="AK1091" s="81"/>
      <c r="AL1091" s="81"/>
    </row>
    <row r="1092" spans="1:38" s="7" customFormat="1">
      <c r="A1092" s="4"/>
      <c r="B1092" s="4"/>
      <c r="C1092" s="4"/>
      <c r="D1092" s="4"/>
      <c r="E1092" s="4"/>
      <c r="F1092" s="28"/>
      <c r="G1092" s="28"/>
      <c r="H1092" s="83"/>
      <c r="I1092" s="4"/>
      <c r="J1092" s="4"/>
      <c r="K1092" s="4"/>
      <c r="L1092" s="4"/>
      <c r="M1092" s="4"/>
      <c r="N1092" s="28"/>
      <c r="O1092" s="4"/>
      <c r="P1092" s="4"/>
      <c r="Q1092" s="4"/>
      <c r="R1092" s="4"/>
      <c r="S1092" s="4"/>
      <c r="T1092" s="4"/>
      <c r="U1092" s="4"/>
      <c r="V1092" s="4"/>
      <c r="W1092" s="4"/>
      <c r="X1092" s="4"/>
      <c r="Y1092" s="4"/>
      <c r="Z1092" s="4"/>
      <c r="AA1092" s="4"/>
      <c r="AB1092" s="4"/>
      <c r="AC1092" s="4"/>
      <c r="AD1092" s="4"/>
      <c r="AE1092" s="4"/>
      <c r="AF1092" s="81"/>
      <c r="AG1092" s="81"/>
      <c r="AH1092" s="81"/>
      <c r="AI1092" s="4"/>
      <c r="AJ1092" s="81"/>
      <c r="AK1092" s="81"/>
      <c r="AL1092" s="81"/>
    </row>
    <row r="1093" spans="1:38" s="7" customFormat="1">
      <c r="A1093" s="4"/>
      <c r="B1093" s="4"/>
      <c r="C1093" s="4"/>
      <c r="D1093" s="4"/>
      <c r="E1093" s="4"/>
      <c r="F1093" s="28"/>
      <c r="G1093" s="28"/>
      <c r="H1093" s="83"/>
      <c r="I1093" s="4"/>
      <c r="J1093" s="4"/>
      <c r="K1093" s="4"/>
      <c r="L1093" s="4"/>
      <c r="M1093" s="4"/>
      <c r="N1093" s="28"/>
      <c r="O1093" s="4"/>
      <c r="P1093" s="4"/>
      <c r="Q1093" s="4"/>
      <c r="R1093" s="4"/>
      <c r="S1093" s="4"/>
      <c r="T1093" s="4"/>
      <c r="U1093" s="4"/>
      <c r="V1093" s="4"/>
      <c r="W1093" s="4"/>
      <c r="X1093" s="4"/>
      <c r="Y1093" s="4"/>
      <c r="Z1093" s="4"/>
      <c r="AA1093" s="4"/>
      <c r="AB1093" s="4"/>
      <c r="AC1093" s="4"/>
      <c r="AD1093" s="4"/>
      <c r="AE1093" s="4"/>
      <c r="AF1093" s="81"/>
      <c r="AG1093" s="81"/>
      <c r="AH1093" s="81"/>
      <c r="AI1093" s="4"/>
      <c r="AJ1093" s="81"/>
      <c r="AK1093" s="81"/>
      <c r="AL1093" s="81"/>
    </row>
    <row r="1094" spans="1:38" s="7" customFormat="1">
      <c r="A1094" s="4"/>
      <c r="B1094" s="4"/>
      <c r="C1094" s="4"/>
      <c r="D1094" s="4"/>
      <c r="E1094" s="4"/>
      <c r="F1094" s="28"/>
      <c r="G1094" s="28"/>
      <c r="H1094" s="83"/>
      <c r="I1094" s="4"/>
      <c r="J1094" s="4"/>
      <c r="K1094" s="4"/>
      <c r="L1094" s="4"/>
      <c r="M1094" s="4"/>
      <c r="N1094" s="28"/>
      <c r="O1094" s="4"/>
      <c r="P1094" s="4"/>
      <c r="Q1094" s="4"/>
      <c r="R1094" s="4"/>
      <c r="S1094" s="4"/>
      <c r="T1094" s="4"/>
      <c r="U1094" s="4"/>
      <c r="V1094" s="4"/>
      <c r="W1094" s="4"/>
      <c r="X1094" s="4"/>
      <c r="Y1094" s="4"/>
      <c r="Z1094" s="4"/>
      <c r="AA1094" s="4"/>
      <c r="AB1094" s="4"/>
      <c r="AC1094" s="4"/>
      <c r="AD1094" s="4"/>
      <c r="AE1094" s="4"/>
      <c r="AF1094" s="81"/>
      <c r="AG1094" s="81"/>
      <c r="AH1094" s="81"/>
      <c r="AI1094" s="4"/>
      <c r="AJ1094" s="81"/>
      <c r="AK1094" s="81"/>
      <c r="AL1094" s="81"/>
    </row>
    <row r="1095" spans="1:38" s="7" customFormat="1">
      <c r="A1095" s="4"/>
      <c r="B1095" s="4"/>
      <c r="C1095" s="4"/>
      <c r="D1095" s="4"/>
      <c r="E1095" s="4"/>
      <c r="F1095" s="28"/>
      <c r="G1095" s="28"/>
      <c r="H1095" s="83"/>
      <c r="I1095" s="4"/>
      <c r="J1095" s="4"/>
      <c r="K1095" s="4"/>
      <c r="L1095" s="4"/>
      <c r="M1095" s="4"/>
      <c r="N1095" s="28"/>
      <c r="O1095" s="4"/>
      <c r="P1095" s="4"/>
      <c r="Q1095" s="4"/>
      <c r="R1095" s="4"/>
      <c r="S1095" s="4"/>
      <c r="T1095" s="4"/>
      <c r="U1095" s="4"/>
      <c r="V1095" s="4"/>
      <c r="W1095" s="4"/>
      <c r="X1095" s="4"/>
      <c r="Y1095" s="4"/>
      <c r="Z1095" s="4"/>
      <c r="AA1095" s="4"/>
      <c r="AB1095" s="4"/>
      <c r="AC1095" s="4"/>
      <c r="AD1095" s="4"/>
      <c r="AE1095" s="4"/>
      <c r="AF1095" s="81"/>
      <c r="AG1095" s="81"/>
      <c r="AH1095" s="81"/>
      <c r="AI1095" s="4"/>
      <c r="AJ1095" s="81"/>
      <c r="AK1095" s="81"/>
      <c r="AL1095" s="81"/>
    </row>
    <row r="1096" spans="1:38" s="7" customFormat="1">
      <c r="A1096" s="4"/>
      <c r="B1096" s="4"/>
      <c r="C1096" s="4"/>
      <c r="D1096" s="4"/>
      <c r="E1096" s="4"/>
      <c r="F1096" s="28"/>
      <c r="G1096" s="28"/>
      <c r="H1096" s="83"/>
      <c r="I1096" s="4"/>
      <c r="J1096" s="4"/>
      <c r="K1096" s="4"/>
      <c r="L1096" s="4"/>
      <c r="M1096" s="4"/>
      <c r="N1096" s="28"/>
      <c r="O1096" s="4"/>
      <c r="P1096" s="4"/>
      <c r="Q1096" s="4"/>
      <c r="R1096" s="4"/>
      <c r="S1096" s="4"/>
      <c r="T1096" s="4"/>
      <c r="U1096" s="4"/>
      <c r="V1096" s="4"/>
      <c r="W1096" s="4"/>
      <c r="X1096" s="4"/>
      <c r="Y1096" s="4"/>
      <c r="Z1096" s="4"/>
      <c r="AA1096" s="4"/>
      <c r="AB1096" s="4"/>
      <c r="AC1096" s="4"/>
      <c r="AD1096" s="4"/>
      <c r="AE1096" s="4"/>
      <c r="AF1096" s="81"/>
      <c r="AG1096" s="81"/>
      <c r="AH1096" s="81"/>
      <c r="AI1096" s="4"/>
      <c r="AJ1096" s="81"/>
      <c r="AK1096" s="81"/>
      <c r="AL1096" s="81"/>
    </row>
    <row r="1097" spans="1:38" s="7" customFormat="1">
      <c r="A1097" s="4"/>
      <c r="B1097" s="4"/>
      <c r="C1097" s="4"/>
      <c r="D1097" s="4"/>
      <c r="E1097" s="4"/>
      <c r="F1097" s="28"/>
      <c r="G1097" s="28"/>
      <c r="H1097" s="83"/>
      <c r="I1097" s="4"/>
      <c r="J1097" s="4"/>
      <c r="K1097" s="4"/>
      <c r="L1097" s="4"/>
      <c r="M1097" s="4"/>
      <c r="N1097" s="28"/>
      <c r="O1097" s="4"/>
      <c r="P1097" s="4"/>
      <c r="Q1097" s="4"/>
      <c r="R1097" s="4"/>
      <c r="S1097" s="4"/>
      <c r="T1097" s="4"/>
      <c r="U1097" s="4"/>
      <c r="V1097" s="4"/>
      <c r="W1097" s="4"/>
      <c r="X1097" s="4"/>
      <c r="Y1097" s="4"/>
      <c r="Z1097" s="4"/>
      <c r="AA1097" s="4"/>
      <c r="AB1097" s="4"/>
      <c r="AC1097" s="4"/>
      <c r="AD1097" s="4"/>
      <c r="AE1097" s="4"/>
      <c r="AF1097" s="81"/>
      <c r="AG1097" s="81"/>
      <c r="AH1097" s="81"/>
      <c r="AI1097" s="4"/>
      <c r="AJ1097" s="81"/>
      <c r="AK1097" s="81"/>
      <c r="AL1097" s="81"/>
    </row>
    <row r="1098" spans="1:38" s="7" customFormat="1">
      <c r="A1098" s="4"/>
      <c r="B1098" s="4"/>
      <c r="C1098" s="4"/>
      <c r="D1098" s="4"/>
      <c r="E1098" s="4"/>
      <c r="F1098" s="28"/>
      <c r="G1098" s="28"/>
      <c r="H1098" s="83"/>
      <c r="I1098" s="4"/>
      <c r="J1098" s="4"/>
      <c r="K1098" s="4"/>
      <c r="L1098" s="4"/>
      <c r="M1098" s="4"/>
      <c r="N1098" s="28"/>
      <c r="O1098" s="4"/>
      <c r="P1098" s="4"/>
      <c r="Q1098" s="4"/>
      <c r="R1098" s="4"/>
      <c r="S1098" s="4"/>
      <c r="T1098" s="4"/>
      <c r="U1098" s="4"/>
      <c r="V1098" s="4"/>
      <c r="W1098" s="4"/>
      <c r="X1098" s="4"/>
      <c r="Y1098" s="4"/>
      <c r="Z1098" s="4"/>
      <c r="AA1098" s="4"/>
      <c r="AB1098" s="4"/>
      <c r="AC1098" s="4"/>
      <c r="AD1098" s="4"/>
      <c r="AE1098" s="4"/>
      <c r="AF1098" s="81"/>
      <c r="AG1098" s="81"/>
      <c r="AH1098" s="81"/>
      <c r="AI1098" s="4"/>
      <c r="AJ1098" s="81"/>
      <c r="AK1098" s="81"/>
      <c r="AL1098" s="81"/>
    </row>
    <row r="1099" spans="1:38" s="7" customFormat="1">
      <c r="A1099" s="4"/>
      <c r="B1099" s="4"/>
      <c r="C1099" s="4"/>
      <c r="D1099" s="4"/>
      <c r="E1099" s="4"/>
      <c r="F1099" s="28"/>
      <c r="G1099" s="28"/>
      <c r="H1099" s="83"/>
      <c r="I1099" s="4"/>
      <c r="J1099" s="4"/>
      <c r="K1099" s="4"/>
      <c r="L1099" s="4"/>
      <c r="M1099" s="4"/>
      <c r="N1099" s="28"/>
      <c r="O1099" s="4"/>
      <c r="P1099" s="4"/>
      <c r="Q1099" s="4"/>
      <c r="R1099" s="4"/>
      <c r="S1099" s="4"/>
      <c r="T1099" s="4"/>
      <c r="U1099" s="4"/>
      <c r="V1099" s="4"/>
      <c r="W1099" s="4"/>
      <c r="X1099" s="4"/>
      <c r="Y1099" s="4"/>
      <c r="Z1099" s="4"/>
      <c r="AA1099" s="4"/>
      <c r="AB1099" s="4"/>
      <c r="AC1099" s="4"/>
      <c r="AD1099" s="4"/>
      <c r="AE1099" s="4"/>
      <c r="AF1099" s="81"/>
      <c r="AG1099" s="81"/>
      <c r="AH1099" s="81"/>
      <c r="AI1099" s="4"/>
      <c r="AJ1099" s="81"/>
      <c r="AK1099" s="81"/>
      <c r="AL1099" s="81"/>
    </row>
    <row r="1100" spans="1:38" s="7" customFormat="1">
      <c r="A1100" s="4"/>
      <c r="B1100" s="4"/>
      <c r="C1100" s="4"/>
      <c r="D1100" s="4"/>
      <c r="E1100" s="4"/>
      <c r="F1100" s="28"/>
      <c r="G1100" s="28"/>
      <c r="H1100" s="83"/>
      <c r="I1100" s="4"/>
      <c r="J1100" s="4"/>
      <c r="K1100" s="4"/>
      <c r="L1100" s="4"/>
      <c r="M1100" s="4"/>
      <c r="N1100" s="28"/>
      <c r="O1100" s="4"/>
      <c r="P1100" s="4"/>
      <c r="Q1100" s="4"/>
      <c r="R1100" s="4"/>
      <c r="S1100" s="4"/>
      <c r="T1100" s="4"/>
      <c r="U1100" s="4"/>
      <c r="V1100" s="4"/>
      <c r="W1100" s="4"/>
      <c r="X1100" s="4"/>
      <c r="Y1100" s="4"/>
      <c r="Z1100" s="4"/>
      <c r="AA1100" s="4"/>
      <c r="AB1100" s="4"/>
      <c r="AC1100" s="4"/>
      <c r="AD1100" s="4"/>
      <c r="AE1100" s="4"/>
      <c r="AF1100" s="81"/>
      <c r="AG1100" s="81"/>
      <c r="AH1100" s="81"/>
      <c r="AI1100" s="4"/>
      <c r="AJ1100" s="81"/>
      <c r="AK1100" s="81"/>
      <c r="AL1100" s="81"/>
    </row>
    <row r="1101" spans="1:38" s="7" customFormat="1">
      <c r="A1101" s="4"/>
      <c r="B1101" s="4"/>
      <c r="C1101" s="4"/>
      <c r="D1101" s="4"/>
      <c r="E1101" s="4"/>
      <c r="F1101" s="28"/>
      <c r="G1101" s="28"/>
      <c r="H1101" s="83"/>
      <c r="I1101" s="4"/>
      <c r="J1101" s="4"/>
      <c r="K1101" s="4"/>
      <c r="L1101" s="4"/>
      <c r="M1101" s="4"/>
      <c r="N1101" s="28"/>
      <c r="O1101" s="4"/>
      <c r="P1101" s="4"/>
      <c r="Q1101" s="4"/>
      <c r="R1101" s="4"/>
      <c r="S1101" s="4"/>
      <c r="T1101" s="4"/>
      <c r="U1101" s="4"/>
      <c r="V1101" s="4"/>
      <c r="W1101" s="4"/>
      <c r="X1101" s="4"/>
      <c r="Y1101" s="4"/>
      <c r="Z1101" s="4"/>
      <c r="AA1101" s="4"/>
      <c r="AB1101" s="4"/>
      <c r="AC1101" s="4"/>
      <c r="AD1101" s="4"/>
      <c r="AE1101" s="4"/>
      <c r="AF1101" s="81"/>
      <c r="AG1101" s="81"/>
      <c r="AH1101" s="81"/>
      <c r="AI1101" s="4"/>
      <c r="AJ1101" s="81"/>
      <c r="AK1101" s="81"/>
      <c r="AL1101" s="81"/>
    </row>
    <row r="1102" spans="1:38" s="7" customFormat="1">
      <c r="A1102" s="4"/>
      <c r="B1102" s="4"/>
      <c r="C1102" s="4"/>
      <c r="D1102" s="4"/>
      <c r="E1102" s="4"/>
      <c r="F1102" s="28"/>
      <c r="G1102" s="28"/>
      <c r="H1102" s="83"/>
      <c r="I1102" s="4"/>
      <c r="J1102" s="4"/>
      <c r="K1102" s="4"/>
      <c r="L1102" s="4"/>
      <c r="M1102" s="4"/>
      <c r="N1102" s="28"/>
      <c r="O1102" s="4"/>
      <c r="P1102" s="4"/>
      <c r="Q1102" s="4"/>
      <c r="R1102" s="4"/>
      <c r="S1102" s="4"/>
      <c r="T1102" s="4"/>
      <c r="U1102" s="4"/>
      <c r="V1102" s="4"/>
      <c r="W1102" s="4"/>
      <c r="X1102" s="4"/>
      <c r="Y1102" s="4"/>
      <c r="Z1102" s="4"/>
      <c r="AA1102" s="4"/>
      <c r="AB1102" s="4"/>
      <c r="AC1102" s="4"/>
      <c r="AD1102" s="4"/>
      <c r="AE1102" s="4"/>
      <c r="AF1102" s="81"/>
      <c r="AG1102" s="81"/>
      <c r="AH1102" s="81"/>
      <c r="AI1102" s="4"/>
      <c r="AJ1102" s="81"/>
      <c r="AK1102" s="81"/>
      <c r="AL1102" s="81"/>
    </row>
    <row r="1103" spans="1:38" s="7" customFormat="1">
      <c r="A1103" s="4"/>
      <c r="B1103" s="4"/>
      <c r="C1103" s="4"/>
      <c r="D1103" s="4"/>
      <c r="E1103" s="4"/>
      <c r="F1103" s="28"/>
      <c r="G1103" s="28"/>
      <c r="H1103" s="83"/>
      <c r="I1103" s="4"/>
      <c r="J1103" s="4"/>
      <c r="K1103" s="4"/>
      <c r="L1103" s="4"/>
      <c r="M1103" s="4"/>
      <c r="N1103" s="28"/>
      <c r="O1103" s="4"/>
      <c r="P1103" s="4"/>
      <c r="Q1103" s="4"/>
      <c r="R1103" s="4"/>
      <c r="S1103" s="4"/>
      <c r="T1103" s="4"/>
      <c r="U1103" s="4"/>
      <c r="V1103" s="4"/>
      <c r="W1103" s="4"/>
      <c r="X1103" s="4"/>
      <c r="Y1103" s="4"/>
      <c r="Z1103" s="4"/>
      <c r="AA1103" s="4"/>
      <c r="AB1103" s="4"/>
      <c r="AC1103" s="4"/>
      <c r="AD1103" s="4"/>
      <c r="AE1103" s="4"/>
      <c r="AF1103" s="81"/>
      <c r="AG1103" s="81"/>
      <c r="AH1103" s="81"/>
      <c r="AI1103" s="4"/>
      <c r="AJ1103" s="81"/>
      <c r="AK1103" s="81"/>
      <c r="AL1103" s="81"/>
    </row>
    <row r="1104" spans="1:38" s="7" customFormat="1">
      <c r="A1104" s="4"/>
      <c r="B1104" s="4"/>
      <c r="C1104" s="4"/>
      <c r="D1104" s="4"/>
      <c r="E1104" s="4"/>
      <c r="F1104" s="28"/>
      <c r="G1104" s="28"/>
      <c r="H1104" s="83"/>
      <c r="I1104" s="4"/>
      <c r="J1104" s="4"/>
      <c r="K1104" s="4"/>
      <c r="L1104" s="4"/>
      <c r="M1104" s="4"/>
      <c r="N1104" s="28"/>
      <c r="O1104" s="4"/>
      <c r="P1104" s="4"/>
      <c r="Q1104" s="4"/>
      <c r="R1104" s="4"/>
      <c r="S1104" s="4"/>
      <c r="T1104" s="4"/>
      <c r="U1104" s="4"/>
      <c r="V1104" s="4"/>
      <c r="W1104" s="4"/>
      <c r="X1104" s="4"/>
      <c r="Y1104" s="4"/>
      <c r="Z1104" s="4"/>
      <c r="AA1104" s="4"/>
      <c r="AB1104" s="4"/>
      <c r="AC1104" s="4"/>
      <c r="AD1104" s="4"/>
      <c r="AE1104" s="4"/>
      <c r="AF1104" s="81"/>
      <c r="AG1104" s="81"/>
      <c r="AH1104" s="81"/>
      <c r="AI1104" s="4"/>
      <c r="AJ1104" s="81"/>
      <c r="AK1104" s="81"/>
      <c r="AL1104" s="81"/>
    </row>
    <row r="1105" spans="1:38" s="7" customFormat="1">
      <c r="A1105" s="4"/>
      <c r="B1105" s="4"/>
      <c r="C1105" s="4"/>
      <c r="D1105" s="4"/>
      <c r="E1105" s="4"/>
      <c r="F1105" s="28"/>
      <c r="G1105" s="28"/>
      <c r="H1105" s="83"/>
      <c r="I1105" s="4"/>
      <c r="J1105" s="4"/>
      <c r="K1105" s="4"/>
      <c r="L1105" s="4"/>
      <c r="M1105" s="4"/>
      <c r="N1105" s="28"/>
      <c r="O1105" s="4"/>
      <c r="P1105" s="4"/>
      <c r="Q1105" s="4"/>
      <c r="R1105" s="4"/>
      <c r="S1105" s="4"/>
      <c r="T1105" s="4"/>
      <c r="U1105" s="4"/>
      <c r="V1105" s="4"/>
      <c r="W1105" s="4"/>
      <c r="X1105" s="4"/>
      <c r="Y1105" s="4"/>
      <c r="Z1105" s="4"/>
      <c r="AA1105" s="4"/>
      <c r="AB1105" s="4"/>
      <c r="AC1105" s="4"/>
      <c r="AD1105" s="4"/>
      <c r="AE1105" s="4"/>
      <c r="AF1105" s="81"/>
      <c r="AG1105" s="81"/>
      <c r="AH1105" s="81"/>
      <c r="AI1105" s="4"/>
      <c r="AJ1105" s="81"/>
      <c r="AK1105" s="81"/>
      <c r="AL1105" s="81"/>
    </row>
    <row r="1106" spans="1:38" s="7" customFormat="1">
      <c r="A1106" s="4"/>
      <c r="B1106" s="4"/>
      <c r="C1106" s="4"/>
      <c r="D1106" s="4"/>
      <c r="E1106" s="4"/>
      <c r="F1106" s="28"/>
      <c r="G1106" s="28"/>
      <c r="H1106" s="83"/>
      <c r="I1106" s="4"/>
      <c r="J1106" s="4"/>
      <c r="K1106" s="4"/>
      <c r="L1106" s="4"/>
      <c r="M1106" s="4"/>
      <c r="N1106" s="28"/>
      <c r="O1106" s="4"/>
      <c r="P1106" s="4"/>
      <c r="Q1106" s="4"/>
      <c r="R1106" s="4"/>
      <c r="S1106" s="4"/>
      <c r="T1106" s="4"/>
      <c r="U1106" s="4"/>
      <c r="V1106" s="4"/>
      <c r="W1106" s="4"/>
      <c r="X1106" s="4"/>
      <c r="Y1106" s="4"/>
      <c r="Z1106" s="4"/>
      <c r="AA1106" s="4"/>
      <c r="AB1106" s="4"/>
      <c r="AC1106" s="4"/>
      <c r="AD1106" s="4"/>
      <c r="AE1106" s="4"/>
      <c r="AF1106" s="81"/>
      <c r="AG1106" s="81"/>
      <c r="AH1106" s="81"/>
      <c r="AI1106" s="4"/>
      <c r="AJ1106" s="81"/>
      <c r="AK1106" s="81"/>
      <c r="AL1106" s="81"/>
    </row>
    <row r="1107" spans="1:38" s="7" customFormat="1">
      <c r="A1107" s="4"/>
      <c r="B1107" s="4"/>
      <c r="C1107" s="4"/>
      <c r="D1107" s="4"/>
      <c r="E1107" s="4"/>
      <c r="F1107" s="28"/>
      <c r="G1107" s="28"/>
      <c r="H1107" s="83"/>
      <c r="I1107" s="4"/>
      <c r="J1107" s="4"/>
      <c r="K1107" s="4"/>
      <c r="L1107" s="4"/>
      <c r="M1107" s="4"/>
      <c r="N1107" s="28"/>
      <c r="O1107" s="4"/>
      <c r="P1107" s="4"/>
      <c r="Q1107" s="4"/>
      <c r="R1107" s="4"/>
      <c r="S1107" s="4"/>
      <c r="T1107" s="4"/>
      <c r="U1107" s="4"/>
      <c r="V1107" s="4"/>
      <c r="W1107" s="4"/>
      <c r="X1107" s="4"/>
      <c r="Y1107" s="4"/>
      <c r="Z1107" s="4"/>
      <c r="AA1107" s="4"/>
      <c r="AB1107" s="4"/>
      <c r="AC1107" s="4"/>
      <c r="AD1107" s="4"/>
      <c r="AE1107" s="4"/>
      <c r="AF1107" s="81"/>
      <c r="AG1107" s="81"/>
      <c r="AH1107" s="81"/>
      <c r="AI1107" s="4"/>
      <c r="AJ1107" s="81"/>
      <c r="AK1107" s="81"/>
      <c r="AL1107" s="81"/>
    </row>
    <row r="1108" spans="1:38" s="7" customFormat="1">
      <c r="A1108" s="4"/>
      <c r="B1108" s="4"/>
      <c r="C1108" s="4"/>
      <c r="D1108" s="4"/>
      <c r="E1108" s="4"/>
      <c r="F1108" s="28"/>
      <c r="G1108" s="28"/>
      <c r="H1108" s="83"/>
      <c r="I1108" s="4"/>
      <c r="J1108" s="4"/>
      <c r="K1108" s="4"/>
      <c r="L1108" s="4"/>
      <c r="M1108" s="4"/>
      <c r="N1108" s="28"/>
      <c r="O1108" s="4"/>
      <c r="P1108" s="4"/>
      <c r="Q1108" s="4"/>
      <c r="R1108" s="4"/>
      <c r="S1108" s="4"/>
      <c r="T1108" s="4"/>
      <c r="U1108" s="4"/>
      <c r="V1108" s="4"/>
      <c r="W1108" s="4"/>
      <c r="X1108" s="4"/>
      <c r="Y1108" s="4"/>
      <c r="Z1108" s="4"/>
      <c r="AA1108" s="4"/>
      <c r="AB1108" s="4"/>
      <c r="AC1108" s="4"/>
      <c r="AD1108" s="4"/>
      <c r="AE1108" s="4"/>
      <c r="AF1108" s="81"/>
      <c r="AG1108" s="81"/>
      <c r="AH1108" s="81"/>
      <c r="AI1108" s="4"/>
      <c r="AJ1108" s="81"/>
      <c r="AK1108" s="81"/>
      <c r="AL1108" s="81"/>
    </row>
    <row r="1109" spans="1:38" s="7" customFormat="1">
      <c r="A1109" s="4"/>
      <c r="B1109" s="4"/>
      <c r="C1109" s="4"/>
      <c r="D1109" s="4"/>
      <c r="E1109" s="4"/>
      <c r="F1109" s="28"/>
      <c r="G1109" s="28"/>
      <c r="H1109" s="83"/>
      <c r="I1109" s="4"/>
      <c r="J1109" s="4"/>
      <c r="K1109" s="4"/>
      <c r="L1109" s="4"/>
      <c r="M1109" s="4"/>
      <c r="N1109" s="28"/>
      <c r="O1109" s="4"/>
      <c r="P1109" s="4"/>
      <c r="Q1109" s="4"/>
      <c r="R1109" s="4"/>
      <c r="S1109" s="4"/>
      <c r="T1109" s="4"/>
      <c r="U1109" s="4"/>
      <c r="V1109" s="4"/>
      <c r="W1109" s="4"/>
      <c r="X1109" s="4"/>
      <c r="Y1109" s="4"/>
      <c r="Z1109" s="4"/>
      <c r="AA1109" s="4"/>
      <c r="AB1109" s="4"/>
      <c r="AC1109" s="4"/>
      <c r="AD1109" s="4"/>
      <c r="AE1109" s="4"/>
      <c r="AF1109" s="81"/>
      <c r="AG1109" s="81"/>
      <c r="AH1109" s="81"/>
      <c r="AI1109" s="4"/>
      <c r="AJ1109" s="81"/>
      <c r="AK1109" s="81"/>
      <c r="AL1109" s="81"/>
    </row>
    <row r="1110" spans="1:38" s="7" customFormat="1">
      <c r="A1110" s="4"/>
      <c r="B1110" s="4"/>
      <c r="C1110" s="4"/>
      <c r="D1110" s="4"/>
      <c r="E1110" s="4"/>
      <c r="F1110" s="28"/>
      <c r="G1110" s="28"/>
      <c r="H1110" s="83"/>
      <c r="I1110" s="4"/>
      <c r="J1110" s="4"/>
      <c r="K1110" s="4"/>
      <c r="L1110" s="4"/>
      <c r="M1110" s="4"/>
      <c r="N1110" s="28"/>
      <c r="O1110" s="4"/>
      <c r="P1110" s="4"/>
      <c r="Q1110" s="4"/>
      <c r="R1110" s="4"/>
      <c r="S1110" s="4"/>
      <c r="T1110" s="4"/>
      <c r="U1110" s="4"/>
      <c r="V1110" s="4"/>
      <c r="W1110" s="4"/>
      <c r="X1110" s="4"/>
      <c r="Y1110" s="4"/>
      <c r="Z1110" s="4"/>
      <c r="AA1110" s="4"/>
      <c r="AB1110" s="4"/>
      <c r="AC1110" s="4"/>
      <c r="AD1110" s="4"/>
      <c r="AE1110" s="4"/>
      <c r="AF1110" s="81"/>
      <c r="AG1110" s="81"/>
      <c r="AH1110" s="81"/>
      <c r="AI1110" s="4"/>
      <c r="AJ1110" s="81"/>
      <c r="AK1110" s="81"/>
      <c r="AL1110" s="81"/>
    </row>
    <row r="1111" spans="1:38" s="7" customFormat="1">
      <c r="A1111" s="4"/>
      <c r="B1111" s="4"/>
      <c r="C1111" s="4"/>
      <c r="D1111" s="4"/>
      <c r="E1111" s="4"/>
      <c r="F1111" s="28"/>
      <c r="G1111" s="28"/>
      <c r="H1111" s="83"/>
      <c r="I1111" s="4"/>
      <c r="J1111" s="4"/>
      <c r="K1111" s="4"/>
      <c r="L1111" s="4"/>
      <c r="M1111" s="4"/>
      <c r="N1111" s="28"/>
      <c r="O1111" s="4"/>
      <c r="P1111" s="4"/>
      <c r="Q1111" s="4"/>
      <c r="R1111" s="4"/>
      <c r="S1111" s="4"/>
      <c r="T1111" s="4"/>
      <c r="U1111" s="4"/>
      <c r="V1111" s="4"/>
      <c r="W1111" s="4"/>
      <c r="X1111" s="4"/>
      <c r="Y1111" s="4"/>
      <c r="Z1111" s="4"/>
      <c r="AA1111" s="4"/>
      <c r="AB1111" s="4"/>
      <c r="AC1111" s="4"/>
      <c r="AD1111" s="4"/>
      <c r="AE1111" s="4"/>
      <c r="AF1111" s="81"/>
      <c r="AG1111" s="81"/>
      <c r="AH1111" s="81"/>
      <c r="AI1111" s="4"/>
      <c r="AJ1111" s="81"/>
      <c r="AK1111" s="81"/>
      <c r="AL1111" s="81"/>
    </row>
    <row r="1112" spans="1:38" s="7" customFormat="1">
      <c r="A1112" s="4"/>
      <c r="B1112" s="4"/>
      <c r="C1112" s="4"/>
      <c r="D1112" s="4"/>
      <c r="E1112" s="4"/>
      <c r="F1112" s="28"/>
      <c r="G1112" s="28"/>
      <c r="H1112" s="83"/>
      <c r="I1112" s="4"/>
      <c r="J1112" s="4"/>
      <c r="K1112" s="4"/>
      <c r="L1112" s="4"/>
      <c r="M1112" s="4"/>
      <c r="N1112" s="28"/>
      <c r="O1112" s="4"/>
      <c r="P1112" s="4"/>
      <c r="Q1112" s="4"/>
      <c r="R1112" s="4"/>
      <c r="S1112" s="4"/>
      <c r="T1112" s="4"/>
      <c r="U1112" s="4"/>
      <c r="V1112" s="4"/>
      <c r="W1112" s="4"/>
      <c r="X1112" s="4"/>
      <c r="Y1112" s="4"/>
      <c r="Z1112" s="4"/>
      <c r="AA1112" s="4"/>
      <c r="AB1112" s="4"/>
      <c r="AC1112" s="4"/>
      <c r="AD1112" s="4"/>
      <c r="AE1112" s="4"/>
      <c r="AF1112" s="81"/>
      <c r="AG1112" s="81"/>
      <c r="AH1112" s="81"/>
      <c r="AI1112" s="4"/>
      <c r="AJ1112" s="81"/>
      <c r="AK1112" s="81"/>
      <c r="AL1112" s="81"/>
    </row>
    <row r="1113" spans="1:38" s="7" customFormat="1">
      <c r="A1113" s="4"/>
      <c r="B1113" s="4"/>
      <c r="C1113" s="4"/>
      <c r="D1113" s="4"/>
      <c r="E1113" s="4"/>
      <c r="F1113" s="28"/>
      <c r="G1113" s="28"/>
      <c r="H1113" s="83"/>
      <c r="I1113" s="4"/>
      <c r="J1113" s="4"/>
      <c r="K1113" s="4"/>
      <c r="L1113" s="4"/>
      <c r="M1113" s="4"/>
      <c r="N1113" s="28"/>
      <c r="O1113" s="4"/>
      <c r="P1113" s="4"/>
      <c r="Q1113" s="4"/>
      <c r="R1113" s="4"/>
      <c r="S1113" s="4"/>
      <c r="T1113" s="4"/>
      <c r="U1113" s="4"/>
      <c r="V1113" s="4"/>
      <c r="W1113" s="4"/>
      <c r="X1113" s="4"/>
      <c r="Y1113" s="4"/>
      <c r="Z1113" s="4"/>
      <c r="AA1113" s="4"/>
      <c r="AB1113" s="4"/>
      <c r="AC1113" s="4"/>
      <c r="AD1113" s="4"/>
      <c r="AE1113" s="4"/>
      <c r="AF1113" s="81"/>
      <c r="AG1113" s="81"/>
      <c r="AH1113" s="81"/>
      <c r="AI1113" s="4"/>
      <c r="AJ1113" s="81"/>
      <c r="AK1113" s="81"/>
      <c r="AL1113" s="81"/>
    </row>
    <row r="1114" spans="1:38" s="7" customFormat="1">
      <c r="A1114" s="4"/>
      <c r="B1114" s="4"/>
      <c r="C1114" s="4"/>
      <c r="D1114" s="4"/>
      <c r="E1114" s="4"/>
      <c r="F1114" s="28"/>
      <c r="G1114" s="28"/>
      <c r="H1114" s="83"/>
      <c r="I1114" s="4"/>
      <c r="J1114" s="4"/>
      <c r="K1114" s="4"/>
      <c r="L1114" s="4"/>
      <c r="M1114" s="4"/>
      <c r="N1114" s="28"/>
      <c r="O1114" s="4"/>
      <c r="P1114" s="4"/>
      <c r="Q1114" s="4"/>
      <c r="R1114" s="4"/>
      <c r="S1114" s="4"/>
      <c r="T1114" s="4"/>
      <c r="U1114" s="4"/>
      <c r="V1114" s="4"/>
      <c r="W1114" s="4"/>
      <c r="X1114" s="4"/>
      <c r="Y1114" s="4"/>
      <c r="Z1114" s="4"/>
      <c r="AA1114" s="4"/>
      <c r="AB1114" s="4"/>
      <c r="AC1114" s="4"/>
      <c r="AD1114" s="4"/>
      <c r="AE1114" s="4"/>
      <c r="AF1114" s="81"/>
      <c r="AG1114" s="81"/>
      <c r="AH1114" s="81"/>
      <c r="AI1114" s="4"/>
      <c r="AJ1114" s="81"/>
      <c r="AK1114" s="81"/>
      <c r="AL1114" s="81"/>
    </row>
    <row r="1115" spans="1:38" s="7" customFormat="1">
      <c r="A1115" s="4"/>
      <c r="B1115" s="4"/>
      <c r="C1115" s="4"/>
      <c r="D1115" s="4"/>
      <c r="E1115" s="4"/>
      <c r="F1115" s="28"/>
      <c r="G1115" s="28"/>
      <c r="H1115" s="83"/>
      <c r="I1115" s="4"/>
      <c r="J1115" s="4"/>
      <c r="K1115" s="4"/>
      <c r="L1115" s="4"/>
      <c r="M1115" s="4"/>
      <c r="N1115" s="28"/>
      <c r="O1115" s="4"/>
      <c r="P1115" s="4"/>
      <c r="Q1115" s="4"/>
      <c r="R1115" s="4"/>
      <c r="S1115" s="4"/>
      <c r="T1115" s="4"/>
      <c r="U1115" s="4"/>
      <c r="V1115" s="4"/>
      <c r="W1115" s="4"/>
      <c r="X1115" s="4"/>
      <c r="Y1115" s="4"/>
      <c r="Z1115" s="4"/>
      <c r="AA1115" s="4"/>
      <c r="AB1115" s="4"/>
      <c r="AC1115" s="4"/>
      <c r="AD1115" s="4"/>
      <c r="AE1115" s="4"/>
      <c r="AF1115" s="81"/>
      <c r="AG1115" s="81"/>
      <c r="AH1115" s="81"/>
      <c r="AI1115" s="4"/>
      <c r="AJ1115" s="81"/>
      <c r="AK1115" s="81"/>
      <c r="AL1115" s="81"/>
    </row>
    <row r="1116" spans="1:38" s="7" customFormat="1">
      <c r="A1116" s="4"/>
      <c r="B1116" s="4"/>
      <c r="C1116" s="4"/>
      <c r="D1116" s="4"/>
      <c r="E1116" s="4"/>
      <c r="F1116" s="28"/>
      <c r="G1116" s="28"/>
      <c r="H1116" s="83"/>
      <c r="I1116" s="4"/>
      <c r="J1116" s="4"/>
      <c r="K1116" s="4"/>
      <c r="L1116" s="4"/>
      <c r="M1116" s="4"/>
      <c r="N1116" s="28"/>
      <c r="O1116" s="4"/>
      <c r="P1116" s="4"/>
      <c r="Q1116" s="4"/>
      <c r="R1116" s="4"/>
      <c r="S1116" s="4"/>
      <c r="T1116" s="4"/>
      <c r="U1116" s="4"/>
      <c r="V1116" s="4"/>
      <c r="W1116" s="4"/>
      <c r="X1116" s="4"/>
      <c r="Y1116" s="4"/>
      <c r="Z1116" s="4"/>
      <c r="AA1116" s="4"/>
      <c r="AB1116" s="4"/>
      <c r="AC1116" s="4"/>
      <c r="AD1116" s="4"/>
      <c r="AE1116" s="4"/>
      <c r="AF1116" s="81"/>
      <c r="AG1116" s="81"/>
      <c r="AH1116" s="81"/>
      <c r="AI1116" s="4"/>
      <c r="AJ1116" s="81"/>
      <c r="AK1116" s="81"/>
      <c r="AL1116" s="81"/>
    </row>
    <row r="1117" spans="1:38" s="7" customFormat="1">
      <c r="A1117" s="4"/>
      <c r="B1117" s="4"/>
      <c r="C1117" s="4"/>
      <c r="D1117" s="4"/>
      <c r="E1117" s="4"/>
      <c r="F1117" s="28"/>
      <c r="G1117" s="28"/>
      <c r="H1117" s="83"/>
      <c r="I1117" s="4"/>
      <c r="J1117" s="4"/>
      <c r="K1117" s="4"/>
      <c r="L1117" s="4"/>
      <c r="M1117" s="4"/>
      <c r="N1117" s="28"/>
      <c r="O1117" s="4"/>
      <c r="P1117" s="4"/>
      <c r="Q1117" s="4"/>
      <c r="R1117" s="4"/>
      <c r="S1117" s="4"/>
      <c r="T1117" s="4"/>
      <c r="U1117" s="4"/>
      <c r="V1117" s="4"/>
      <c r="W1117" s="4"/>
      <c r="X1117" s="4"/>
      <c r="Y1117" s="4"/>
      <c r="Z1117" s="4"/>
      <c r="AA1117" s="4"/>
      <c r="AB1117" s="4"/>
      <c r="AC1117" s="4"/>
      <c r="AD1117" s="4"/>
      <c r="AE1117" s="4"/>
      <c r="AF1117" s="81"/>
      <c r="AG1117" s="81"/>
      <c r="AH1117" s="81"/>
      <c r="AI1117" s="4"/>
      <c r="AJ1117" s="81"/>
      <c r="AK1117" s="81"/>
      <c r="AL1117" s="81"/>
    </row>
    <row r="1118" spans="1:38" s="7" customFormat="1">
      <c r="A1118" s="4"/>
      <c r="B1118" s="4"/>
      <c r="C1118" s="4"/>
      <c r="D1118" s="4"/>
      <c r="E1118" s="4"/>
      <c r="F1118" s="28"/>
      <c r="G1118" s="28"/>
      <c r="H1118" s="83"/>
      <c r="I1118" s="4"/>
      <c r="J1118" s="4"/>
      <c r="K1118" s="4"/>
      <c r="L1118" s="4"/>
      <c r="M1118" s="4"/>
      <c r="N1118" s="28"/>
      <c r="O1118" s="4"/>
      <c r="P1118" s="4"/>
      <c r="Q1118" s="4"/>
      <c r="R1118" s="4"/>
      <c r="S1118" s="4"/>
      <c r="T1118" s="4"/>
      <c r="U1118" s="4"/>
      <c r="V1118" s="4"/>
      <c r="W1118" s="4"/>
      <c r="X1118" s="4"/>
      <c r="Y1118" s="4"/>
      <c r="Z1118" s="4"/>
      <c r="AA1118" s="4"/>
      <c r="AB1118" s="4"/>
      <c r="AC1118" s="4"/>
      <c r="AD1118" s="4"/>
      <c r="AE1118" s="4"/>
      <c r="AF1118" s="81"/>
      <c r="AG1118" s="81"/>
      <c r="AH1118" s="81"/>
      <c r="AI1118" s="4"/>
      <c r="AJ1118" s="81"/>
      <c r="AK1118" s="81"/>
      <c r="AL1118" s="81"/>
    </row>
    <row r="1119" spans="1:38" s="7" customFormat="1">
      <c r="A1119" s="4"/>
      <c r="B1119" s="4"/>
      <c r="C1119" s="4"/>
      <c r="D1119" s="4"/>
      <c r="E1119" s="4"/>
      <c r="F1119" s="28"/>
      <c r="G1119" s="28"/>
      <c r="H1119" s="83"/>
      <c r="I1119" s="4"/>
      <c r="J1119" s="4"/>
      <c r="K1119" s="4"/>
      <c r="L1119" s="4"/>
      <c r="M1119" s="4"/>
      <c r="N1119" s="28"/>
      <c r="O1119" s="4"/>
      <c r="P1119" s="4"/>
      <c r="Q1119" s="4"/>
      <c r="R1119" s="4"/>
      <c r="S1119" s="4"/>
      <c r="T1119" s="4"/>
      <c r="U1119" s="4"/>
      <c r="V1119" s="4"/>
      <c r="W1119" s="4"/>
      <c r="X1119" s="4"/>
      <c r="Y1119" s="4"/>
      <c r="Z1119" s="4"/>
      <c r="AA1119" s="4"/>
      <c r="AB1119" s="4"/>
      <c r="AC1119" s="4"/>
      <c r="AD1119" s="4"/>
      <c r="AE1119" s="4"/>
      <c r="AF1119" s="81"/>
      <c r="AG1119" s="81"/>
      <c r="AH1119" s="81"/>
      <c r="AI1119" s="4"/>
      <c r="AJ1119" s="81"/>
      <c r="AK1119" s="81"/>
      <c r="AL1119" s="81"/>
    </row>
    <row r="1120" spans="1:38" s="7" customFormat="1">
      <c r="A1120" s="4"/>
      <c r="B1120" s="4"/>
      <c r="C1120" s="4"/>
      <c r="D1120" s="4"/>
      <c r="E1120" s="4"/>
      <c r="F1120" s="28"/>
      <c r="G1120" s="28"/>
      <c r="H1120" s="83"/>
      <c r="I1120" s="4"/>
      <c r="J1120" s="4"/>
      <c r="K1120" s="4"/>
      <c r="L1120" s="4"/>
      <c r="M1120" s="4"/>
      <c r="N1120" s="28"/>
      <c r="O1120" s="4"/>
      <c r="P1120" s="4"/>
      <c r="Q1120" s="4"/>
      <c r="R1120" s="4"/>
      <c r="S1120" s="4"/>
      <c r="T1120" s="4"/>
      <c r="U1120" s="4"/>
      <c r="V1120" s="4"/>
      <c r="W1120" s="4"/>
      <c r="X1120" s="4"/>
      <c r="Y1120" s="4"/>
      <c r="Z1120" s="4"/>
      <c r="AA1120" s="4"/>
      <c r="AB1120" s="4"/>
      <c r="AC1120" s="4"/>
      <c r="AD1120" s="4"/>
      <c r="AE1120" s="4"/>
      <c r="AF1120" s="81"/>
      <c r="AG1120" s="81"/>
      <c r="AH1120" s="81"/>
      <c r="AI1120" s="4"/>
      <c r="AJ1120" s="81"/>
      <c r="AK1120" s="81"/>
      <c r="AL1120" s="81"/>
    </row>
    <row r="1121" spans="1:38" s="7" customFormat="1">
      <c r="A1121" s="4"/>
      <c r="B1121" s="4"/>
      <c r="C1121" s="4"/>
      <c r="D1121" s="4"/>
      <c r="E1121" s="4"/>
      <c r="F1121" s="28"/>
      <c r="G1121" s="28"/>
      <c r="H1121" s="83"/>
      <c r="I1121" s="4"/>
      <c r="J1121" s="4"/>
      <c r="K1121" s="4"/>
      <c r="L1121" s="4"/>
      <c r="M1121" s="4"/>
      <c r="N1121" s="28"/>
      <c r="O1121" s="4"/>
      <c r="P1121" s="4"/>
      <c r="Q1121" s="4"/>
      <c r="R1121" s="4"/>
      <c r="S1121" s="4"/>
      <c r="T1121" s="4"/>
      <c r="U1121" s="4"/>
      <c r="V1121" s="4"/>
      <c r="W1121" s="4"/>
      <c r="X1121" s="4"/>
      <c r="Y1121" s="4"/>
      <c r="Z1121" s="4"/>
      <c r="AA1121" s="4"/>
      <c r="AB1121" s="4"/>
      <c r="AC1121" s="4"/>
      <c r="AD1121" s="4"/>
      <c r="AE1121" s="4"/>
      <c r="AF1121" s="81"/>
      <c r="AG1121" s="81"/>
      <c r="AH1121" s="81"/>
      <c r="AI1121" s="4"/>
      <c r="AJ1121" s="81"/>
      <c r="AK1121" s="81"/>
      <c r="AL1121" s="81"/>
    </row>
    <row r="1122" spans="1:38" s="7" customFormat="1">
      <c r="A1122" s="4"/>
      <c r="B1122" s="4"/>
      <c r="C1122" s="4"/>
      <c r="D1122" s="4"/>
      <c r="E1122" s="4"/>
      <c r="F1122" s="28"/>
      <c r="G1122" s="28"/>
      <c r="H1122" s="83"/>
      <c r="I1122" s="4"/>
      <c r="J1122" s="4"/>
      <c r="K1122" s="4"/>
      <c r="L1122" s="4"/>
      <c r="M1122" s="4"/>
      <c r="N1122" s="28"/>
      <c r="O1122" s="4"/>
      <c r="P1122" s="4"/>
      <c r="Q1122" s="4"/>
      <c r="R1122" s="4"/>
      <c r="S1122" s="4"/>
      <c r="T1122" s="4"/>
      <c r="U1122" s="4"/>
      <c r="V1122" s="4"/>
      <c r="W1122" s="4"/>
      <c r="X1122" s="4"/>
      <c r="Y1122" s="4"/>
      <c r="Z1122" s="4"/>
      <c r="AA1122" s="4"/>
      <c r="AB1122" s="4"/>
      <c r="AC1122" s="4"/>
      <c r="AD1122" s="4"/>
      <c r="AE1122" s="4"/>
      <c r="AF1122" s="81"/>
      <c r="AG1122" s="81"/>
      <c r="AH1122" s="81"/>
      <c r="AI1122" s="4"/>
      <c r="AJ1122" s="81"/>
      <c r="AK1122" s="81"/>
      <c r="AL1122" s="81"/>
    </row>
    <row r="1123" spans="1:38" s="7" customFormat="1">
      <c r="A1123" s="4"/>
      <c r="B1123" s="4"/>
      <c r="C1123" s="4"/>
      <c r="D1123" s="4"/>
      <c r="E1123" s="4"/>
      <c r="F1123" s="28"/>
      <c r="G1123" s="28"/>
      <c r="H1123" s="83"/>
      <c r="I1123" s="4"/>
      <c r="J1123" s="4"/>
      <c r="K1123" s="4"/>
      <c r="L1123" s="4"/>
      <c r="M1123" s="4"/>
      <c r="N1123" s="28"/>
      <c r="O1123" s="4"/>
      <c r="P1123" s="4"/>
      <c r="Q1123" s="4"/>
      <c r="R1123" s="4"/>
      <c r="S1123" s="4"/>
      <c r="T1123" s="4"/>
      <c r="U1123" s="4"/>
      <c r="V1123" s="4"/>
      <c r="W1123" s="4"/>
      <c r="X1123" s="4"/>
      <c r="Y1123" s="4"/>
      <c r="Z1123" s="4"/>
      <c r="AA1123" s="4"/>
      <c r="AB1123" s="4"/>
      <c r="AC1123" s="4"/>
      <c r="AD1123" s="4"/>
      <c r="AE1123" s="4"/>
      <c r="AF1123" s="81"/>
      <c r="AG1123" s="81"/>
      <c r="AH1123" s="81"/>
      <c r="AI1123" s="4"/>
      <c r="AJ1123" s="81"/>
      <c r="AK1123" s="81"/>
      <c r="AL1123" s="81"/>
    </row>
    <row r="1124" spans="1:38" s="7" customFormat="1">
      <c r="A1124" s="4"/>
      <c r="B1124" s="4"/>
      <c r="C1124" s="4"/>
      <c r="D1124" s="4"/>
      <c r="E1124" s="4"/>
      <c r="F1124" s="28"/>
      <c r="G1124" s="28"/>
      <c r="H1124" s="83"/>
      <c r="I1124" s="4"/>
      <c r="J1124" s="4"/>
      <c r="K1124" s="4"/>
      <c r="L1124" s="4"/>
      <c r="M1124" s="4"/>
      <c r="N1124" s="28"/>
      <c r="O1124" s="4"/>
      <c r="P1124" s="4"/>
      <c r="Q1124" s="4"/>
      <c r="R1124" s="4"/>
      <c r="S1124" s="4"/>
      <c r="T1124" s="4"/>
      <c r="U1124" s="4"/>
      <c r="V1124" s="4"/>
      <c r="W1124" s="4"/>
      <c r="X1124" s="4"/>
      <c r="Y1124" s="4"/>
      <c r="Z1124" s="4"/>
      <c r="AA1124" s="4"/>
      <c r="AB1124" s="4"/>
      <c r="AC1124" s="4"/>
      <c r="AD1124" s="4"/>
      <c r="AE1124" s="4"/>
      <c r="AF1124" s="81"/>
      <c r="AG1124" s="81"/>
      <c r="AH1124" s="81"/>
      <c r="AI1124" s="4"/>
      <c r="AJ1124" s="81"/>
      <c r="AK1124" s="81"/>
      <c r="AL1124" s="81"/>
    </row>
    <row r="1125" spans="1:38" s="7" customFormat="1">
      <c r="A1125" s="4"/>
      <c r="B1125" s="4"/>
      <c r="C1125" s="4"/>
      <c r="D1125" s="4"/>
      <c r="E1125" s="4"/>
      <c r="F1125" s="28"/>
      <c r="G1125" s="28"/>
      <c r="H1125" s="83"/>
      <c r="I1125" s="4"/>
      <c r="J1125" s="4"/>
      <c r="K1125" s="4"/>
      <c r="L1125" s="4"/>
      <c r="M1125" s="4"/>
      <c r="N1125" s="28"/>
      <c r="O1125" s="4"/>
      <c r="P1125" s="4"/>
      <c r="Q1125" s="4"/>
      <c r="R1125" s="4"/>
      <c r="S1125" s="4"/>
      <c r="T1125" s="4"/>
      <c r="U1125" s="4"/>
      <c r="V1125" s="4"/>
      <c r="W1125" s="4"/>
      <c r="X1125" s="4"/>
      <c r="Y1125" s="4"/>
      <c r="Z1125" s="4"/>
      <c r="AA1125" s="4"/>
      <c r="AB1125" s="4"/>
      <c r="AC1125" s="4"/>
      <c r="AD1125" s="4"/>
      <c r="AE1125" s="4"/>
      <c r="AF1125" s="81"/>
      <c r="AG1125" s="81"/>
      <c r="AH1125" s="81"/>
      <c r="AI1125" s="4"/>
      <c r="AJ1125" s="81"/>
      <c r="AK1125" s="81"/>
      <c r="AL1125" s="81"/>
    </row>
    <row r="1126" spans="1:38" s="7" customFormat="1">
      <c r="A1126" s="4"/>
      <c r="B1126" s="4"/>
      <c r="C1126" s="4"/>
      <c r="D1126" s="4"/>
      <c r="E1126" s="4"/>
      <c r="F1126" s="28"/>
      <c r="G1126" s="28"/>
      <c r="H1126" s="83"/>
      <c r="I1126" s="4"/>
      <c r="J1126" s="4"/>
      <c r="K1126" s="4"/>
      <c r="L1126" s="4"/>
      <c r="M1126" s="4"/>
      <c r="N1126" s="28"/>
      <c r="O1126" s="4"/>
      <c r="P1126" s="4"/>
      <c r="Q1126" s="4"/>
      <c r="R1126" s="4"/>
      <c r="S1126" s="4"/>
      <c r="T1126" s="4"/>
      <c r="U1126" s="4"/>
      <c r="V1126" s="4"/>
      <c r="W1126" s="4"/>
      <c r="X1126" s="4"/>
      <c r="Y1126" s="4"/>
      <c r="Z1126" s="4"/>
      <c r="AA1126" s="4"/>
      <c r="AB1126" s="4"/>
      <c r="AC1126" s="4"/>
      <c r="AD1126" s="4"/>
      <c r="AE1126" s="4"/>
      <c r="AF1126" s="81"/>
      <c r="AG1126" s="81"/>
      <c r="AH1126" s="81"/>
      <c r="AI1126" s="4"/>
      <c r="AJ1126" s="81"/>
      <c r="AK1126" s="81"/>
      <c r="AL1126" s="81"/>
    </row>
    <row r="1127" spans="1:38" s="7" customFormat="1">
      <c r="A1127" s="4"/>
      <c r="B1127" s="4"/>
      <c r="C1127" s="4"/>
      <c r="D1127" s="4"/>
      <c r="E1127" s="4"/>
      <c r="F1127" s="28"/>
      <c r="G1127" s="28"/>
      <c r="H1127" s="83"/>
      <c r="I1127" s="4"/>
      <c r="J1127" s="4"/>
      <c r="K1127" s="4"/>
      <c r="L1127" s="4"/>
      <c r="M1127" s="4"/>
      <c r="N1127" s="28"/>
      <c r="O1127" s="4"/>
      <c r="P1127" s="4"/>
      <c r="Q1127" s="4"/>
      <c r="R1127" s="4"/>
      <c r="S1127" s="4"/>
      <c r="T1127" s="4"/>
      <c r="U1127" s="4"/>
      <c r="V1127" s="4"/>
      <c r="W1127" s="4"/>
      <c r="X1127" s="4"/>
      <c r="Y1127" s="4"/>
      <c r="Z1127" s="4"/>
      <c r="AA1127" s="4"/>
      <c r="AB1127" s="4"/>
      <c r="AC1127" s="4"/>
      <c r="AD1127" s="4"/>
      <c r="AE1127" s="4"/>
      <c r="AF1127" s="81"/>
      <c r="AG1127" s="81"/>
      <c r="AH1127" s="81"/>
      <c r="AI1127" s="4"/>
      <c r="AJ1127" s="81"/>
      <c r="AK1127" s="81"/>
      <c r="AL1127" s="81"/>
    </row>
    <row r="1128" spans="1:38" s="7" customFormat="1">
      <c r="A1128" s="4"/>
      <c r="B1128" s="4"/>
      <c r="C1128" s="4"/>
      <c r="D1128" s="4"/>
      <c r="E1128" s="4"/>
      <c r="F1128" s="28"/>
      <c r="G1128" s="28"/>
      <c r="H1128" s="83"/>
      <c r="I1128" s="4"/>
      <c r="J1128" s="4"/>
      <c r="K1128" s="4"/>
      <c r="L1128" s="4"/>
      <c r="M1128" s="4"/>
      <c r="N1128" s="28"/>
      <c r="O1128" s="4"/>
      <c r="P1128" s="4"/>
      <c r="Q1128" s="4"/>
      <c r="R1128" s="4"/>
      <c r="S1128" s="4"/>
      <c r="T1128" s="4"/>
      <c r="U1128" s="4"/>
      <c r="V1128" s="4"/>
      <c r="W1128" s="4"/>
      <c r="X1128" s="4"/>
      <c r="Y1128" s="4"/>
      <c r="Z1128" s="4"/>
      <c r="AA1128" s="4"/>
      <c r="AB1128" s="4"/>
      <c r="AC1128" s="4"/>
      <c r="AD1128" s="4"/>
      <c r="AE1128" s="4"/>
      <c r="AF1128" s="81"/>
      <c r="AG1128" s="81"/>
      <c r="AH1128" s="81"/>
      <c r="AI1128" s="4"/>
      <c r="AJ1128" s="81"/>
      <c r="AK1128" s="81"/>
      <c r="AL1128" s="81"/>
    </row>
    <row r="1129" spans="1:38" s="7" customFormat="1">
      <c r="A1129" s="4"/>
      <c r="B1129" s="4"/>
      <c r="C1129" s="4"/>
      <c r="D1129" s="4"/>
      <c r="E1129" s="4"/>
      <c r="F1129" s="28"/>
      <c r="G1129" s="28"/>
      <c r="H1129" s="83"/>
      <c r="I1129" s="4"/>
      <c r="J1129" s="4"/>
      <c r="K1129" s="4"/>
      <c r="L1129" s="4"/>
      <c r="M1129" s="4"/>
      <c r="N1129" s="28"/>
      <c r="O1129" s="4"/>
      <c r="P1129" s="4"/>
      <c r="Q1129" s="4"/>
      <c r="R1129" s="4"/>
      <c r="S1129" s="4"/>
      <c r="T1129" s="4"/>
      <c r="U1129" s="4"/>
      <c r="V1129" s="4"/>
      <c r="W1129" s="4"/>
      <c r="X1129" s="4"/>
      <c r="Y1129" s="4"/>
      <c r="Z1129" s="4"/>
      <c r="AA1129" s="4"/>
      <c r="AB1129" s="4"/>
      <c r="AC1129" s="4"/>
      <c r="AD1129" s="4"/>
      <c r="AE1129" s="4"/>
      <c r="AF1129" s="81"/>
      <c r="AG1129" s="81"/>
      <c r="AH1129" s="81"/>
      <c r="AI1129" s="4"/>
      <c r="AJ1129" s="81"/>
      <c r="AK1129" s="81"/>
      <c r="AL1129" s="81"/>
    </row>
    <row r="1130" spans="1:38" s="7" customFormat="1">
      <c r="A1130" s="4"/>
      <c r="B1130" s="4"/>
      <c r="C1130" s="4"/>
      <c r="D1130" s="4"/>
      <c r="E1130" s="4"/>
      <c r="F1130" s="28"/>
      <c r="G1130" s="28"/>
      <c r="H1130" s="83"/>
      <c r="I1130" s="4"/>
      <c r="J1130" s="4"/>
      <c r="K1130" s="4"/>
      <c r="L1130" s="4"/>
      <c r="M1130" s="4"/>
      <c r="N1130" s="28"/>
      <c r="O1130" s="4"/>
      <c r="P1130" s="4"/>
      <c r="Q1130" s="4"/>
      <c r="R1130" s="4"/>
      <c r="S1130" s="4"/>
      <c r="T1130" s="4"/>
      <c r="U1130" s="4"/>
      <c r="V1130" s="4"/>
      <c r="W1130" s="4"/>
      <c r="X1130" s="4"/>
      <c r="Y1130" s="4"/>
      <c r="Z1130" s="4"/>
      <c r="AA1130" s="4"/>
      <c r="AB1130" s="4"/>
      <c r="AC1130" s="4"/>
      <c r="AD1130" s="4"/>
      <c r="AE1130" s="4"/>
      <c r="AF1130" s="81"/>
      <c r="AG1130" s="81"/>
      <c r="AH1130" s="81"/>
      <c r="AI1130" s="4"/>
      <c r="AJ1130" s="81"/>
      <c r="AK1130" s="81"/>
      <c r="AL1130" s="81"/>
    </row>
    <row r="1131" spans="1:38" s="7" customFormat="1">
      <c r="A1131" s="4"/>
      <c r="B1131" s="4"/>
      <c r="C1131" s="4"/>
      <c r="D1131" s="4"/>
      <c r="E1131" s="4"/>
      <c r="F1131" s="28"/>
      <c r="G1131" s="28"/>
      <c r="H1131" s="83"/>
      <c r="I1131" s="4"/>
      <c r="J1131" s="4"/>
      <c r="K1131" s="4"/>
      <c r="L1131" s="4"/>
      <c r="M1131" s="4"/>
      <c r="N1131" s="28"/>
      <c r="O1131" s="4"/>
      <c r="P1131" s="4"/>
      <c r="Q1131" s="4"/>
      <c r="R1131" s="4"/>
      <c r="S1131" s="4"/>
      <c r="T1131" s="4"/>
      <c r="U1131" s="4"/>
      <c r="V1131" s="4"/>
      <c r="W1131" s="4"/>
      <c r="X1131" s="4"/>
      <c r="Y1131" s="4"/>
      <c r="Z1131" s="4"/>
      <c r="AA1131" s="4"/>
      <c r="AB1131" s="4"/>
      <c r="AC1131" s="4"/>
      <c r="AD1131" s="4"/>
      <c r="AE1131" s="4"/>
      <c r="AF1131" s="81"/>
      <c r="AG1131" s="81"/>
      <c r="AH1131" s="81"/>
      <c r="AI1131" s="4"/>
      <c r="AJ1131" s="81"/>
      <c r="AK1131" s="81"/>
      <c r="AL1131" s="81"/>
    </row>
    <row r="1132" spans="1:38" s="7" customFormat="1">
      <c r="A1132" s="4"/>
      <c r="B1132" s="4"/>
      <c r="C1132" s="4"/>
      <c r="D1132" s="4"/>
      <c r="E1132" s="4"/>
      <c r="F1132" s="28"/>
      <c r="G1132" s="28"/>
      <c r="H1132" s="83"/>
      <c r="I1132" s="4"/>
      <c r="J1132" s="4"/>
      <c r="K1132" s="4"/>
      <c r="L1132" s="4"/>
      <c r="M1132" s="4"/>
      <c r="N1132" s="28"/>
      <c r="O1132" s="4"/>
      <c r="P1132" s="4"/>
      <c r="Q1132" s="4"/>
      <c r="R1132" s="4"/>
      <c r="S1132" s="4"/>
      <c r="T1132" s="4"/>
      <c r="U1132" s="4"/>
      <c r="V1132" s="4"/>
      <c r="W1132" s="4"/>
      <c r="X1132" s="4"/>
      <c r="Y1132" s="4"/>
      <c r="Z1132" s="4"/>
      <c r="AA1132" s="4"/>
      <c r="AB1132" s="4"/>
      <c r="AC1132" s="4"/>
      <c r="AD1132" s="4"/>
      <c r="AE1132" s="4"/>
      <c r="AF1132" s="81"/>
      <c r="AG1132" s="81"/>
      <c r="AH1132" s="81"/>
      <c r="AI1132" s="4"/>
      <c r="AJ1132" s="81"/>
      <c r="AK1132" s="81"/>
      <c r="AL1132" s="81"/>
    </row>
    <row r="1133" spans="1:38" s="7" customFormat="1">
      <c r="A1133" s="4"/>
      <c r="B1133" s="4"/>
      <c r="C1133" s="4"/>
      <c r="D1133" s="4"/>
      <c r="E1133" s="4"/>
      <c r="F1133" s="28"/>
      <c r="G1133" s="28"/>
      <c r="H1133" s="83"/>
      <c r="I1133" s="4"/>
      <c r="J1133" s="4"/>
      <c r="K1133" s="4"/>
      <c r="L1133" s="4"/>
      <c r="M1133" s="4"/>
      <c r="N1133" s="28"/>
      <c r="O1133" s="4"/>
      <c r="P1133" s="4"/>
      <c r="Q1133" s="4"/>
      <c r="R1133" s="4"/>
      <c r="S1133" s="4"/>
      <c r="T1133" s="4"/>
      <c r="U1133" s="4"/>
      <c r="V1133" s="4"/>
      <c r="W1133" s="4"/>
      <c r="X1133" s="4"/>
      <c r="Y1133" s="4"/>
      <c r="Z1133" s="4"/>
      <c r="AA1133" s="4"/>
      <c r="AB1133" s="4"/>
      <c r="AC1133" s="4"/>
      <c r="AD1133" s="4"/>
      <c r="AE1133" s="4"/>
      <c r="AF1133" s="81"/>
      <c r="AG1133" s="81"/>
      <c r="AH1133" s="81"/>
      <c r="AI1133" s="4"/>
      <c r="AJ1133" s="81"/>
      <c r="AK1133" s="81"/>
      <c r="AL1133" s="81"/>
    </row>
    <row r="1134" spans="1:38" s="7" customFormat="1">
      <c r="A1134" s="4"/>
      <c r="B1134" s="4"/>
      <c r="C1134" s="4"/>
      <c r="D1134" s="4"/>
      <c r="E1134" s="4"/>
      <c r="F1134" s="28"/>
      <c r="G1134" s="28"/>
      <c r="H1134" s="83"/>
      <c r="I1134" s="4"/>
      <c r="J1134" s="4"/>
      <c r="K1134" s="4"/>
      <c r="L1134" s="4"/>
      <c r="M1134" s="4"/>
      <c r="N1134" s="28"/>
      <c r="O1134" s="4"/>
      <c r="P1134" s="4"/>
      <c r="Q1134" s="4"/>
      <c r="R1134" s="4"/>
      <c r="S1134" s="4"/>
      <c r="T1134" s="4"/>
      <c r="U1134" s="4"/>
      <c r="V1134" s="4"/>
      <c r="W1134" s="4"/>
      <c r="X1134" s="4"/>
      <c r="Y1134" s="4"/>
      <c r="Z1134" s="4"/>
      <c r="AA1134" s="4"/>
      <c r="AB1134" s="4"/>
      <c r="AC1134" s="4"/>
      <c r="AD1134" s="4"/>
      <c r="AE1134" s="4"/>
      <c r="AF1134" s="81"/>
      <c r="AG1134" s="81"/>
      <c r="AH1134" s="81"/>
      <c r="AI1134" s="4"/>
      <c r="AJ1134" s="81"/>
      <c r="AK1134" s="81"/>
      <c r="AL1134" s="81"/>
    </row>
    <row r="1135" spans="1:38" s="7" customFormat="1">
      <c r="A1135" s="4"/>
      <c r="B1135" s="4"/>
      <c r="C1135" s="4"/>
      <c r="D1135" s="4"/>
      <c r="E1135" s="4"/>
      <c r="F1135" s="28"/>
      <c r="G1135" s="28"/>
      <c r="H1135" s="83"/>
      <c r="I1135" s="4"/>
      <c r="J1135" s="4"/>
      <c r="K1135" s="4"/>
      <c r="L1135" s="4"/>
      <c r="M1135" s="4"/>
      <c r="N1135" s="28"/>
      <c r="O1135" s="4"/>
      <c r="P1135" s="4"/>
      <c r="Q1135" s="4"/>
      <c r="R1135" s="4"/>
      <c r="S1135" s="4"/>
      <c r="T1135" s="4"/>
      <c r="U1135" s="4"/>
      <c r="V1135" s="4"/>
      <c r="W1135" s="4"/>
      <c r="X1135" s="4"/>
      <c r="Y1135" s="4"/>
      <c r="Z1135" s="4"/>
      <c r="AA1135" s="4"/>
      <c r="AB1135" s="4"/>
      <c r="AC1135" s="4"/>
      <c r="AD1135" s="4"/>
      <c r="AE1135" s="4"/>
      <c r="AF1135" s="81"/>
      <c r="AG1135" s="81"/>
      <c r="AH1135" s="81"/>
      <c r="AI1135" s="4"/>
      <c r="AJ1135" s="81"/>
      <c r="AK1135" s="81"/>
      <c r="AL1135" s="81"/>
    </row>
    <row r="1136" spans="1:38" s="7" customFormat="1">
      <c r="A1136" s="4"/>
      <c r="B1136" s="4"/>
      <c r="C1136" s="4"/>
      <c r="D1136" s="4"/>
      <c r="E1136" s="4"/>
      <c r="F1136" s="28"/>
      <c r="G1136" s="28"/>
      <c r="H1136" s="83"/>
      <c r="I1136" s="4"/>
      <c r="J1136" s="4"/>
      <c r="K1136" s="4"/>
      <c r="L1136" s="4"/>
      <c r="M1136" s="4"/>
      <c r="N1136" s="28"/>
      <c r="O1136" s="4"/>
      <c r="P1136" s="4"/>
      <c r="Q1136" s="4"/>
      <c r="R1136" s="4"/>
      <c r="S1136" s="4"/>
      <c r="T1136" s="4"/>
      <c r="U1136" s="4"/>
      <c r="V1136" s="4"/>
      <c r="W1136" s="4"/>
      <c r="X1136" s="4"/>
      <c r="Y1136" s="4"/>
      <c r="Z1136" s="4"/>
      <c r="AA1136" s="4"/>
      <c r="AB1136" s="4"/>
      <c r="AC1136" s="4"/>
      <c r="AD1136" s="4"/>
      <c r="AE1136" s="4"/>
      <c r="AF1136" s="81"/>
      <c r="AG1136" s="81"/>
      <c r="AH1136" s="81"/>
      <c r="AI1136" s="4"/>
      <c r="AJ1136" s="81"/>
      <c r="AK1136" s="81"/>
      <c r="AL1136" s="81"/>
    </row>
    <row r="1137" spans="1:38" s="7" customFormat="1">
      <c r="A1137" s="4"/>
      <c r="B1137" s="4"/>
      <c r="C1137" s="4"/>
      <c r="D1137" s="4"/>
      <c r="E1137" s="4"/>
      <c r="F1137" s="28"/>
      <c r="G1137" s="28"/>
      <c r="H1137" s="83"/>
      <c r="I1137" s="4"/>
      <c r="J1137" s="4"/>
      <c r="K1137" s="4"/>
      <c r="L1137" s="4"/>
      <c r="M1137" s="4"/>
      <c r="N1137" s="28"/>
      <c r="O1137" s="4"/>
      <c r="P1137" s="4"/>
      <c r="Q1137" s="4"/>
      <c r="R1137" s="4"/>
      <c r="S1137" s="4"/>
      <c r="T1137" s="4"/>
      <c r="U1137" s="4"/>
      <c r="V1137" s="4"/>
      <c r="W1137" s="4"/>
      <c r="X1137" s="4"/>
      <c r="Y1137" s="4"/>
      <c r="Z1137" s="4"/>
      <c r="AA1137" s="4"/>
      <c r="AB1137" s="4"/>
      <c r="AC1137" s="4"/>
      <c r="AD1137" s="4"/>
      <c r="AE1137" s="4"/>
      <c r="AF1137" s="81"/>
      <c r="AG1137" s="81"/>
      <c r="AH1137" s="81"/>
      <c r="AI1137" s="4"/>
      <c r="AJ1137" s="81"/>
      <c r="AK1137" s="81"/>
      <c r="AL1137" s="81"/>
    </row>
    <row r="1138" spans="1:38" s="7" customFormat="1">
      <c r="A1138" s="4"/>
      <c r="B1138" s="4"/>
      <c r="C1138" s="4"/>
      <c r="D1138" s="4"/>
      <c r="E1138" s="4"/>
      <c r="F1138" s="28"/>
      <c r="G1138" s="28"/>
      <c r="H1138" s="83"/>
      <c r="I1138" s="4"/>
      <c r="J1138" s="4"/>
      <c r="K1138" s="4"/>
      <c r="L1138" s="4"/>
      <c r="M1138" s="4"/>
      <c r="N1138" s="28"/>
      <c r="O1138" s="4"/>
      <c r="P1138" s="4"/>
      <c r="Q1138" s="4"/>
      <c r="R1138" s="4"/>
      <c r="S1138" s="4"/>
      <c r="T1138" s="4"/>
      <c r="U1138" s="4"/>
      <c r="V1138" s="4"/>
      <c r="W1138" s="4"/>
      <c r="X1138" s="4"/>
      <c r="Y1138" s="4"/>
      <c r="Z1138" s="4"/>
      <c r="AA1138" s="4"/>
      <c r="AB1138" s="4"/>
      <c r="AC1138" s="4"/>
      <c r="AD1138" s="4"/>
      <c r="AE1138" s="4"/>
      <c r="AF1138" s="81"/>
      <c r="AG1138" s="81"/>
      <c r="AH1138" s="81"/>
      <c r="AI1138" s="4"/>
      <c r="AJ1138" s="81"/>
      <c r="AK1138" s="81"/>
      <c r="AL1138" s="81"/>
    </row>
    <row r="1139" spans="1:38" s="7" customFormat="1">
      <c r="A1139" s="4"/>
      <c r="B1139" s="4"/>
      <c r="C1139" s="4"/>
      <c r="D1139" s="4"/>
      <c r="E1139" s="4"/>
      <c r="F1139" s="28"/>
      <c r="G1139" s="28"/>
      <c r="H1139" s="83"/>
      <c r="I1139" s="4"/>
      <c r="J1139" s="4"/>
      <c r="K1139" s="4"/>
      <c r="L1139" s="4"/>
      <c r="M1139" s="4"/>
      <c r="N1139" s="28"/>
      <c r="O1139" s="4"/>
      <c r="P1139" s="4"/>
      <c r="Q1139" s="4"/>
      <c r="R1139" s="4"/>
      <c r="S1139" s="4"/>
      <c r="T1139" s="4"/>
      <c r="U1139" s="4"/>
      <c r="V1139" s="4"/>
      <c r="W1139" s="4"/>
      <c r="X1139" s="4"/>
      <c r="Y1139" s="4"/>
      <c r="Z1139" s="4"/>
      <c r="AA1139" s="4"/>
      <c r="AB1139" s="4"/>
      <c r="AC1139" s="4"/>
      <c r="AD1139" s="4"/>
      <c r="AE1139" s="4"/>
      <c r="AF1139" s="81"/>
      <c r="AG1139" s="81"/>
      <c r="AH1139" s="81"/>
      <c r="AI1139" s="4"/>
      <c r="AJ1139" s="81"/>
      <c r="AK1139" s="81"/>
      <c r="AL1139" s="81"/>
    </row>
    <row r="1140" spans="1:38" s="7" customFormat="1">
      <c r="A1140" s="4"/>
      <c r="B1140" s="4"/>
      <c r="C1140" s="4"/>
      <c r="D1140" s="4"/>
      <c r="E1140" s="4"/>
      <c r="F1140" s="28"/>
      <c r="G1140" s="28"/>
      <c r="H1140" s="83"/>
      <c r="I1140" s="4"/>
      <c r="J1140" s="4"/>
      <c r="K1140" s="4"/>
      <c r="L1140" s="4"/>
      <c r="M1140" s="4"/>
      <c r="N1140" s="28"/>
      <c r="O1140" s="4"/>
      <c r="P1140" s="4"/>
      <c r="Q1140" s="4"/>
      <c r="R1140" s="4"/>
      <c r="S1140" s="4"/>
      <c r="T1140" s="4"/>
      <c r="U1140" s="4"/>
      <c r="V1140" s="4"/>
      <c r="W1140" s="4"/>
      <c r="X1140" s="4"/>
      <c r="Y1140" s="4"/>
      <c r="Z1140" s="4"/>
      <c r="AA1140" s="4"/>
      <c r="AB1140" s="4"/>
      <c r="AC1140" s="4"/>
      <c r="AD1140" s="4"/>
      <c r="AE1140" s="4"/>
      <c r="AF1140" s="81"/>
      <c r="AG1140" s="81"/>
      <c r="AH1140" s="81"/>
      <c r="AI1140" s="4"/>
      <c r="AJ1140" s="81"/>
      <c r="AK1140" s="81"/>
      <c r="AL1140" s="81"/>
    </row>
    <row r="1141" spans="1:38" s="7" customFormat="1">
      <c r="A1141" s="4"/>
      <c r="B1141" s="4"/>
      <c r="C1141" s="4"/>
      <c r="D1141" s="4"/>
      <c r="E1141" s="4"/>
      <c r="F1141" s="28"/>
      <c r="G1141" s="28"/>
      <c r="H1141" s="83"/>
      <c r="I1141" s="4"/>
      <c r="J1141" s="4"/>
      <c r="K1141" s="4"/>
      <c r="L1141" s="4"/>
      <c r="M1141" s="4"/>
      <c r="N1141" s="28"/>
      <c r="O1141" s="4"/>
      <c r="P1141" s="4"/>
      <c r="Q1141" s="4"/>
      <c r="R1141" s="4"/>
      <c r="S1141" s="4"/>
      <c r="T1141" s="4"/>
      <c r="U1141" s="4"/>
      <c r="V1141" s="4"/>
      <c r="W1141" s="4"/>
      <c r="X1141" s="4"/>
      <c r="Y1141" s="4"/>
      <c r="Z1141" s="4"/>
      <c r="AA1141" s="4"/>
      <c r="AB1141" s="4"/>
      <c r="AC1141" s="4"/>
      <c r="AD1141" s="4"/>
      <c r="AE1141" s="4"/>
      <c r="AF1141" s="81"/>
      <c r="AG1141" s="81"/>
      <c r="AH1141" s="81"/>
      <c r="AI1141" s="4"/>
      <c r="AJ1141" s="81"/>
      <c r="AK1141" s="81"/>
      <c r="AL1141" s="81"/>
    </row>
    <row r="1142" spans="1:38" s="7" customFormat="1">
      <c r="A1142" s="4"/>
      <c r="B1142" s="4"/>
      <c r="C1142" s="4"/>
      <c r="D1142" s="4"/>
      <c r="E1142" s="4"/>
      <c r="F1142" s="28"/>
      <c r="G1142" s="28"/>
      <c r="H1142" s="83"/>
      <c r="I1142" s="4"/>
      <c r="J1142" s="4"/>
      <c r="K1142" s="4"/>
      <c r="L1142" s="4"/>
      <c r="M1142" s="4"/>
      <c r="N1142" s="28"/>
      <c r="O1142" s="4"/>
      <c r="P1142" s="4"/>
      <c r="Q1142" s="4"/>
      <c r="R1142" s="4"/>
      <c r="S1142" s="4"/>
      <c r="T1142" s="4"/>
      <c r="U1142" s="4"/>
      <c r="V1142" s="4"/>
      <c r="W1142" s="4"/>
      <c r="X1142" s="4"/>
      <c r="Y1142" s="4"/>
      <c r="Z1142" s="4"/>
      <c r="AA1142" s="4"/>
      <c r="AB1142" s="4"/>
      <c r="AC1142" s="4"/>
      <c r="AD1142" s="4"/>
      <c r="AE1142" s="4"/>
      <c r="AF1142" s="81"/>
      <c r="AG1142" s="81"/>
      <c r="AH1142" s="81"/>
      <c r="AI1142" s="4"/>
      <c r="AJ1142" s="81"/>
      <c r="AK1142" s="81"/>
      <c r="AL1142" s="81"/>
    </row>
    <row r="1143" spans="1:38" s="7" customFormat="1">
      <c r="A1143" s="4"/>
      <c r="B1143" s="4"/>
      <c r="C1143" s="4"/>
      <c r="D1143" s="4"/>
      <c r="E1143" s="4"/>
      <c r="F1143" s="28"/>
      <c r="G1143" s="28"/>
      <c r="H1143" s="83"/>
      <c r="I1143" s="4"/>
      <c r="J1143" s="4"/>
      <c r="K1143" s="4"/>
      <c r="L1143" s="4"/>
      <c r="M1143" s="4"/>
      <c r="N1143" s="28"/>
      <c r="O1143" s="4"/>
      <c r="P1143" s="4"/>
      <c r="Q1143" s="4"/>
      <c r="R1143" s="4"/>
      <c r="S1143" s="4"/>
      <c r="T1143" s="4"/>
      <c r="U1143" s="4"/>
      <c r="V1143" s="4"/>
      <c r="W1143" s="4"/>
      <c r="X1143" s="4"/>
      <c r="Y1143" s="4"/>
      <c r="Z1143" s="4"/>
      <c r="AA1143" s="4"/>
      <c r="AB1143" s="4"/>
      <c r="AC1143" s="4"/>
      <c r="AD1143" s="4"/>
      <c r="AE1143" s="4"/>
      <c r="AF1143" s="81"/>
      <c r="AG1143" s="81"/>
      <c r="AH1143" s="81"/>
      <c r="AI1143" s="4"/>
      <c r="AJ1143" s="81"/>
      <c r="AK1143" s="81"/>
      <c r="AL1143" s="81"/>
    </row>
    <row r="1144" spans="1:38" s="7" customFormat="1">
      <c r="A1144" s="4"/>
      <c r="B1144" s="4"/>
      <c r="C1144" s="4"/>
      <c r="D1144" s="4"/>
      <c r="E1144" s="4"/>
      <c r="F1144" s="28"/>
      <c r="G1144" s="28"/>
      <c r="H1144" s="83"/>
      <c r="I1144" s="4"/>
      <c r="J1144" s="4"/>
      <c r="K1144" s="4"/>
      <c r="L1144" s="4"/>
      <c r="M1144" s="4"/>
      <c r="N1144" s="28"/>
      <c r="O1144" s="4"/>
      <c r="P1144" s="4"/>
      <c r="Q1144" s="4"/>
      <c r="R1144" s="4"/>
      <c r="S1144" s="4"/>
      <c r="T1144" s="4"/>
      <c r="U1144" s="4"/>
      <c r="V1144" s="4"/>
      <c r="W1144" s="4"/>
      <c r="X1144" s="4"/>
      <c r="Y1144" s="4"/>
      <c r="Z1144" s="4"/>
      <c r="AA1144" s="4"/>
      <c r="AB1144" s="4"/>
      <c r="AC1144" s="4"/>
      <c r="AD1144" s="4"/>
      <c r="AE1144" s="4"/>
      <c r="AF1144" s="81"/>
      <c r="AG1144" s="81"/>
      <c r="AH1144" s="81"/>
      <c r="AI1144" s="4"/>
      <c r="AJ1144" s="81"/>
      <c r="AK1144" s="81"/>
      <c r="AL1144" s="81"/>
    </row>
    <row r="1145" spans="1:38" s="7" customFormat="1">
      <c r="A1145" s="4"/>
      <c r="B1145" s="4"/>
      <c r="C1145" s="4"/>
      <c r="D1145" s="4"/>
      <c r="E1145" s="4"/>
      <c r="F1145" s="28"/>
      <c r="G1145" s="28"/>
      <c r="H1145" s="83"/>
      <c r="I1145" s="4"/>
      <c r="J1145" s="4"/>
      <c r="K1145" s="4"/>
      <c r="L1145" s="4"/>
      <c r="M1145" s="4"/>
      <c r="N1145" s="28"/>
      <c r="O1145" s="4"/>
      <c r="P1145" s="4"/>
      <c r="Q1145" s="4"/>
      <c r="R1145" s="4"/>
      <c r="S1145" s="4"/>
      <c r="T1145" s="4"/>
      <c r="U1145" s="4"/>
      <c r="V1145" s="4"/>
      <c r="W1145" s="4"/>
      <c r="X1145" s="4"/>
      <c r="Y1145" s="4"/>
      <c r="Z1145" s="4"/>
      <c r="AA1145" s="4"/>
      <c r="AB1145" s="4"/>
      <c r="AC1145" s="4"/>
      <c r="AD1145" s="4"/>
      <c r="AE1145" s="4"/>
      <c r="AF1145" s="81"/>
      <c r="AG1145" s="81"/>
      <c r="AH1145" s="81"/>
      <c r="AI1145" s="4"/>
      <c r="AJ1145" s="81"/>
      <c r="AK1145" s="81"/>
      <c r="AL1145" s="81"/>
    </row>
    <row r="1146" spans="1:38" s="7" customFormat="1">
      <c r="A1146" s="4"/>
      <c r="B1146" s="4"/>
      <c r="C1146" s="4"/>
      <c r="D1146" s="4"/>
      <c r="E1146" s="4"/>
      <c r="F1146" s="28"/>
      <c r="G1146" s="28"/>
      <c r="H1146" s="83"/>
      <c r="I1146" s="4"/>
      <c r="J1146" s="4"/>
      <c r="K1146" s="4"/>
      <c r="L1146" s="4"/>
      <c r="M1146" s="4"/>
      <c r="N1146" s="28"/>
      <c r="O1146" s="4"/>
      <c r="P1146" s="4"/>
      <c r="Q1146" s="4"/>
      <c r="R1146" s="4"/>
      <c r="S1146" s="4"/>
      <c r="T1146" s="4"/>
      <c r="U1146" s="4"/>
      <c r="V1146" s="4"/>
      <c r="W1146" s="4"/>
      <c r="X1146" s="4"/>
      <c r="Y1146" s="4"/>
      <c r="Z1146" s="4"/>
      <c r="AA1146" s="4"/>
      <c r="AB1146" s="4"/>
      <c r="AC1146" s="4"/>
      <c r="AD1146" s="4"/>
      <c r="AE1146" s="4"/>
      <c r="AF1146" s="81"/>
      <c r="AG1146" s="81"/>
      <c r="AH1146" s="81"/>
      <c r="AI1146" s="4"/>
      <c r="AJ1146" s="81"/>
      <c r="AK1146" s="81"/>
      <c r="AL1146" s="81"/>
    </row>
    <row r="1147" spans="1:38" s="7" customFormat="1">
      <c r="A1147" s="4"/>
      <c r="B1147" s="4"/>
      <c r="C1147" s="4"/>
      <c r="D1147" s="4"/>
      <c r="E1147" s="4"/>
      <c r="F1147" s="28"/>
      <c r="G1147" s="28"/>
      <c r="H1147" s="83"/>
      <c r="I1147" s="4"/>
      <c r="J1147" s="4"/>
      <c r="K1147" s="4"/>
      <c r="L1147" s="4"/>
      <c r="M1147" s="4"/>
      <c r="N1147" s="28"/>
      <c r="O1147" s="4"/>
      <c r="P1147" s="4"/>
      <c r="Q1147" s="4"/>
      <c r="R1147" s="4"/>
      <c r="S1147" s="4"/>
      <c r="T1147" s="4"/>
      <c r="U1147" s="4"/>
      <c r="V1147" s="4"/>
      <c r="W1147" s="4"/>
      <c r="X1147" s="4"/>
      <c r="Y1147" s="4"/>
      <c r="Z1147" s="4"/>
      <c r="AA1147" s="4"/>
      <c r="AB1147" s="4"/>
      <c r="AC1147" s="4"/>
      <c r="AD1147" s="4"/>
      <c r="AE1147" s="4"/>
      <c r="AF1147" s="81"/>
      <c r="AG1147" s="81"/>
      <c r="AH1147" s="81"/>
      <c r="AI1147" s="4"/>
      <c r="AJ1147" s="81"/>
      <c r="AK1147" s="81"/>
      <c r="AL1147" s="81"/>
    </row>
    <row r="1148" spans="1:38" s="7" customFormat="1">
      <c r="A1148" s="4"/>
      <c r="B1148" s="4"/>
      <c r="C1148" s="4"/>
      <c r="D1148" s="4"/>
      <c r="E1148" s="4"/>
      <c r="F1148" s="28"/>
      <c r="G1148" s="28"/>
      <c r="H1148" s="83"/>
      <c r="I1148" s="4"/>
      <c r="J1148" s="4"/>
      <c r="K1148" s="4"/>
      <c r="L1148" s="4"/>
      <c r="M1148" s="4"/>
      <c r="N1148" s="28"/>
      <c r="O1148" s="4"/>
      <c r="P1148" s="4"/>
      <c r="Q1148" s="4"/>
      <c r="R1148" s="4"/>
      <c r="S1148" s="4"/>
      <c r="T1148" s="4"/>
      <c r="U1148" s="4"/>
      <c r="V1148" s="4"/>
      <c r="W1148" s="4"/>
      <c r="X1148" s="4"/>
      <c r="Y1148" s="4"/>
      <c r="Z1148" s="4"/>
      <c r="AA1148" s="4"/>
      <c r="AB1148" s="4"/>
      <c r="AC1148" s="4"/>
      <c r="AD1148" s="4"/>
      <c r="AE1148" s="4"/>
      <c r="AF1148" s="81"/>
      <c r="AG1148" s="81"/>
      <c r="AH1148" s="81"/>
      <c r="AI1148" s="4"/>
      <c r="AJ1148" s="81"/>
      <c r="AK1148" s="81"/>
      <c r="AL1148" s="81"/>
    </row>
    <row r="1149" spans="1:38" s="7" customFormat="1">
      <c r="A1149" s="4"/>
      <c r="B1149" s="4"/>
      <c r="C1149" s="4"/>
      <c r="D1149" s="4"/>
      <c r="E1149" s="4"/>
      <c r="F1149" s="28"/>
      <c r="G1149" s="28"/>
      <c r="H1149" s="83"/>
      <c r="I1149" s="4"/>
      <c r="J1149" s="4"/>
      <c r="K1149" s="4"/>
      <c r="L1149" s="4"/>
      <c r="M1149" s="4"/>
      <c r="N1149" s="28"/>
      <c r="O1149" s="4"/>
      <c r="P1149" s="4"/>
      <c r="Q1149" s="4"/>
      <c r="R1149" s="4"/>
      <c r="S1149" s="4"/>
      <c r="T1149" s="4"/>
      <c r="U1149" s="4"/>
      <c r="V1149" s="4"/>
      <c r="W1149" s="4"/>
      <c r="X1149" s="4"/>
      <c r="Y1149" s="4"/>
      <c r="Z1149" s="4"/>
      <c r="AA1149" s="4"/>
      <c r="AB1149" s="4"/>
      <c r="AC1149" s="4"/>
      <c r="AD1149" s="4"/>
      <c r="AE1149" s="4"/>
      <c r="AF1149" s="81"/>
      <c r="AG1149" s="81"/>
      <c r="AH1149" s="81"/>
      <c r="AI1149" s="4"/>
      <c r="AJ1149" s="81"/>
      <c r="AK1149" s="81"/>
      <c r="AL1149" s="81"/>
    </row>
    <row r="1150" spans="1:38" s="7" customFormat="1">
      <c r="A1150" s="4"/>
      <c r="B1150" s="4"/>
      <c r="C1150" s="4"/>
      <c r="D1150" s="4"/>
      <c r="E1150" s="4"/>
      <c r="F1150" s="28"/>
      <c r="G1150" s="28"/>
      <c r="H1150" s="83"/>
      <c r="I1150" s="4"/>
      <c r="J1150" s="4"/>
      <c r="K1150" s="4"/>
      <c r="L1150" s="4"/>
      <c r="M1150" s="4"/>
      <c r="N1150" s="28"/>
      <c r="O1150" s="4"/>
      <c r="P1150" s="4"/>
      <c r="Q1150" s="4"/>
      <c r="R1150" s="4"/>
      <c r="S1150" s="4"/>
      <c r="T1150" s="4"/>
      <c r="U1150" s="4"/>
      <c r="V1150" s="4"/>
      <c r="W1150" s="4"/>
      <c r="X1150" s="4"/>
      <c r="Y1150" s="4"/>
      <c r="Z1150" s="4"/>
      <c r="AA1150" s="4"/>
      <c r="AB1150" s="4"/>
      <c r="AC1150" s="4"/>
      <c r="AD1150" s="4"/>
      <c r="AE1150" s="4"/>
      <c r="AF1150" s="81"/>
      <c r="AG1150" s="81"/>
      <c r="AH1150" s="81"/>
      <c r="AI1150" s="4"/>
      <c r="AJ1150" s="81"/>
      <c r="AK1150" s="81"/>
      <c r="AL1150" s="81"/>
    </row>
    <row r="1151" spans="1:38" s="7" customFormat="1">
      <c r="A1151" s="4"/>
      <c r="B1151" s="4"/>
      <c r="C1151" s="4"/>
      <c r="D1151" s="4"/>
      <c r="E1151" s="4"/>
      <c r="F1151" s="28"/>
      <c r="G1151" s="28"/>
      <c r="H1151" s="83"/>
      <c r="I1151" s="4"/>
      <c r="J1151" s="4"/>
      <c r="K1151" s="4"/>
      <c r="L1151" s="4"/>
      <c r="M1151" s="4"/>
      <c r="N1151" s="28"/>
      <c r="O1151" s="4"/>
      <c r="P1151" s="4"/>
      <c r="Q1151" s="4"/>
      <c r="R1151" s="4"/>
      <c r="S1151" s="4"/>
      <c r="T1151" s="4"/>
      <c r="U1151" s="4"/>
      <c r="V1151" s="4"/>
      <c r="W1151" s="4"/>
      <c r="X1151" s="4"/>
      <c r="Y1151" s="4"/>
      <c r="Z1151" s="4"/>
      <c r="AA1151" s="4"/>
      <c r="AB1151" s="4"/>
      <c r="AC1151" s="4"/>
      <c r="AD1151" s="4"/>
      <c r="AE1151" s="4"/>
      <c r="AF1151" s="81"/>
      <c r="AG1151" s="81"/>
      <c r="AH1151" s="81"/>
      <c r="AI1151" s="4"/>
      <c r="AJ1151" s="81"/>
      <c r="AK1151" s="81"/>
      <c r="AL1151" s="81"/>
    </row>
    <row r="1152" spans="1:38" s="7" customFormat="1">
      <c r="A1152" s="4"/>
      <c r="B1152" s="4"/>
      <c r="C1152" s="4"/>
      <c r="D1152" s="4"/>
      <c r="E1152" s="4"/>
      <c r="F1152" s="28"/>
      <c r="G1152" s="28"/>
      <c r="H1152" s="83"/>
      <c r="I1152" s="4"/>
      <c r="J1152" s="4"/>
      <c r="K1152" s="4"/>
      <c r="L1152" s="4"/>
      <c r="M1152" s="4"/>
      <c r="N1152" s="28"/>
      <c r="O1152" s="4"/>
      <c r="P1152" s="4"/>
      <c r="Q1152" s="4"/>
      <c r="R1152" s="4"/>
      <c r="S1152" s="4"/>
      <c r="T1152" s="4"/>
      <c r="U1152" s="4"/>
      <c r="V1152" s="4"/>
      <c r="W1152" s="4"/>
      <c r="X1152" s="4"/>
      <c r="Y1152" s="4"/>
      <c r="Z1152" s="4"/>
      <c r="AA1152" s="4"/>
      <c r="AB1152" s="4"/>
      <c r="AC1152" s="4"/>
      <c r="AD1152" s="4"/>
      <c r="AE1152" s="4"/>
      <c r="AF1152" s="81"/>
      <c r="AG1152" s="81"/>
      <c r="AH1152" s="81"/>
      <c r="AI1152" s="4"/>
      <c r="AJ1152" s="81"/>
      <c r="AK1152" s="81"/>
      <c r="AL1152" s="81"/>
    </row>
    <row r="1153" spans="1:38" s="7" customFormat="1">
      <c r="A1153" s="4"/>
      <c r="B1153" s="4"/>
      <c r="C1153" s="4"/>
      <c r="D1153" s="4"/>
      <c r="E1153" s="4"/>
      <c r="F1153" s="28"/>
      <c r="G1153" s="28"/>
      <c r="H1153" s="83"/>
      <c r="I1153" s="4"/>
      <c r="J1153" s="4"/>
      <c r="K1153" s="4"/>
      <c r="L1153" s="4"/>
      <c r="M1153" s="4"/>
      <c r="N1153" s="28"/>
      <c r="O1153" s="4"/>
      <c r="P1153" s="4"/>
      <c r="Q1153" s="4"/>
      <c r="R1153" s="4"/>
      <c r="S1153" s="4"/>
      <c r="T1153" s="4"/>
      <c r="U1153" s="4"/>
      <c r="V1153" s="4"/>
      <c r="W1153" s="4"/>
      <c r="X1153" s="4"/>
      <c r="Y1153" s="4"/>
      <c r="Z1153" s="4"/>
      <c r="AA1153" s="4"/>
      <c r="AB1153" s="4"/>
      <c r="AC1153" s="4"/>
      <c r="AD1153" s="4"/>
      <c r="AE1153" s="4"/>
      <c r="AF1153" s="81"/>
      <c r="AG1153" s="81"/>
      <c r="AH1153" s="81"/>
      <c r="AI1153" s="4"/>
      <c r="AJ1153" s="81"/>
      <c r="AK1153" s="81"/>
      <c r="AL1153" s="81"/>
    </row>
    <row r="1154" spans="1:38" s="7" customFormat="1">
      <c r="A1154" s="4"/>
      <c r="B1154" s="4"/>
      <c r="C1154" s="4"/>
      <c r="D1154" s="4"/>
      <c r="E1154" s="4"/>
      <c r="F1154" s="28"/>
      <c r="G1154" s="28"/>
      <c r="H1154" s="83"/>
      <c r="I1154" s="4"/>
      <c r="J1154" s="4"/>
      <c r="K1154" s="4"/>
      <c r="L1154" s="4"/>
      <c r="M1154" s="4"/>
      <c r="N1154" s="28"/>
      <c r="O1154" s="4"/>
      <c r="P1154" s="4"/>
      <c r="Q1154" s="4"/>
      <c r="R1154" s="4"/>
      <c r="S1154" s="4"/>
      <c r="T1154" s="4"/>
      <c r="U1154" s="4"/>
      <c r="V1154" s="4"/>
      <c r="W1154" s="4"/>
      <c r="X1154" s="4"/>
      <c r="Y1154" s="4"/>
      <c r="Z1154" s="4"/>
      <c r="AA1154" s="4"/>
      <c r="AB1154" s="4"/>
      <c r="AC1154" s="4"/>
      <c r="AD1154" s="4"/>
      <c r="AE1154" s="4"/>
      <c r="AF1154" s="81"/>
      <c r="AG1154" s="81"/>
      <c r="AH1154" s="81"/>
      <c r="AI1154" s="4"/>
      <c r="AJ1154" s="81"/>
      <c r="AK1154" s="81"/>
      <c r="AL1154" s="81"/>
    </row>
    <row r="1155" spans="1:38" s="7" customFormat="1">
      <c r="A1155" s="4"/>
      <c r="B1155" s="4"/>
      <c r="C1155" s="4"/>
      <c r="D1155" s="4"/>
      <c r="E1155" s="4"/>
      <c r="F1155" s="28"/>
      <c r="G1155" s="28"/>
      <c r="H1155" s="83"/>
      <c r="I1155" s="4"/>
      <c r="J1155" s="4"/>
      <c r="K1155" s="4"/>
      <c r="L1155" s="4"/>
      <c r="M1155" s="4"/>
      <c r="N1155" s="28"/>
      <c r="O1155" s="4"/>
      <c r="P1155" s="4"/>
      <c r="Q1155" s="4"/>
      <c r="R1155" s="4"/>
      <c r="S1155" s="4"/>
      <c r="T1155" s="4"/>
      <c r="U1155" s="4"/>
      <c r="V1155" s="4"/>
      <c r="W1155" s="4"/>
      <c r="X1155" s="4"/>
      <c r="Y1155" s="4"/>
      <c r="Z1155" s="4"/>
      <c r="AA1155" s="4"/>
      <c r="AB1155" s="4"/>
      <c r="AC1155" s="4"/>
      <c r="AD1155" s="4"/>
      <c r="AE1155" s="4"/>
      <c r="AF1155" s="81"/>
      <c r="AG1155" s="81"/>
      <c r="AH1155" s="81"/>
      <c r="AI1155" s="4"/>
      <c r="AJ1155" s="81"/>
      <c r="AK1155" s="81"/>
      <c r="AL1155" s="81"/>
    </row>
    <row r="1156" spans="1:38" s="7" customFormat="1">
      <c r="A1156" s="4"/>
      <c r="B1156" s="4"/>
      <c r="C1156" s="4"/>
      <c r="D1156" s="4"/>
      <c r="E1156" s="4"/>
      <c r="F1156" s="28"/>
      <c r="G1156" s="28"/>
      <c r="H1156" s="83"/>
      <c r="I1156" s="4"/>
      <c r="J1156" s="4"/>
      <c r="K1156" s="4"/>
      <c r="L1156" s="4"/>
      <c r="M1156" s="4"/>
      <c r="N1156" s="28"/>
      <c r="O1156" s="4"/>
      <c r="P1156" s="4"/>
      <c r="Q1156" s="4"/>
      <c r="R1156" s="4"/>
      <c r="S1156" s="4"/>
      <c r="T1156" s="4"/>
      <c r="U1156" s="4"/>
      <c r="V1156" s="4"/>
      <c r="W1156" s="4"/>
      <c r="X1156" s="4"/>
      <c r="Y1156" s="4"/>
      <c r="Z1156" s="4"/>
      <c r="AA1156" s="4"/>
      <c r="AB1156" s="4"/>
      <c r="AC1156" s="4"/>
      <c r="AD1156" s="4"/>
      <c r="AE1156" s="4"/>
      <c r="AF1156" s="81"/>
      <c r="AG1156" s="81"/>
      <c r="AH1156" s="81"/>
      <c r="AI1156" s="4"/>
      <c r="AJ1156" s="81"/>
      <c r="AK1156" s="81"/>
      <c r="AL1156" s="81"/>
    </row>
    <row r="1157" spans="1:38" s="7" customFormat="1">
      <c r="A1157" s="4"/>
      <c r="B1157" s="4"/>
      <c r="C1157" s="4"/>
      <c r="D1157" s="4"/>
      <c r="E1157" s="4"/>
      <c r="F1157" s="28"/>
      <c r="G1157" s="28"/>
      <c r="H1157" s="83"/>
      <c r="I1157" s="4"/>
      <c r="J1157" s="4"/>
      <c r="K1157" s="4"/>
      <c r="L1157" s="4"/>
      <c r="M1157" s="4"/>
      <c r="N1157" s="28"/>
      <c r="O1157" s="4"/>
      <c r="P1157" s="4"/>
      <c r="Q1157" s="4"/>
      <c r="R1157" s="4"/>
      <c r="S1157" s="4"/>
      <c r="T1157" s="4"/>
      <c r="U1157" s="4"/>
      <c r="V1157" s="4"/>
      <c r="W1157" s="4"/>
      <c r="X1157" s="4"/>
      <c r="Y1157" s="4"/>
      <c r="Z1157" s="4"/>
      <c r="AA1157" s="4"/>
      <c r="AB1157" s="4"/>
      <c r="AC1157" s="4"/>
      <c r="AD1157" s="4"/>
      <c r="AE1157" s="4"/>
      <c r="AF1157" s="81"/>
      <c r="AG1157" s="81"/>
      <c r="AH1157" s="81"/>
      <c r="AI1157" s="4"/>
      <c r="AJ1157" s="81"/>
      <c r="AK1157" s="81"/>
      <c r="AL1157" s="81"/>
    </row>
    <row r="1158" spans="1:38" s="7" customFormat="1">
      <c r="A1158" s="4"/>
      <c r="B1158" s="4"/>
      <c r="C1158" s="4"/>
      <c r="D1158" s="4"/>
      <c r="E1158" s="4"/>
      <c r="F1158" s="28"/>
      <c r="G1158" s="28"/>
      <c r="H1158" s="83"/>
      <c r="I1158" s="4"/>
      <c r="J1158" s="4"/>
      <c r="K1158" s="4"/>
      <c r="L1158" s="4"/>
      <c r="M1158" s="4"/>
      <c r="N1158" s="28"/>
      <c r="O1158" s="4"/>
      <c r="P1158" s="4"/>
      <c r="Q1158" s="4"/>
      <c r="R1158" s="4"/>
      <c r="S1158" s="4"/>
      <c r="T1158" s="4"/>
      <c r="U1158" s="4"/>
      <c r="V1158" s="4"/>
      <c r="W1158" s="4"/>
      <c r="X1158" s="4"/>
      <c r="Y1158" s="4"/>
      <c r="Z1158" s="4"/>
      <c r="AA1158" s="4"/>
      <c r="AB1158" s="4"/>
      <c r="AC1158" s="4"/>
      <c r="AD1158" s="4"/>
      <c r="AE1158" s="4"/>
      <c r="AF1158" s="81"/>
      <c r="AG1158" s="81"/>
      <c r="AH1158" s="81"/>
      <c r="AI1158" s="4"/>
      <c r="AJ1158" s="81"/>
      <c r="AK1158" s="81"/>
      <c r="AL1158" s="81"/>
    </row>
    <row r="1159" spans="1:38" s="7" customFormat="1">
      <c r="A1159" s="4"/>
      <c r="B1159" s="4"/>
      <c r="C1159" s="4"/>
      <c r="D1159" s="4"/>
      <c r="E1159" s="4"/>
      <c r="F1159" s="28"/>
      <c r="G1159" s="28"/>
      <c r="H1159" s="83"/>
      <c r="I1159" s="4"/>
      <c r="J1159" s="4"/>
      <c r="K1159" s="4"/>
      <c r="L1159" s="4"/>
      <c r="M1159" s="4"/>
      <c r="N1159" s="28"/>
      <c r="O1159" s="4"/>
      <c r="P1159" s="4"/>
      <c r="Q1159" s="4"/>
      <c r="R1159" s="4"/>
      <c r="S1159" s="4"/>
      <c r="T1159" s="4"/>
      <c r="U1159" s="4"/>
      <c r="V1159" s="4"/>
      <c r="W1159" s="4"/>
      <c r="X1159" s="4"/>
      <c r="Y1159" s="4"/>
      <c r="Z1159" s="4"/>
      <c r="AA1159" s="4"/>
      <c r="AB1159" s="4"/>
      <c r="AC1159" s="4"/>
      <c r="AD1159" s="4"/>
      <c r="AE1159" s="4"/>
      <c r="AF1159" s="81"/>
      <c r="AG1159" s="81"/>
      <c r="AH1159" s="81"/>
      <c r="AI1159" s="4"/>
      <c r="AJ1159" s="81"/>
      <c r="AK1159" s="81"/>
      <c r="AL1159" s="81"/>
    </row>
    <row r="1160" spans="1:38" s="7" customFormat="1">
      <c r="A1160" s="4"/>
      <c r="B1160" s="4"/>
      <c r="C1160" s="4"/>
      <c r="D1160" s="4"/>
      <c r="E1160" s="4"/>
      <c r="F1160" s="28"/>
      <c r="G1160" s="28"/>
      <c r="H1160" s="83"/>
      <c r="I1160" s="4"/>
      <c r="J1160" s="4"/>
      <c r="K1160" s="4"/>
      <c r="L1160" s="4"/>
      <c r="M1160" s="4"/>
      <c r="N1160" s="28"/>
      <c r="O1160" s="4"/>
      <c r="P1160" s="4"/>
      <c r="Q1160" s="4"/>
      <c r="R1160" s="4"/>
      <c r="S1160" s="4"/>
      <c r="T1160" s="4"/>
      <c r="U1160" s="4"/>
      <c r="V1160" s="4"/>
      <c r="W1160" s="4"/>
      <c r="X1160" s="4"/>
      <c r="Y1160" s="4"/>
      <c r="Z1160" s="4"/>
      <c r="AA1160" s="4"/>
      <c r="AB1160" s="4"/>
      <c r="AC1160" s="4"/>
      <c r="AD1160" s="4"/>
      <c r="AE1160" s="4"/>
      <c r="AF1160" s="81"/>
      <c r="AG1160" s="81"/>
      <c r="AH1160" s="81"/>
      <c r="AI1160" s="4"/>
      <c r="AJ1160" s="81"/>
      <c r="AK1160" s="81"/>
      <c r="AL1160" s="81"/>
    </row>
    <row r="1161" spans="1:38" s="7" customFormat="1">
      <c r="A1161" s="4"/>
      <c r="B1161" s="4"/>
      <c r="C1161" s="4"/>
      <c r="D1161" s="4"/>
      <c r="E1161" s="4"/>
      <c r="F1161" s="28"/>
      <c r="G1161" s="28"/>
      <c r="H1161" s="83"/>
      <c r="I1161" s="4"/>
      <c r="J1161" s="4"/>
      <c r="K1161" s="4"/>
      <c r="L1161" s="4"/>
      <c r="M1161" s="4"/>
      <c r="N1161" s="28"/>
      <c r="O1161" s="4"/>
      <c r="P1161" s="4"/>
      <c r="Q1161" s="4"/>
      <c r="R1161" s="4"/>
      <c r="S1161" s="4"/>
      <c r="T1161" s="4"/>
      <c r="U1161" s="4"/>
      <c r="V1161" s="4"/>
      <c r="W1161" s="4"/>
      <c r="X1161" s="4"/>
      <c r="Y1161" s="4"/>
      <c r="Z1161" s="4"/>
      <c r="AA1161" s="4"/>
      <c r="AB1161" s="4"/>
      <c r="AC1161" s="4"/>
      <c r="AD1161" s="4"/>
      <c r="AE1161" s="4"/>
      <c r="AF1161" s="81"/>
      <c r="AG1161" s="81"/>
      <c r="AH1161" s="81"/>
      <c r="AI1161" s="4"/>
      <c r="AJ1161" s="81"/>
      <c r="AK1161" s="81"/>
      <c r="AL1161" s="81"/>
    </row>
    <row r="1162" spans="1:38" s="7" customFormat="1">
      <c r="A1162" s="4"/>
      <c r="B1162" s="4"/>
      <c r="C1162" s="4"/>
      <c r="D1162" s="4"/>
      <c r="E1162" s="4"/>
      <c r="F1162" s="28"/>
      <c r="G1162" s="28"/>
      <c r="H1162" s="83"/>
      <c r="I1162" s="4"/>
      <c r="J1162" s="4"/>
      <c r="K1162" s="4"/>
      <c r="L1162" s="4"/>
      <c r="M1162" s="4"/>
      <c r="N1162" s="28"/>
      <c r="O1162" s="4"/>
      <c r="P1162" s="4"/>
      <c r="Q1162" s="4"/>
      <c r="R1162" s="4"/>
      <c r="S1162" s="4"/>
      <c r="T1162" s="4"/>
      <c r="U1162" s="4"/>
      <c r="V1162" s="4"/>
      <c r="W1162" s="4"/>
      <c r="X1162" s="4"/>
      <c r="Y1162" s="4"/>
      <c r="Z1162" s="4"/>
      <c r="AA1162" s="4"/>
      <c r="AB1162" s="4"/>
      <c r="AC1162" s="4"/>
      <c r="AD1162" s="4"/>
      <c r="AE1162" s="4"/>
      <c r="AF1162" s="81"/>
      <c r="AG1162" s="81"/>
      <c r="AH1162" s="81"/>
      <c r="AI1162" s="4"/>
      <c r="AJ1162" s="81"/>
      <c r="AK1162" s="81"/>
      <c r="AL1162" s="81"/>
    </row>
    <row r="1163" spans="1:38" s="7" customFormat="1">
      <c r="A1163" s="4"/>
      <c r="B1163" s="4"/>
      <c r="C1163" s="4"/>
      <c r="D1163" s="4"/>
      <c r="E1163" s="4"/>
      <c r="F1163" s="28"/>
      <c r="G1163" s="28"/>
      <c r="H1163" s="83"/>
      <c r="I1163" s="4"/>
      <c r="J1163" s="4"/>
      <c r="K1163" s="4"/>
      <c r="L1163" s="4"/>
      <c r="M1163" s="4"/>
      <c r="N1163" s="28"/>
      <c r="O1163" s="4"/>
      <c r="P1163" s="4"/>
      <c r="Q1163" s="4"/>
      <c r="R1163" s="4"/>
      <c r="S1163" s="4"/>
      <c r="T1163" s="4"/>
      <c r="U1163" s="4"/>
      <c r="V1163" s="4"/>
      <c r="W1163" s="4"/>
      <c r="X1163" s="4"/>
      <c r="Y1163" s="4"/>
      <c r="Z1163" s="4"/>
      <c r="AA1163" s="4"/>
      <c r="AB1163" s="4"/>
      <c r="AC1163" s="4"/>
      <c r="AD1163" s="4"/>
      <c r="AE1163" s="4"/>
      <c r="AF1163" s="81"/>
      <c r="AG1163" s="81"/>
      <c r="AH1163" s="81"/>
      <c r="AI1163" s="4"/>
      <c r="AJ1163" s="81"/>
      <c r="AK1163" s="81"/>
      <c r="AL1163" s="81"/>
    </row>
    <row r="1164" spans="1:38" s="7" customFormat="1">
      <c r="A1164" s="4"/>
      <c r="B1164" s="4"/>
      <c r="C1164" s="4"/>
      <c r="D1164" s="4"/>
      <c r="E1164" s="4"/>
      <c r="F1164" s="28"/>
      <c r="G1164" s="28"/>
      <c r="H1164" s="83"/>
      <c r="I1164" s="4"/>
      <c r="J1164" s="4"/>
      <c r="K1164" s="4"/>
      <c r="L1164" s="4"/>
      <c r="M1164" s="4"/>
      <c r="N1164" s="28"/>
      <c r="O1164" s="4"/>
      <c r="P1164" s="4"/>
      <c r="Q1164" s="4"/>
      <c r="R1164" s="4"/>
      <c r="S1164" s="4"/>
      <c r="T1164" s="4"/>
      <c r="U1164" s="4"/>
      <c r="V1164" s="4"/>
      <c r="W1164" s="4"/>
      <c r="X1164" s="4"/>
      <c r="Y1164" s="4"/>
      <c r="Z1164" s="4"/>
      <c r="AA1164" s="4"/>
      <c r="AB1164" s="4"/>
      <c r="AC1164" s="4"/>
      <c r="AD1164" s="4"/>
      <c r="AE1164" s="4"/>
      <c r="AF1164" s="81"/>
      <c r="AG1164" s="81"/>
      <c r="AH1164" s="81"/>
      <c r="AI1164" s="4"/>
      <c r="AJ1164" s="81"/>
      <c r="AK1164" s="81"/>
      <c r="AL1164" s="81"/>
    </row>
    <row r="1165" spans="1:38" s="7" customFormat="1">
      <c r="A1165" s="4"/>
      <c r="B1165" s="4"/>
      <c r="C1165" s="4"/>
      <c r="D1165" s="4"/>
      <c r="E1165" s="4"/>
      <c r="F1165" s="28"/>
      <c r="G1165" s="28"/>
      <c r="H1165" s="83"/>
      <c r="I1165" s="4"/>
      <c r="J1165" s="4"/>
      <c r="K1165" s="4"/>
      <c r="L1165" s="4"/>
      <c r="M1165" s="4"/>
      <c r="N1165" s="28"/>
      <c r="O1165" s="4"/>
      <c r="P1165" s="4"/>
      <c r="Q1165" s="4"/>
      <c r="R1165" s="4"/>
      <c r="S1165" s="4"/>
      <c r="T1165" s="4"/>
      <c r="U1165" s="4"/>
      <c r="V1165" s="4"/>
      <c r="W1165" s="4"/>
      <c r="X1165" s="4"/>
      <c r="Y1165" s="4"/>
      <c r="Z1165" s="4"/>
      <c r="AA1165" s="4"/>
      <c r="AB1165" s="4"/>
      <c r="AC1165" s="4"/>
      <c r="AD1165" s="4"/>
      <c r="AE1165" s="4"/>
      <c r="AF1165" s="81"/>
      <c r="AG1165" s="81"/>
      <c r="AH1165" s="81"/>
      <c r="AI1165" s="4"/>
      <c r="AJ1165" s="81"/>
      <c r="AK1165" s="81"/>
      <c r="AL1165" s="81"/>
    </row>
    <row r="1166" spans="1:38" s="7" customFormat="1">
      <c r="A1166" s="4"/>
      <c r="B1166" s="4"/>
      <c r="C1166" s="4"/>
      <c r="D1166" s="4"/>
      <c r="E1166" s="4"/>
      <c r="F1166" s="28"/>
      <c r="G1166" s="28"/>
      <c r="H1166" s="83"/>
      <c r="I1166" s="4"/>
      <c r="J1166" s="4"/>
      <c r="K1166" s="4"/>
      <c r="L1166" s="4"/>
      <c r="M1166" s="4"/>
      <c r="N1166" s="28"/>
      <c r="O1166" s="4"/>
      <c r="P1166" s="4"/>
      <c r="Q1166" s="4"/>
      <c r="R1166" s="4"/>
      <c r="S1166" s="4"/>
      <c r="T1166" s="4"/>
      <c r="U1166" s="4"/>
      <c r="V1166" s="4"/>
      <c r="W1166" s="4"/>
      <c r="X1166" s="4"/>
      <c r="Y1166" s="4"/>
      <c r="Z1166" s="4"/>
      <c r="AA1166" s="4"/>
      <c r="AB1166" s="4"/>
      <c r="AC1166" s="4"/>
      <c r="AD1166" s="4"/>
      <c r="AE1166" s="4"/>
      <c r="AF1166" s="81"/>
      <c r="AG1166" s="81"/>
      <c r="AH1166" s="81"/>
      <c r="AI1166" s="4"/>
      <c r="AJ1166" s="81"/>
      <c r="AK1166" s="81"/>
      <c r="AL1166" s="81"/>
    </row>
    <row r="1167" spans="1:38" s="7" customFormat="1">
      <c r="A1167" s="4"/>
      <c r="B1167" s="4"/>
      <c r="C1167" s="4"/>
      <c r="D1167" s="4"/>
      <c r="E1167" s="4"/>
      <c r="F1167" s="28"/>
      <c r="G1167" s="28"/>
      <c r="H1167" s="83"/>
      <c r="I1167" s="4"/>
      <c r="J1167" s="4"/>
      <c r="K1167" s="4"/>
      <c r="L1167" s="4"/>
      <c r="M1167" s="4"/>
      <c r="N1167" s="28"/>
      <c r="O1167" s="4"/>
      <c r="P1167" s="4"/>
      <c r="Q1167" s="4"/>
      <c r="R1167" s="4"/>
      <c r="S1167" s="4"/>
      <c r="T1167" s="4"/>
      <c r="U1167" s="4"/>
      <c r="V1167" s="4"/>
      <c r="W1167" s="4"/>
      <c r="X1167" s="4"/>
      <c r="Y1167" s="4"/>
      <c r="Z1167" s="4"/>
      <c r="AA1167" s="4"/>
      <c r="AB1167" s="4"/>
      <c r="AC1167" s="4"/>
      <c r="AD1167" s="4"/>
      <c r="AE1167" s="4"/>
      <c r="AF1167" s="81"/>
      <c r="AG1167" s="81"/>
      <c r="AH1167" s="81"/>
      <c r="AI1167" s="4"/>
      <c r="AJ1167" s="81"/>
      <c r="AK1167" s="81"/>
      <c r="AL1167" s="81"/>
    </row>
    <row r="1168" spans="1:38" s="7" customFormat="1">
      <c r="A1168" s="4"/>
      <c r="B1168" s="4"/>
      <c r="C1168" s="4"/>
      <c r="D1168" s="4"/>
      <c r="E1168" s="4"/>
      <c r="F1168" s="28"/>
      <c r="G1168" s="28"/>
      <c r="H1168" s="83"/>
      <c r="I1168" s="4"/>
      <c r="J1168" s="4"/>
      <c r="K1168" s="4"/>
      <c r="L1168" s="4"/>
      <c r="M1168" s="4"/>
      <c r="N1168" s="28"/>
      <c r="O1168" s="4"/>
      <c r="P1168" s="4"/>
      <c r="Q1168" s="4"/>
      <c r="R1168" s="4"/>
      <c r="S1168" s="4"/>
      <c r="T1168" s="4"/>
      <c r="U1168" s="4"/>
      <c r="V1168" s="4"/>
      <c r="W1168" s="4"/>
      <c r="X1168" s="4"/>
      <c r="Y1168" s="4"/>
      <c r="Z1168" s="4"/>
      <c r="AA1168" s="4"/>
      <c r="AB1168" s="4"/>
      <c r="AC1168" s="4"/>
      <c r="AD1168" s="4"/>
      <c r="AE1168" s="4"/>
      <c r="AF1168" s="81"/>
      <c r="AG1168" s="81"/>
      <c r="AH1168" s="81"/>
      <c r="AI1168" s="4"/>
      <c r="AJ1168" s="81"/>
      <c r="AK1168" s="81"/>
      <c r="AL1168" s="81"/>
    </row>
    <row r="1169" spans="1:38" s="7" customFormat="1">
      <c r="A1169" s="4"/>
      <c r="B1169" s="4"/>
      <c r="C1169" s="4"/>
      <c r="D1169" s="4"/>
      <c r="E1169" s="4"/>
      <c r="F1169" s="28"/>
      <c r="G1169" s="28"/>
      <c r="H1169" s="83"/>
      <c r="I1169" s="4"/>
      <c r="J1169" s="4"/>
      <c r="K1169" s="4"/>
      <c r="L1169" s="4"/>
      <c r="M1169" s="4"/>
      <c r="N1169" s="28"/>
      <c r="O1169" s="4"/>
      <c r="P1169" s="4"/>
      <c r="Q1169" s="4"/>
      <c r="R1169" s="4"/>
      <c r="S1169" s="4"/>
      <c r="T1169" s="4"/>
      <c r="U1169" s="4"/>
      <c r="V1169" s="4"/>
      <c r="W1169" s="4"/>
      <c r="X1169" s="4"/>
      <c r="Y1169" s="4"/>
      <c r="Z1169" s="4"/>
      <c r="AA1169" s="4"/>
      <c r="AB1169" s="4"/>
      <c r="AC1169" s="4"/>
      <c r="AD1169" s="4"/>
      <c r="AE1169" s="4"/>
      <c r="AF1169" s="81"/>
      <c r="AG1169" s="81"/>
      <c r="AH1169" s="81"/>
      <c r="AI1169" s="4"/>
      <c r="AJ1169" s="81"/>
      <c r="AK1169" s="81"/>
      <c r="AL1169" s="81"/>
    </row>
    <row r="1170" spans="1:38" s="7" customFormat="1">
      <c r="A1170" s="4"/>
      <c r="B1170" s="4"/>
      <c r="C1170" s="4"/>
      <c r="D1170" s="4"/>
      <c r="E1170" s="4"/>
      <c r="F1170" s="28"/>
      <c r="G1170" s="28"/>
      <c r="H1170" s="83"/>
      <c r="I1170" s="4"/>
      <c r="J1170" s="4"/>
      <c r="K1170" s="4"/>
      <c r="L1170" s="4"/>
      <c r="M1170" s="4"/>
      <c r="N1170" s="28"/>
      <c r="O1170" s="4"/>
      <c r="P1170" s="4"/>
      <c r="Q1170" s="4"/>
      <c r="R1170" s="4"/>
      <c r="S1170" s="4"/>
      <c r="T1170" s="4"/>
      <c r="U1170" s="4"/>
      <c r="V1170" s="4"/>
      <c r="W1170" s="4"/>
      <c r="X1170" s="4"/>
      <c r="Y1170" s="4"/>
      <c r="Z1170" s="4"/>
      <c r="AA1170" s="4"/>
      <c r="AB1170" s="4"/>
      <c r="AC1170" s="4"/>
      <c r="AD1170" s="4"/>
      <c r="AE1170" s="4"/>
      <c r="AF1170" s="81"/>
      <c r="AG1170" s="81"/>
      <c r="AH1170" s="81"/>
      <c r="AI1170" s="4"/>
      <c r="AJ1170" s="81"/>
      <c r="AK1170" s="81"/>
      <c r="AL1170" s="81"/>
    </row>
    <row r="1171" spans="1:38" s="7" customFormat="1">
      <c r="A1171" s="4"/>
      <c r="B1171" s="4"/>
      <c r="C1171" s="4"/>
      <c r="D1171" s="4"/>
      <c r="E1171" s="4"/>
      <c r="F1171" s="28"/>
      <c r="G1171" s="28"/>
      <c r="H1171" s="83"/>
      <c r="I1171" s="4"/>
      <c r="J1171" s="4"/>
      <c r="K1171" s="4"/>
      <c r="L1171" s="4"/>
      <c r="M1171" s="4"/>
      <c r="N1171" s="28"/>
      <c r="O1171" s="4"/>
      <c r="P1171" s="4"/>
      <c r="Q1171" s="4"/>
      <c r="R1171" s="4"/>
      <c r="S1171" s="4"/>
      <c r="T1171" s="4"/>
      <c r="U1171" s="4"/>
      <c r="V1171" s="4"/>
      <c r="W1171" s="4"/>
      <c r="X1171" s="4"/>
      <c r="Y1171" s="4"/>
      <c r="Z1171" s="4"/>
      <c r="AA1171" s="4"/>
      <c r="AB1171" s="4"/>
      <c r="AC1171" s="4"/>
      <c r="AD1171" s="4"/>
      <c r="AE1171" s="4"/>
      <c r="AF1171" s="81"/>
      <c r="AG1171" s="81"/>
      <c r="AH1171" s="81"/>
      <c r="AI1171" s="4"/>
      <c r="AJ1171" s="81"/>
      <c r="AK1171" s="81"/>
      <c r="AL1171" s="81"/>
    </row>
    <row r="1172" spans="1:38" s="7" customFormat="1">
      <c r="A1172" s="4"/>
      <c r="B1172" s="4"/>
      <c r="C1172" s="4"/>
      <c r="D1172" s="4"/>
      <c r="E1172" s="4"/>
      <c r="F1172" s="28"/>
      <c r="G1172" s="28"/>
      <c r="H1172" s="83"/>
      <c r="I1172" s="4"/>
      <c r="J1172" s="4"/>
      <c r="K1172" s="4"/>
      <c r="L1172" s="4"/>
      <c r="M1172" s="4"/>
      <c r="N1172" s="28"/>
      <c r="O1172" s="4"/>
      <c r="P1172" s="4"/>
      <c r="Q1172" s="4"/>
      <c r="R1172" s="4"/>
      <c r="S1172" s="4"/>
      <c r="T1172" s="4"/>
      <c r="U1172" s="4"/>
      <c r="V1172" s="4"/>
      <c r="W1172" s="4"/>
      <c r="X1172" s="4"/>
      <c r="Y1172" s="4"/>
      <c r="Z1172" s="4"/>
      <c r="AA1172" s="4"/>
      <c r="AB1172" s="4"/>
      <c r="AC1172" s="4"/>
      <c r="AD1172" s="4"/>
      <c r="AE1172" s="4"/>
      <c r="AF1172" s="81"/>
      <c r="AG1172" s="81"/>
      <c r="AH1172" s="81"/>
      <c r="AI1172" s="4"/>
      <c r="AJ1172" s="81"/>
      <c r="AK1172" s="81"/>
      <c r="AL1172" s="81"/>
    </row>
    <row r="1173" spans="1:38" s="7" customFormat="1">
      <c r="A1173" s="4"/>
      <c r="B1173" s="4"/>
      <c r="C1173" s="4"/>
      <c r="D1173" s="4"/>
      <c r="E1173" s="4"/>
      <c r="F1173" s="28"/>
      <c r="G1173" s="28"/>
      <c r="H1173" s="83"/>
      <c r="I1173" s="4"/>
      <c r="J1173" s="4"/>
      <c r="K1173" s="4"/>
      <c r="L1173" s="4"/>
      <c r="M1173" s="4"/>
      <c r="N1173" s="28"/>
      <c r="O1173" s="4"/>
      <c r="P1173" s="4"/>
      <c r="Q1173" s="4"/>
      <c r="R1173" s="4"/>
      <c r="S1173" s="4"/>
      <c r="T1173" s="4"/>
      <c r="U1173" s="4"/>
      <c r="V1173" s="4"/>
      <c r="W1173" s="4"/>
      <c r="X1173" s="4"/>
      <c r="Y1173" s="4"/>
      <c r="Z1173" s="4"/>
      <c r="AA1173" s="4"/>
      <c r="AB1173" s="4"/>
      <c r="AC1173" s="4"/>
      <c r="AD1173" s="4"/>
      <c r="AE1173" s="4"/>
      <c r="AF1173" s="81"/>
      <c r="AG1173" s="81"/>
      <c r="AH1173" s="81"/>
      <c r="AI1173" s="4"/>
      <c r="AJ1173" s="81"/>
      <c r="AK1173" s="81"/>
      <c r="AL1173" s="81"/>
    </row>
    <row r="1174" spans="1:38" s="7" customFormat="1">
      <c r="A1174" s="4"/>
      <c r="B1174" s="4"/>
      <c r="C1174" s="4"/>
      <c r="D1174" s="4"/>
      <c r="E1174" s="4"/>
      <c r="F1174" s="28"/>
      <c r="G1174" s="28"/>
      <c r="H1174" s="83"/>
      <c r="I1174" s="4"/>
      <c r="J1174" s="4"/>
      <c r="K1174" s="4"/>
      <c r="L1174" s="4"/>
      <c r="M1174" s="4"/>
      <c r="N1174" s="28"/>
      <c r="O1174" s="4"/>
      <c r="P1174" s="4"/>
      <c r="Q1174" s="4"/>
      <c r="R1174" s="4"/>
      <c r="S1174" s="4"/>
      <c r="T1174" s="4"/>
      <c r="U1174" s="4"/>
      <c r="V1174" s="4"/>
      <c r="W1174" s="4"/>
      <c r="X1174" s="4"/>
      <c r="Y1174" s="4"/>
      <c r="Z1174" s="4"/>
      <c r="AA1174" s="4"/>
      <c r="AB1174" s="4"/>
      <c r="AC1174" s="4"/>
      <c r="AD1174" s="4"/>
      <c r="AE1174" s="4"/>
      <c r="AF1174" s="81"/>
      <c r="AG1174" s="81"/>
      <c r="AH1174" s="81"/>
      <c r="AI1174" s="4"/>
      <c r="AJ1174" s="81"/>
      <c r="AK1174" s="81"/>
      <c r="AL1174" s="81"/>
    </row>
    <row r="1175" spans="1:38" s="7" customFormat="1">
      <c r="A1175" s="4"/>
      <c r="B1175" s="4"/>
      <c r="C1175" s="4"/>
      <c r="D1175" s="4"/>
      <c r="E1175" s="4"/>
      <c r="F1175" s="28"/>
      <c r="G1175" s="28"/>
      <c r="H1175" s="83"/>
      <c r="I1175" s="4"/>
      <c r="J1175" s="4"/>
      <c r="K1175" s="4"/>
      <c r="L1175" s="4"/>
      <c r="M1175" s="4"/>
      <c r="N1175" s="28"/>
      <c r="O1175" s="4"/>
      <c r="P1175" s="4"/>
      <c r="Q1175" s="4"/>
      <c r="R1175" s="4"/>
      <c r="S1175" s="4"/>
      <c r="T1175" s="4"/>
      <c r="U1175" s="4"/>
      <c r="V1175" s="4"/>
      <c r="W1175" s="4"/>
      <c r="X1175" s="4"/>
      <c r="Y1175" s="4"/>
      <c r="Z1175" s="4"/>
      <c r="AA1175" s="4"/>
      <c r="AB1175" s="4"/>
      <c r="AC1175" s="4"/>
      <c r="AD1175" s="4"/>
      <c r="AE1175" s="4"/>
      <c r="AF1175" s="81"/>
      <c r="AG1175" s="81"/>
      <c r="AH1175" s="81"/>
      <c r="AI1175" s="4"/>
      <c r="AJ1175" s="81"/>
      <c r="AK1175" s="81"/>
      <c r="AL1175" s="81"/>
    </row>
    <row r="1176" spans="1:38" s="7" customFormat="1">
      <c r="A1176" s="4"/>
      <c r="B1176" s="4"/>
      <c r="C1176" s="4"/>
      <c r="D1176" s="4"/>
      <c r="E1176" s="4"/>
      <c r="F1176" s="28"/>
      <c r="G1176" s="28"/>
      <c r="H1176" s="83"/>
      <c r="I1176" s="4"/>
      <c r="J1176" s="4"/>
      <c r="K1176" s="4"/>
      <c r="L1176" s="4"/>
      <c r="M1176" s="4"/>
      <c r="N1176" s="28"/>
      <c r="O1176" s="4"/>
      <c r="P1176" s="4"/>
      <c r="Q1176" s="4"/>
      <c r="R1176" s="4"/>
      <c r="S1176" s="4"/>
      <c r="T1176" s="4"/>
      <c r="U1176" s="4"/>
      <c r="V1176" s="4"/>
      <c r="W1176" s="4"/>
      <c r="X1176" s="4"/>
      <c r="Y1176" s="4"/>
      <c r="Z1176" s="4"/>
      <c r="AA1176" s="4"/>
      <c r="AB1176" s="4"/>
      <c r="AC1176" s="4"/>
      <c r="AD1176" s="4"/>
      <c r="AE1176" s="4"/>
      <c r="AF1176" s="81"/>
      <c r="AG1176" s="81"/>
      <c r="AH1176" s="81"/>
      <c r="AI1176" s="4"/>
      <c r="AJ1176" s="81"/>
      <c r="AK1176" s="81"/>
      <c r="AL1176" s="81"/>
    </row>
    <row r="1177" spans="1:38" s="7" customFormat="1">
      <c r="A1177" s="4"/>
      <c r="B1177" s="4"/>
      <c r="C1177" s="4"/>
      <c r="D1177" s="4"/>
      <c r="E1177" s="4"/>
      <c r="F1177" s="28"/>
      <c r="G1177" s="28"/>
      <c r="H1177" s="83"/>
      <c r="I1177" s="4"/>
      <c r="J1177" s="4"/>
      <c r="K1177" s="4"/>
      <c r="L1177" s="4"/>
      <c r="M1177" s="4"/>
      <c r="N1177" s="28"/>
      <c r="O1177" s="4"/>
      <c r="P1177" s="4"/>
      <c r="Q1177" s="4"/>
      <c r="R1177" s="4"/>
      <c r="S1177" s="4"/>
      <c r="T1177" s="4"/>
      <c r="U1177" s="4"/>
      <c r="V1177" s="4"/>
      <c r="W1177" s="4"/>
      <c r="X1177" s="4"/>
      <c r="Y1177" s="4"/>
      <c r="Z1177" s="4"/>
      <c r="AA1177" s="4"/>
      <c r="AB1177" s="4"/>
      <c r="AC1177" s="4"/>
      <c r="AD1177" s="4"/>
      <c r="AE1177" s="4"/>
      <c r="AF1177" s="81"/>
      <c r="AG1177" s="81"/>
      <c r="AH1177" s="81"/>
      <c r="AI1177" s="4"/>
      <c r="AJ1177" s="81"/>
      <c r="AK1177" s="81"/>
      <c r="AL1177" s="81"/>
    </row>
    <row r="1178" spans="1:38" s="7" customFormat="1">
      <c r="A1178" s="4"/>
      <c r="B1178" s="4"/>
      <c r="C1178" s="4"/>
      <c r="D1178" s="4"/>
      <c r="E1178" s="4"/>
      <c r="F1178" s="28"/>
      <c r="G1178" s="28"/>
      <c r="H1178" s="83"/>
      <c r="I1178" s="4"/>
      <c r="J1178" s="4"/>
      <c r="K1178" s="4"/>
      <c r="L1178" s="4"/>
      <c r="M1178" s="4"/>
      <c r="N1178" s="28"/>
      <c r="O1178" s="4"/>
      <c r="P1178" s="4"/>
      <c r="Q1178" s="4"/>
      <c r="R1178" s="4"/>
      <c r="S1178" s="4"/>
      <c r="T1178" s="4"/>
      <c r="U1178" s="4"/>
      <c r="V1178" s="4"/>
      <c r="W1178" s="4"/>
      <c r="X1178" s="4"/>
      <c r="Y1178" s="4"/>
      <c r="Z1178" s="4"/>
      <c r="AA1178" s="4"/>
      <c r="AB1178" s="4"/>
      <c r="AC1178" s="4"/>
      <c r="AD1178" s="4"/>
      <c r="AE1178" s="4"/>
      <c r="AF1178" s="81"/>
      <c r="AG1178" s="81"/>
      <c r="AH1178" s="81"/>
      <c r="AI1178" s="4"/>
      <c r="AJ1178" s="81"/>
      <c r="AK1178" s="81"/>
      <c r="AL1178" s="81"/>
    </row>
    <row r="1179" spans="1:38" s="7" customFormat="1">
      <c r="A1179" s="4"/>
      <c r="B1179" s="4"/>
      <c r="C1179" s="4"/>
      <c r="D1179" s="4"/>
      <c r="E1179" s="4"/>
      <c r="F1179" s="28"/>
      <c r="G1179" s="28"/>
      <c r="H1179" s="83"/>
      <c r="I1179" s="4"/>
      <c r="J1179" s="4"/>
      <c r="K1179" s="4"/>
      <c r="L1179" s="4"/>
      <c r="M1179" s="4"/>
      <c r="N1179" s="28"/>
      <c r="O1179" s="4"/>
      <c r="P1179" s="4"/>
      <c r="Q1179" s="4"/>
      <c r="R1179" s="4"/>
      <c r="S1179" s="4"/>
      <c r="T1179" s="4"/>
      <c r="U1179" s="4"/>
      <c r="V1179" s="4"/>
      <c r="W1179" s="4"/>
      <c r="X1179" s="4"/>
      <c r="Y1179" s="4"/>
      <c r="Z1179" s="4"/>
      <c r="AA1179" s="4"/>
      <c r="AB1179" s="4"/>
      <c r="AC1179" s="4"/>
      <c r="AD1179" s="4"/>
      <c r="AE1179" s="4"/>
      <c r="AF1179" s="81"/>
      <c r="AG1179" s="81"/>
      <c r="AH1179" s="81"/>
      <c r="AI1179" s="4"/>
      <c r="AJ1179" s="81"/>
      <c r="AK1179" s="81"/>
      <c r="AL1179" s="81"/>
    </row>
    <row r="1180" spans="1:38" s="7" customFormat="1">
      <c r="A1180" s="4"/>
      <c r="B1180" s="4"/>
      <c r="C1180" s="4"/>
      <c r="D1180" s="4"/>
      <c r="E1180" s="4"/>
      <c r="F1180" s="28"/>
      <c r="G1180" s="28"/>
      <c r="H1180" s="83"/>
      <c r="I1180" s="4"/>
      <c r="J1180" s="4"/>
      <c r="K1180" s="4"/>
      <c r="L1180" s="4"/>
      <c r="M1180" s="4"/>
      <c r="N1180" s="28"/>
      <c r="O1180" s="4"/>
      <c r="P1180" s="4"/>
      <c r="Q1180" s="4"/>
      <c r="R1180" s="4"/>
      <c r="S1180" s="4"/>
      <c r="T1180" s="4"/>
      <c r="U1180" s="4"/>
      <c r="V1180" s="4"/>
      <c r="W1180" s="4"/>
      <c r="X1180" s="4"/>
      <c r="Y1180" s="4"/>
      <c r="Z1180" s="4"/>
      <c r="AA1180" s="4"/>
      <c r="AB1180" s="4"/>
      <c r="AC1180" s="4"/>
      <c r="AD1180" s="4"/>
      <c r="AE1180" s="4"/>
      <c r="AF1180" s="81"/>
      <c r="AG1180" s="81"/>
      <c r="AH1180" s="81"/>
      <c r="AI1180" s="4"/>
      <c r="AJ1180" s="81"/>
      <c r="AK1180" s="81"/>
      <c r="AL1180" s="81"/>
    </row>
    <row r="1181" spans="1:38" s="7" customFormat="1">
      <c r="A1181" s="4"/>
      <c r="B1181" s="4"/>
      <c r="C1181" s="4"/>
      <c r="D1181" s="4"/>
      <c r="E1181" s="4"/>
      <c r="F1181" s="28"/>
      <c r="G1181" s="28"/>
      <c r="H1181" s="83"/>
      <c r="I1181" s="4"/>
      <c r="J1181" s="4"/>
      <c r="K1181" s="4"/>
      <c r="L1181" s="4"/>
      <c r="M1181" s="4"/>
      <c r="N1181" s="28"/>
      <c r="O1181" s="4"/>
      <c r="P1181" s="4"/>
      <c r="Q1181" s="4"/>
      <c r="R1181" s="4"/>
      <c r="S1181" s="4"/>
      <c r="T1181" s="4"/>
      <c r="U1181" s="4"/>
      <c r="V1181" s="4"/>
      <c r="W1181" s="4"/>
      <c r="X1181" s="4"/>
      <c r="Y1181" s="4"/>
      <c r="Z1181" s="4"/>
      <c r="AA1181" s="4"/>
      <c r="AB1181" s="4"/>
      <c r="AC1181" s="4"/>
      <c r="AD1181" s="4"/>
      <c r="AE1181" s="4"/>
      <c r="AF1181" s="81"/>
      <c r="AG1181" s="81"/>
      <c r="AH1181" s="81"/>
      <c r="AI1181" s="4"/>
      <c r="AJ1181" s="81"/>
      <c r="AK1181" s="81"/>
      <c r="AL1181" s="81"/>
    </row>
    <row r="1182" spans="1:38" s="7" customFormat="1">
      <c r="A1182" s="4"/>
      <c r="B1182" s="4"/>
      <c r="C1182" s="4"/>
      <c r="D1182" s="4"/>
      <c r="E1182" s="4"/>
      <c r="F1182" s="28"/>
      <c r="G1182" s="28"/>
      <c r="H1182" s="83"/>
      <c r="I1182" s="4"/>
      <c r="J1182" s="4"/>
      <c r="K1182" s="4"/>
      <c r="L1182" s="4"/>
      <c r="M1182" s="4"/>
      <c r="N1182" s="28"/>
      <c r="O1182" s="4"/>
      <c r="P1182" s="4"/>
      <c r="Q1182" s="4"/>
      <c r="R1182" s="4"/>
      <c r="S1182" s="4"/>
      <c r="T1182" s="4"/>
      <c r="U1182" s="4"/>
      <c r="V1182" s="4"/>
      <c r="W1182" s="4"/>
      <c r="X1182" s="4"/>
      <c r="Y1182" s="4"/>
      <c r="Z1182" s="4"/>
      <c r="AA1182" s="4"/>
      <c r="AB1182" s="4"/>
      <c r="AC1182" s="4"/>
      <c r="AD1182" s="4"/>
      <c r="AE1182" s="4"/>
      <c r="AF1182" s="81"/>
      <c r="AG1182" s="81"/>
      <c r="AH1182" s="81"/>
      <c r="AI1182" s="4"/>
      <c r="AJ1182" s="81"/>
      <c r="AK1182" s="81"/>
      <c r="AL1182" s="81"/>
    </row>
    <row r="1183" spans="1:38" s="7" customFormat="1">
      <c r="A1183" s="4"/>
      <c r="B1183" s="4"/>
      <c r="C1183" s="4"/>
      <c r="D1183" s="4"/>
      <c r="E1183" s="4"/>
      <c r="F1183" s="28"/>
      <c r="G1183" s="28"/>
      <c r="H1183" s="83"/>
      <c r="I1183" s="4"/>
      <c r="J1183" s="4"/>
      <c r="K1183" s="4"/>
      <c r="L1183" s="4"/>
      <c r="M1183" s="4"/>
      <c r="N1183" s="28"/>
      <c r="O1183" s="4"/>
      <c r="P1183" s="4"/>
      <c r="Q1183" s="4"/>
      <c r="R1183" s="4"/>
      <c r="S1183" s="4"/>
      <c r="T1183" s="4"/>
      <c r="U1183" s="4"/>
      <c r="V1183" s="4"/>
      <c r="W1183" s="4"/>
      <c r="X1183" s="4"/>
      <c r="Y1183" s="4"/>
      <c r="Z1183" s="4"/>
      <c r="AA1183" s="4"/>
      <c r="AB1183" s="4"/>
      <c r="AC1183" s="4"/>
      <c r="AD1183" s="4"/>
      <c r="AE1183" s="4"/>
      <c r="AF1183" s="81"/>
      <c r="AG1183" s="81"/>
      <c r="AH1183" s="81"/>
      <c r="AI1183" s="4"/>
      <c r="AJ1183" s="81"/>
      <c r="AK1183" s="81"/>
      <c r="AL1183" s="81"/>
    </row>
    <row r="1184" spans="1:38" s="7" customFormat="1">
      <c r="A1184" s="4"/>
      <c r="B1184" s="4"/>
      <c r="C1184" s="4"/>
      <c r="D1184" s="4"/>
      <c r="E1184" s="4"/>
      <c r="F1184" s="28"/>
      <c r="G1184" s="28"/>
      <c r="H1184" s="83"/>
      <c r="I1184" s="4"/>
      <c r="J1184" s="4"/>
      <c r="K1184" s="4"/>
      <c r="L1184" s="4"/>
      <c r="M1184" s="4"/>
      <c r="N1184" s="28"/>
      <c r="O1184" s="4"/>
      <c r="P1184" s="4"/>
      <c r="Q1184" s="4"/>
      <c r="R1184" s="4"/>
      <c r="S1184" s="4"/>
      <c r="T1184" s="4"/>
      <c r="U1184" s="4"/>
      <c r="V1184" s="4"/>
      <c r="W1184" s="4"/>
      <c r="X1184" s="4"/>
      <c r="Y1184" s="4"/>
      <c r="Z1184" s="4"/>
      <c r="AA1184" s="4"/>
      <c r="AB1184" s="4"/>
      <c r="AC1184" s="4"/>
      <c r="AD1184" s="4"/>
      <c r="AE1184" s="4"/>
      <c r="AF1184" s="81"/>
      <c r="AG1184" s="81"/>
      <c r="AH1184" s="81"/>
      <c r="AI1184" s="4"/>
      <c r="AJ1184" s="81"/>
      <c r="AK1184" s="81"/>
      <c r="AL1184" s="81"/>
    </row>
    <row r="1185" spans="1:38" s="7" customFormat="1">
      <c r="A1185" s="4"/>
      <c r="B1185" s="4"/>
      <c r="C1185" s="4"/>
      <c r="D1185" s="4"/>
      <c r="E1185" s="4"/>
      <c r="F1185" s="28"/>
      <c r="G1185" s="28"/>
      <c r="H1185" s="83"/>
      <c r="I1185" s="4"/>
      <c r="J1185" s="4"/>
      <c r="K1185" s="4"/>
      <c r="L1185" s="4"/>
      <c r="M1185" s="4"/>
      <c r="N1185" s="28"/>
      <c r="O1185" s="4"/>
      <c r="P1185" s="4"/>
      <c r="Q1185" s="4"/>
      <c r="R1185" s="4"/>
      <c r="S1185" s="4"/>
      <c r="T1185" s="4"/>
      <c r="U1185" s="4"/>
      <c r="V1185" s="4"/>
      <c r="W1185" s="4"/>
      <c r="X1185" s="4"/>
      <c r="Y1185" s="4"/>
      <c r="Z1185" s="4"/>
      <c r="AA1185" s="4"/>
      <c r="AB1185" s="4"/>
      <c r="AC1185" s="4"/>
      <c r="AD1185" s="4"/>
      <c r="AE1185" s="4"/>
      <c r="AF1185" s="81"/>
      <c r="AG1185" s="81"/>
      <c r="AH1185" s="81"/>
      <c r="AI1185" s="4"/>
      <c r="AJ1185" s="81"/>
      <c r="AK1185" s="81"/>
      <c r="AL1185" s="81"/>
    </row>
    <row r="1186" spans="1:38" s="7" customFormat="1">
      <c r="A1186" s="4"/>
      <c r="B1186" s="4"/>
      <c r="C1186" s="4"/>
      <c r="D1186" s="4"/>
      <c r="E1186" s="4"/>
      <c r="F1186" s="28"/>
      <c r="G1186" s="28"/>
      <c r="H1186" s="83"/>
      <c r="I1186" s="4"/>
      <c r="J1186" s="4"/>
      <c r="K1186" s="4"/>
      <c r="L1186" s="4"/>
      <c r="M1186" s="4"/>
      <c r="N1186" s="28"/>
      <c r="O1186" s="4"/>
      <c r="P1186" s="4"/>
      <c r="Q1186" s="4"/>
      <c r="R1186" s="4"/>
      <c r="S1186" s="4"/>
      <c r="T1186" s="4"/>
      <c r="U1186" s="4"/>
      <c r="V1186" s="4"/>
      <c r="W1186" s="4"/>
      <c r="X1186" s="4"/>
      <c r="Y1186" s="4"/>
      <c r="Z1186" s="4"/>
      <c r="AA1186" s="4"/>
      <c r="AB1186" s="4"/>
      <c r="AC1186" s="4"/>
      <c r="AD1186" s="4"/>
      <c r="AE1186" s="4"/>
      <c r="AF1186" s="81"/>
      <c r="AG1186" s="81"/>
      <c r="AH1186" s="81"/>
      <c r="AI1186" s="4"/>
      <c r="AJ1186" s="81"/>
      <c r="AK1186" s="81"/>
      <c r="AL1186" s="81"/>
    </row>
    <row r="1187" spans="1:38" s="7" customFormat="1">
      <c r="A1187" s="4"/>
      <c r="B1187" s="4"/>
      <c r="C1187" s="4"/>
      <c r="D1187" s="4"/>
      <c r="E1187" s="4"/>
      <c r="F1187" s="28"/>
      <c r="G1187" s="28"/>
      <c r="H1187" s="83"/>
      <c r="I1187" s="4"/>
      <c r="J1187" s="4"/>
      <c r="K1187" s="4"/>
      <c r="L1187" s="4"/>
      <c r="M1187" s="4"/>
      <c r="N1187" s="28"/>
      <c r="O1187" s="4"/>
      <c r="P1187" s="4"/>
      <c r="Q1187" s="4"/>
      <c r="R1187" s="4"/>
      <c r="S1187" s="4"/>
      <c r="T1187" s="4"/>
      <c r="U1187" s="4"/>
      <c r="V1187" s="4"/>
      <c r="W1187" s="4"/>
      <c r="X1187" s="4"/>
      <c r="Y1187" s="4"/>
      <c r="Z1187" s="4"/>
      <c r="AA1187" s="4"/>
      <c r="AB1187" s="4"/>
      <c r="AC1187" s="4"/>
      <c r="AD1187" s="4"/>
      <c r="AE1187" s="4"/>
      <c r="AF1187" s="81"/>
      <c r="AG1187" s="81"/>
      <c r="AH1187" s="81"/>
      <c r="AI1187" s="4"/>
      <c r="AJ1187" s="81"/>
      <c r="AK1187" s="81"/>
      <c r="AL1187" s="81"/>
    </row>
    <row r="1188" spans="1:38" s="7" customFormat="1">
      <c r="A1188" s="4"/>
      <c r="B1188" s="4"/>
      <c r="C1188" s="4"/>
      <c r="D1188" s="4"/>
      <c r="E1188" s="4"/>
      <c r="F1188" s="28"/>
      <c r="G1188" s="28"/>
      <c r="H1188" s="83"/>
      <c r="I1188" s="4"/>
      <c r="J1188" s="4"/>
      <c r="K1188" s="4"/>
      <c r="L1188" s="4"/>
      <c r="M1188" s="4"/>
      <c r="N1188" s="28"/>
      <c r="O1188" s="4"/>
      <c r="P1188" s="4"/>
      <c r="Q1188" s="4"/>
      <c r="R1188" s="4"/>
      <c r="S1188" s="4"/>
      <c r="T1188" s="4"/>
      <c r="U1188" s="4"/>
      <c r="V1188" s="4"/>
      <c r="W1188" s="4"/>
      <c r="X1188" s="4"/>
      <c r="Y1188" s="4"/>
      <c r="Z1188" s="4"/>
      <c r="AA1188" s="4"/>
      <c r="AB1188" s="4"/>
      <c r="AC1188" s="4"/>
      <c r="AD1188" s="4"/>
      <c r="AE1188" s="4"/>
      <c r="AF1188" s="81"/>
      <c r="AG1188" s="81"/>
      <c r="AH1188" s="81"/>
      <c r="AI1188" s="4"/>
      <c r="AJ1188" s="81"/>
      <c r="AK1188" s="81"/>
      <c r="AL1188" s="81"/>
    </row>
    <row r="1189" spans="1:38" s="7" customFormat="1">
      <c r="A1189" s="4"/>
      <c r="B1189" s="4"/>
      <c r="C1189" s="4"/>
      <c r="D1189" s="4"/>
      <c r="E1189" s="4"/>
      <c r="F1189" s="28"/>
      <c r="G1189" s="28"/>
      <c r="H1189" s="83"/>
      <c r="I1189" s="4"/>
      <c r="J1189" s="4"/>
      <c r="K1189" s="4"/>
      <c r="L1189" s="4"/>
      <c r="M1189" s="4"/>
      <c r="N1189" s="28"/>
      <c r="O1189" s="4"/>
      <c r="P1189" s="4"/>
      <c r="Q1189" s="4"/>
      <c r="R1189" s="4"/>
      <c r="S1189" s="4"/>
      <c r="T1189" s="4"/>
      <c r="U1189" s="4"/>
      <c r="V1189" s="4"/>
      <c r="W1189" s="4"/>
      <c r="X1189" s="4"/>
      <c r="Y1189" s="4"/>
      <c r="Z1189" s="4"/>
      <c r="AA1189" s="4"/>
      <c r="AB1189" s="4"/>
      <c r="AC1189" s="4"/>
      <c r="AD1189" s="4"/>
      <c r="AE1189" s="4"/>
      <c r="AF1189" s="81"/>
      <c r="AG1189" s="81"/>
      <c r="AH1189" s="81"/>
      <c r="AI1189" s="4"/>
      <c r="AJ1189" s="81"/>
      <c r="AK1189" s="81"/>
      <c r="AL1189" s="81"/>
    </row>
    <row r="1190" spans="1:38" s="7" customFormat="1">
      <c r="A1190" s="4"/>
      <c r="B1190" s="4"/>
      <c r="C1190" s="4"/>
      <c r="D1190" s="4"/>
      <c r="E1190" s="4"/>
      <c r="F1190" s="28"/>
      <c r="G1190" s="28"/>
      <c r="H1190" s="83"/>
      <c r="I1190" s="4"/>
      <c r="J1190" s="4"/>
      <c r="K1190" s="4"/>
      <c r="L1190" s="4"/>
      <c r="M1190" s="4"/>
      <c r="N1190" s="28"/>
      <c r="O1190" s="4"/>
      <c r="P1190" s="4"/>
      <c r="Q1190" s="4"/>
      <c r="R1190" s="4"/>
      <c r="S1190" s="4"/>
      <c r="T1190" s="4"/>
      <c r="U1190" s="4"/>
      <c r="V1190" s="4"/>
      <c r="W1190" s="4"/>
      <c r="X1190" s="4"/>
      <c r="Y1190" s="4"/>
      <c r="Z1190" s="4"/>
      <c r="AA1190" s="4"/>
      <c r="AB1190" s="4"/>
      <c r="AC1190" s="4"/>
      <c r="AD1190" s="4"/>
      <c r="AE1190" s="4"/>
      <c r="AF1190" s="81"/>
      <c r="AG1190" s="81"/>
      <c r="AH1190" s="81"/>
      <c r="AI1190" s="4"/>
      <c r="AJ1190" s="81"/>
      <c r="AK1190" s="81"/>
      <c r="AL1190" s="81"/>
    </row>
    <row r="1191" spans="1:38" s="7" customFormat="1">
      <c r="A1191" s="4"/>
      <c r="B1191" s="4"/>
      <c r="C1191" s="4"/>
      <c r="D1191" s="4"/>
      <c r="E1191" s="4"/>
      <c r="F1191" s="28"/>
      <c r="G1191" s="28"/>
      <c r="H1191" s="83"/>
      <c r="I1191" s="4"/>
      <c r="J1191" s="4"/>
      <c r="K1191" s="4"/>
      <c r="L1191" s="4"/>
      <c r="M1191" s="4"/>
      <c r="N1191" s="28"/>
      <c r="O1191" s="4"/>
      <c r="P1191" s="4"/>
      <c r="Q1191" s="4"/>
      <c r="R1191" s="4"/>
      <c r="S1191" s="4"/>
      <c r="T1191" s="4"/>
      <c r="U1191" s="4"/>
      <c r="V1191" s="4"/>
      <c r="W1191" s="4"/>
      <c r="X1191" s="4"/>
      <c r="Y1191" s="4"/>
      <c r="Z1191" s="4"/>
      <c r="AA1191" s="4"/>
      <c r="AB1191" s="4"/>
      <c r="AC1191" s="4"/>
      <c r="AD1191" s="4"/>
      <c r="AE1191" s="4"/>
      <c r="AF1191" s="81"/>
      <c r="AG1191" s="81"/>
      <c r="AH1191" s="81"/>
      <c r="AI1191" s="4"/>
      <c r="AJ1191" s="81"/>
      <c r="AK1191" s="81"/>
      <c r="AL1191" s="81"/>
    </row>
    <row r="1192" spans="1:38" s="7" customFormat="1">
      <c r="A1192" s="4"/>
      <c r="B1192" s="4"/>
      <c r="C1192" s="4"/>
      <c r="D1192" s="4"/>
      <c r="E1192" s="4"/>
      <c r="F1192" s="28"/>
      <c r="G1192" s="28"/>
      <c r="H1192" s="83"/>
      <c r="I1192" s="4"/>
      <c r="J1192" s="4"/>
      <c r="K1192" s="4"/>
      <c r="L1192" s="4"/>
      <c r="M1192" s="4"/>
      <c r="N1192" s="28"/>
      <c r="O1192" s="4"/>
      <c r="P1192" s="4"/>
      <c r="Q1192" s="4"/>
      <c r="R1192" s="4"/>
      <c r="S1192" s="4"/>
      <c r="T1192" s="4"/>
      <c r="U1192" s="4"/>
      <c r="V1192" s="4"/>
      <c r="W1192" s="4"/>
      <c r="X1192" s="4"/>
      <c r="Y1192" s="4"/>
      <c r="Z1192" s="4"/>
      <c r="AA1192" s="4"/>
      <c r="AB1192" s="4"/>
      <c r="AC1192" s="4"/>
      <c r="AD1192" s="4"/>
      <c r="AE1192" s="4"/>
      <c r="AF1192" s="81"/>
      <c r="AG1192" s="81"/>
      <c r="AH1192" s="81"/>
      <c r="AI1192" s="4"/>
      <c r="AJ1192" s="81"/>
      <c r="AK1192" s="81"/>
      <c r="AL1192" s="81"/>
    </row>
    <row r="1193" spans="1:38" s="7" customFormat="1">
      <c r="A1193" s="4"/>
      <c r="B1193" s="4"/>
      <c r="C1193" s="4"/>
      <c r="D1193" s="4"/>
      <c r="E1193" s="4"/>
      <c r="F1193" s="28"/>
      <c r="G1193" s="28"/>
      <c r="H1193" s="83"/>
      <c r="I1193" s="4"/>
      <c r="J1193" s="4"/>
      <c r="K1193" s="4"/>
      <c r="L1193" s="4"/>
      <c r="M1193" s="4"/>
      <c r="N1193" s="28"/>
      <c r="O1193" s="4"/>
      <c r="P1193" s="4"/>
      <c r="Q1193" s="4"/>
      <c r="R1193" s="4"/>
      <c r="S1193" s="4"/>
      <c r="T1193" s="4"/>
      <c r="U1193" s="4"/>
      <c r="V1193" s="4"/>
      <c r="W1193" s="4"/>
      <c r="X1193" s="4"/>
      <c r="Y1193" s="4"/>
      <c r="Z1193" s="4"/>
      <c r="AA1193" s="4"/>
      <c r="AB1193" s="4"/>
      <c r="AC1193" s="4"/>
      <c r="AD1193" s="4"/>
      <c r="AE1193" s="4"/>
      <c r="AF1193" s="81"/>
      <c r="AG1193" s="81"/>
      <c r="AH1193" s="81"/>
      <c r="AI1193" s="4"/>
      <c r="AJ1193" s="81"/>
      <c r="AK1193" s="81"/>
      <c r="AL1193" s="81"/>
    </row>
    <row r="1194" spans="1:38" s="7" customFormat="1">
      <c r="A1194" s="4"/>
      <c r="B1194" s="4"/>
      <c r="C1194" s="4"/>
      <c r="D1194" s="4"/>
      <c r="E1194" s="4"/>
      <c r="F1194" s="28"/>
      <c r="G1194" s="28"/>
      <c r="H1194" s="83"/>
      <c r="I1194" s="4"/>
      <c r="J1194" s="4"/>
      <c r="K1194" s="4"/>
      <c r="L1194" s="4"/>
      <c r="M1194" s="4"/>
      <c r="N1194" s="28"/>
      <c r="O1194" s="4"/>
      <c r="P1194" s="4"/>
      <c r="Q1194" s="4"/>
      <c r="R1194" s="4"/>
      <c r="S1194" s="4"/>
      <c r="T1194" s="4"/>
      <c r="U1194" s="4"/>
      <c r="V1194" s="4"/>
      <c r="W1194" s="4"/>
      <c r="X1194" s="4"/>
      <c r="Y1194" s="4"/>
      <c r="Z1194" s="4"/>
      <c r="AA1194" s="4"/>
      <c r="AB1194" s="4"/>
      <c r="AC1194" s="4"/>
      <c r="AD1194" s="4"/>
      <c r="AE1194" s="4"/>
      <c r="AF1194" s="81"/>
      <c r="AG1194" s="81"/>
      <c r="AH1194" s="81"/>
      <c r="AI1194" s="4"/>
      <c r="AJ1194" s="81"/>
      <c r="AK1194" s="81"/>
      <c r="AL1194" s="81"/>
    </row>
    <row r="1195" spans="1:38" s="7" customFormat="1">
      <c r="A1195" s="4"/>
      <c r="B1195" s="4"/>
      <c r="C1195" s="4"/>
      <c r="D1195" s="4"/>
      <c r="E1195" s="4"/>
      <c r="F1195" s="28"/>
      <c r="G1195" s="28"/>
      <c r="H1195" s="83"/>
      <c r="I1195" s="4"/>
      <c r="J1195" s="4"/>
      <c r="K1195" s="4"/>
      <c r="L1195" s="4"/>
      <c r="M1195" s="4"/>
      <c r="N1195" s="28"/>
      <c r="O1195" s="4"/>
      <c r="P1195" s="4"/>
      <c r="Q1195" s="4"/>
      <c r="R1195" s="4"/>
      <c r="S1195" s="4"/>
      <c r="T1195" s="4"/>
      <c r="U1195" s="4"/>
      <c r="V1195" s="4"/>
      <c r="W1195" s="4"/>
      <c r="X1195" s="4"/>
      <c r="Y1195" s="4"/>
      <c r="Z1195" s="4"/>
      <c r="AA1195" s="4"/>
      <c r="AB1195" s="4"/>
      <c r="AC1195" s="4"/>
      <c r="AD1195" s="4"/>
      <c r="AE1195" s="4"/>
      <c r="AF1195" s="81"/>
      <c r="AG1195" s="81"/>
      <c r="AH1195" s="81"/>
      <c r="AI1195" s="4"/>
      <c r="AJ1195" s="81"/>
      <c r="AK1195" s="81"/>
      <c r="AL1195" s="81"/>
    </row>
    <row r="1196" spans="1:38" s="7" customFormat="1">
      <c r="A1196" s="4"/>
      <c r="B1196" s="4"/>
      <c r="C1196" s="4"/>
      <c r="D1196" s="4"/>
      <c r="E1196" s="4"/>
      <c r="F1196" s="28"/>
      <c r="G1196" s="28"/>
      <c r="H1196" s="83"/>
      <c r="I1196" s="4"/>
      <c r="J1196" s="4"/>
      <c r="K1196" s="4"/>
      <c r="L1196" s="4"/>
      <c r="M1196" s="4"/>
      <c r="N1196" s="28"/>
      <c r="O1196" s="4"/>
      <c r="P1196" s="4"/>
      <c r="Q1196" s="4"/>
      <c r="R1196" s="4"/>
      <c r="S1196" s="4"/>
      <c r="T1196" s="4"/>
      <c r="U1196" s="4"/>
      <c r="V1196" s="4"/>
      <c r="W1196" s="4"/>
      <c r="X1196" s="4"/>
      <c r="Y1196" s="4"/>
      <c r="Z1196" s="4"/>
      <c r="AA1196" s="4"/>
      <c r="AB1196" s="4"/>
      <c r="AC1196" s="4"/>
      <c r="AD1196" s="4"/>
      <c r="AE1196" s="4"/>
      <c r="AF1196" s="81"/>
      <c r="AG1196" s="81"/>
      <c r="AH1196" s="81"/>
      <c r="AI1196" s="4"/>
      <c r="AJ1196" s="81"/>
      <c r="AK1196" s="81"/>
      <c r="AL1196" s="81"/>
    </row>
    <row r="1197" spans="1:38" s="7" customFormat="1">
      <c r="A1197" s="4"/>
      <c r="B1197" s="4"/>
      <c r="C1197" s="4"/>
      <c r="D1197" s="4"/>
      <c r="E1197" s="4"/>
      <c r="F1197" s="28"/>
      <c r="G1197" s="28"/>
      <c r="H1197" s="83"/>
      <c r="I1197" s="4"/>
      <c r="J1197" s="4"/>
      <c r="K1197" s="4"/>
      <c r="L1197" s="4"/>
      <c r="M1197" s="4"/>
      <c r="N1197" s="28"/>
      <c r="O1197" s="4"/>
      <c r="P1197" s="4"/>
      <c r="Q1197" s="4"/>
      <c r="R1197" s="4"/>
      <c r="S1197" s="4"/>
      <c r="T1197" s="4"/>
      <c r="U1197" s="4"/>
      <c r="V1197" s="4"/>
      <c r="W1197" s="4"/>
      <c r="X1197" s="4"/>
      <c r="Y1197" s="4"/>
      <c r="Z1197" s="4"/>
      <c r="AA1197" s="4"/>
      <c r="AB1197" s="4"/>
      <c r="AC1197" s="4"/>
      <c r="AD1197" s="4"/>
      <c r="AE1197" s="4"/>
      <c r="AF1197" s="81"/>
      <c r="AG1197" s="81"/>
      <c r="AH1197" s="81"/>
      <c r="AI1197" s="4"/>
      <c r="AJ1197" s="81"/>
      <c r="AK1197" s="81"/>
      <c r="AL1197" s="81"/>
    </row>
    <row r="1198" spans="1:38" s="7" customFormat="1">
      <c r="A1198" s="4"/>
      <c r="B1198" s="4"/>
      <c r="C1198" s="4"/>
      <c r="D1198" s="4"/>
      <c r="E1198" s="4"/>
      <c r="F1198" s="28"/>
      <c r="G1198" s="28"/>
      <c r="H1198" s="83"/>
      <c r="I1198" s="4"/>
      <c r="J1198" s="4"/>
      <c r="K1198" s="4"/>
      <c r="L1198" s="4"/>
      <c r="M1198" s="4"/>
      <c r="N1198" s="28"/>
      <c r="O1198" s="4"/>
      <c r="P1198" s="4"/>
      <c r="Q1198" s="4"/>
      <c r="R1198" s="4"/>
      <c r="S1198" s="4"/>
      <c r="T1198" s="4"/>
      <c r="U1198" s="4"/>
      <c r="V1198" s="4"/>
      <c r="W1198" s="4"/>
      <c r="X1198" s="4"/>
      <c r="Y1198" s="4"/>
      <c r="Z1198" s="4"/>
      <c r="AA1198" s="4"/>
      <c r="AB1198" s="4"/>
      <c r="AC1198" s="4"/>
      <c r="AD1198" s="4"/>
      <c r="AE1198" s="4"/>
      <c r="AF1198" s="81"/>
      <c r="AG1198" s="81"/>
      <c r="AH1198" s="81"/>
      <c r="AI1198" s="4"/>
      <c r="AJ1198" s="81"/>
      <c r="AK1198" s="81"/>
      <c r="AL1198" s="81"/>
    </row>
    <row r="1199" spans="1:38" s="7" customFormat="1">
      <c r="A1199" s="4"/>
      <c r="B1199" s="4"/>
      <c r="C1199" s="4"/>
      <c r="D1199" s="4"/>
      <c r="E1199" s="4"/>
      <c r="F1199" s="28"/>
      <c r="G1199" s="28"/>
      <c r="H1199" s="83"/>
      <c r="I1199" s="4"/>
      <c r="J1199" s="4"/>
      <c r="K1199" s="4"/>
      <c r="L1199" s="4"/>
      <c r="M1199" s="4"/>
      <c r="N1199" s="28"/>
      <c r="O1199" s="4"/>
      <c r="P1199" s="4"/>
      <c r="Q1199" s="4"/>
      <c r="R1199" s="4"/>
      <c r="S1199" s="4"/>
      <c r="T1199" s="4"/>
      <c r="U1199" s="4"/>
      <c r="V1199" s="4"/>
      <c r="W1199" s="4"/>
      <c r="X1199" s="4"/>
      <c r="Y1199" s="4"/>
      <c r="Z1199" s="4"/>
      <c r="AA1199" s="4"/>
      <c r="AB1199" s="4"/>
      <c r="AC1199" s="4"/>
      <c r="AD1199" s="4"/>
      <c r="AE1199" s="4"/>
      <c r="AF1199" s="81"/>
      <c r="AG1199" s="81"/>
      <c r="AH1199" s="81"/>
      <c r="AI1199" s="4"/>
      <c r="AJ1199" s="81"/>
      <c r="AK1199" s="81"/>
      <c r="AL1199" s="81"/>
    </row>
    <row r="1200" spans="1:38" s="7" customFormat="1">
      <c r="A1200" s="4"/>
      <c r="B1200" s="4"/>
      <c r="C1200" s="4"/>
      <c r="D1200" s="4"/>
      <c r="E1200" s="4"/>
      <c r="F1200" s="28"/>
      <c r="G1200" s="28"/>
      <c r="H1200" s="83"/>
      <c r="I1200" s="4"/>
      <c r="J1200" s="4"/>
      <c r="K1200" s="4"/>
      <c r="L1200" s="4"/>
      <c r="M1200" s="4"/>
      <c r="N1200" s="28"/>
      <c r="O1200" s="4"/>
      <c r="P1200" s="4"/>
      <c r="Q1200" s="4"/>
      <c r="R1200" s="4"/>
      <c r="S1200" s="4"/>
      <c r="T1200" s="4"/>
      <c r="U1200" s="4"/>
      <c r="V1200" s="4"/>
      <c r="W1200" s="4"/>
      <c r="X1200" s="4"/>
      <c r="Y1200" s="4"/>
      <c r="Z1200" s="4"/>
      <c r="AA1200" s="4"/>
      <c r="AB1200" s="4"/>
      <c r="AC1200" s="4"/>
      <c r="AD1200" s="4"/>
      <c r="AE1200" s="4"/>
      <c r="AF1200" s="81"/>
      <c r="AG1200" s="81"/>
      <c r="AH1200" s="81"/>
      <c r="AI1200" s="4"/>
      <c r="AJ1200" s="81"/>
      <c r="AK1200" s="81"/>
      <c r="AL1200" s="81"/>
    </row>
    <row r="1201" spans="1:38" s="7" customFormat="1">
      <c r="A1201" s="4"/>
      <c r="B1201" s="4"/>
      <c r="C1201" s="4"/>
      <c r="D1201" s="4"/>
      <c r="E1201" s="4"/>
      <c r="F1201" s="28"/>
      <c r="G1201" s="28"/>
      <c r="H1201" s="83"/>
      <c r="I1201" s="4"/>
      <c r="J1201" s="4"/>
      <c r="K1201" s="4"/>
      <c r="L1201" s="4"/>
      <c r="M1201" s="4"/>
      <c r="N1201" s="28"/>
      <c r="O1201" s="4"/>
      <c r="P1201" s="4"/>
      <c r="Q1201" s="4"/>
      <c r="R1201" s="4"/>
      <c r="S1201" s="4"/>
      <c r="T1201" s="4"/>
      <c r="U1201" s="4"/>
      <c r="V1201" s="4"/>
      <c r="W1201" s="4"/>
      <c r="X1201" s="4"/>
      <c r="Y1201" s="4"/>
      <c r="Z1201" s="4"/>
      <c r="AA1201" s="4"/>
      <c r="AB1201" s="4"/>
      <c r="AC1201" s="4"/>
      <c r="AD1201" s="4"/>
      <c r="AE1201" s="4"/>
      <c r="AF1201" s="81"/>
      <c r="AG1201" s="81"/>
      <c r="AH1201" s="81"/>
      <c r="AI1201" s="4"/>
      <c r="AJ1201" s="81"/>
      <c r="AK1201" s="81"/>
      <c r="AL1201" s="81"/>
    </row>
    <row r="1202" spans="1:38" s="7" customFormat="1">
      <c r="A1202" s="4"/>
      <c r="B1202" s="4"/>
      <c r="C1202" s="4"/>
      <c r="D1202" s="4"/>
      <c r="E1202" s="4"/>
      <c r="F1202" s="28"/>
      <c r="G1202" s="28"/>
      <c r="H1202" s="83"/>
      <c r="I1202" s="4"/>
      <c r="J1202" s="4"/>
      <c r="K1202" s="4"/>
      <c r="L1202" s="4"/>
      <c r="M1202" s="4"/>
      <c r="N1202" s="28"/>
      <c r="O1202" s="4"/>
      <c r="P1202" s="4"/>
      <c r="Q1202" s="4"/>
      <c r="R1202" s="4"/>
      <c r="S1202" s="4"/>
      <c r="T1202" s="4"/>
      <c r="U1202" s="4"/>
      <c r="V1202" s="4"/>
      <c r="W1202" s="4"/>
      <c r="X1202" s="4"/>
      <c r="Y1202" s="4"/>
      <c r="Z1202" s="4"/>
      <c r="AA1202" s="4"/>
      <c r="AB1202" s="4"/>
      <c r="AC1202" s="4"/>
      <c r="AD1202" s="4"/>
      <c r="AE1202" s="4"/>
      <c r="AF1202" s="81"/>
      <c r="AG1202" s="81"/>
      <c r="AH1202" s="81"/>
      <c r="AI1202" s="4"/>
      <c r="AJ1202" s="81"/>
      <c r="AK1202" s="81"/>
      <c r="AL1202" s="81"/>
    </row>
    <row r="1203" spans="1:38" s="7" customFormat="1">
      <c r="A1203" s="4"/>
      <c r="B1203" s="4"/>
      <c r="C1203" s="4"/>
      <c r="D1203" s="4"/>
      <c r="E1203" s="4"/>
      <c r="F1203" s="28"/>
      <c r="G1203" s="28"/>
      <c r="H1203" s="83"/>
      <c r="I1203" s="4"/>
      <c r="J1203" s="4"/>
      <c r="K1203" s="4"/>
      <c r="L1203" s="4"/>
      <c r="M1203" s="4"/>
      <c r="N1203" s="28"/>
      <c r="O1203" s="4"/>
      <c r="P1203" s="4"/>
      <c r="Q1203" s="4"/>
      <c r="R1203" s="4"/>
      <c r="S1203" s="4"/>
      <c r="T1203" s="4"/>
      <c r="U1203" s="4"/>
      <c r="V1203" s="4"/>
      <c r="W1203" s="4"/>
      <c r="X1203" s="4"/>
      <c r="Y1203" s="4"/>
      <c r="Z1203" s="4"/>
      <c r="AA1203" s="4"/>
      <c r="AB1203" s="4"/>
      <c r="AC1203" s="4"/>
      <c r="AD1203" s="4"/>
      <c r="AE1203" s="4"/>
      <c r="AF1203" s="81"/>
      <c r="AG1203" s="81"/>
      <c r="AH1203" s="81"/>
      <c r="AI1203" s="4"/>
      <c r="AJ1203" s="81"/>
      <c r="AK1203" s="81"/>
      <c r="AL1203" s="81"/>
    </row>
    <row r="1204" spans="1:38" s="7" customFormat="1">
      <c r="A1204" s="4"/>
      <c r="B1204" s="4"/>
      <c r="C1204" s="4"/>
      <c r="D1204" s="4"/>
      <c r="E1204" s="4"/>
      <c r="F1204" s="28"/>
      <c r="G1204" s="28"/>
      <c r="H1204" s="83"/>
      <c r="I1204" s="4"/>
      <c r="J1204" s="4"/>
      <c r="K1204" s="4"/>
      <c r="L1204" s="4"/>
      <c r="M1204" s="4"/>
      <c r="N1204" s="28"/>
      <c r="O1204" s="4"/>
      <c r="P1204" s="4"/>
      <c r="Q1204" s="4"/>
      <c r="R1204" s="4"/>
      <c r="S1204" s="4"/>
      <c r="T1204" s="4"/>
      <c r="U1204" s="4"/>
      <c r="V1204" s="4"/>
      <c r="W1204" s="4"/>
      <c r="X1204" s="4"/>
      <c r="Y1204" s="4"/>
      <c r="Z1204" s="4"/>
      <c r="AA1204" s="4"/>
      <c r="AB1204" s="4"/>
      <c r="AC1204" s="4"/>
      <c r="AD1204" s="4"/>
      <c r="AE1204" s="4"/>
      <c r="AF1204" s="81"/>
      <c r="AG1204" s="81"/>
      <c r="AH1204" s="81"/>
      <c r="AI1204" s="4"/>
      <c r="AJ1204" s="81"/>
      <c r="AK1204" s="81"/>
      <c r="AL1204" s="81"/>
    </row>
    <row r="1205" spans="1:38" s="7" customFormat="1">
      <c r="A1205" s="4"/>
      <c r="B1205" s="4"/>
      <c r="C1205" s="4"/>
      <c r="D1205" s="4"/>
      <c r="E1205" s="4"/>
      <c r="F1205" s="28"/>
      <c r="G1205" s="28"/>
      <c r="H1205" s="83"/>
      <c r="I1205" s="4"/>
      <c r="J1205" s="4"/>
      <c r="K1205" s="4"/>
      <c r="L1205" s="4"/>
      <c r="M1205" s="4"/>
      <c r="N1205" s="28"/>
      <c r="O1205" s="4"/>
      <c r="P1205" s="4"/>
      <c r="Q1205" s="4"/>
      <c r="R1205" s="4"/>
      <c r="S1205" s="4"/>
      <c r="T1205" s="4"/>
      <c r="U1205" s="4"/>
      <c r="V1205" s="4"/>
      <c r="W1205" s="4"/>
      <c r="X1205" s="4"/>
      <c r="Y1205" s="4"/>
      <c r="Z1205" s="4"/>
      <c r="AA1205" s="4"/>
      <c r="AB1205" s="4"/>
      <c r="AC1205" s="4"/>
      <c r="AD1205" s="4"/>
      <c r="AE1205" s="4"/>
      <c r="AF1205" s="81"/>
      <c r="AG1205" s="81"/>
      <c r="AH1205" s="81"/>
      <c r="AI1205" s="4"/>
      <c r="AJ1205" s="81"/>
      <c r="AK1205" s="81"/>
      <c r="AL1205" s="81"/>
    </row>
    <row r="1206" spans="1:38" s="7" customFormat="1">
      <c r="A1206" s="4"/>
      <c r="B1206" s="4"/>
      <c r="C1206" s="4"/>
      <c r="D1206" s="4"/>
      <c r="E1206" s="4"/>
      <c r="F1206" s="28"/>
      <c r="G1206" s="28"/>
      <c r="H1206" s="83"/>
      <c r="I1206" s="4"/>
      <c r="J1206" s="4"/>
      <c r="K1206" s="4"/>
      <c r="L1206" s="4"/>
      <c r="M1206" s="4"/>
      <c r="N1206" s="28"/>
      <c r="O1206" s="4"/>
      <c r="P1206" s="4"/>
      <c r="Q1206" s="4"/>
      <c r="R1206" s="4"/>
      <c r="S1206" s="4"/>
      <c r="T1206" s="4"/>
      <c r="U1206" s="4"/>
      <c r="V1206" s="4"/>
      <c r="W1206" s="4"/>
      <c r="X1206" s="4"/>
      <c r="Y1206" s="4"/>
      <c r="Z1206" s="4"/>
      <c r="AA1206" s="4"/>
      <c r="AB1206" s="4"/>
      <c r="AC1206" s="4"/>
      <c r="AD1206" s="4"/>
      <c r="AE1206" s="4"/>
      <c r="AF1206" s="81"/>
      <c r="AG1206" s="81"/>
      <c r="AH1206" s="81"/>
      <c r="AI1206" s="4"/>
      <c r="AJ1206" s="81"/>
      <c r="AK1206" s="81"/>
      <c r="AL1206" s="81"/>
    </row>
    <row r="1207" spans="1:38" s="7" customFormat="1">
      <c r="A1207" s="4"/>
      <c r="B1207" s="4"/>
      <c r="C1207" s="4"/>
      <c r="D1207" s="4"/>
      <c r="E1207" s="4"/>
      <c r="F1207" s="28"/>
      <c r="G1207" s="28"/>
      <c r="H1207" s="83"/>
      <c r="I1207" s="4"/>
      <c r="J1207" s="4"/>
      <c r="K1207" s="4"/>
      <c r="L1207" s="4"/>
      <c r="M1207" s="4"/>
      <c r="N1207" s="28"/>
      <c r="O1207" s="4"/>
      <c r="P1207" s="4"/>
      <c r="Q1207" s="4"/>
      <c r="R1207" s="4"/>
      <c r="S1207" s="4"/>
      <c r="T1207" s="4"/>
      <c r="U1207" s="4"/>
      <c r="V1207" s="4"/>
      <c r="W1207" s="4"/>
      <c r="X1207" s="4"/>
      <c r="Y1207" s="4"/>
      <c r="Z1207" s="4"/>
      <c r="AA1207" s="4"/>
      <c r="AB1207" s="4"/>
      <c r="AC1207" s="4"/>
      <c r="AD1207" s="4"/>
      <c r="AE1207" s="4"/>
      <c r="AF1207" s="81"/>
      <c r="AG1207" s="81"/>
      <c r="AH1207" s="81"/>
      <c r="AI1207" s="4"/>
      <c r="AJ1207" s="81"/>
      <c r="AK1207" s="81"/>
      <c r="AL1207" s="81"/>
    </row>
    <row r="1208" spans="1:38" s="7" customFormat="1">
      <c r="A1208" s="4"/>
      <c r="B1208" s="4"/>
      <c r="C1208" s="4"/>
      <c r="D1208" s="4"/>
      <c r="E1208" s="4"/>
      <c r="F1208" s="28"/>
      <c r="G1208" s="28"/>
      <c r="H1208" s="83"/>
      <c r="I1208" s="4"/>
      <c r="J1208" s="4"/>
      <c r="K1208" s="4"/>
      <c r="L1208" s="4"/>
      <c r="M1208" s="4"/>
      <c r="N1208" s="28"/>
      <c r="O1208" s="4"/>
      <c r="P1208" s="4"/>
      <c r="Q1208" s="4"/>
      <c r="R1208" s="4"/>
      <c r="S1208" s="4"/>
      <c r="T1208" s="4"/>
      <c r="U1208" s="4"/>
      <c r="V1208" s="4"/>
      <c r="W1208" s="4"/>
      <c r="X1208" s="4"/>
      <c r="Y1208" s="4"/>
      <c r="Z1208" s="4"/>
      <c r="AA1208" s="4"/>
      <c r="AB1208" s="4"/>
      <c r="AC1208" s="4"/>
      <c r="AD1208" s="4"/>
      <c r="AE1208" s="4"/>
      <c r="AF1208" s="81"/>
      <c r="AG1208" s="81"/>
      <c r="AH1208" s="81"/>
      <c r="AI1208" s="4"/>
      <c r="AJ1208" s="81"/>
      <c r="AK1208" s="81"/>
      <c r="AL1208" s="81"/>
    </row>
    <row r="1209" spans="1:38" s="7" customFormat="1">
      <c r="A1209" s="4"/>
      <c r="B1209" s="4"/>
      <c r="C1209" s="4"/>
      <c r="D1209" s="4"/>
      <c r="E1209" s="4"/>
      <c r="F1209" s="28"/>
      <c r="G1209" s="28"/>
      <c r="H1209" s="83"/>
      <c r="I1209" s="4"/>
      <c r="J1209" s="4"/>
      <c r="K1209" s="4"/>
      <c r="L1209" s="4"/>
      <c r="M1209" s="4"/>
      <c r="N1209" s="28"/>
      <c r="O1209" s="4"/>
      <c r="P1209" s="4"/>
      <c r="Q1209" s="4"/>
      <c r="R1209" s="4"/>
      <c r="S1209" s="4"/>
      <c r="T1209" s="4"/>
      <c r="U1209" s="4"/>
      <c r="V1209" s="4"/>
      <c r="W1209" s="4"/>
      <c r="X1209" s="4"/>
      <c r="Y1209" s="4"/>
      <c r="Z1209" s="4"/>
      <c r="AA1209" s="4"/>
      <c r="AB1209" s="4"/>
      <c r="AC1209" s="4"/>
      <c r="AD1209" s="4"/>
      <c r="AE1209" s="4"/>
      <c r="AF1209" s="81"/>
      <c r="AG1209" s="81"/>
      <c r="AH1209" s="81"/>
      <c r="AI1209" s="4"/>
      <c r="AJ1209" s="81"/>
      <c r="AK1209" s="81"/>
      <c r="AL1209" s="81"/>
    </row>
    <row r="1210" spans="1:38" s="7" customFormat="1">
      <c r="A1210" s="4"/>
      <c r="B1210" s="4"/>
      <c r="C1210" s="4"/>
      <c r="D1210" s="4"/>
      <c r="E1210" s="4"/>
      <c r="F1210" s="28"/>
      <c r="G1210" s="28"/>
      <c r="H1210" s="83"/>
      <c r="I1210" s="4"/>
      <c r="J1210" s="4"/>
      <c r="K1210" s="4"/>
      <c r="L1210" s="4"/>
      <c r="M1210" s="4"/>
      <c r="N1210" s="28"/>
      <c r="O1210" s="4"/>
      <c r="P1210" s="4"/>
      <c r="Q1210" s="4"/>
      <c r="R1210" s="4"/>
      <c r="S1210" s="4"/>
      <c r="T1210" s="4"/>
      <c r="U1210" s="4"/>
      <c r="V1210" s="4"/>
      <c r="W1210" s="4"/>
      <c r="X1210" s="4"/>
      <c r="Y1210" s="4"/>
      <c r="Z1210" s="4"/>
      <c r="AA1210" s="4"/>
      <c r="AB1210" s="4"/>
      <c r="AC1210" s="4"/>
      <c r="AD1210" s="4"/>
      <c r="AE1210" s="4"/>
      <c r="AF1210" s="81"/>
      <c r="AG1210" s="81"/>
      <c r="AH1210" s="81"/>
      <c r="AI1210" s="4"/>
      <c r="AJ1210" s="81"/>
      <c r="AK1210" s="81"/>
      <c r="AL1210" s="81"/>
    </row>
    <row r="1211" spans="1:38" s="7" customFormat="1">
      <c r="A1211" s="4"/>
      <c r="B1211" s="4"/>
      <c r="C1211" s="4"/>
      <c r="D1211" s="4"/>
      <c r="E1211" s="4"/>
      <c r="F1211" s="28"/>
      <c r="G1211" s="28"/>
      <c r="H1211" s="83"/>
      <c r="I1211" s="4"/>
      <c r="J1211" s="4"/>
      <c r="K1211" s="4"/>
      <c r="L1211" s="4"/>
      <c r="M1211" s="4"/>
      <c r="N1211" s="28"/>
      <c r="O1211" s="4"/>
      <c r="P1211" s="4"/>
      <c r="Q1211" s="4"/>
      <c r="R1211" s="4"/>
      <c r="S1211" s="4"/>
      <c r="T1211" s="4"/>
      <c r="U1211" s="4"/>
      <c r="V1211" s="4"/>
      <c r="W1211" s="4"/>
      <c r="X1211" s="4"/>
      <c r="Y1211" s="4"/>
      <c r="Z1211" s="4"/>
      <c r="AA1211" s="4"/>
      <c r="AB1211" s="4"/>
      <c r="AC1211" s="4"/>
      <c r="AD1211" s="4"/>
      <c r="AE1211" s="4"/>
      <c r="AF1211" s="81"/>
      <c r="AG1211" s="81"/>
      <c r="AH1211" s="81"/>
      <c r="AI1211" s="4"/>
      <c r="AJ1211" s="81"/>
      <c r="AK1211" s="81"/>
      <c r="AL1211" s="81"/>
    </row>
    <row r="1212" spans="1:38" s="7" customFormat="1">
      <c r="A1212" s="4"/>
      <c r="B1212" s="4"/>
      <c r="C1212" s="4"/>
      <c r="D1212" s="4"/>
      <c r="E1212" s="4"/>
      <c r="F1212" s="28"/>
      <c r="G1212" s="28"/>
      <c r="H1212" s="83"/>
      <c r="I1212" s="4"/>
      <c r="J1212" s="4"/>
      <c r="K1212" s="4"/>
      <c r="L1212" s="4"/>
      <c r="M1212" s="4"/>
      <c r="N1212" s="28"/>
      <c r="O1212" s="4"/>
      <c r="P1212" s="4"/>
      <c r="Q1212" s="4"/>
      <c r="R1212" s="4"/>
      <c r="S1212" s="4"/>
      <c r="T1212" s="4"/>
      <c r="U1212" s="4"/>
      <c r="V1212" s="4"/>
      <c r="W1212" s="4"/>
      <c r="X1212" s="4"/>
      <c r="Y1212" s="4"/>
      <c r="Z1212" s="4"/>
      <c r="AA1212" s="4"/>
      <c r="AB1212" s="4"/>
      <c r="AC1212" s="4"/>
      <c r="AD1212" s="4"/>
      <c r="AE1212" s="4"/>
      <c r="AF1212" s="81"/>
      <c r="AG1212" s="81"/>
      <c r="AH1212" s="81"/>
      <c r="AI1212" s="4"/>
      <c r="AJ1212" s="81"/>
      <c r="AK1212" s="81"/>
      <c r="AL1212" s="81"/>
    </row>
    <row r="1213" spans="1:38" s="7" customFormat="1">
      <c r="A1213" s="4"/>
      <c r="B1213" s="4"/>
      <c r="C1213" s="4"/>
      <c r="D1213" s="4"/>
      <c r="E1213" s="4"/>
      <c r="F1213" s="28"/>
      <c r="G1213" s="28"/>
      <c r="H1213" s="83"/>
      <c r="I1213" s="4"/>
      <c r="J1213" s="4"/>
      <c r="K1213" s="4"/>
      <c r="L1213" s="4"/>
      <c r="M1213" s="4"/>
      <c r="N1213" s="28"/>
      <c r="O1213" s="4"/>
      <c r="P1213" s="4"/>
      <c r="Q1213" s="4"/>
      <c r="R1213" s="4"/>
      <c r="S1213" s="4"/>
      <c r="T1213" s="4"/>
      <c r="U1213" s="4"/>
      <c r="V1213" s="4"/>
      <c r="W1213" s="4"/>
      <c r="X1213" s="4"/>
      <c r="Y1213" s="4"/>
      <c r="Z1213" s="4"/>
      <c r="AA1213" s="4"/>
      <c r="AB1213" s="4"/>
      <c r="AC1213" s="4"/>
      <c r="AD1213" s="4"/>
      <c r="AE1213" s="4"/>
      <c r="AF1213" s="81"/>
      <c r="AG1213" s="81"/>
      <c r="AH1213" s="81"/>
      <c r="AI1213" s="4"/>
      <c r="AJ1213" s="81"/>
      <c r="AK1213" s="81"/>
      <c r="AL1213" s="81"/>
    </row>
    <row r="1214" spans="1:38" s="7" customFormat="1">
      <c r="A1214" s="4"/>
      <c r="B1214" s="4"/>
      <c r="C1214" s="4"/>
      <c r="D1214" s="4"/>
      <c r="E1214" s="4"/>
      <c r="F1214" s="28"/>
      <c r="G1214" s="28"/>
      <c r="H1214" s="83"/>
      <c r="I1214" s="4"/>
      <c r="J1214" s="4"/>
      <c r="K1214" s="4"/>
      <c r="L1214" s="4"/>
      <c r="M1214" s="4"/>
      <c r="N1214" s="28"/>
      <c r="O1214" s="4"/>
      <c r="P1214" s="4"/>
      <c r="Q1214" s="4"/>
      <c r="R1214" s="4"/>
      <c r="S1214" s="4"/>
      <c r="T1214" s="4"/>
      <c r="U1214" s="4"/>
      <c r="V1214" s="4"/>
      <c r="W1214" s="4"/>
      <c r="X1214" s="4"/>
      <c r="Y1214" s="4"/>
      <c r="Z1214" s="4"/>
      <c r="AA1214" s="4"/>
      <c r="AB1214" s="4"/>
      <c r="AC1214" s="4"/>
      <c r="AD1214" s="4"/>
      <c r="AE1214" s="4"/>
      <c r="AF1214" s="81"/>
      <c r="AG1214" s="81"/>
      <c r="AH1214" s="81"/>
      <c r="AI1214" s="4"/>
      <c r="AJ1214" s="81"/>
      <c r="AK1214" s="81"/>
      <c r="AL1214" s="81"/>
    </row>
    <row r="1215" spans="1:38" s="7" customFormat="1">
      <c r="A1215" s="4"/>
      <c r="B1215" s="4"/>
      <c r="C1215" s="4"/>
      <c r="D1215" s="4"/>
      <c r="E1215" s="4"/>
      <c r="F1215" s="28"/>
      <c r="G1215" s="28"/>
      <c r="H1215" s="83"/>
      <c r="I1215" s="4"/>
      <c r="J1215" s="4"/>
      <c r="K1215" s="4"/>
      <c r="L1215" s="4"/>
      <c r="M1215" s="4"/>
      <c r="N1215" s="28"/>
      <c r="O1215" s="4"/>
      <c r="P1215" s="4"/>
      <c r="Q1215" s="4"/>
      <c r="R1215" s="4"/>
      <c r="S1215" s="4"/>
      <c r="T1215" s="4"/>
      <c r="U1215" s="4"/>
      <c r="V1215" s="4"/>
      <c r="W1215" s="4"/>
      <c r="X1215" s="4"/>
      <c r="Y1215" s="4"/>
      <c r="Z1215" s="4"/>
      <c r="AA1215" s="4"/>
      <c r="AB1215" s="4"/>
      <c r="AC1215" s="4"/>
      <c r="AD1215" s="4"/>
      <c r="AE1215" s="4"/>
      <c r="AF1215" s="81"/>
      <c r="AG1215" s="81"/>
      <c r="AH1215" s="81"/>
      <c r="AI1215" s="4"/>
      <c r="AJ1215" s="81"/>
      <c r="AK1215" s="81"/>
      <c r="AL1215" s="81"/>
    </row>
    <row r="1216" spans="1:38" s="7" customFormat="1">
      <c r="A1216" s="4"/>
      <c r="B1216" s="4"/>
      <c r="C1216" s="4"/>
      <c r="D1216" s="4"/>
      <c r="E1216" s="4"/>
      <c r="F1216" s="28"/>
      <c r="G1216" s="28"/>
      <c r="H1216" s="83"/>
      <c r="I1216" s="4"/>
      <c r="J1216" s="4"/>
      <c r="K1216" s="4"/>
      <c r="L1216" s="4"/>
      <c r="M1216" s="4"/>
      <c r="N1216" s="28"/>
      <c r="O1216" s="4"/>
      <c r="P1216" s="4"/>
      <c r="Q1216" s="4"/>
      <c r="R1216" s="4"/>
      <c r="S1216" s="4"/>
      <c r="T1216" s="4"/>
      <c r="U1216" s="4"/>
      <c r="V1216" s="4"/>
      <c r="W1216" s="4"/>
      <c r="X1216" s="4"/>
      <c r="Y1216" s="4"/>
      <c r="Z1216" s="4"/>
      <c r="AA1216" s="4"/>
      <c r="AB1216" s="4"/>
      <c r="AC1216" s="4"/>
      <c r="AD1216" s="4"/>
      <c r="AE1216" s="4"/>
      <c r="AF1216" s="81"/>
      <c r="AG1216" s="81"/>
      <c r="AH1216" s="81"/>
      <c r="AI1216" s="4"/>
      <c r="AJ1216" s="81"/>
      <c r="AK1216" s="81"/>
      <c r="AL1216" s="81"/>
    </row>
    <row r="1217" spans="1:38" s="7" customFormat="1">
      <c r="A1217" s="4"/>
      <c r="B1217" s="4"/>
      <c r="C1217" s="4"/>
      <c r="D1217" s="4"/>
      <c r="E1217" s="4"/>
      <c r="F1217" s="28"/>
      <c r="G1217" s="28"/>
      <c r="H1217" s="83"/>
      <c r="I1217" s="4"/>
      <c r="J1217" s="4"/>
      <c r="K1217" s="4"/>
      <c r="L1217" s="4"/>
      <c r="M1217" s="4"/>
      <c r="N1217" s="28"/>
      <c r="O1217" s="4"/>
      <c r="P1217" s="4"/>
      <c r="Q1217" s="4"/>
      <c r="R1217" s="4"/>
      <c r="S1217" s="4"/>
      <c r="T1217" s="4"/>
      <c r="U1217" s="4"/>
      <c r="V1217" s="4"/>
      <c r="W1217" s="4"/>
      <c r="X1217" s="4"/>
      <c r="Y1217" s="4"/>
      <c r="Z1217" s="4"/>
      <c r="AA1217" s="4"/>
      <c r="AB1217" s="4"/>
      <c r="AC1217" s="4"/>
      <c r="AD1217" s="4"/>
      <c r="AE1217" s="4"/>
      <c r="AF1217" s="81"/>
      <c r="AG1217" s="81"/>
      <c r="AH1217" s="81"/>
      <c r="AI1217" s="4"/>
      <c r="AJ1217" s="81"/>
      <c r="AK1217" s="81"/>
      <c r="AL1217" s="81"/>
    </row>
    <row r="1218" spans="1:38" s="7" customFormat="1">
      <c r="A1218" s="4"/>
      <c r="B1218" s="4"/>
      <c r="C1218" s="4"/>
      <c r="D1218" s="4"/>
      <c r="E1218" s="4"/>
      <c r="F1218" s="28"/>
      <c r="G1218" s="28"/>
      <c r="H1218" s="83"/>
      <c r="I1218" s="4"/>
      <c r="J1218" s="4"/>
      <c r="K1218" s="4"/>
      <c r="L1218" s="4"/>
      <c r="M1218" s="4"/>
      <c r="N1218" s="28"/>
      <c r="O1218" s="4"/>
      <c r="P1218" s="4"/>
      <c r="Q1218" s="4"/>
      <c r="R1218" s="4"/>
      <c r="S1218" s="4"/>
      <c r="T1218" s="4"/>
      <c r="U1218" s="4"/>
      <c r="V1218" s="4"/>
      <c r="W1218" s="4"/>
      <c r="X1218" s="4"/>
      <c r="Y1218" s="4"/>
      <c r="Z1218" s="4"/>
      <c r="AA1218" s="4"/>
      <c r="AB1218" s="4"/>
      <c r="AC1218" s="4"/>
      <c r="AD1218" s="4"/>
      <c r="AE1218" s="4"/>
      <c r="AF1218" s="81"/>
      <c r="AG1218" s="81"/>
      <c r="AH1218" s="81"/>
      <c r="AI1218" s="4"/>
      <c r="AJ1218" s="81"/>
      <c r="AK1218" s="81"/>
      <c r="AL1218" s="81"/>
    </row>
    <row r="1219" spans="1:38" s="7" customFormat="1">
      <c r="A1219" s="4"/>
      <c r="B1219" s="4"/>
      <c r="C1219" s="4"/>
      <c r="D1219" s="4"/>
      <c r="E1219" s="4"/>
      <c r="F1219" s="28"/>
      <c r="G1219" s="28"/>
      <c r="H1219" s="83"/>
      <c r="I1219" s="4"/>
      <c r="J1219" s="4"/>
      <c r="K1219" s="4"/>
      <c r="L1219" s="4"/>
      <c r="M1219" s="4"/>
      <c r="N1219" s="28"/>
      <c r="O1219" s="4"/>
      <c r="P1219" s="4"/>
      <c r="Q1219" s="4"/>
      <c r="R1219" s="4"/>
      <c r="S1219" s="4"/>
      <c r="T1219" s="4"/>
      <c r="U1219" s="4"/>
      <c r="V1219" s="4"/>
      <c r="W1219" s="4"/>
      <c r="X1219" s="4"/>
      <c r="Y1219" s="4"/>
      <c r="Z1219" s="4"/>
      <c r="AA1219" s="4"/>
      <c r="AB1219" s="4"/>
      <c r="AC1219" s="4"/>
      <c r="AD1219" s="4"/>
      <c r="AE1219" s="4"/>
      <c r="AF1219" s="81"/>
      <c r="AG1219" s="81"/>
      <c r="AH1219" s="81"/>
      <c r="AI1219" s="4"/>
      <c r="AJ1219" s="81"/>
      <c r="AK1219" s="81"/>
      <c r="AL1219" s="81"/>
    </row>
    <row r="1220" spans="1:38" s="7" customFormat="1">
      <c r="A1220" s="4"/>
      <c r="B1220" s="4"/>
      <c r="C1220" s="4"/>
      <c r="D1220" s="4"/>
      <c r="E1220" s="4"/>
      <c r="F1220" s="28"/>
      <c r="G1220" s="28"/>
      <c r="H1220" s="83"/>
      <c r="I1220" s="4"/>
      <c r="J1220" s="4"/>
      <c r="K1220" s="4"/>
      <c r="L1220" s="4"/>
      <c r="M1220" s="4"/>
      <c r="N1220" s="28"/>
      <c r="O1220" s="4"/>
      <c r="P1220" s="4"/>
      <c r="Q1220" s="4"/>
      <c r="R1220" s="4"/>
      <c r="S1220" s="4"/>
      <c r="T1220" s="4"/>
      <c r="U1220" s="4"/>
      <c r="V1220" s="4"/>
      <c r="W1220" s="4"/>
      <c r="X1220" s="4"/>
      <c r="Y1220" s="4"/>
      <c r="Z1220" s="4"/>
      <c r="AA1220" s="4"/>
      <c r="AB1220" s="4"/>
      <c r="AC1220" s="4"/>
      <c r="AD1220" s="4"/>
      <c r="AE1220" s="4"/>
      <c r="AF1220" s="81"/>
      <c r="AG1220" s="81"/>
      <c r="AH1220" s="81"/>
      <c r="AI1220" s="4"/>
      <c r="AJ1220" s="81"/>
      <c r="AK1220" s="81"/>
      <c r="AL1220" s="81"/>
    </row>
    <row r="1221" spans="1:38" s="7" customFormat="1">
      <c r="A1221" s="4"/>
      <c r="B1221" s="4"/>
      <c r="C1221" s="4"/>
      <c r="D1221" s="4"/>
      <c r="E1221" s="4"/>
      <c r="F1221" s="28"/>
      <c r="G1221" s="28"/>
      <c r="H1221" s="83"/>
      <c r="I1221" s="4"/>
      <c r="J1221" s="4"/>
      <c r="K1221" s="4"/>
      <c r="L1221" s="4"/>
      <c r="M1221" s="4"/>
      <c r="N1221" s="28"/>
      <c r="O1221" s="4"/>
      <c r="P1221" s="4"/>
      <c r="Q1221" s="4"/>
      <c r="R1221" s="4"/>
      <c r="S1221" s="4"/>
      <c r="T1221" s="4"/>
      <c r="U1221" s="4"/>
      <c r="V1221" s="4"/>
      <c r="W1221" s="4"/>
      <c r="X1221" s="4"/>
      <c r="Y1221" s="4"/>
      <c r="Z1221" s="4"/>
      <c r="AA1221" s="4"/>
      <c r="AB1221" s="4"/>
      <c r="AC1221" s="4"/>
      <c r="AD1221" s="4"/>
      <c r="AE1221" s="4"/>
      <c r="AF1221" s="81"/>
      <c r="AG1221" s="81"/>
      <c r="AH1221" s="81"/>
      <c r="AI1221" s="4"/>
      <c r="AJ1221" s="81"/>
      <c r="AK1221" s="81"/>
      <c r="AL1221" s="81"/>
    </row>
    <row r="1222" spans="1:38" s="7" customFormat="1">
      <c r="A1222" s="4"/>
      <c r="B1222" s="4"/>
      <c r="C1222" s="4"/>
      <c r="D1222" s="4"/>
      <c r="E1222" s="4"/>
      <c r="F1222" s="28"/>
      <c r="G1222" s="28"/>
      <c r="H1222" s="83"/>
      <c r="I1222" s="4"/>
      <c r="J1222" s="4"/>
      <c r="K1222" s="4"/>
      <c r="L1222" s="4"/>
      <c r="M1222" s="4"/>
      <c r="N1222" s="28"/>
      <c r="O1222" s="4"/>
      <c r="P1222" s="4"/>
      <c r="Q1222" s="4"/>
      <c r="R1222" s="4"/>
      <c r="S1222" s="4"/>
      <c r="T1222" s="4"/>
      <c r="U1222" s="4"/>
      <c r="V1222" s="4"/>
      <c r="W1222" s="4"/>
      <c r="X1222" s="4"/>
      <c r="Y1222" s="4"/>
      <c r="Z1222" s="4"/>
      <c r="AA1222" s="4"/>
      <c r="AB1222" s="4"/>
      <c r="AC1222" s="4"/>
      <c r="AD1222" s="4"/>
      <c r="AE1222" s="4"/>
      <c r="AF1222" s="81"/>
      <c r="AG1222" s="81"/>
      <c r="AH1222" s="81"/>
      <c r="AI1222" s="4"/>
      <c r="AJ1222" s="81"/>
      <c r="AK1222" s="81"/>
      <c r="AL1222" s="81"/>
    </row>
    <row r="1223" spans="1:38" s="7" customFormat="1">
      <c r="A1223" s="4"/>
      <c r="B1223" s="4"/>
      <c r="C1223" s="4"/>
      <c r="D1223" s="4"/>
      <c r="E1223" s="4"/>
      <c r="F1223" s="28"/>
      <c r="G1223" s="28"/>
      <c r="H1223" s="83"/>
      <c r="I1223" s="4"/>
      <c r="J1223" s="4"/>
      <c r="K1223" s="4"/>
      <c r="L1223" s="4"/>
      <c r="M1223" s="4"/>
      <c r="N1223" s="28"/>
      <c r="O1223" s="4"/>
      <c r="P1223" s="4"/>
      <c r="Q1223" s="4"/>
      <c r="R1223" s="4"/>
      <c r="S1223" s="4"/>
      <c r="T1223" s="4"/>
      <c r="U1223" s="4"/>
      <c r="V1223" s="4"/>
      <c r="W1223" s="4"/>
      <c r="X1223" s="4"/>
      <c r="Y1223" s="4"/>
      <c r="Z1223" s="4"/>
      <c r="AA1223" s="4"/>
      <c r="AB1223" s="4"/>
      <c r="AC1223" s="4"/>
      <c r="AD1223" s="4"/>
      <c r="AE1223" s="4"/>
      <c r="AF1223" s="81"/>
      <c r="AG1223" s="81"/>
      <c r="AH1223" s="81"/>
      <c r="AI1223" s="4"/>
      <c r="AJ1223" s="81"/>
      <c r="AK1223" s="81"/>
      <c r="AL1223" s="81"/>
    </row>
    <row r="1224" spans="1:38" s="7" customFormat="1">
      <c r="A1224" s="4"/>
      <c r="B1224" s="4"/>
      <c r="C1224" s="4"/>
      <c r="D1224" s="4"/>
      <c r="E1224" s="4"/>
      <c r="F1224" s="28"/>
      <c r="G1224" s="28"/>
      <c r="H1224" s="83"/>
      <c r="I1224" s="4"/>
      <c r="J1224" s="4"/>
      <c r="K1224" s="4"/>
      <c r="L1224" s="4"/>
      <c r="M1224" s="4"/>
      <c r="N1224" s="28"/>
      <c r="O1224" s="4"/>
      <c r="P1224" s="4"/>
      <c r="Q1224" s="4"/>
      <c r="R1224" s="4"/>
      <c r="S1224" s="4"/>
      <c r="T1224" s="4"/>
      <c r="U1224" s="4"/>
      <c r="V1224" s="4"/>
      <c r="W1224" s="4"/>
      <c r="X1224" s="4"/>
      <c r="Y1224" s="4"/>
      <c r="Z1224" s="4"/>
      <c r="AA1224" s="4"/>
      <c r="AB1224" s="4"/>
      <c r="AC1224" s="4"/>
      <c r="AD1224" s="4"/>
      <c r="AE1224" s="4"/>
      <c r="AF1224" s="81"/>
      <c r="AG1224" s="81"/>
      <c r="AH1224" s="81"/>
      <c r="AI1224" s="4"/>
      <c r="AJ1224" s="81"/>
      <c r="AK1224" s="81"/>
      <c r="AL1224" s="81"/>
    </row>
    <row r="1225" spans="1:38" s="7" customFormat="1">
      <c r="A1225" s="4"/>
      <c r="B1225" s="4"/>
      <c r="C1225" s="4"/>
      <c r="D1225" s="4"/>
      <c r="E1225" s="4"/>
      <c r="F1225" s="28"/>
      <c r="G1225" s="28"/>
      <c r="H1225" s="83"/>
      <c r="I1225" s="4"/>
      <c r="J1225" s="4"/>
      <c r="K1225" s="4"/>
      <c r="L1225" s="4"/>
      <c r="M1225" s="4"/>
      <c r="N1225" s="28"/>
      <c r="O1225" s="4"/>
      <c r="P1225" s="4"/>
      <c r="Q1225" s="4"/>
      <c r="R1225" s="4"/>
      <c r="S1225" s="4"/>
      <c r="T1225" s="4"/>
      <c r="U1225" s="4"/>
      <c r="V1225" s="4"/>
      <c r="W1225" s="4"/>
      <c r="X1225" s="4"/>
      <c r="Y1225" s="4"/>
      <c r="Z1225" s="4"/>
      <c r="AA1225" s="4"/>
      <c r="AB1225" s="4"/>
      <c r="AC1225" s="4"/>
      <c r="AD1225" s="4"/>
      <c r="AE1225" s="4"/>
      <c r="AF1225" s="81"/>
      <c r="AG1225" s="81"/>
      <c r="AH1225" s="81"/>
      <c r="AI1225" s="4"/>
      <c r="AJ1225" s="81"/>
      <c r="AK1225" s="81"/>
      <c r="AL1225" s="81"/>
    </row>
    <row r="1226" spans="1:38" s="7" customFormat="1">
      <c r="A1226" s="4"/>
      <c r="B1226" s="4"/>
      <c r="C1226" s="4"/>
      <c r="D1226" s="4"/>
      <c r="E1226" s="4"/>
      <c r="F1226" s="28"/>
      <c r="G1226" s="28"/>
      <c r="H1226" s="83"/>
      <c r="I1226" s="4"/>
      <c r="J1226" s="4"/>
      <c r="K1226" s="4"/>
      <c r="L1226" s="4"/>
      <c r="M1226" s="4"/>
      <c r="N1226" s="28"/>
      <c r="O1226" s="4"/>
      <c r="P1226" s="4"/>
      <c r="Q1226" s="4"/>
      <c r="R1226" s="4"/>
      <c r="S1226" s="4"/>
      <c r="T1226" s="4"/>
      <c r="U1226" s="4"/>
      <c r="V1226" s="4"/>
      <c r="W1226" s="4"/>
      <c r="X1226" s="4"/>
      <c r="Y1226" s="4"/>
      <c r="Z1226" s="4"/>
      <c r="AA1226" s="4"/>
      <c r="AB1226" s="4"/>
      <c r="AC1226" s="4"/>
      <c r="AD1226" s="4"/>
      <c r="AE1226" s="4"/>
      <c r="AF1226" s="81"/>
      <c r="AG1226" s="81"/>
      <c r="AH1226" s="81"/>
      <c r="AI1226" s="4"/>
      <c r="AJ1226" s="81"/>
      <c r="AK1226" s="81"/>
      <c r="AL1226" s="81"/>
    </row>
    <row r="1227" spans="1:38" s="7" customFormat="1">
      <c r="A1227" s="4"/>
      <c r="B1227" s="4"/>
      <c r="C1227" s="4"/>
      <c r="D1227" s="4"/>
      <c r="E1227" s="4"/>
      <c r="F1227" s="28"/>
      <c r="G1227" s="28"/>
      <c r="H1227" s="83"/>
      <c r="I1227" s="4"/>
      <c r="J1227" s="4"/>
      <c r="K1227" s="4"/>
      <c r="L1227" s="4"/>
      <c r="M1227" s="4"/>
      <c r="N1227" s="28"/>
      <c r="O1227" s="4"/>
      <c r="P1227" s="4"/>
      <c r="Q1227" s="4"/>
      <c r="R1227" s="4"/>
      <c r="S1227" s="4"/>
      <c r="T1227" s="4"/>
      <c r="U1227" s="4"/>
      <c r="V1227" s="4"/>
      <c r="W1227" s="4"/>
      <c r="X1227" s="4"/>
      <c r="Y1227" s="4"/>
      <c r="Z1227" s="4"/>
      <c r="AA1227" s="4"/>
      <c r="AB1227" s="4"/>
      <c r="AC1227" s="4"/>
      <c r="AD1227" s="4"/>
      <c r="AE1227" s="4"/>
      <c r="AF1227" s="81"/>
      <c r="AG1227" s="81"/>
      <c r="AH1227" s="81"/>
      <c r="AI1227" s="4"/>
      <c r="AJ1227" s="81"/>
      <c r="AK1227" s="81"/>
      <c r="AL1227" s="81"/>
    </row>
    <row r="1228" spans="1:38" s="7" customFormat="1">
      <c r="A1228" s="4"/>
      <c r="B1228" s="4"/>
      <c r="C1228" s="4"/>
      <c r="D1228" s="4"/>
      <c r="E1228" s="4"/>
      <c r="F1228" s="28"/>
      <c r="G1228" s="28"/>
      <c r="H1228" s="83"/>
      <c r="I1228" s="4"/>
      <c r="J1228" s="4"/>
      <c r="K1228" s="4"/>
      <c r="L1228" s="4"/>
      <c r="M1228" s="4"/>
      <c r="N1228" s="28"/>
      <c r="O1228" s="4"/>
      <c r="P1228" s="4"/>
      <c r="Q1228" s="4"/>
      <c r="R1228" s="4"/>
      <c r="S1228" s="4"/>
      <c r="T1228" s="4"/>
      <c r="U1228" s="4"/>
      <c r="V1228" s="4"/>
      <c r="W1228" s="4"/>
      <c r="X1228" s="4"/>
      <c r="Y1228" s="4"/>
      <c r="Z1228" s="4"/>
      <c r="AA1228" s="4"/>
      <c r="AB1228" s="4"/>
      <c r="AC1228" s="4"/>
      <c r="AD1228" s="4"/>
      <c r="AE1228" s="4"/>
      <c r="AF1228" s="81"/>
      <c r="AG1228" s="81"/>
      <c r="AH1228" s="81"/>
      <c r="AI1228" s="4"/>
      <c r="AJ1228" s="81"/>
      <c r="AK1228" s="81"/>
      <c r="AL1228" s="81"/>
    </row>
    <row r="1229" spans="1:38" s="7" customFormat="1">
      <c r="A1229" s="4"/>
      <c r="B1229" s="4"/>
      <c r="C1229" s="4"/>
      <c r="D1229" s="4"/>
      <c r="E1229" s="4"/>
      <c r="F1229" s="28"/>
      <c r="G1229" s="28"/>
      <c r="H1229" s="83"/>
      <c r="I1229" s="4"/>
      <c r="J1229" s="4"/>
      <c r="K1229" s="4"/>
      <c r="L1229" s="4"/>
      <c r="M1229" s="4"/>
      <c r="N1229" s="28"/>
      <c r="O1229" s="4"/>
      <c r="P1229" s="4"/>
      <c r="Q1229" s="4"/>
      <c r="R1229" s="4"/>
      <c r="S1229" s="4"/>
      <c r="T1229" s="4"/>
      <c r="U1229" s="4"/>
      <c r="V1229" s="4"/>
      <c r="W1229" s="4"/>
      <c r="X1229" s="4"/>
      <c r="Y1229" s="4"/>
      <c r="Z1229" s="4"/>
      <c r="AA1229" s="4"/>
      <c r="AB1229" s="4"/>
      <c r="AC1229" s="4"/>
      <c r="AD1229" s="4"/>
      <c r="AE1229" s="4"/>
      <c r="AF1229" s="81"/>
      <c r="AG1229" s="81"/>
      <c r="AH1229" s="81"/>
      <c r="AI1229" s="4"/>
      <c r="AJ1229" s="81"/>
      <c r="AK1229" s="81"/>
      <c r="AL1229" s="81"/>
    </row>
    <row r="1230" spans="1:38" s="7" customFormat="1">
      <c r="A1230" s="4"/>
      <c r="B1230" s="4"/>
      <c r="C1230" s="4"/>
      <c r="D1230" s="4"/>
      <c r="E1230" s="4"/>
      <c r="F1230" s="28"/>
      <c r="G1230" s="28"/>
      <c r="H1230" s="83"/>
      <c r="I1230" s="4"/>
      <c r="J1230" s="4"/>
      <c r="K1230" s="4"/>
      <c r="L1230" s="4"/>
      <c r="M1230" s="4"/>
      <c r="N1230" s="28"/>
      <c r="O1230" s="4"/>
      <c r="P1230" s="4"/>
      <c r="Q1230" s="4"/>
      <c r="R1230" s="4"/>
      <c r="S1230" s="4"/>
      <c r="T1230" s="4"/>
      <c r="U1230" s="4"/>
      <c r="V1230" s="4"/>
      <c r="W1230" s="4"/>
      <c r="X1230" s="4"/>
      <c r="Y1230" s="4"/>
      <c r="Z1230" s="4"/>
      <c r="AA1230" s="4"/>
      <c r="AB1230" s="4"/>
      <c r="AC1230" s="4"/>
      <c r="AD1230" s="4"/>
      <c r="AE1230" s="4"/>
      <c r="AF1230" s="81"/>
      <c r="AG1230" s="81"/>
      <c r="AH1230" s="81"/>
      <c r="AI1230" s="4"/>
      <c r="AJ1230" s="81"/>
      <c r="AK1230" s="81"/>
      <c r="AL1230" s="81"/>
    </row>
    <row r="1231" spans="1:38" s="7" customFormat="1">
      <c r="A1231" s="4"/>
      <c r="B1231" s="4"/>
      <c r="C1231" s="4"/>
      <c r="D1231" s="4"/>
      <c r="E1231" s="4"/>
      <c r="F1231" s="28"/>
      <c r="G1231" s="28"/>
      <c r="H1231" s="83"/>
      <c r="I1231" s="4"/>
      <c r="J1231" s="4"/>
      <c r="K1231" s="4"/>
      <c r="L1231" s="4"/>
      <c r="M1231" s="4"/>
      <c r="N1231" s="28"/>
      <c r="O1231" s="4"/>
      <c r="P1231" s="4"/>
      <c r="Q1231" s="4"/>
      <c r="R1231" s="4"/>
      <c r="S1231" s="4"/>
      <c r="T1231" s="4"/>
      <c r="U1231" s="4"/>
      <c r="V1231" s="4"/>
      <c r="W1231" s="4"/>
      <c r="X1231" s="4"/>
      <c r="Y1231" s="4"/>
      <c r="Z1231" s="4"/>
      <c r="AA1231" s="4"/>
      <c r="AB1231" s="4"/>
      <c r="AC1231" s="4"/>
      <c r="AD1231" s="4"/>
      <c r="AE1231" s="4"/>
      <c r="AF1231" s="81"/>
      <c r="AG1231" s="81"/>
      <c r="AH1231" s="81"/>
      <c r="AI1231" s="4"/>
      <c r="AJ1231" s="81"/>
      <c r="AK1231" s="81"/>
      <c r="AL1231" s="81"/>
    </row>
    <row r="1232" spans="1:38" s="7" customFormat="1">
      <c r="A1232" s="4"/>
      <c r="B1232" s="4"/>
      <c r="C1232" s="4"/>
      <c r="D1232" s="4"/>
      <c r="E1232" s="4"/>
      <c r="F1232" s="28"/>
      <c r="G1232" s="28"/>
      <c r="H1232" s="83"/>
      <c r="I1232" s="4"/>
      <c r="J1232" s="4"/>
      <c r="K1232" s="4"/>
      <c r="L1232" s="4"/>
      <c r="M1232" s="4"/>
      <c r="N1232" s="28"/>
      <c r="O1232" s="4"/>
      <c r="P1232" s="4"/>
      <c r="Q1232" s="4"/>
      <c r="R1232" s="4"/>
      <c r="S1232" s="4"/>
      <c r="T1232" s="4"/>
      <c r="U1232" s="4"/>
      <c r="V1232" s="4"/>
      <c r="W1232" s="4"/>
      <c r="X1232" s="4"/>
      <c r="Y1232" s="4"/>
      <c r="Z1232" s="4"/>
      <c r="AA1232" s="4"/>
      <c r="AB1232" s="4"/>
      <c r="AC1232" s="4"/>
      <c r="AD1232" s="4"/>
      <c r="AE1232" s="4"/>
      <c r="AF1232" s="81"/>
      <c r="AG1232" s="81"/>
      <c r="AH1232" s="81"/>
      <c r="AI1232" s="4"/>
      <c r="AJ1232" s="81"/>
      <c r="AK1232" s="81"/>
      <c r="AL1232" s="81"/>
    </row>
    <row r="1233" spans="1:38" s="7" customFormat="1">
      <c r="A1233" s="4"/>
      <c r="B1233" s="4"/>
      <c r="C1233" s="4"/>
      <c r="D1233" s="4"/>
      <c r="E1233" s="4"/>
      <c r="F1233" s="28"/>
      <c r="G1233" s="28"/>
      <c r="H1233" s="83"/>
      <c r="I1233" s="4"/>
      <c r="J1233" s="4"/>
      <c r="K1233" s="4"/>
      <c r="L1233" s="4"/>
      <c r="M1233" s="4"/>
      <c r="N1233" s="28"/>
      <c r="O1233" s="4"/>
      <c r="P1233" s="4"/>
      <c r="Q1233" s="4"/>
      <c r="R1233" s="4"/>
      <c r="S1233" s="4"/>
      <c r="T1233" s="4"/>
      <c r="U1233" s="4"/>
      <c r="V1233" s="4"/>
      <c r="W1233" s="4"/>
      <c r="X1233" s="4"/>
      <c r="Y1233" s="4"/>
      <c r="Z1233" s="4"/>
      <c r="AA1233" s="4"/>
      <c r="AB1233" s="4"/>
      <c r="AC1233" s="4"/>
      <c r="AD1233" s="4"/>
      <c r="AE1233" s="4"/>
      <c r="AF1233" s="81"/>
      <c r="AG1233" s="81"/>
      <c r="AH1233" s="81"/>
      <c r="AI1233" s="4"/>
      <c r="AJ1233" s="81"/>
      <c r="AK1233" s="81"/>
      <c r="AL1233" s="81"/>
    </row>
    <row r="1234" spans="1:38" s="7" customFormat="1">
      <c r="A1234" s="4"/>
      <c r="B1234" s="4"/>
      <c r="C1234" s="4"/>
      <c r="D1234" s="4"/>
      <c r="E1234" s="4"/>
      <c r="F1234" s="28"/>
      <c r="G1234" s="28"/>
      <c r="H1234" s="83"/>
      <c r="I1234" s="4"/>
      <c r="J1234" s="4"/>
      <c r="K1234" s="4"/>
      <c r="L1234" s="4"/>
      <c r="M1234" s="4"/>
      <c r="N1234" s="28"/>
      <c r="O1234" s="4"/>
      <c r="P1234" s="4"/>
      <c r="Q1234" s="4"/>
      <c r="R1234" s="4"/>
      <c r="S1234" s="4"/>
      <c r="T1234" s="4"/>
      <c r="U1234" s="4"/>
      <c r="V1234" s="4"/>
      <c r="W1234" s="4"/>
      <c r="X1234" s="4"/>
      <c r="Y1234" s="4"/>
      <c r="Z1234" s="4"/>
      <c r="AA1234" s="4"/>
      <c r="AB1234" s="4"/>
      <c r="AC1234" s="4"/>
      <c r="AD1234" s="4"/>
      <c r="AE1234" s="4"/>
      <c r="AF1234" s="81"/>
      <c r="AG1234" s="81"/>
      <c r="AH1234" s="81"/>
      <c r="AI1234" s="4"/>
      <c r="AJ1234" s="81"/>
      <c r="AK1234" s="81"/>
      <c r="AL1234" s="81"/>
    </row>
    <row r="1235" spans="1:38" s="7" customFormat="1">
      <c r="A1235" s="4"/>
      <c r="B1235" s="4"/>
      <c r="C1235" s="4"/>
      <c r="D1235" s="4"/>
      <c r="E1235" s="4"/>
      <c r="F1235" s="28"/>
      <c r="G1235" s="28"/>
      <c r="H1235" s="83"/>
      <c r="I1235" s="4"/>
      <c r="J1235" s="4"/>
      <c r="K1235" s="4"/>
      <c r="L1235" s="4"/>
      <c r="M1235" s="4"/>
      <c r="N1235" s="28"/>
      <c r="O1235" s="4"/>
      <c r="P1235" s="4"/>
      <c r="Q1235" s="4"/>
      <c r="R1235" s="4"/>
      <c r="S1235" s="4"/>
      <c r="T1235" s="4"/>
      <c r="U1235" s="4"/>
      <c r="V1235" s="4"/>
      <c r="W1235" s="4"/>
      <c r="X1235" s="4"/>
      <c r="Y1235" s="4"/>
      <c r="Z1235" s="4"/>
      <c r="AA1235" s="4"/>
      <c r="AB1235" s="4"/>
      <c r="AC1235" s="4"/>
      <c r="AD1235" s="4"/>
      <c r="AE1235" s="4"/>
      <c r="AF1235" s="81"/>
      <c r="AG1235" s="81"/>
      <c r="AH1235" s="81"/>
      <c r="AI1235" s="4"/>
      <c r="AJ1235" s="81"/>
      <c r="AK1235" s="81"/>
      <c r="AL1235" s="81"/>
    </row>
    <row r="1236" spans="1:38" s="7" customFormat="1">
      <c r="A1236" s="4"/>
      <c r="B1236" s="4"/>
      <c r="C1236" s="4"/>
      <c r="D1236" s="4"/>
      <c r="E1236" s="4"/>
      <c r="F1236" s="28"/>
      <c r="G1236" s="28"/>
      <c r="H1236" s="83"/>
      <c r="I1236" s="4"/>
      <c r="J1236" s="4"/>
      <c r="K1236" s="4"/>
      <c r="L1236" s="4"/>
      <c r="M1236" s="4"/>
      <c r="N1236" s="28"/>
      <c r="O1236" s="4"/>
      <c r="P1236" s="4"/>
      <c r="Q1236" s="4"/>
      <c r="R1236" s="4"/>
      <c r="S1236" s="4"/>
      <c r="T1236" s="4"/>
      <c r="U1236" s="4"/>
      <c r="V1236" s="4"/>
      <c r="W1236" s="4"/>
      <c r="X1236" s="4"/>
      <c r="Y1236" s="4"/>
      <c r="Z1236" s="4"/>
      <c r="AA1236" s="4"/>
      <c r="AB1236" s="4"/>
      <c r="AC1236" s="4"/>
      <c r="AD1236" s="4"/>
      <c r="AE1236" s="4"/>
      <c r="AF1236" s="81"/>
      <c r="AG1236" s="81"/>
      <c r="AH1236" s="81"/>
      <c r="AI1236" s="4"/>
      <c r="AJ1236" s="81"/>
      <c r="AK1236" s="81"/>
      <c r="AL1236" s="81"/>
    </row>
    <row r="1237" spans="1:38" s="7" customFormat="1">
      <c r="A1237" s="4"/>
      <c r="B1237" s="4"/>
      <c r="C1237" s="4"/>
      <c r="D1237" s="4"/>
      <c r="E1237" s="4"/>
      <c r="F1237" s="28"/>
      <c r="G1237" s="28"/>
      <c r="H1237" s="83"/>
      <c r="I1237" s="4"/>
      <c r="J1237" s="4"/>
      <c r="K1237" s="4"/>
      <c r="L1237" s="4"/>
      <c r="M1237" s="4"/>
      <c r="N1237" s="28"/>
      <c r="O1237" s="4"/>
      <c r="P1237" s="4"/>
      <c r="Q1237" s="4"/>
      <c r="R1237" s="4"/>
      <c r="S1237" s="4"/>
      <c r="T1237" s="4"/>
      <c r="U1237" s="4"/>
      <c r="V1237" s="4"/>
      <c r="W1237" s="4"/>
      <c r="X1237" s="4"/>
      <c r="Y1237" s="4"/>
      <c r="Z1237" s="4"/>
      <c r="AA1237" s="4"/>
      <c r="AB1237" s="4"/>
      <c r="AC1237" s="4"/>
      <c r="AD1237" s="4"/>
      <c r="AE1237" s="4"/>
      <c r="AF1237" s="81"/>
      <c r="AG1237" s="81"/>
      <c r="AH1237" s="81"/>
      <c r="AI1237" s="4"/>
      <c r="AJ1237" s="81"/>
      <c r="AK1237" s="81"/>
      <c r="AL1237" s="81"/>
    </row>
    <row r="1238" spans="1:38" s="7" customFormat="1">
      <c r="A1238" s="4"/>
      <c r="B1238" s="4"/>
      <c r="C1238" s="4"/>
      <c r="D1238" s="4"/>
      <c r="E1238" s="4"/>
      <c r="F1238" s="28"/>
      <c r="G1238" s="28"/>
      <c r="H1238" s="83"/>
      <c r="I1238" s="4"/>
      <c r="J1238" s="4"/>
      <c r="K1238" s="4"/>
      <c r="L1238" s="4"/>
      <c r="M1238" s="4"/>
      <c r="N1238" s="28"/>
      <c r="O1238" s="4"/>
      <c r="P1238" s="4"/>
      <c r="Q1238" s="4"/>
      <c r="R1238" s="4"/>
      <c r="S1238" s="4"/>
      <c r="T1238" s="4"/>
      <c r="U1238" s="4"/>
      <c r="V1238" s="4"/>
      <c r="W1238" s="4"/>
      <c r="X1238" s="4"/>
      <c r="Y1238" s="4"/>
      <c r="Z1238" s="4"/>
      <c r="AA1238" s="4"/>
      <c r="AB1238" s="4"/>
      <c r="AC1238" s="4"/>
      <c r="AD1238" s="4"/>
      <c r="AE1238" s="4"/>
      <c r="AF1238" s="81"/>
      <c r="AG1238" s="81"/>
      <c r="AH1238" s="81"/>
      <c r="AI1238" s="4"/>
      <c r="AJ1238" s="81"/>
      <c r="AK1238" s="81"/>
      <c r="AL1238" s="81"/>
    </row>
    <row r="1239" spans="1:38" s="7" customFormat="1">
      <c r="A1239" s="4"/>
      <c r="B1239" s="4"/>
      <c r="C1239" s="4"/>
      <c r="D1239" s="4"/>
      <c r="E1239" s="4"/>
      <c r="F1239" s="28"/>
      <c r="G1239" s="28"/>
      <c r="H1239" s="83"/>
      <c r="I1239" s="4"/>
      <c r="J1239" s="4"/>
      <c r="K1239" s="4"/>
      <c r="L1239" s="4"/>
      <c r="M1239" s="4"/>
      <c r="N1239" s="28"/>
      <c r="O1239" s="4"/>
      <c r="P1239" s="4"/>
      <c r="Q1239" s="4"/>
      <c r="R1239" s="4"/>
      <c r="S1239" s="4"/>
      <c r="T1239" s="4"/>
      <c r="U1239" s="4"/>
      <c r="V1239" s="4"/>
      <c r="W1239" s="4"/>
      <c r="X1239" s="4"/>
      <c r="Y1239" s="4"/>
      <c r="Z1239" s="4"/>
      <c r="AA1239" s="4"/>
      <c r="AB1239" s="4"/>
      <c r="AC1239" s="4"/>
      <c r="AD1239" s="4"/>
      <c r="AE1239" s="4"/>
      <c r="AF1239" s="81"/>
      <c r="AG1239" s="81"/>
      <c r="AH1239" s="81"/>
      <c r="AI1239" s="4"/>
      <c r="AJ1239" s="81"/>
      <c r="AK1239" s="81"/>
      <c r="AL1239" s="81"/>
    </row>
    <row r="1240" spans="1:38" s="7" customFormat="1">
      <c r="A1240" s="4"/>
      <c r="B1240" s="4"/>
      <c r="C1240" s="4"/>
      <c r="D1240" s="4"/>
      <c r="E1240" s="4"/>
      <c r="F1240" s="28"/>
      <c r="G1240" s="28"/>
      <c r="H1240" s="83"/>
      <c r="I1240" s="4"/>
      <c r="J1240" s="4"/>
      <c r="K1240" s="4"/>
      <c r="L1240" s="4"/>
      <c r="M1240" s="4"/>
      <c r="N1240" s="28"/>
      <c r="O1240" s="4"/>
      <c r="P1240" s="4"/>
      <c r="Q1240" s="4"/>
      <c r="R1240" s="4"/>
      <c r="S1240" s="4"/>
      <c r="T1240" s="4"/>
      <c r="U1240" s="4"/>
      <c r="V1240" s="4"/>
      <c r="W1240" s="4"/>
      <c r="X1240" s="4"/>
      <c r="Y1240" s="4"/>
      <c r="Z1240" s="4"/>
      <c r="AA1240" s="4"/>
      <c r="AB1240" s="4"/>
      <c r="AC1240" s="4"/>
      <c r="AD1240" s="4"/>
      <c r="AE1240" s="4"/>
      <c r="AF1240" s="81"/>
      <c r="AG1240" s="81"/>
      <c r="AH1240" s="81"/>
      <c r="AI1240" s="4"/>
      <c r="AJ1240" s="81"/>
      <c r="AK1240" s="81"/>
      <c r="AL1240" s="81"/>
    </row>
    <row r="1241" spans="1:38" s="7" customFormat="1">
      <c r="A1241" s="4"/>
      <c r="B1241" s="4"/>
      <c r="C1241" s="4"/>
      <c r="D1241" s="4"/>
      <c r="E1241" s="4"/>
      <c r="F1241" s="28"/>
      <c r="G1241" s="28"/>
      <c r="H1241" s="83"/>
      <c r="I1241" s="4"/>
      <c r="J1241" s="4"/>
      <c r="K1241" s="4"/>
      <c r="L1241" s="4"/>
      <c r="M1241" s="4"/>
      <c r="N1241" s="28"/>
      <c r="O1241" s="4"/>
      <c r="P1241" s="4"/>
      <c r="Q1241" s="4"/>
      <c r="R1241" s="4"/>
      <c r="S1241" s="4"/>
      <c r="T1241" s="4"/>
      <c r="U1241" s="4"/>
      <c r="V1241" s="4"/>
      <c r="W1241" s="4"/>
      <c r="X1241" s="4"/>
      <c r="Y1241" s="4"/>
      <c r="Z1241" s="4"/>
      <c r="AA1241" s="4"/>
      <c r="AB1241" s="4"/>
      <c r="AC1241" s="4"/>
      <c r="AD1241" s="4"/>
      <c r="AE1241" s="4"/>
      <c r="AF1241" s="81"/>
      <c r="AG1241" s="81"/>
      <c r="AH1241" s="81"/>
      <c r="AI1241" s="4"/>
      <c r="AJ1241" s="81"/>
      <c r="AK1241" s="81"/>
      <c r="AL1241" s="81"/>
    </row>
    <row r="1242" spans="1:38" s="7" customFormat="1">
      <c r="A1242" s="4"/>
      <c r="B1242" s="4"/>
      <c r="C1242" s="4"/>
      <c r="D1242" s="4"/>
      <c r="E1242" s="4"/>
      <c r="F1242" s="28"/>
      <c r="G1242" s="28"/>
      <c r="H1242" s="83"/>
      <c r="I1242" s="4"/>
      <c r="J1242" s="4"/>
      <c r="K1242" s="4"/>
      <c r="L1242" s="4"/>
      <c r="M1242" s="4"/>
      <c r="N1242" s="28"/>
      <c r="O1242" s="4"/>
      <c r="P1242" s="4"/>
      <c r="Q1242" s="4"/>
      <c r="R1242" s="4"/>
      <c r="S1242" s="4"/>
      <c r="T1242" s="4"/>
      <c r="U1242" s="4"/>
      <c r="V1242" s="4"/>
      <c r="W1242" s="4"/>
      <c r="X1242" s="4"/>
      <c r="Y1242" s="4"/>
      <c r="Z1242" s="4"/>
      <c r="AA1242" s="4"/>
      <c r="AB1242" s="4"/>
      <c r="AC1242" s="4"/>
      <c r="AD1242" s="4"/>
      <c r="AE1242" s="4"/>
      <c r="AF1242" s="81"/>
      <c r="AG1242" s="81"/>
      <c r="AH1242" s="81"/>
      <c r="AI1242" s="4"/>
      <c r="AJ1242" s="81"/>
      <c r="AK1242" s="81"/>
      <c r="AL1242" s="81"/>
    </row>
    <row r="1243" spans="1:38" s="7" customFormat="1">
      <c r="A1243" s="4"/>
      <c r="B1243" s="4"/>
      <c r="C1243" s="4"/>
      <c r="D1243" s="4"/>
      <c r="E1243" s="4"/>
      <c r="F1243" s="28"/>
      <c r="G1243" s="28"/>
      <c r="H1243" s="83"/>
      <c r="I1243" s="4"/>
      <c r="J1243" s="4"/>
      <c r="K1243" s="4"/>
      <c r="L1243" s="4"/>
      <c r="M1243" s="4"/>
      <c r="N1243" s="28"/>
      <c r="O1243" s="4"/>
      <c r="P1243" s="4"/>
      <c r="Q1243" s="4"/>
      <c r="R1243" s="4"/>
      <c r="S1243" s="4"/>
      <c r="T1243" s="4"/>
      <c r="U1243" s="4"/>
      <c r="V1243" s="4"/>
      <c r="W1243" s="4"/>
      <c r="X1243" s="4"/>
      <c r="Y1243" s="4"/>
      <c r="Z1243" s="4"/>
      <c r="AA1243" s="4"/>
      <c r="AB1243" s="4"/>
      <c r="AC1243" s="4"/>
      <c r="AD1243" s="4"/>
      <c r="AE1243" s="4"/>
      <c r="AF1243" s="81"/>
      <c r="AG1243" s="81"/>
      <c r="AH1243" s="81"/>
      <c r="AI1243" s="4"/>
      <c r="AJ1243" s="81"/>
      <c r="AK1243" s="81"/>
      <c r="AL1243" s="81"/>
    </row>
    <row r="1244" spans="1:38" s="7" customFormat="1">
      <c r="A1244" s="4"/>
      <c r="B1244" s="4"/>
      <c r="C1244" s="4"/>
      <c r="D1244" s="4"/>
      <c r="E1244" s="4"/>
      <c r="F1244" s="28"/>
      <c r="G1244" s="28"/>
      <c r="H1244" s="83"/>
      <c r="I1244" s="4"/>
      <c r="J1244" s="4"/>
      <c r="K1244" s="4"/>
      <c r="L1244" s="4"/>
      <c r="M1244" s="4"/>
      <c r="N1244" s="28"/>
      <c r="O1244" s="4"/>
      <c r="P1244" s="4"/>
      <c r="Q1244" s="4"/>
      <c r="R1244" s="4"/>
      <c r="S1244" s="4"/>
      <c r="T1244" s="4"/>
      <c r="U1244" s="4"/>
      <c r="V1244" s="4"/>
      <c r="W1244" s="4"/>
      <c r="X1244" s="4"/>
      <c r="Y1244" s="4"/>
      <c r="Z1244" s="4"/>
      <c r="AA1244" s="4"/>
      <c r="AB1244" s="4"/>
      <c r="AC1244" s="4"/>
      <c r="AD1244" s="4"/>
      <c r="AE1244" s="4"/>
      <c r="AF1244" s="81"/>
      <c r="AG1244" s="81"/>
      <c r="AH1244" s="81"/>
      <c r="AI1244" s="4"/>
      <c r="AJ1244" s="81"/>
      <c r="AK1244" s="81"/>
      <c r="AL1244" s="81"/>
    </row>
    <row r="1245" spans="1:38" s="7" customFormat="1">
      <c r="A1245" s="4"/>
      <c r="B1245" s="4"/>
      <c r="C1245" s="4"/>
      <c r="D1245" s="4"/>
      <c r="E1245" s="4"/>
      <c r="F1245" s="28"/>
      <c r="G1245" s="28"/>
      <c r="H1245" s="83"/>
      <c r="I1245" s="4"/>
      <c r="J1245" s="4"/>
      <c r="K1245" s="4"/>
      <c r="L1245" s="4"/>
      <c r="M1245" s="4"/>
      <c r="N1245" s="28"/>
      <c r="O1245" s="4"/>
      <c r="P1245" s="4"/>
      <c r="Q1245" s="4"/>
      <c r="R1245" s="4"/>
      <c r="S1245" s="4"/>
      <c r="T1245" s="4"/>
      <c r="U1245" s="4"/>
      <c r="V1245" s="4"/>
      <c r="W1245" s="4"/>
      <c r="X1245" s="4"/>
      <c r="Y1245" s="4"/>
      <c r="Z1245" s="4"/>
      <c r="AA1245" s="4"/>
      <c r="AB1245" s="4"/>
      <c r="AC1245" s="4"/>
      <c r="AD1245" s="4"/>
      <c r="AE1245" s="4"/>
      <c r="AF1245" s="81"/>
      <c r="AG1245" s="81"/>
      <c r="AH1245" s="81"/>
      <c r="AI1245" s="4"/>
      <c r="AJ1245" s="81"/>
      <c r="AK1245" s="81"/>
      <c r="AL1245" s="81"/>
    </row>
    <row r="1246" spans="1:38" s="7" customFormat="1">
      <c r="A1246" s="4"/>
      <c r="B1246" s="4"/>
      <c r="C1246" s="4"/>
      <c r="D1246" s="4"/>
      <c r="E1246" s="4"/>
      <c r="F1246" s="28"/>
      <c r="G1246" s="28"/>
      <c r="H1246" s="83"/>
      <c r="I1246" s="4"/>
      <c r="J1246" s="4"/>
      <c r="K1246" s="4"/>
      <c r="L1246" s="4"/>
      <c r="M1246" s="4"/>
      <c r="N1246" s="28"/>
      <c r="O1246" s="4"/>
      <c r="P1246" s="4"/>
      <c r="Q1246" s="4"/>
      <c r="R1246" s="4"/>
      <c r="S1246" s="4"/>
      <c r="T1246" s="4"/>
      <c r="U1246" s="4"/>
      <c r="V1246" s="4"/>
      <c r="W1246" s="4"/>
      <c r="X1246" s="4"/>
      <c r="Y1246" s="4"/>
      <c r="Z1246" s="4"/>
      <c r="AA1246" s="4"/>
      <c r="AB1246" s="4"/>
      <c r="AC1246" s="4"/>
      <c r="AD1246" s="4"/>
      <c r="AE1246" s="4"/>
      <c r="AF1246" s="81"/>
      <c r="AG1246" s="81"/>
      <c r="AH1246" s="81"/>
      <c r="AI1246" s="4"/>
      <c r="AJ1246" s="81"/>
      <c r="AK1246" s="81"/>
      <c r="AL1246" s="81"/>
    </row>
    <row r="1247" spans="1:38" s="7" customFormat="1">
      <c r="A1247" s="4"/>
      <c r="B1247" s="4"/>
      <c r="C1247" s="4"/>
      <c r="D1247" s="4"/>
      <c r="E1247" s="4"/>
      <c r="F1247" s="28"/>
      <c r="G1247" s="28"/>
      <c r="H1247" s="83"/>
      <c r="I1247" s="4"/>
      <c r="J1247" s="4"/>
      <c r="K1247" s="4"/>
      <c r="L1247" s="4"/>
      <c r="M1247" s="4"/>
      <c r="N1247" s="28"/>
      <c r="O1247" s="4"/>
      <c r="P1247" s="4"/>
      <c r="Q1247" s="4"/>
      <c r="R1247" s="4"/>
      <c r="S1247" s="4"/>
      <c r="T1247" s="4"/>
      <c r="U1247" s="4"/>
      <c r="V1247" s="4"/>
      <c r="W1247" s="4"/>
      <c r="X1247" s="4"/>
      <c r="Y1247" s="4"/>
      <c r="Z1247" s="4"/>
      <c r="AA1247" s="4"/>
      <c r="AB1247" s="4"/>
      <c r="AC1247" s="4"/>
      <c r="AD1247" s="4"/>
      <c r="AE1247" s="4"/>
      <c r="AF1247" s="81"/>
      <c r="AG1247" s="81"/>
      <c r="AH1247" s="81"/>
      <c r="AI1247" s="4"/>
      <c r="AJ1247" s="81"/>
      <c r="AK1247" s="81"/>
      <c r="AL1247" s="81"/>
    </row>
    <row r="1248" spans="1:38" s="7" customFormat="1">
      <c r="A1248" s="4"/>
      <c r="B1248" s="4"/>
      <c r="C1248" s="4"/>
      <c r="D1248" s="4"/>
      <c r="E1248" s="4"/>
      <c r="F1248" s="28"/>
      <c r="G1248" s="28"/>
      <c r="H1248" s="83"/>
      <c r="I1248" s="4"/>
      <c r="J1248" s="4"/>
      <c r="K1248" s="4"/>
      <c r="L1248" s="4"/>
      <c r="M1248" s="4"/>
      <c r="N1248" s="28"/>
      <c r="O1248" s="4"/>
      <c r="P1248" s="4"/>
      <c r="Q1248" s="4"/>
      <c r="R1248" s="4"/>
      <c r="S1248" s="4"/>
      <c r="T1248" s="4"/>
      <c r="U1248" s="4"/>
      <c r="V1248" s="4"/>
      <c r="W1248" s="4"/>
      <c r="X1248" s="4"/>
      <c r="Y1248" s="4"/>
      <c r="Z1248" s="4"/>
      <c r="AA1248" s="4"/>
      <c r="AB1248" s="4"/>
      <c r="AC1248" s="4"/>
      <c r="AD1248" s="4"/>
      <c r="AE1248" s="4"/>
      <c r="AF1248" s="81"/>
      <c r="AG1248" s="81"/>
      <c r="AH1248" s="81"/>
      <c r="AI1248" s="4"/>
      <c r="AJ1248" s="81"/>
      <c r="AK1248" s="81"/>
      <c r="AL1248" s="81"/>
    </row>
    <row r="1249" spans="1:38" s="7" customFormat="1">
      <c r="A1249" s="4"/>
      <c r="B1249" s="4"/>
      <c r="C1249" s="4"/>
      <c r="D1249" s="4"/>
      <c r="E1249" s="4"/>
      <c r="F1249" s="28"/>
      <c r="G1249" s="28"/>
      <c r="H1249" s="83"/>
      <c r="I1249" s="4"/>
      <c r="J1249" s="4"/>
      <c r="K1249" s="4"/>
      <c r="L1249" s="4"/>
      <c r="M1249" s="4"/>
      <c r="N1249" s="28"/>
      <c r="O1249" s="4"/>
      <c r="P1249" s="4"/>
      <c r="Q1249" s="4"/>
      <c r="R1249" s="4"/>
      <c r="S1249" s="4"/>
      <c r="T1249" s="4"/>
      <c r="U1249" s="4"/>
      <c r="V1249" s="4"/>
      <c r="W1249" s="4"/>
      <c r="X1249" s="4"/>
      <c r="Y1249" s="4"/>
      <c r="Z1249" s="4"/>
      <c r="AA1249" s="4"/>
      <c r="AB1249" s="4"/>
      <c r="AC1249" s="4"/>
      <c r="AD1249" s="4"/>
      <c r="AE1249" s="4"/>
      <c r="AF1249" s="81"/>
      <c r="AG1249" s="81"/>
      <c r="AH1249" s="81"/>
      <c r="AI1249" s="4"/>
      <c r="AJ1249" s="81"/>
      <c r="AK1249" s="81"/>
      <c r="AL1249" s="81"/>
    </row>
    <row r="1250" spans="1:38" s="7" customFormat="1">
      <c r="A1250" s="4"/>
      <c r="B1250" s="4"/>
      <c r="C1250" s="4"/>
      <c r="D1250" s="4"/>
      <c r="E1250" s="4"/>
      <c r="F1250" s="28"/>
      <c r="G1250" s="28"/>
      <c r="H1250" s="83"/>
      <c r="I1250" s="4"/>
      <c r="J1250" s="4"/>
      <c r="K1250" s="4"/>
      <c r="L1250" s="4"/>
      <c r="M1250" s="4"/>
      <c r="N1250" s="28"/>
      <c r="O1250" s="4"/>
      <c r="P1250" s="4"/>
      <c r="Q1250" s="4"/>
      <c r="R1250" s="4"/>
      <c r="S1250" s="4"/>
      <c r="T1250" s="4"/>
      <c r="U1250" s="4"/>
      <c r="V1250" s="4"/>
      <c r="W1250" s="4"/>
      <c r="X1250" s="4"/>
      <c r="Y1250" s="4"/>
      <c r="Z1250" s="4"/>
      <c r="AA1250" s="4"/>
      <c r="AB1250" s="4"/>
      <c r="AC1250" s="4"/>
      <c r="AD1250" s="4"/>
      <c r="AE1250" s="4"/>
      <c r="AF1250" s="81"/>
      <c r="AG1250" s="81"/>
      <c r="AH1250" s="81"/>
      <c r="AI1250" s="4"/>
      <c r="AJ1250" s="81"/>
      <c r="AK1250" s="81"/>
      <c r="AL1250" s="81"/>
    </row>
    <row r="1251" spans="1:38" s="7" customFormat="1">
      <c r="A1251" s="4"/>
      <c r="B1251" s="4"/>
      <c r="C1251" s="4"/>
      <c r="D1251" s="4"/>
      <c r="E1251" s="4"/>
      <c r="F1251" s="28"/>
      <c r="G1251" s="28"/>
      <c r="H1251" s="83"/>
      <c r="I1251" s="4"/>
      <c r="J1251" s="4"/>
      <c r="K1251" s="4"/>
      <c r="L1251" s="4"/>
      <c r="M1251" s="4"/>
      <c r="N1251" s="28"/>
      <c r="O1251" s="4"/>
      <c r="P1251" s="4"/>
      <c r="Q1251" s="4"/>
      <c r="R1251" s="4"/>
      <c r="S1251" s="4"/>
      <c r="T1251" s="4"/>
      <c r="U1251" s="4"/>
      <c r="V1251" s="4"/>
      <c r="W1251" s="4"/>
      <c r="X1251" s="4"/>
      <c r="Y1251" s="4"/>
      <c r="Z1251" s="4"/>
      <c r="AA1251" s="4"/>
      <c r="AB1251" s="4"/>
      <c r="AC1251" s="4"/>
      <c r="AD1251" s="4"/>
      <c r="AE1251" s="4"/>
      <c r="AF1251" s="81"/>
      <c r="AG1251" s="81"/>
      <c r="AH1251" s="81"/>
      <c r="AI1251" s="4"/>
      <c r="AJ1251" s="81"/>
      <c r="AK1251" s="81"/>
      <c r="AL1251" s="81"/>
    </row>
    <row r="1252" spans="1:38" s="7" customFormat="1">
      <c r="A1252" s="4"/>
      <c r="B1252" s="4"/>
      <c r="C1252" s="4"/>
      <c r="D1252" s="4"/>
      <c r="E1252" s="4"/>
      <c r="F1252" s="28"/>
      <c r="G1252" s="28"/>
      <c r="H1252" s="83"/>
      <c r="I1252" s="4"/>
      <c r="J1252" s="4"/>
      <c r="K1252" s="4"/>
      <c r="L1252" s="4"/>
      <c r="M1252" s="4"/>
      <c r="N1252" s="28"/>
      <c r="O1252" s="4"/>
      <c r="P1252" s="4"/>
      <c r="Q1252" s="4"/>
      <c r="R1252" s="4"/>
      <c r="S1252" s="4"/>
      <c r="T1252" s="4"/>
      <c r="U1252" s="4"/>
      <c r="V1252" s="4"/>
      <c r="W1252" s="4"/>
      <c r="X1252" s="4"/>
      <c r="Y1252" s="4"/>
      <c r="Z1252" s="4"/>
      <c r="AA1252" s="4"/>
      <c r="AB1252" s="4"/>
      <c r="AC1252" s="4"/>
      <c r="AD1252" s="4"/>
      <c r="AE1252" s="4"/>
      <c r="AF1252" s="81"/>
      <c r="AG1252" s="81"/>
      <c r="AH1252" s="81"/>
      <c r="AI1252" s="4"/>
      <c r="AJ1252" s="81"/>
      <c r="AK1252" s="81"/>
      <c r="AL1252" s="81"/>
    </row>
    <row r="1253" spans="1:38" s="7" customFormat="1">
      <c r="A1253" s="4"/>
      <c r="B1253" s="4"/>
      <c r="C1253" s="4"/>
      <c r="D1253" s="4"/>
      <c r="E1253" s="4"/>
      <c r="F1253" s="28"/>
      <c r="G1253" s="28"/>
      <c r="H1253" s="83"/>
      <c r="I1253" s="4"/>
      <c r="J1253" s="4"/>
      <c r="K1253" s="4"/>
      <c r="L1253" s="4"/>
      <c r="M1253" s="4"/>
      <c r="N1253" s="28"/>
      <c r="O1253" s="4"/>
      <c r="P1253" s="4"/>
      <c r="Q1253" s="4"/>
      <c r="R1253" s="4"/>
      <c r="S1253" s="4"/>
      <c r="T1253" s="4"/>
      <c r="U1253" s="4"/>
      <c r="V1253" s="4"/>
      <c r="W1253" s="4"/>
      <c r="X1253" s="4"/>
      <c r="Y1253" s="4"/>
      <c r="Z1253" s="4"/>
      <c r="AA1253" s="4"/>
      <c r="AB1253" s="4"/>
      <c r="AC1253" s="4"/>
      <c r="AD1253" s="4"/>
      <c r="AE1253" s="4"/>
      <c r="AF1253" s="81"/>
      <c r="AG1253" s="81"/>
      <c r="AH1253" s="81"/>
      <c r="AI1253" s="4"/>
      <c r="AJ1253" s="81"/>
      <c r="AK1253" s="81"/>
      <c r="AL1253" s="81"/>
    </row>
    <row r="1254" spans="1:38" s="7" customFormat="1">
      <c r="A1254" s="4"/>
      <c r="B1254" s="4"/>
      <c r="C1254" s="4"/>
      <c r="D1254" s="4"/>
      <c r="E1254" s="4"/>
      <c r="F1254" s="28"/>
      <c r="G1254" s="28"/>
      <c r="H1254" s="83"/>
      <c r="I1254" s="4"/>
      <c r="J1254" s="4"/>
      <c r="K1254" s="4"/>
      <c r="L1254" s="4"/>
      <c r="M1254" s="4"/>
      <c r="N1254" s="28"/>
      <c r="O1254" s="4"/>
      <c r="P1254" s="4"/>
      <c r="Q1254" s="4"/>
      <c r="R1254" s="4"/>
      <c r="S1254" s="4"/>
      <c r="T1254" s="4"/>
      <c r="U1254" s="4"/>
      <c r="V1254" s="4"/>
      <c r="W1254" s="4"/>
      <c r="X1254" s="4"/>
      <c r="Y1254" s="4"/>
      <c r="Z1254" s="4"/>
      <c r="AA1254" s="4"/>
      <c r="AB1254" s="4"/>
      <c r="AC1254" s="4"/>
      <c r="AD1254" s="4"/>
      <c r="AE1254" s="4"/>
      <c r="AF1254" s="81"/>
      <c r="AG1254" s="81"/>
      <c r="AH1254" s="81"/>
      <c r="AI1254" s="4"/>
      <c r="AJ1254" s="81"/>
      <c r="AK1254" s="81"/>
      <c r="AL1254" s="81"/>
    </row>
    <row r="1255" spans="1:38" s="7" customFormat="1">
      <c r="A1255" s="4"/>
      <c r="B1255" s="4"/>
      <c r="C1255" s="4"/>
      <c r="D1255" s="4"/>
      <c r="E1255" s="4"/>
      <c r="F1255" s="28"/>
      <c r="G1255" s="28"/>
      <c r="H1255" s="83"/>
      <c r="I1255" s="4"/>
      <c r="J1255" s="4"/>
      <c r="K1255" s="4"/>
      <c r="L1255" s="4"/>
      <c r="M1255" s="4"/>
      <c r="N1255" s="28"/>
      <c r="O1255" s="4"/>
      <c r="P1255" s="4"/>
      <c r="Q1255" s="4"/>
      <c r="R1255" s="4"/>
      <c r="S1255" s="4"/>
      <c r="T1255" s="4"/>
      <c r="U1255" s="4"/>
      <c r="V1255" s="4"/>
      <c r="W1255" s="4"/>
      <c r="X1255" s="4"/>
      <c r="Y1255" s="4"/>
      <c r="Z1255" s="4"/>
      <c r="AA1255" s="4"/>
      <c r="AB1255" s="4"/>
      <c r="AC1255" s="4"/>
      <c r="AD1255" s="4"/>
      <c r="AE1255" s="4"/>
      <c r="AF1255" s="81"/>
      <c r="AG1255" s="81"/>
      <c r="AH1255" s="81"/>
      <c r="AI1255" s="4"/>
      <c r="AJ1255" s="81"/>
      <c r="AK1255" s="81"/>
      <c r="AL1255" s="81"/>
    </row>
    <row r="1256" spans="1:38" s="7" customFormat="1">
      <c r="A1256" s="4"/>
      <c r="B1256" s="4"/>
      <c r="C1256" s="4"/>
      <c r="D1256" s="4"/>
      <c r="E1256" s="4"/>
      <c r="F1256" s="28"/>
      <c r="G1256" s="28"/>
      <c r="H1256" s="83"/>
      <c r="I1256" s="4"/>
      <c r="J1256" s="4"/>
      <c r="K1256" s="4"/>
      <c r="L1256" s="4"/>
      <c r="M1256" s="4"/>
      <c r="N1256" s="28"/>
      <c r="O1256" s="4"/>
      <c r="P1256" s="4"/>
      <c r="Q1256" s="4"/>
      <c r="R1256" s="4"/>
      <c r="S1256" s="4"/>
      <c r="T1256" s="4"/>
      <c r="U1256" s="4"/>
      <c r="V1256" s="4"/>
      <c r="W1256" s="4"/>
      <c r="X1256" s="4"/>
      <c r="Y1256" s="4"/>
      <c r="Z1256" s="4"/>
      <c r="AA1256" s="4"/>
      <c r="AB1256" s="4"/>
      <c r="AC1256" s="4"/>
      <c r="AD1256" s="4"/>
      <c r="AE1256" s="4"/>
      <c r="AF1256" s="81"/>
      <c r="AG1256" s="81"/>
      <c r="AH1256" s="81"/>
      <c r="AI1256" s="4"/>
      <c r="AJ1256" s="81"/>
      <c r="AK1256" s="81"/>
      <c r="AL1256" s="81"/>
    </row>
    <row r="1257" spans="1:38" s="7" customFormat="1">
      <c r="A1257" s="4"/>
      <c r="B1257" s="4"/>
      <c r="C1257" s="4"/>
      <c r="D1257" s="4"/>
      <c r="E1257" s="4"/>
      <c r="F1257" s="28"/>
      <c r="G1257" s="28"/>
      <c r="H1257" s="83"/>
      <c r="I1257" s="4"/>
      <c r="J1257" s="4"/>
      <c r="K1257" s="4"/>
      <c r="L1257" s="4"/>
      <c r="M1257" s="4"/>
      <c r="N1257" s="28"/>
      <c r="O1257" s="4"/>
      <c r="P1257" s="4"/>
      <c r="Q1257" s="4"/>
      <c r="R1257" s="4"/>
      <c r="S1257" s="4"/>
      <c r="T1257" s="4"/>
      <c r="U1257" s="4"/>
      <c r="V1257" s="4"/>
      <c r="W1257" s="4"/>
      <c r="X1257" s="4"/>
      <c r="Y1257" s="4"/>
      <c r="Z1257" s="4"/>
      <c r="AA1257" s="4"/>
      <c r="AB1257" s="4"/>
      <c r="AC1257" s="4"/>
      <c r="AD1257" s="4"/>
      <c r="AE1257" s="4"/>
      <c r="AF1257" s="81"/>
      <c r="AG1257" s="81"/>
      <c r="AH1257" s="81"/>
      <c r="AI1257" s="4"/>
      <c r="AJ1257" s="81"/>
      <c r="AK1257" s="81"/>
      <c r="AL1257" s="81"/>
    </row>
    <row r="1258" spans="1:38" s="7" customFormat="1">
      <c r="A1258" s="4"/>
      <c r="B1258" s="4"/>
      <c r="C1258" s="4"/>
      <c r="D1258" s="4"/>
      <c r="E1258" s="4"/>
      <c r="F1258" s="28"/>
      <c r="G1258" s="28"/>
      <c r="H1258" s="83"/>
      <c r="I1258" s="4"/>
      <c r="J1258" s="4"/>
      <c r="K1258" s="4"/>
      <c r="L1258" s="4"/>
      <c r="M1258" s="4"/>
      <c r="N1258" s="28"/>
      <c r="O1258" s="4"/>
      <c r="P1258" s="4"/>
      <c r="Q1258" s="4"/>
      <c r="R1258" s="4"/>
      <c r="S1258" s="4"/>
      <c r="T1258" s="4"/>
      <c r="U1258" s="4"/>
      <c r="V1258" s="4"/>
      <c r="W1258" s="4"/>
      <c r="X1258" s="4"/>
      <c r="Y1258" s="4"/>
      <c r="Z1258" s="4"/>
      <c r="AA1258" s="4"/>
      <c r="AB1258" s="4"/>
      <c r="AC1258" s="4"/>
      <c r="AD1258" s="4"/>
      <c r="AE1258" s="4"/>
      <c r="AF1258" s="81"/>
      <c r="AG1258" s="81"/>
      <c r="AH1258" s="81"/>
      <c r="AI1258" s="4"/>
      <c r="AJ1258" s="81"/>
      <c r="AK1258" s="81"/>
      <c r="AL1258" s="81"/>
    </row>
    <row r="1259" spans="1:38" s="7" customFormat="1">
      <c r="A1259" s="4"/>
      <c r="B1259" s="4"/>
      <c r="C1259" s="4"/>
      <c r="D1259" s="4"/>
      <c r="E1259" s="4"/>
      <c r="F1259" s="28"/>
      <c r="G1259" s="28"/>
      <c r="H1259" s="83"/>
      <c r="I1259" s="4"/>
      <c r="J1259" s="4"/>
      <c r="K1259" s="4"/>
      <c r="L1259" s="4"/>
      <c r="M1259" s="4"/>
      <c r="N1259" s="28"/>
      <c r="O1259" s="4"/>
      <c r="P1259" s="4"/>
      <c r="Q1259" s="4"/>
      <c r="R1259" s="4"/>
      <c r="S1259" s="4"/>
      <c r="T1259" s="4"/>
      <c r="U1259" s="4"/>
      <c r="V1259" s="4"/>
      <c r="W1259" s="4"/>
      <c r="X1259" s="4"/>
      <c r="Y1259" s="4"/>
      <c r="Z1259" s="4"/>
      <c r="AA1259" s="4"/>
      <c r="AB1259" s="4"/>
      <c r="AC1259" s="4"/>
      <c r="AD1259" s="4"/>
      <c r="AE1259" s="4"/>
      <c r="AF1259" s="81"/>
      <c r="AG1259" s="81"/>
      <c r="AH1259" s="81"/>
      <c r="AI1259" s="4"/>
      <c r="AJ1259" s="81"/>
      <c r="AK1259" s="81"/>
      <c r="AL1259" s="81"/>
    </row>
    <row r="1260" spans="1:38" s="7" customFormat="1">
      <c r="A1260" s="4"/>
      <c r="B1260" s="4"/>
      <c r="C1260" s="4"/>
      <c r="D1260" s="4"/>
      <c r="E1260" s="4"/>
      <c r="F1260" s="28"/>
      <c r="G1260" s="28"/>
      <c r="H1260" s="83"/>
      <c r="I1260" s="4"/>
      <c r="J1260" s="4"/>
      <c r="K1260" s="4"/>
      <c r="L1260" s="4"/>
      <c r="M1260" s="4"/>
      <c r="N1260" s="28"/>
      <c r="O1260" s="4"/>
      <c r="P1260" s="4"/>
      <c r="Q1260" s="4"/>
      <c r="R1260" s="4"/>
      <c r="S1260" s="4"/>
      <c r="T1260" s="4"/>
      <c r="U1260" s="4"/>
      <c r="V1260" s="4"/>
      <c r="W1260" s="4"/>
      <c r="X1260" s="4"/>
      <c r="Y1260" s="4"/>
      <c r="Z1260" s="4"/>
      <c r="AA1260" s="4"/>
      <c r="AB1260" s="4"/>
      <c r="AC1260" s="4"/>
      <c r="AD1260" s="4"/>
      <c r="AE1260" s="4"/>
      <c r="AF1260" s="81"/>
      <c r="AG1260" s="81"/>
      <c r="AH1260" s="81"/>
      <c r="AI1260" s="4"/>
      <c r="AJ1260" s="81"/>
      <c r="AK1260" s="81"/>
      <c r="AL1260" s="81"/>
    </row>
    <row r="1261" spans="1:38" s="7" customFormat="1">
      <c r="A1261" s="4"/>
      <c r="B1261" s="4"/>
      <c r="C1261" s="4"/>
      <c r="D1261" s="4"/>
      <c r="E1261" s="4"/>
      <c r="F1261" s="28"/>
      <c r="G1261" s="28"/>
      <c r="H1261" s="83"/>
      <c r="I1261" s="4"/>
      <c r="J1261" s="4"/>
      <c r="K1261" s="4"/>
      <c r="L1261" s="4"/>
      <c r="M1261" s="4"/>
      <c r="N1261" s="28"/>
      <c r="O1261" s="4"/>
      <c r="P1261" s="4"/>
      <c r="Q1261" s="4"/>
      <c r="R1261" s="4"/>
      <c r="S1261" s="4"/>
      <c r="T1261" s="4"/>
      <c r="U1261" s="4"/>
      <c r="V1261" s="4"/>
      <c r="W1261" s="4"/>
      <c r="X1261" s="4"/>
      <c r="Y1261" s="4"/>
      <c r="Z1261" s="4"/>
      <c r="AA1261" s="4"/>
      <c r="AB1261" s="4"/>
      <c r="AC1261" s="4"/>
      <c r="AD1261" s="4"/>
      <c r="AE1261" s="4"/>
      <c r="AF1261" s="81"/>
      <c r="AG1261" s="81"/>
      <c r="AH1261" s="81"/>
      <c r="AI1261" s="4"/>
      <c r="AJ1261" s="81"/>
      <c r="AK1261" s="81"/>
      <c r="AL1261" s="81"/>
    </row>
    <row r="1262" spans="1:38" s="7" customFormat="1">
      <c r="A1262" s="4"/>
      <c r="B1262" s="4"/>
      <c r="C1262" s="4"/>
      <c r="D1262" s="4"/>
      <c r="E1262" s="4"/>
      <c r="F1262" s="28"/>
      <c r="G1262" s="28"/>
      <c r="H1262" s="83"/>
      <c r="I1262" s="4"/>
      <c r="J1262" s="4"/>
      <c r="K1262" s="4"/>
      <c r="L1262" s="4"/>
      <c r="M1262" s="4"/>
      <c r="N1262" s="28"/>
      <c r="O1262" s="4"/>
      <c r="P1262" s="4"/>
      <c r="Q1262" s="4"/>
      <c r="R1262" s="4"/>
      <c r="S1262" s="4"/>
      <c r="T1262" s="4"/>
      <c r="U1262" s="4"/>
      <c r="V1262" s="4"/>
      <c r="W1262" s="4"/>
      <c r="X1262" s="4"/>
      <c r="Y1262" s="4"/>
      <c r="Z1262" s="4"/>
      <c r="AA1262" s="4"/>
      <c r="AB1262" s="4"/>
      <c r="AC1262" s="4"/>
      <c r="AD1262" s="4"/>
      <c r="AE1262" s="4"/>
      <c r="AF1262" s="81"/>
      <c r="AG1262" s="81"/>
      <c r="AH1262" s="81"/>
      <c r="AI1262" s="4"/>
      <c r="AJ1262" s="81"/>
      <c r="AK1262" s="81"/>
      <c r="AL1262" s="81"/>
    </row>
    <row r="1263" spans="1:38" s="7" customFormat="1">
      <c r="A1263" s="4"/>
      <c r="B1263" s="4"/>
      <c r="C1263" s="4"/>
      <c r="D1263" s="4"/>
      <c r="E1263" s="4"/>
      <c r="F1263" s="28"/>
      <c r="G1263" s="28"/>
      <c r="H1263" s="83"/>
      <c r="I1263" s="4"/>
      <c r="J1263" s="4"/>
      <c r="K1263" s="4"/>
      <c r="L1263" s="4"/>
      <c r="M1263" s="4"/>
      <c r="N1263" s="28"/>
      <c r="O1263" s="4"/>
      <c r="P1263" s="4"/>
      <c r="Q1263" s="4"/>
      <c r="R1263" s="4"/>
      <c r="S1263" s="4"/>
      <c r="T1263" s="4"/>
      <c r="U1263" s="4"/>
      <c r="V1263" s="4"/>
      <c r="W1263" s="4"/>
      <c r="X1263" s="4"/>
      <c r="Y1263" s="4"/>
      <c r="Z1263" s="4"/>
      <c r="AA1263" s="4"/>
      <c r="AB1263" s="4"/>
      <c r="AC1263" s="4"/>
      <c r="AD1263" s="4"/>
      <c r="AE1263" s="4"/>
      <c r="AF1263" s="81"/>
      <c r="AG1263" s="81"/>
      <c r="AH1263" s="81"/>
      <c r="AI1263" s="4"/>
      <c r="AJ1263" s="81"/>
      <c r="AK1263" s="81"/>
      <c r="AL1263" s="81"/>
    </row>
    <row r="1264" spans="1:38" s="7" customFormat="1">
      <c r="A1264" s="4"/>
      <c r="B1264" s="4"/>
      <c r="C1264" s="4"/>
      <c r="D1264" s="4"/>
      <c r="E1264" s="4"/>
      <c r="F1264" s="28"/>
      <c r="G1264" s="28"/>
      <c r="H1264" s="83"/>
      <c r="I1264" s="4"/>
      <c r="J1264" s="4"/>
      <c r="K1264" s="4"/>
      <c r="L1264" s="4"/>
      <c r="M1264" s="4"/>
      <c r="N1264" s="28"/>
      <c r="O1264" s="4"/>
      <c r="P1264" s="4"/>
      <c r="Q1264" s="4"/>
      <c r="R1264" s="4"/>
      <c r="S1264" s="4"/>
      <c r="T1264" s="4"/>
      <c r="U1264" s="4"/>
      <c r="V1264" s="4"/>
      <c r="W1264" s="4"/>
      <c r="X1264" s="4"/>
      <c r="Y1264" s="4"/>
      <c r="Z1264" s="4"/>
      <c r="AA1264" s="4"/>
      <c r="AB1264" s="4"/>
      <c r="AC1264" s="4"/>
      <c r="AD1264" s="4"/>
      <c r="AE1264" s="4"/>
      <c r="AF1264" s="81"/>
      <c r="AG1264" s="81"/>
      <c r="AH1264" s="81"/>
      <c r="AI1264" s="4"/>
      <c r="AJ1264" s="81"/>
      <c r="AK1264" s="81"/>
      <c r="AL1264" s="81"/>
    </row>
    <row r="1265" spans="1:38" s="7" customFormat="1">
      <c r="A1265" s="4"/>
      <c r="B1265" s="4"/>
      <c r="C1265" s="4"/>
      <c r="D1265" s="4"/>
      <c r="E1265" s="4"/>
      <c r="F1265" s="28"/>
      <c r="G1265" s="28"/>
      <c r="H1265" s="83"/>
      <c r="I1265" s="4"/>
      <c r="J1265" s="4"/>
      <c r="K1265" s="4"/>
      <c r="L1265" s="4"/>
      <c r="M1265" s="4"/>
      <c r="N1265" s="28"/>
      <c r="O1265" s="4"/>
      <c r="P1265" s="4"/>
      <c r="Q1265" s="4"/>
      <c r="R1265" s="4"/>
      <c r="S1265" s="4"/>
      <c r="T1265" s="4"/>
      <c r="U1265" s="4"/>
      <c r="V1265" s="4"/>
      <c r="W1265" s="4"/>
      <c r="X1265" s="4"/>
      <c r="Y1265" s="4"/>
      <c r="Z1265" s="4"/>
      <c r="AA1265" s="4"/>
      <c r="AB1265" s="4"/>
      <c r="AC1265" s="4"/>
      <c r="AD1265" s="4"/>
      <c r="AE1265" s="4"/>
      <c r="AF1265" s="81"/>
      <c r="AG1265" s="81"/>
      <c r="AH1265" s="81"/>
      <c r="AI1265" s="4"/>
      <c r="AJ1265" s="81"/>
      <c r="AK1265" s="81"/>
      <c r="AL1265" s="81"/>
    </row>
    <row r="1266" spans="1:38" s="7" customFormat="1">
      <c r="A1266" s="4"/>
      <c r="B1266" s="4"/>
      <c r="C1266" s="4"/>
      <c r="D1266" s="4"/>
      <c r="E1266" s="4"/>
      <c r="F1266" s="28"/>
      <c r="G1266" s="28"/>
      <c r="H1266" s="83"/>
      <c r="I1266" s="4"/>
      <c r="J1266" s="4"/>
      <c r="K1266" s="4"/>
      <c r="L1266" s="4"/>
      <c r="M1266" s="4"/>
      <c r="N1266" s="28"/>
      <c r="O1266" s="4"/>
      <c r="P1266" s="4"/>
      <c r="Q1266" s="4"/>
      <c r="R1266" s="4"/>
      <c r="S1266" s="4"/>
      <c r="T1266" s="4"/>
      <c r="U1266" s="4"/>
      <c r="V1266" s="4"/>
      <c r="W1266" s="4"/>
      <c r="X1266" s="4"/>
      <c r="Y1266" s="4"/>
      <c r="Z1266" s="4"/>
      <c r="AA1266" s="4"/>
      <c r="AB1266" s="4"/>
      <c r="AC1266" s="4"/>
      <c r="AD1266" s="4"/>
      <c r="AE1266" s="4"/>
      <c r="AF1266" s="81"/>
      <c r="AG1266" s="81"/>
      <c r="AH1266" s="81"/>
      <c r="AI1266" s="4"/>
      <c r="AJ1266" s="81"/>
      <c r="AK1266" s="81"/>
      <c r="AL1266" s="81"/>
    </row>
    <row r="1267" spans="1:38" s="7" customFormat="1">
      <c r="A1267" s="4"/>
      <c r="B1267" s="4"/>
      <c r="C1267" s="4"/>
      <c r="D1267" s="4"/>
      <c r="E1267" s="4"/>
      <c r="F1267" s="28"/>
      <c r="G1267" s="28"/>
      <c r="H1267" s="83"/>
      <c r="I1267" s="4"/>
      <c r="J1267" s="4"/>
      <c r="K1267" s="4"/>
      <c r="L1267" s="4"/>
      <c r="M1267" s="4"/>
      <c r="N1267" s="28"/>
      <c r="O1267" s="4"/>
      <c r="P1267" s="4"/>
      <c r="Q1267" s="4"/>
      <c r="R1267" s="4"/>
      <c r="S1267" s="4"/>
      <c r="T1267" s="4"/>
      <c r="U1267" s="4"/>
      <c r="V1267" s="4"/>
      <c r="W1267" s="4"/>
      <c r="X1267" s="4"/>
      <c r="Y1267" s="4"/>
      <c r="Z1267" s="4"/>
      <c r="AA1267" s="4"/>
      <c r="AB1267" s="4"/>
      <c r="AC1267" s="4"/>
      <c r="AD1267" s="4"/>
      <c r="AE1267" s="4"/>
      <c r="AF1267" s="81"/>
      <c r="AG1267" s="81"/>
      <c r="AH1267" s="81"/>
      <c r="AI1267" s="4"/>
      <c r="AJ1267" s="81"/>
      <c r="AK1267" s="81"/>
      <c r="AL1267" s="81"/>
    </row>
    <row r="1268" spans="1:38" s="7" customFormat="1">
      <c r="A1268" s="4"/>
      <c r="B1268" s="4"/>
      <c r="C1268" s="4"/>
      <c r="D1268" s="4"/>
      <c r="E1268" s="4"/>
      <c r="F1268" s="28"/>
      <c r="G1268" s="28"/>
      <c r="H1268" s="83"/>
      <c r="I1268" s="4"/>
      <c r="J1268" s="4"/>
      <c r="K1268" s="4"/>
      <c r="L1268" s="4"/>
      <c r="M1268" s="4"/>
      <c r="N1268" s="28"/>
      <c r="O1268" s="4"/>
      <c r="P1268" s="4"/>
      <c r="Q1268" s="4"/>
      <c r="R1268" s="4"/>
      <c r="S1268" s="4"/>
      <c r="T1268" s="4"/>
      <c r="U1268" s="4"/>
      <c r="V1268" s="4"/>
      <c r="W1268" s="4"/>
      <c r="X1268" s="4"/>
      <c r="Y1268" s="4"/>
      <c r="Z1268" s="4"/>
      <c r="AA1268" s="4"/>
      <c r="AB1268" s="4"/>
      <c r="AC1268" s="4"/>
      <c r="AD1268" s="4"/>
      <c r="AE1268" s="4"/>
      <c r="AF1268" s="81"/>
      <c r="AG1268" s="81"/>
      <c r="AH1268" s="81"/>
      <c r="AI1268" s="4"/>
      <c r="AJ1268" s="81"/>
      <c r="AK1268" s="81"/>
      <c r="AL1268" s="81"/>
    </row>
    <row r="1269" spans="1:38" s="7" customFormat="1">
      <c r="A1269" s="4"/>
      <c r="B1269" s="4"/>
      <c r="C1269" s="4"/>
      <c r="D1269" s="4"/>
      <c r="E1269" s="4"/>
      <c r="F1269" s="28"/>
      <c r="G1269" s="28"/>
      <c r="H1269" s="83"/>
      <c r="I1269" s="4"/>
      <c r="J1269" s="4"/>
      <c r="K1269" s="4"/>
      <c r="L1269" s="4"/>
      <c r="M1269" s="4"/>
      <c r="N1269" s="28"/>
      <c r="O1269" s="4"/>
      <c r="P1269" s="4"/>
      <c r="Q1269" s="4"/>
      <c r="R1269" s="4"/>
      <c r="S1269" s="4"/>
      <c r="T1269" s="4"/>
      <c r="U1269" s="4"/>
      <c r="V1269" s="4"/>
      <c r="W1269" s="4"/>
      <c r="X1269" s="4"/>
      <c r="Y1269" s="4"/>
      <c r="Z1269" s="4"/>
      <c r="AA1269" s="4"/>
      <c r="AB1269" s="4"/>
      <c r="AC1269" s="4"/>
      <c r="AD1269" s="4"/>
      <c r="AE1269" s="4"/>
      <c r="AF1269" s="81"/>
      <c r="AG1269" s="81"/>
      <c r="AH1269" s="81"/>
      <c r="AI1269" s="4"/>
      <c r="AJ1269" s="81"/>
      <c r="AK1269" s="81"/>
      <c r="AL1269" s="81"/>
    </row>
    <row r="1270" spans="1:38" s="7" customFormat="1">
      <c r="A1270" s="4"/>
      <c r="B1270" s="4"/>
      <c r="C1270" s="4"/>
      <c r="D1270" s="4"/>
      <c r="E1270" s="4"/>
      <c r="F1270" s="28"/>
      <c r="G1270" s="28"/>
      <c r="H1270" s="83"/>
      <c r="I1270" s="4"/>
      <c r="J1270" s="4"/>
      <c r="K1270" s="4"/>
      <c r="L1270" s="4"/>
      <c r="M1270" s="4"/>
      <c r="N1270" s="28"/>
      <c r="O1270" s="4"/>
      <c r="P1270" s="4"/>
      <c r="Q1270" s="4"/>
      <c r="R1270" s="4"/>
      <c r="S1270" s="4"/>
      <c r="T1270" s="4"/>
      <c r="U1270" s="4"/>
      <c r="V1270" s="4"/>
      <c r="W1270" s="4"/>
      <c r="X1270" s="4"/>
      <c r="Y1270" s="4"/>
      <c r="Z1270" s="4"/>
      <c r="AA1270" s="4"/>
      <c r="AB1270" s="4"/>
      <c r="AC1270" s="4"/>
      <c r="AD1270" s="4"/>
      <c r="AE1270" s="4"/>
      <c r="AF1270" s="81"/>
      <c r="AG1270" s="81"/>
      <c r="AH1270" s="81"/>
      <c r="AI1270" s="4"/>
      <c r="AJ1270" s="81"/>
      <c r="AK1270" s="81"/>
      <c r="AL1270" s="81"/>
    </row>
    <row r="1271" spans="1:38" s="7" customFormat="1">
      <c r="A1271" s="4"/>
      <c r="B1271" s="4"/>
      <c r="C1271" s="4"/>
      <c r="D1271" s="4"/>
      <c r="E1271" s="4"/>
      <c r="F1271" s="28"/>
      <c r="G1271" s="28"/>
      <c r="H1271" s="83"/>
      <c r="I1271" s="4"/>
      <c r="J1271" s="4"/>
      <c r="K1271" s="4"/>
      <c r="L1271" s="4"/>
      <c r="M1271" s="4"/>
      <c r="N1271" s="28"/>
      <c r="O1271" s="4"/>
      <c r="P1271" s="4"/>
      <c r="Q1271" s="4"/>
      <c r="R1271" s="4"/>
      <c r="S1271" s="4"/>
      <c r="T1271" s="4"/>
      <c r="U1271" s="4"/>
      <c r="V1271" s="4"/>
      <c r="W1271" s="4"/>
      <c r="X1271" s="4"/>
      <c r="Y1271" s="4"/>
      <c r="Z1271" s="4"/>
      <c r="AA1271" s="4"/>
      <c r="AB1271" s="4"/>
      <c r="AC1271" s="4"/>
      <c r="AD1271" s="4"/>
      <c r="AE1271" s="4"/>
      <c r="AF1271" s="81"/>
      <c r="AG1271" s="81"/>
      <c r="AH1271" s="81"/>
      <c r="AI1271" s="4"/>
      <c r="AJ1271" s="81"/>
      <c r="AK1271" s="81"/>
      <c r="AL1271" s="81"/>
    </row>
    <row r="1272" spans="1:38" s="7" customFormat="1">
      <c r="A1272" s="4"/>
      <c r="B1272" s="4"/>
      <c r="C1272" s="4"/>
      <c r="D1272" s="4"/>
      <c r="E1272" s="4"/>
      <c r="F1272" s="28"/>
      <c r="G1272" s="28"/>
      <c r="H1272" s="83"/>
      <c r="I1272" s="4"/>
      <c r="J1272" s="4"/>
      <c r="K1272" s="4"/>
      <c r="L1272" s="4"/>
      <c r="M1272" s="4"/>
      <c r="N1272" s="28"/>
      <c r="O1272" s="4"/>
      <c r="P1272" s="4"/>
      <c r="Q1272" s="4"/>
      <c r="R1272" s="4"/>
      <c r="S1272" s="4"/>
      <c r="T1272" s="4"/>
      <c r="U1272" s="4"/>
      <c r="V1272" s="4"/>
      <c r="W1272" s="4"/>
      <c r="X1272" s="4"/>
      <c r="Y1272" s="4"/>
      <c r="Z1272" s="4"/>
      <c r="AA1272" s="4"/>
      <c r="AB1272" s="4"/>
      <c r="AC1272" s="4"/>
      <c r="AD1272" s="4"/>
      <c r="AE1272" s="4"/>
      <c r="AF1272" s="81"/>
      <c r="AG1272" s="81"/>
      <c r="AH1272" s="81"/>
      <c r="AI1272" s="4"/>
      <c r="AJ1272" s="81"/>
      <c r="AK1272" s="81"/>
      <c r="AL1272" s="81"/>
    </row>
    <row r="1273" spans="1:38" s="7" customFormat="1">
      <c r="A1273" s="4"/>
      <c r="B1273" s="4"/>
      <c r="C1273" s="4"/>
      <c r="D1273" s="4"/>
      <c r="E1273" s="4"/>
      <c r="F1273" s="28"/>
      <c r="G1273" s="28"/>
      <c r="H1273" s="83"/>
      <c r="I1273" s="4"/>
      <c r="J1273" s="4"/>
      <c r="K1273" s="4"/>
      <c r="L1273" s="4"/>
      <c r="M1273" s="4"/>
      <c r="N1273" s="28"/>
      <c r="O1273" s="4"/>
      <c r="P1273" s="4"/>
      <c r="Q1273" s="4"/>
      <c r="R1273" s="4"/>
      <c r="S1273" s="4"/>
      <c r="T1273" s="4"/>
      <c r="U1273" s="4"/>
      <c r="V1273" s="4"/>
      <c r="W1273" s="4"/>
      <c r="X1273" s="4"/>
      <c r="Y1273" s="4"/>
      <c r="Z1273" s="4"/>
      <c r="AA1273" s="4"/>
      <c r="AB1273" s="4"/>
      <c r="AC1273" s="4"/>
      <c r="AD1273" s="4"/>
      <c r="AE1273" s="4"/>
      <c r="AF1273" s="81"/>
      <c r="AG1273" s="81"/>
      <c r="AH1273" s="81"/>
      <c r="AI1273" s="4"/>
      <c r="AJ1273" s="81"/>
      <c r="AK1273" s="81"/>
      <c r="AL1273" s="81"/>
    </row>
    <row r="1274" spans="1:38" s="7" customFormat="1">
      <c r="A1274" s="4"/>
      <c r="B1274" s="4"/>
      <c r="C1274" s="4"/>
      <c r="D1274" s="4"/>
      <c r="E1274" s="4"/>
      <c r="F1274" s="28"/>
      <c r="G1274" s="28"/>
      <c r="H1274" s="83"/>
      <c r="I1274" s="4"/>
      <c r="J1274" s="4"/>
      <c r="K1274" s="4"/>
      <c r="L1274" s="4"/>
      <c r="M1274" s="4"/>
      <c r="N1274" s="28"/>
      <c r="O1274" s="4"/>
      <c r="P1274" s="4"/>
      <c r="Q1274" s="4"/>
      <c r="R1274" s="4"/>
      <c r="S1274" s="4"/>
      <c r="T1274" s="4"/>
      <c r="U1274" s="4"/>
      <c r="V1274" s="4"/>
      <c r="W1274" s="4"/>
      <c r="X1274" s="4"/>
      <c r="Y1274" s="4"/>
      <c r="Z1274" s="4"/>
      <c r="AA1274" s="4"/>
      <c r="AB1274" s="4"/>
      <c r="AC1274" s="4"/>
      <c r="AD1274" s="4"/>
      <c r="AE1274" s="4"/>
      <c r="AF1274" s="81"/>
      <c r="AG1274" s="81"/>
      <c r="AH1274" s="81"/>
      <c r="AI1274" s="4"/>
      <c r="AJ1274" s="81"/>
      <c r="AK1274" s="81"/>
      <c r="AL1274" s="81"/>
    </row>
    <row r="1275" spans="1:38" s="7" customFormat="1">
      <c r="C1275" s="4"/>
      <c r="D1275" s="4"/>
      <c r="E1275" s="4"/>
      <c r="F1275" s="28"/>
      <c r="G1275" s="28"/>
      <c r="H1275" s="83"/>
      <c r="I1275" s="4"/>
      <c r="J1275" s="4"/>
      <c r="K1275" s="4"/>
    </row>
    <row r="1276" spans="1:38" s="7" customFormat="1">
      <c r="C1276" s="4"/>
      <c r="D1276" s="4"/>
      <c r="E1276" s="4"/>
      <c r="F1276" s="28"/>
      <c r="G1276" s="28"/>
      <c r="H1276" s="83"/>
      <c r="I1276" s="4"/>
      <c r="J1276" s="4"/>
      <c r="K1276" s="4"/>
    </row>
    <row r="1277" spans="1:38" s="7" customFormat="1">
      <c r="C1277" s="4"/>
      <c r="D1277" s="4"/>
      <c r="E1277" s="4"/>
      <c r="F1277" s="28"/>
      <c r="G1277" s="28"/>
      <c r="H1277" s="83"/>
      <c r="I1277" s="4"/>
      <c r="J1277" s="4"/>
      <c r="K1277" s="4"/>
    </row>
    <row r="1278" spans="1:38" s="7" customFormat="1">
      <c r="C1278" s="4"/>
      <c r="D1278" s="4"/>
      <c r="E1278" s="4"/>
      <c r="F1278" s="28"/>
      <c r="G1278" s="28"/>
      <c r="H1278" s="83"/>
      <c r="I1278" s="4"/>
      <c r="J1278" s="4"/>
      <c r="K1278" s="4"/>
    </row>
    <row r="1279" spans="1:38" s="7" customFormat="1">
      <c r="C1279" s="4"/>
      <c r="D1279" s="4"/>
      <c r="E1279" s="4"/>
      <c r="F1279" s="28"/>
      <c r="G1279" s="28"/>
      <c r="H1279" s="83"/>
      <c r="I1279" s="4"/>
      <c r="J1279" s="4"/>
      <c r="K1279" s="4"/>
    </row>
    <row r="1280" spans="1:38" s="7" customFormat="1">
      <c r="C1280" s="4"/>
      <c r="D1280" s="4"/>
      <c r="E1280" s="4"/>
      <c r="F1280" s="28"/>
      <c r="G1280" s="28"/>
      <c r="H1280" s="83"/>
      <c r="I1280" s="4"/>
      <c r="J1280" s="4"/>
      <c r="K1280" s="4"/>
    </row>
    <row r="1281" spans="3:11" s="7" customFormat="1">
      <c r="C1281" s="4"/>
      <c r="D1281" s="4"/>
      <c r="E1281" s="4"/>
      <c r="F1281" s="28"/>
      <c r="G1281" s="28"/>
      <c r="H1281" s="83"/>
      <c r="I1281" s="4"/>
      <c r="J1281" s="4"/>
      <c r="K1281" s="4"/>
    </row>
    <row r="1282" spans="3:11" s="7" customFormat="1">
      <c r="C1282" s="4"/>
      <c r="D1282" s="4"/>
      <c r="E1282" s="4"/>
      <c r="F1282" s="28"/>
      <c r="G1282" s="28"/>
      <c r="H1282" s="83"/>
      <c r="I1282" s="4"/>
      <c r="J1282" s="4"/>
      <c r="K1282" s="4"/>
    </row>
    <row r="1283" spans="3:11" s="7" customFormat="1">
      <c r="C1283" s="4"/>
      <c r="D1283" s="4"/>
      <c r="E1283" s="4"/>
      <c r="F1283" s="28"/>
      <c r="G1283" s="28"/>
      <c r="H1283" s="83"/>
      <c r="I1283" s="4"/>
      <c r="J1283" s="4"/>
      <c r="K1283" s="4"/>
    </row>
    <row r="1284" spans="3:11" s="7" customFormat="1">
      <c r="C1284" s="4"/>
      <c r="D1284" s="4"/>
      <c r="E1284" s="4"/>
      <c r="F1284" s="28"/>
      <c r="G1284" s="28"/>
      <c r="H1284" s="83"/>
      <c r="I1284" s="4"/>
      <c r="J1284" s="4"/>
      <c r="K1284" s="4"/>
    </row>
    <row r="1285" spans="3:11" s="7" customFormat="1">
      <c r="C1285" s="4"/>
      <c r="D1285" s="4"/>
      <c r="E1285" s="4"/>
      <c r="F1285" s="28"/>
      <c r="G1285" s="28"/>
      <c r="H1285" s="83"/>
      <c r="I1285" s="4"/>
      <c r="J1285" s="4"/>
      <c r="K1285" s="4"/>
    </row>
    <row r="1286" spans="3:11" s="7" customFormat="1">
      <c r="C1286" s="4"/>
      <c r="D1286" s="4"/>
      <c r="E1286" s="4"/>
      <c r="F1286" s="28"/>
      <c r="G1286" s="28"/>
      <c r="H1286" s="83"/>
      <c r="I1286" s="4"/>
      <c r="J1286" s="4"/>
      <c r="K1286" s="4"/>
    </row>
    <row r="1287" spans="3:11" s="7" customFormat="1">
      <c r="C1287" s="4"/>
      <c r="D1287" s="4"/>
      <c r="E1287" s="4"/>
      <c r="F1287" s="28"/>
      <c r="G1287" s="28"/>
      <c r="H1287" s="83"/>
      <c r="I1287" s="4"/>
      <c r="J1287" s="4"/>
      <c r="K1287" s="4"/>
    </row>
    <row r="1288" spans="3:11" s="7" customFormat="1">
      <c r="C1288" s="4"/>
      <c r="D1288" s="4"/>
      <c r="E1288" s="4"/>
      <c r="F1288" s="28"/>
      <c r="G1288" s="28"/>
      <c r="H1288" s="83"/>
      <c r="I1288" s="4"/>
      <c r="J1288" s="4"/>
      <c r="K1288" s="4"/>
    </row>
    <row r="1289" spans="3:11" s="7" customFormat="1">
      <c r="C1289" s="4"/>
      <c r="D1289" s="4"/>
      <c r="E1289" s="4"/>
      <c r="F1289" s="28"/>
      <c r="G1289" s="28"/>
      <c r="H1289" s="83"/>
      <c r="I1289" s="4"/>
      <c r="J1289" s="4"/>
      <c r="K1289" s="4"/>
    </row>
    <row r="1290" spans="3:11" s="7" customFormat="1">
      <c r="C1290" s="4"/>
      <c r="D1290" s="4"/>
      <c r="E1290" s="4"/>
      <c r="F1290" s="28"/>
      <c r="G1290" s="28"/>
      <c r="H1290" s="83"/>
      <c r="I1290" s="4"/>
      <c r="J1290" s="4"/>
      <c r="K1290" s="4"/>
    </row>
    <row r="1291" spans="3:11" s="7" customFormat="1">
      <c r="C1291" s="4"/>
      <c r="D1291" s="4"/>
      <c r="E1291" s="4"/>
      <c r="F1291" s="28"/>
      <c r="G1291" s="28"/>
      <c r="H1291" s="83"/>
      <c r="I1291" s="4"/>
      <c r="J1291" s="4"/>
      <c r="K1291" s="4"/>
    </row>
    <row r="1292" spans="3:11" s="7" customFormat="1"/>
    <row r="1293" spans="3:11" s="7" customFormat="1"/>
    <row r="1294" spans="3:11" s="7" customFormat="1"/>
    <row r="1295" spans="3:11" s="7" customFormat="1"/>
    <row r="1296" spans="3:11" s="7" customFormat="1"/>
    <row r="1297" spans="3:11" s="7" customFormat="1"/>
    <row r="1298" spans="3:11" s="7" customFormat="1"/>
    <row r="1299" spans="3:11" s="7" customFormat="1"/>
    <row r="1300" spans="3:11" s="7" customFormat="1"/>
    <row r="1301" spans="3:11" s="7" customFormat="1"/>
    <row r="1302" spans="3:11" s="7" customFormat="1">
      <c r="C1302" s="118"/>
      <c r="D1302" s="118"/>
      <c r="E1302" s="118"/>
      <c r="F1302" s="118"/>
      <c r="G1302" s="118"/>
      <c r="H1302" s="118"/>
      <c r="I1302" s="118"/>
      <c r="J1302" s="118"/>
      <c r="K1302" s="118"/>
    </row>
    <row r="1303" spans="3:11" s="7" customFormat="1">
      <c r="C1303" s="118"/>
      <c r="D1303" s="118"/>
      <c r="E1303" s="118"/>
      <c r="F1303" s="118"/>
      <c r="G1303" s="118"/>
      <c r="H1303" s="118"/>
      <c r="I1303" s="118"/>
      <c r="J1303" s="118"/>
      <c r="K1303" s="118"/>
    </row>
    <row r="1304" spans="3:11" s="7" customFormat="1">
      <c r="C1304" s="118"/>
      <c r="D1304" s="118"/>
      <c r="E1304" s="118"/>
      <c r="F1304" s="118"/>
      <c r="G1304" s="118"/>
      <c r="H1304" s="118"/>
      <c r="I1304" s="118"/>
      <c r="J1304" s="118"/>
      <c r="K1304" s="118"/>
    </row>
    <row r="1305" spans="3:11" s="7" customFormat="1">
      <c r="C1305" s="118"/>
      <c r="D1305" s="118"/>
      <c r="E1305" s="118"/>
      <c r="F1305" s="118"/>
      <c r="G1305" s="118"/>
      <c r="H1305" s="118"/>
      <c r="I1305" s="118"/>
      <c r="J1305" s="118"/>
      <c r="K1305" s="118"/>
    </row>
    <row r="1306" spans="3:11" s="7" customFormat="1">
      <c r="C1306" s="118"/>
      <c r="D1306" s="118"/>
      <c r="E1306" s="118"/>
      <c r="F1306" s="118"/>
      <c r="G1306" s="118"/>
      <c r="H1306" s="118"/>
      <c r="I1306" s="118"/>
      <c r="J1306" s="118"/>
      <c r="K1306" s="118"/>
    </row>
    <row r="1307" spans="3:11" s="7" customFormat="1">
      <c r="C1307" s="118"/>
      <c r="D1307" s="118"/>
      <c r="E1307" s="118"/>
      <c r="F1307" s="118"/>
      <c r="G1307" s="118"/>
      <c r="H1307" s="118"/>
      <c r="I1307" s="118"/>
      <c r="J1307" s="118"/>
      <c r="K1307" s="118"/>
    </row>
    <row r="1308" spans="3:11" s="7" customFormat="1">
      <c r="C1308" s="118"/>
      <c r="D1308" s="118"/>
      <c r="E1308" s="118"/>
      <c r="F1308" s="118"/>
      <c r="G1308" s="118"/>
      <c r="H1308" s="118"/>
      <c r="I1308" s="118"/>
      <c r="J1308" s="118"/>
      <c r="K1308" s="118"/>
    </row>
    <row r="1309" spans="3:11" s="7" customFormat="1">
      <c r="C1309" s="118"/>
      <c r="D1309" s="118"/>
      <c r="E1309" s="118"/>
      <c r="F1309" s="118"/>
      <c r="G1309" s="118"/>
      <c r="H1309" s="118"/>
      <c r="I1309" s="118"/>
      <c r="J1309" s="118"/>
      <c r="K1309" s="118"/>
    </row>
    <row r="1310" spans="3:11" s="7" customFormat="1">
      <c r="C1310" s="118"/>
      <c r="D1310" s="118"/>
      <c r="E1310" s="118"/>
      <c r="F1310" s="118"/>
      <c r="G1310" s="118"/>
      <c r="H1310" s="118"/>
      <c r="I1310" s="118"/>
      <c r="J1310" s="118"/>
      <c r="K1310" s="118"/>
    </row>
    <row r="1311" spans="3:11" s="7" customFormat="1">
      <c r="C1311" s="118"/>
      <c r="D1311" s="118"/>
      <c r="E1311" s="118"/>
      <c r="F1311" s="118"/>
      <c r="G1311" s="118"/>
      <c r="H1311" s="118"/>
      <c r="I1311" s="118"/>
      <c r="J1311" s="118"/>
      <c r="K1311" s="118"/>
    </row>
    <row r="1312" spans="3:11" s="7" customFormat="1">
      <c r="C1312" s="118"/>
      <c r="D1312" s="118"/>
      <c r="E1312" s="118"/>
      <c r="F1312" s="118"/>
      <c r="G1312" s="118"/>
      <c r="H1312" s="118"/>
      <c r="I1312" s="118"/>
      <c r="J1312" s="118"/>
      <c r="K1312" s="118"/>
    </row>
    <row r="1313" spans="1:50" s="7" customFormat="1">
      <c r="C1313" s="118"/>
      <c r="D1313" s="118"/>
      <c r="E1313" s="118"/>
      <c r="F1313" s="118"/>
      <c r="G1313" s="118"/>
      <c r="H1313" s="118"/>
      <c r="I1313" s="118"/>
      <c r="J1313" s="118"/>
      <c r="K1313" s="118"/>
    </row>
    <row r="1314" spans="1:50" s="7" customFormat="1">
      <c r="C1314" s="118"/>
      <c r="D1314" s="118"/>
      <c r="E1314" s="118"/>
      <c r="F1314" s="118"/>
      <c r="G1314" s="118"/>
      <c r="H1314" s="118"/>
      <c r="I1314" s="118"/>
      <c r="J1314" s="118"/>
      <c r="K1314" s="118"/>
    </row>
    <row r="1315" spans="1:50" s="7" customFormat="1">
      <c r="C1315" s="118"/>
      <c r="D1315" s="118"/>
      <c r="E1315" s="118"/>
      <c r="F1315" s="118"/>
      <c r="G1315" s="118"/>
      <c r="H1315" s="118"/>
      <c r="I1315" s="118"/>
      <c r="J1315" s="118"/>
      <c r="K1315" s="118"/>
    </row>
    <row r="1316" spans="1:50" s="7" customFormat="1">
      <c r="C1316" s="118"/>
      <c r="D1316" s="118"/>
      <c r="E1316" s="118"/>
      <c r="F1316" s="118"/>
      <c r="G1316" s="118"/>
      <c r="H1316" s="118"/>
      <c r="I1316" s="118"/>
      <c r="J1316" s="118"/>
      <c r="K1316" s="118"/>
    </row>
    <row r="1317" spans="1:50" s="7" customFormat="1">
      <c r="C1317" s="118"/>
      <c r="D1317" s="118"/>
      <c r="E1317" s="118"/>
      <c r="F1317" s="118"/>
      <c r="G1317" s="118"/>
      <c r="H1317" s="118"/>
      <c r="I1317" s="118"/>
      <c r="J1317" s="118"/>
      <c r="K1317" s="118"/>
    </row>
    <row r="1318" spans="1:50" s="7" customFormat="1">
      <c r="C1318" s="118"/>
      <c r="D1318" s="118"/>
      <c r="E1318" s="118"/>
      <c r="F1318" s="118"/>
      <c r="G1318" s="118"/>
      <c r="H1318" s="118"/>
      <c r="I1318" s="118"/>
      <c r="J1318" s="118"/>
      <c r="K1318" s="118"/>
    </row>
    <row r="1319" spans="1:50" s="7" customFormat="1">
      <c r="C1319" s="118"/>
      <c r="D1319" s="118"/>
      <c r="E1319" s="118"/>
      <c r="F1319" s="118"/>
      <c r="G1319" s="118"/>
      <c r="H1319" s="118"/>
      <c r="I1319" s="118"/>
      <c r="J1319" s="118"/>
      <c r="K1319" s="118"/>
    </row>
    <row r="1320" spans="1:50" s="7" customFormat="1">
      <c r="C1320" s="118"/>
      <c r="D1320" s="118"/>
      <c r="E1320" s="118"/>
      <c r="F1320" s="118"/>
      <c r="G1320" s="118"/>
      <c r="H1320" s="118"/>
      <c r="I1320" s="118"/>
      <c r="J1320" s="118"/>
      <c r="K1320" s="118"/>
    </row>
    <row r="1321" spans="1:50" s="7" customFormat="1">
      <c r="C1321" s="118"/>
      <c r="D1321" s="118"/>
      <c r="E1321" s="118"/>
      <c r="F1321" s="118"/>
      <c r="G1321" s="118"/>
      <c r="H1321" s="118"/>
      <c r="I1321" s="118"/>
      <c r="J1321" s="118"/>
      <c r="K1321" s="118"/>
      <c r="AM1321" s="8"/>
      <c r="AN1321" s="8"/>
      <c r="AO1321" s="8"/>
      <c r="AP1321" s="8"/>
      <c r="AQ1321" s="8"/>
      <c r="AR1321" s="8"/>
      <c r="AS1321" s="8"/>
      <c r="AT1321" s="8"/>
      <c r="AU1321" s="8"/>
      <c r="AV1321" s="124"/>
    </row>
    <row r="1322" spans="1:50" s="7" customFormat="1">
      <c r="A1322" s="8"/>
      <c r="B1322" s="8"/>
      <c r="C1322" s="118"/>
      <c r="D1322" s="118"/>
      <c r="E1322" s="118"/>
      <c r="F1322" s="118"/>
      <c r="G1322" s="118"/>
      <c r="H1322" s="118"/>
      <c r="I1322" s="118"/>
      <c r="J1322" s="118"/>
      <c r="K1322" s="118"/>
      <c r="L1322" s="8"/>
      <c r="M1322" s="8"/>
      <c r="N1322" s="8"/>
      <c r="O1322" s="8"/>
      <c r="P1322" s="8"/>
      <c r="Q1322" s="8"/>
      <c r="R1322" s="8"/>
      <c r="S1322" s="8"/>
      <c r="T1322" s="8"/>
      <c r="U1322" s="8"/>
      <c r="V1322" s="8"/>
      <c r="W1322" s="8"/>
      <c r="X1322" s="8"/>
      <c r="Y1322" s="8"/>
      <c r="Z1322" s="8"/>
      <c r="AA1322" s="8"/>
      <c r="AB1322" s="8"/>
      <c r="AC1322" s="8"/>
      <c r="AD1322" s="8"/>
      <c r="AE1322" s="8"/>
      <c r="AF1322" s="8"/>
      <c r="AG1322" s="8"/>
      <c r="AH1322" s="8"/>
      <c r="AI1322" s="8"/>
      <c r="AJ1322" s="8"/>
      <c r="AK1322" s="8"/>
      <c r="AL1322" s="8"/>
      <c r="AM1322" s="8"/>
      <c r="AN1322" s="8"/>
      <c r="AO1322" s="8"/>
      <c r="AP1322" s="8"/>
      <c r="AQ1322" s="8"/>
      <c r="AR1322" s="8"/>
      <c r="AS1322" s="8"/>
      <c r="AT1322" s="8"/>
      <c r="AU1322" s="8"/>
      <c r="AV1322" s="124"/>
      <c r="AW1322" s="124"/>
      <c r="AX1322" s="124"/>
    </row>
    <row r="1323" spans="1:50">
      <c r="C1323" s="118"/>
      <c r="D1323" s="118"/>
      <c r="E1323" s="118"/>
      <c r="F1323" s="118"/>
      <c r="G1323" s="118"/>
      <c r="H1323" s="118"/>
      <c r="I1323" s="118"/>
      <c r="J1323" s="118"/>
      <c r="K1323" s="118"/>
    </row>
    <row r="1324" spans="1:50">
      <c r="C1324" s="118"/>
      <c r="D1324" s="118"/>
      <c r="E1324" s="118"/>
      <c r="F1324" s="118"/>
      <c r="G1324" s="118"/>
      <c r="H1324" s="118"/>
      <c r="I1324" s="118"/>
      <c r="J1324" s="118"/>
      <c r="K1324" s="118"/>
    </row>
    <row r="1325" spans="1:50">
      <c r="C1325" s="118"/>
      <c r="D1325" s="118"/>
      <c r="E1325" s="118"/>
      <c r="F1325" s="118"/>
      <c r="G1325" s="118"/>
      <c r="H1325" s="118"/>
      <c r="I1325" s="118"/>
      <c r="J1325" s="118"/>
      <c r="K1325" s="118"/>
    </row>
    <row r="1326" spans="1:50">
      <c r="C1326" s="118"/>
      <c r="D1326" s="118"/>
      <c r="E1326" s="118"/>
      <c r="F1326" s="118"/>
      <c r="G1326" s="118"/>
      <c r="H1326" s="118"/>
      <c r="I1326" s="118"/>
      <c r="J1326" s="118"/>
      <c r="K1326" s="118"/>
    </row>
    <row r="1327" spans="1:50">
      <c r="C1327" s="118"/>
      <c r="D1327" s="118"/>
      <c r="E1327" s="118"/>
      <c r="F1327" s="118"/>
      <c r="G1327" s="118"/>
      <c r="H1327" s="118"/>
      <c r="I1327" s="118"/>
      <c r="J1327" s="118"/>
      <c r="K1327" s="118"/>
    </row>
    <row r="1328" spans="1:50">
      <c r="C1328" s="118"/>
      <c r="D1328" s="118"/>
      <c r="E1328" s="118"/>
      <c r="F1328" s="118"/>
      <c r="G1328" s="118"/>
      <c r="H1328" s="118"/>
      <c r="I1328" s="118"/>
      <c r="J1328" s="118"/>
      <c r="K1328" s="118"/>
    </row>
    <row r="1329" spans="3:11">
      <c r="C1329" s="118"/>
      <c r="D1329" s="118"/>
      <c r="E1329" s="118"/>
      <c r="F1329" s="118"/>
      <c r="G1329" s="118"/>
      <c r="H1329" s="118"/>
      <c r="I1329" s="118"/>
      <c r="J1329" s="118"/>
      <c r="K1329" s="118"/>
    </row>
    <row r="1330" spans="3:11">
      <c r="C1330" s="118"/>
      <c r="D1330" s="118"/>
      <c r="E1330" s="118"/>
      <c r="F1330" s="118"/>
      <c r="G1330" s="118"/>
      <c r="H1330" s="118"/>
      <c r="I1330" s="118"/>
      <c r="J1330" s="118"/>
      <c r="K1330" s="118"/>
    </row>
    <row r="1331" spans="3:11">
      <c r="C1331" s="118"/>
      <c r="D1331" s="118"/>
      <c r="E1331" s="118"/>
      <c r="F1331" s="118"/>
      <c r="G1331" s="118"/>
      <c r="H1331" s="118"/>
      <c r="I1331" s="118"/>
      <c r="J1331" s="118"/>
      <c r="K1331" s="118"/>
    </row>
    <row r="1332" spans="3:11">
      <c r="C1332" s="118"/>
      <c r="D1332" s="118"/>
      <c r="E1332" s="118"/>
      <c r="F1332" s="118"/>
      <c r="G1332" s="118"/>
      <c r="H1332" s="118"/>
      <c r="I1332" s="118"/>
      <c r="J1332" s="118"/>
      <c r="K1332" s="118"/>
    </row>
    <row r="1333" spans="3:11">
      <c r="C1333" s="118"/>
      <c r="D1333" s="118"/>
      <c r="E1333" s="118"/>
      <c r="F1333" s="118"/>
      <c r="G1333" s="118"/>
      <c r="H1333" s="118"/>
      <c r="I1333" s="118"/>
      <c r="J1333" s="118"/>
      <c r="K1333" s="118"/>
    </row>
    <row r="1334" spans="3:11">
      <c r="C1334" s="118"/>
      <c r="D1334" s="118"/>
      <c r="E1334" s="118"/>
      <c r="F1334" s="118"/>
      <c r="G1334" s="118"/>
      <c r="H1334" s="118"/>
      <c r="I1334" s="118"/>
      <c r="J1334" s="118"/>
      <c r="K1334" s="118"/>
    </row>
    <row r="1335" spans="3:11">
      <c r="C1335" s="118"/>
      <c r="D1335" s="118"/>
      <c r="E1335" s="118"/>
      <c r="F1335" s="118"/>
      <c r="G1335" s="118"/>
      <c r="H1335" s="118"/>
      <c r="I1335" s="118"/>
      <c r="J1335" s="118"/>
      <c r="K1335" s="118"/>
    </row>
    <row r="1336" spans="3:11">
      <c r="C1336" s="118"/>
      <c r="D1336" s="118"/>
      <c r="E1336" s="118"/>
      <c r="F1336" s="118"/>
      <c r="G1336" s="118"/>
      <c r="H1336" s="118"/>
      <c r="I1336" s="118"/>
      <c r="J1336" s="118"/>
      <c r="K1336" s="118"/>
    </row>
    <row r="1337" spans="3:11">
      <c r="C1337" s="118"/>
      <c r="D1337" s="118"/>
      <c r="E1337" s="118"/>
      <c r="F1337" s="118"/>
      <c r="G1337" s="118"/>
      <c r="H1337" s="118"/>
      <c r="I1337" s="118"/>
      <c r="J1337" s="118"/>
      <c r="K1337" s="118"/>
    </row>
    <row r="1338" spans="3:11">
      <c r="C1338" s="118"/>
      <c r="D1338" s="118"/>
      <c r="E1338" s="118"/>
      <c r="F1338" s="118"/>
      <c r="G1338" s="118"/>
      <c r="H1338" s="118"/>
      <c r="I1338" s="118"/>
      <c r="J1338" s="118"/>
      <c r="K1338" s="118"/>
    </row>
  </sheetData>
  <sortState ref="B198:AI207">
    <sortCondition descending="1" ref="B198"/>
  </sortState>
  <dataConsolidate/>
  <mergeCells count="37">
    <mergeCell ref="CW86:CX86"/>
    <mergeCell ref="O455:R455"/>
    <mergeCell ref="GC2:GI2"/>
    <mergeCell ref="FI6:FJ6"/>
    <mergeCell ref="FK6:FL6"/>
    <mergeCell ref="FM6:FN6"/>
    <mergeCell ref="FJ4:FM4"/>
    <mergeCell ref="FI12:FJ12"/>
    <mergeCell ref="FI13:FJ13"/>
    <mergeCell ref="FI14:FJ14"/>
    <mergeCell ref="FI15:FJ15"/>
    <mergeCell ref="FI16:FJ16"/>
    <mergeCell ref="FI7:FJ7"/>
    <mergeCell ref="FI8:FJ8"/>
    <mergeCell ref="FI9:FJ9"/>
    <mergeCell ref="FI10:FJ10"/>
    <mergeCell ref="FI11:FJ11"/>
    <mergeCell ref="FK7:FL7"/>
    <mergeCell ref="FK8:FL8"/>
    <mergeCell ref="FK9:FL9"/>
    <mergeCell ref="FK10:FL10"/>
    <mergeCell ref="FK11:FL11"/>
    <mergeCell ref="FK12:FL12"/>
    <mergeCell ref="FK13:FL13"/>
    <mergeCell ref="FK14:FL14"/>
    <mergeCell ref="FK15:FL15"/>
    <mergeCell ref="FK16:FL16"/>
    <mergeCell ref="FM7:FN7"/>
    <mergeCell ref="FM8:FN8"/>
    <mergeCell ref="FM9:FN9"/>
    <mergeCell ref="FM10:FN10"/>
    <mergeCell ref="FM11:FN11"/>
    <mergeCell ref="FM12:FN12"/>
    <mergeCell ref="FM13:FN13"/>
    <mergeCell ref="FM14:FN14"/>
    <mergeCell ref="FM15:FN15"/>
    <mergeCell ref="FM16:FN16"/>
  </mergeCells>
  <phoneticPr fontId="2" type="noConversion"/>
  <pageMargins left="0.75" right="0.75" top="1" bottom="1" header="0.5" footer="0.5"/>
  <pageSetup orientation="portrait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4"/>
  <dimension ref="A1:A8"/>
  <sheetViews>
    <sheetView workbookViewId="0">
      <selection activeCell="A8" sqref="A8"/>
    </sheetView>
  </sheetViews>
  <sheetFormatPr defaultColWidth="11.42578125" defaultRowHeight="12.75"/>
  <sheetData>
    <row r="1" spans="1:1">
      <c r="A1" t="s">
        <v>84</v>
      </c>
    </row>
    <row r="2" spans="1:1">
      <c r="A2" t="s">
        <v>85</v>
      </c>
    </row>
    <row r="3" spans="1:1">
      <c r="A3" t="s">
        <v>86</v>
      </c>
    </row>
    <row r="4" spans="1:1">
      <c r="A4" t="s">
        <v>87</v>
      </c>
    </row>
    <row r="5" spans="1:1">
      <c r="A5" t="s">
        <v>88</v>
      </c>
    </row>
    <row r="6" spans="1:1">
      <c r="A6" t="s">
        <v>89</v>
      </c>
    </row>
    <row r="7" spans="1:1">
      <c r="A7" t="s">
        <v>90</v>
      </c>
    </row>
    <row r="8" spans="1:1">
      <c r="A8" t="s">
        <v>91</v>
      </c>
    </row>
  </sheetData>
  <phoneticPr fontId="42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Cobble Gravel</vt:lpstr>
      <vt:lpstr>Notes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A. Chadwick</dc:creator>
  <cp:lastModifiedBy>Jim</cp:lastModifiedBy>
  <dcterms:created xsi:type="dcterms:W3CDTF">2004-12-20T04:17:09Z</dcterms:created>
  <dcterms:modified xsi:type="dcterms:W3CDTF">2011-01-12T17:45:47Z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-642832883</vt:i4>
  </property>
  <property fmtid="{D5CDD505-2E9C-101B-9397-08002B2CF9AE}" pid="3" name="_EmailSubject">
    <vt:lpwstr>bootstrap spreadsheet</vt:lpwstr>
  </property>
  <property fmtid="{D5CDD505-2E9C-101B-9397-08002B2CF9AE}" pid="4" name="_AuthorEmail">
    <vt:lpwstr>chadwick@bama.ua.edu</vt:lpwstr>
  </property>
  <property fmtid="{D5CDD505-2E9C-101B-9397-08002B2CF9AE}" pid="5" name="_AuthorEmailDisplayName">
    <vt:lpwstr>Michael A. Chadwick</vt:lpwstr>
  </property>
  <property fmtid="{D5CDD505-2E9C-101B-9397-08002B2CF9AE}" pid="6" name="_ReviewingToolsShownOnce">
    <vt:lpwstr/>
  </property>
</Properties>
</file>