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5" yWindow="0" windowWidth="10425" windowHeight="7635"/>
  </bookViews>
  <sheets>
    <sheet name="Cobble Gravel" sheetId="1" r:id="rId1"/>
    <sheet name="Notes" sheetId="4" r:id="rId2"/>
  </sheets>
  <calcPr calcId="125725"/>
</workbook>
</file>

<file path=xl/calcChain.xml><?xml version="1.0" encoding="utf-8"?>
<calcChain xmlns="http://schemas.openxmlformats.org/spreadsheetml/2006/main">
  <c r="DE246" i="1"/>
  <c r="DE218"/>
  <c r="H422"/>
  <c r="I422"/>
  <c r="J422"/>
  <c r="K422"/>
  <c r="L422"/>
  <c r="M422"/>
  <c r="N422"/>
  <c r="O422"/>
  <c r="P422"/>
  <c r="Q422"/>
  <c r="R422"/>
  <c r="S422"/>
  <c r="T422"/>
  <c r="U422"/>
  <c r="V422"/>
  <c r="W422"/>
  <c r="X422"/>
  <c r="Y422"/>
  <c r="Z422"/>
  <c r="AA422"/>
  <c r="AB422"/>
  <c r="AC422"/>
  <c r="AD422"/>
  <c r="AE422"/>
  <c r="AF422"/>
  <c r="AG422"/>
  <c r="AH422"/>
  <c r="AI422"/>
  <c r="AJ422"/>
  <c r="AK422"/>
  <c r="G422"/>
  <c r="DF148" l="1"/>
  <c r="EK148" s="1"/>
  <c r="DG148"/>
  <c r="DH148"/>
  <c r="DI148"/>
  <c r="DJ148"/>
  <c r="DK148"/>
  <c r="DL148"/>
  <c r="DM148"/>
  <c r="DN148"/>
  <c r="DO148"/>
  <c r="DP148"/>
  <c r="DQ148"/>
  <c r="DR148"/>
  <c r="DS148"/>
  <c r="DT148"/>
  <c r="DU148"/>
  <c r="DV148"/>
  <c r="DW148"/>
  <c r="DX148"/>
  <c r="DY148"/>
  <c r="DZ148"/>
  <c r="EA148"/>
  <c r="EB148"/>
  <c r="EC148"/>
  <c r="ED148"/>
  <c r="EE148"/>
  <c r="EF148"/>
  <c r="EG148"/>
  <c r="EH148"/>
  <c r="EI148"/>
  <c r="EJ148"/>
  <c r="DF149"/>
  <c r="EK149" s="1"/>
  <c r="DG149"/>
  <c r="DH149"/>
  <c r="DI149"/>
  <c r="DJ149"/>
  <c r="DK149"/>
  <c r="DL149"/>
  <c r="DM149"/>
  <c r="DN149"/>
  <c r="DO149"/>
  <c r="DP149"/>
  <c r="DQ149"/>
  <c r="DR149"/>
  <c r="DS149"/>
  <c r="DT149"/>
  <c r="DU149"/>
  <c r="DV149"/>
  <c r="DW149"/>
  <c r="DX149"/>
  <c r="DY149"/>
  <c r="DZ149"/>
  <c r="EA149"/>
  <c r="EB149"/>
  <c r="EC149"/>
  <c r="ED149"/>
  <c r="EE149"/>
  <c r="EF149"/>
  <c r="EG149"/>
  <c r="EH149"/>
  <c r="EI149"/>
  <c r="EJ149"/>
  <c r="DF150"/>
  <c r="DG150"/>
  <c r="DH150"/>
  <c r="DI150"/>
  <c r="DJ150"/>
  <c r="DK150"/>
  <c r="DL150"/>
  <c r="DM150"/>
  <c r="DN150"/>
  <c r="DO150"/>
  <c r="DP150"/>
  <c r="DQ150"/>
  <c r="DR150"/>
  <c r="DS150"/>
  <c r="DT150"/>
  <c r="DU150"/>
  <c r="DV150"/>
  <c r="DW150"/>
  <c r="DX150"/>
  <c r="DY150"/>
  <c r="DZ150"/>
  <c r="EA150"/>
  <c r="EB150"/>
  <c r="EC150"/>
  <c r="ED150"/>
  <c r="EE150"/>
  <c r="EF150"/>
  <c r="EG150"/>
  <c r="EH150"/>
  <c r="EI150"/>
  <c r="EJ150"/>
  <c r="DF151"/>
  <c r="DG151"/>
  <c r="DH151"/>
  <c r="DI151"/>
  <c r="DJ151"/>
  <c r="DK151"/>
  <c r="DL151"/>
  <c r="DM151"/>
  <c r="DN151"/>
  <c r="DO151"/>
  <c r="DP151"/>
  <c r="DQ151"/>
  <c r="DR151"/>
  <c r="DS151"/>
  <c r="DT151"/>
  <c r="DU151"/>
  <c r="DV151"/>
  <c r="DW151"/>
  <c r="DX151"/>
  <c r="DY151"/>
  <c r="DZ151"/>
  <c r="EA151"/>
  <c r="EB151"/>
  <c r="EC151"/>
  <c r="ED151"/>
  <c r="EE151"/>
  <c r="EF151"/>
  <c r="EG151"/>
  <c r="EH151"/>
  <c r="EI151"/>
  <c r="EJ151"/>
  <c r="DD148"/>
  <c r="DD149"/>
  <c r="DD150"/>
  <c r="DD151"/>
  <c r="CZ148"/>
  <c r="CZ149"/>
  <c r="CZ150"/>
  <c r="CZ151"/>
  <c r="EK151" l="1"/>
  <c r="EK150"/>
  <c r="FM16"/>
  <c r="FM15"/>
  <c r="FM14"/>
  <c r="FM13"/>
  <c r="FM12"/>
  <c r="FM11"/>
  <c r="FM10"/>
  <c r="FM9"/>
  <c r="FM8"/>
  <c r="FM7"/>
  <c r="FK16"/>
  <c r="FK15"/>
  <c r="FK14"/>
  <c r="FK13"/>
  <c r="FK12"/>
  <c r="FK11"/>
  <c r="FK10"/>
  <c r="FK9"/>
  <c r="FK8"/>
  <c r="FK7"/>
  <c r="FI8"/>
  <c r="FI9"/>
  <c r="FI10"/>
  <c r="FI11"/>
  <c r="FI12"/>
  <c r="FI13"/>
  <c r="FI14"/>
  <c r="FI15"/>
  <c r="FI16"/>
  <c r="FI7"/>
  <c r="FH16"/>
  <c r="FH15"/>
  <c r="FH14"/>
  <c r="FH13"/>
  <c r="FH12"/>
  <c r="FH11"/>
  <c r="FH10"/>
  <c r="FH9"/>
  <c r="FH8"/>
  <c r="FH7"/>
  <c r="GI4"/>
  <c r="GH4"/>
  <c r="GG4"/>
  <c r="GF4"/>
  <c r="GE4"/>
  <c r="GD4"/>
  <c r="GC4"/>
  <c r="GB4"/>
  <c r="GA4"/>
  <c r="FZ4"/>
  <c r="CX117" l="1"/>
  <c r="CX108"/>
  <c r="CX155"/>
  <c r="CX110"/>
  <c r="CX116"/>
  <c r="DE234"/>
  <c r="DE233"/>
  <c r="DE232"/>
  <c r="DE221" l="1"/>
  <c r="DE220"/>
  <c r="DE219"/>
  <c r="DE212"/>
  <c r="D450" l="1"/>
  <c r="D449"/>
  <c r="D448"/>
  <c r="D447"/>
  <c r="D446"/>
  <c r="D445"/>
  <c r="D444"/>
  <c r="D443"/>
  <c r="D442"/>
  <c r="D441"/>
  <c r="D432"/>
  <c r="D431"/>
  <c r="D430"/>
  <c r="D429"/>
  <c r="D428"/>
  <c r="D427"/>
  <c r="D426"/>
  <c r="D425"/>
  <c r="D424"/>
  <c r="D423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D551"/>
  <c r="E551"/>
  <c r="E553"/>
  <c r="H552" s="1"/>
  <c r="D553"/>
  <c r="C553"/>
  <c r="I552"/>
  <c r="C551"/>
  <c r="C549"/>
  <c r="C547"/>
  <c r="C545"/>
  <c r="C543"/>
  <c r="C541"/>
  <c r="C539"/>
  <c r="C537"/>
  <c r="C535"/>
  <c r="C533"/>
  <c r="C531"/>
  <c r="G36"/>
  <c r="H36"/>
  <c r="H372" s="1"/>
  <c r="A438"/>
  <c r="I36"/>
  <c r="I372" s="1"/>
  <c r="J36"/>
  <c r="E463" s="1"/>
  <c r="K36"/>
  <c r="E465" s="1"/>
  <c r="L36"/>
  <c r="E467" s="1"/>
  <c r="M36"/>
  <c r="E469" s="1"/>
  <c r="N36"/>
  <c r="E471" s="1"/>
  <c r="O36"/>
  <c r="O372" s="1"/>
  <c r="O381" s="1"/>
  <c r="P36"/>
  <c r="E475" s="1"/>
  <c r="Q36"/>
  <c r="R36"/>
  <c r="E479" s="1"/>
  <c r="S36"/>
  <c r="E481" s="1"/>
  <c r="T36"/>
  <c r="U36"/>
  <c r="E485" s="1"/>
  <c r="V36"/>
  <c r="W36"/>
  <c r="E489" s="1"/>
  <c r="X36"/>
  <c r="Y36"/>
  <c r="E493" s="1"/>
  <c r="Z36"/>
  <c r="E495" s="1"/>
  <c r="AA36"/>
  <c r="AB36"/>
  <c r="E499" s="1"/>
  <c r="AC36"/>
  <c r="AD36"/>
  <c r="E503" s="1"/>
  <c r="AE36"/>
  <c r="AF36"/>
  <c r="E507" s="1"/>
  <c r="AG36"/>
  <c r="AH36"/>
  <c r="AI36"/>
  <c r="E513" s="1"/>
  <c r="AJ36"/>
  <c r="E515" s="1"/>
  <c r="AK36"/>
  <c r="E517" s="1"/>
  <c r="H518" s="1"/>
  <c r="E21"/>
  <c r="E22"/>
  <c r="E23"/>
  <c r="E24"/>
  <c r="E25"/>
  <c r="E26"/>
  <c r="E27"/>
  <c r="E28"/>
  <c r="E29"/>
  <c r="B405"/>
  <c r="B414"/>
  <c r="C414"/>
  <c r="B413"/>
  <c r="C413" s="1"/>
  <c r="B412"/>
  <c r="C412" s="1"/>
  <c r="B411"/>
  <c r="C411" s="1"/>
  <c r="B410"/>
  <c r="C410"/>
  <c r="B409"/>
  <c r="C409" s="1"/>
  <c r="B408"/>
  <c r="C408" s="1"/>
  <c r="B407"/>
  <c r="C407" s="1"/>
  <c r="B406"/>
  <c r="C406"/>
  <c r="H398"/>
  <c r="F398"/>
  <c r="H397"/>
  <c r="F397"/>
  <c r="B382"/>
  <c r="B381"/>
  <c r="B380"/>
  <c r="B379"/>
  <c r="B378"/>
  <c r="B377"/>
  <c r="B376"/>
  <c r="B375"/>
  <c r="B374"/>
  <c r="B373"/>
  <c r="BA178"/>
  <c r="CM178"/>
  <c r="BA168"/>
  <c r="CM168" s="1"/>
  <c r="BA159"/>
  <c r="CM159"/>
  <c r="BA150"/>
  <c r="CM150" s="1"/>
  <c r="BA158"/>
  <c r="BA138"/>
  <c r="CM138" s="1"/>
  <c r="BA151"/>
  <c r="BA128"/>
  <c r="BA118"/>
  <c r="CM118"/>
  <c r="BA108"/>
  <c r="CM108"/>
  <c r="BA98"/>
  <c r="CM98"/>
  <c r="BA88"/>
  <c r="DF207"/>
  <c r="EJ207"/>
  <c r="FT207" s="1"/>
  <c r="EI207"/>
  <c r="FS207" s="1"/>
  <c r="EH207"/>
  <c r="FR207" s="1"/>
  <c r="EG207"/>
  <c r="FQ207" s="1"/>
  <c r="EF207"/>
  <c r="FP207"/>
  <c r="EE207"/>
  <c r="FO207" s="1"/>
  <c r="ED207"/>
  <c r="FN207"/>
  <c r="EC207"/>
  <c r="FM207" s="1"/>
  <c r="EB207"/>
  <c r="FL207" s="1"/>
  <c r="EA207"/>
  <c r="FK207" s="1"/>
  <c r="DZ207"/>
  <c r="FJ207"/>
  <c r="DY207"/>
  <c r="FI207" s="1"/>
  <c r="DX207"/>
  <c r="FH207"/>
  <c r="DW207"/>
  <c r="FG207" s="1"/>
  <c r="DV207"/>
  <c r="FF207"/>
  <c r="DU207"/>
  <c r="FE207" s="1"/>
  <c r="DT207"/>
  <c r="FD207" s="1"/>
  <c r="DS207"/>
  <c r="FC207" s="1"/>
  <c r="DR207"/>
  <c r="FB207"/>
  <c r="DQ207"/>
  <c r="FA207" s="1"/>
  <c r="DP207"/>
  <c r="EZ207" s="1"/>
  <c r="DO207"/>
  <c r="EY207" s="1"/>
  <c r="DN207"/>
  <c r="EX207"/>
  <c r="DM207"/>
  <c r="EW207" s="1"/>
  <c r="DL207"/>
  <c r="EV207" s="1"/>
  <c r="DK207"/>
  <c r="EU207" s="1"/>
  <c r="DJ207"/>
  <c r="ET207" s="1"/>
  <c r="DI207"/>
  <c r="ES207" s="1"/>
  <c r="DH207"/>
  <c r="ER207"/>
  <c r="DG207"/>
  <c r="EQ207" s="1"/>
  <c r="DD207"/>
  <c r="DC207" s="1"/>
  <c r="CZ207"/>
  <c r="CM207"/>
  <c r="CL207"/>
  <c r="CK207"/>
  <c r="AY207"/>
  <c r="B207"/>
  <c r="DF206"/>
  <c r="EJ206"/>
  <c r="FT206" s="1"/>
  <c r="EI206"/>
  <c r="FS206"/>
  <c r="EH206"/>
  <c r="FR206" s="1"/>
  <c r="EG206"/>
  <c r="FQ206"/>
  <c r="EF206"/>
  <c r="FP206" s="1"/>
  <c r="EE206"/>
  <c r="FO206"/>
  <c r="ED206"/>
  <c r="FN206" s="1"/>
  <c r="EC206"/>
  <c r="FM206"/>
  <c r="EB206"/>
  <c r="FL206" s="1"/>
  <c r="EA206"/>
  <c r="FK206"/>
  <c r="DZ206"/>
  <c r="FJ206" s="1"/>
  <c r="DY206"/>
  <c r="FI206"/>
  <c r="DX206"/>
  <c r="FH206" s="1"/>
  <c r="DW206"/>
  <c r="FG206"/>
  <c r="DV206"/>
  <c r="FF206" s="1"/>
  <c r="DU206"/>
  <c r="FE206"/>
  <c r="DT206"/>
  <c r="FD206" s="1"/>
  <c r="DS206"/>
  <c r="FC206"/>
  <c r="DR206"/>
  <c r="FB206" s="1"/>
  <c r="DQ206"/>
  <c r="FA206"/>
  <c r="DP206"/>
  <c r="EZ206" s="1"/>
  <c r="DO206"/>
  <c r="EY206"/>
  <c r="DN206"/>
  <c r="EX206" s="1"/>
  <c r="DM206"/>
  <c r="EW206"/>
  <c r="DL206"/>
  <c r="EV206" s="1"/>
  <c r="DK206"/>
  <c r="EU206"/>
  <c r="DJ206"/>
  <c r="ET206" s="1"/>
  <c r="DI206"/>
  <c r="ES206"/>
  <c r="DH206"/>
  <c r="ER206" s="1"/>
  <c r="DG206"/>
  <c r="EQ206"/>
  <c r="DD206"/>
  <c r="DE206" s="1"/>
  <c r="DC206"/>
  <c r="CZ206"/>
  <c r="CM206"/>
  <c r="CL206"/>
  <c r="CK206"/>
  <c r="AY206"/>
  <c r="B206"/>
  <c r="DF205"/>
  <c r="EP205"/>
  <c r="FU205" s="1"/>
  <c r="EJ205"/>
  <c r="FT205" s="1"/>
  <c r="EI205"/>
  <c r="FS205"/>
  <c r="EH205"/>
  <c r="FR205" s="1"/>
  <c r="EG205"/>
  <c r="FQ205" s="1"/>
  <c r="EF205"/>
  <c r="FP205" s="1"/>
  <c r="EE205"/>
  <c r="FO205" s="1"/>
  <c r="ED205"/>
  <c r="FN205" s="1"/>
  <c r="EC205"/>
  <c r="FM205" s="1"/>
  <c r="EB205"/>
  <c r="FL205" s="1"/>
  <c r="EA205"/>
  <c r="FK205"/>
  <c r="DZ205"/>
  <c r="FJ205" s="1"/>
  <c r="DY205"/>
  <c r="FI205" s="1"/>
  <c r="DX205"/>
  <c r="FH205" s="1"/>
  <c r="DW205"/>
  <c r="FG205" s="1"/>
  <c r="DV205"/>
  <c r="FF205" s="1"/>
  <c r="DU205"/>
  <c r="FE205"/>
  <c r="DT205"/>
  <c r="FD205" s="1"/>
  <c r="DS205"/>
  <c r="FC205"/>
  <c r="DR205"/>
  <c r="FB205" s="1"/>
  <c r="DQ205"/>
  <c r="FA205" s="1"/>
  <c r="DP205"/>
  <c r="EZ205" s="1"/>
  <c r="DO205"/>
  <c r="EY205"/>
  <c r="DN205"/>
  <c r="EX205" s="1"/>
  <c r="DM205"/>
  <c r="EW205" s="1"/>
  <c r="DL205"/>
  <c r="EV205" s="1"/>
  <c r="DK205"/>
  <c r="EU205"/>
  <c r="DJ205"/>
  <c r="ET205" s="1"/>
  <c r="DI205"/>
  <c r="ES205" s="1"/>
  <c r="DH205"/>
  <c r="ER205" s="1"/>
  <c r="DG205"/>
  <c r="EQ205" s="1"/>
  <c r="EK205"/>
  <c r="DD205"/>
  <c r="CZ205"/>
  <c r="CM205"/>
  <c r="CL205"/>
  <c r="CK205"/>
  <c r="AY205"/>
  <c r="B205"/>
  <c r="DF204"/>
  <c r="EJ204"/>
  <c r="FT204"/>
  <c r="EI204"/>
  <c r="FS204"/>
  <c r="EH204"/>
  <c r="FR204"/>
  <c r="EG204"/>
  <c r="FQ204"/>
  <c r="EF204"/>
  <c r="FP204"/>
  <c r="EE204"/>
  <c r="FO204"/>
  <c r="ED204"/>
  <c r="FN204"/>
  <c r="EC204"/>
  <c r="FM204"/>
  <c r="EB204"/>
  <c r="FL204"/>
  <c r="EA204"/>
  <c r="FK204"/>
  <c r="DZ204"/>
  <c r="FJ204"/>
  <c r="DY204"/>
  <c r="FI204"/>
  <c r="DX204"/>
  <c r="FH204"/>
  <c r="DW204"/>
  <c r="FG204"/>
  <c r="DV204"/>
  <c r="FF204"/>
  <c r="DU204"/>
  <c r="FE204"/>
  <c r="DT204"/>
  <c r="FD204"/>
  <c r="DS204"/>
  <c r="FC204"/>
  <c r="DR204"/>
  <c r="FB204"/>
  <c r="DQ204"/>
  <c r="FA204"/>
  <c r="DP204"/>
  <c r="EZ204"/>
  <c r="DO204"/>
  <c r="EY204"/>
  <c r="DN204"/>
  <c r="EX204"/>
  <c r="DM204"/>
  <c r="EW204"/>
  <c r="DL204"/>
  <c r="EV204"/>
  <c r="DK204"/>
  <c r="EU204"/>
  <c r="DJ204"/>
  <c r="ET204"/>
  <c r="DI204"/>
  <c r="ES204"/>
  <c r="DH204"/>
  <c r="ER204"/>
  <c r="DG204"/>
  <c r="EQ204"/>
  <c r="DD204"/>
  <c r="DE204" s="1"/>
  <c r="DC204"/>
  <c r="CZ204"/>
  <c r="CM204"/>
  <c r="CL204"/>
  <c r="CK204"/>
  <c r="AY204"/>
  <c r="B204"/>
  <c r="DF203"/>
  <c r="EP203"/>
  <c r="FU203" s="1"/>
  <c r="EJ203"/>
  <c r="FT203" s="1"/>
  <c r="EI203"/>
  <c r="FS203"/>
  <c r="EH203"/>
  <c r="FR203" s="1"/>
  <c r="EG203"/>
  <c r="FQ203"/>
  <c r="EF203"/>
  <c r="FP203" s="1"/>
  <c r="EE203"/>
  <c r="FO203" s="1"/>
  <c r="ED203"/>
  <c r="FN203" s="1"/>
  <c r="EC203"/>
  <c r="FM203"/>
  <c r="EB203"/>
  <c r="FL203" s="1"/>
  <c r="EA203"/>
  <c r="FK203" s="1"/>
  <c r="DZ203"/>
  <c r="FJ203" s="1"/>
  <c r="DY203"/>
  <c r="FI203"/>
  <c r="DX203"/>
  <c r="FH203" s="1"/>
  <c r="DW203"/>
  <c r="FG203" s="1"/>
  <c r="DV203"/>
  <c r="FF203" s="1"/>
  <c r="DU203"/>
  <c r="FE203" s="1"/>
  <c r="DT203"/>
  <c r="FD203" s="1"/>
  <c r="DS203"/>
  <c r="FC203" s="1"/>
  <c r="DR203"/>
  <c r="FB203" s="1"/>
  <c r="DQ203"/>
  <c r="FA203"/>
  <c r="DP203"/>
  <c r="EZ203" s="1"/>
  <c r="DO203"/>
  <c r="EY203" s="1"/>
  <c r="DN203"/>
  <c r="EX203" s="1"/>
  <c r="DM203"/>
  <c r="EW203" s="1"/>
  <c r="DL203"/>
  <c r="EV203" s="1"/>
  <c r="DK203"/>
  <c r="EU203"/>
  <c r="DJ203"/>
  <c r="ET203" s="1"/>
  <c r="DI203"/>
  <c r="ES203"/>
  <c r="DH203"/>
  <c r="ER203" s="1"/>
  <c r="DG203"/>
  <c r="EQ203" s="1"/>
  <c r="EK203"/>
  <c r="DD203"/>
  <c r="DE203"/>
  <c r="DC203"/>
  <c r="CZ203"/>
  <c r="CM203"/>
  <c r="CL203"/>
  <c r="CK203"/>
  <c r="AY203"/>
  <c r="B203"/>
  <c r="DF202"/>
  <c r="EJ202"/>
  <c r="FT202"/>
  <c r="EI202"/>
  <c r="FS202"/>
  <c r="EH202"/>
  <c r="FR202"/>
  <c r="EG202"/>
  <c r="FQ202"/>
  <c r="EF202"/>
  <c r="FP202"/>
  <c r="EE202"/>
  <c r="FO202"/>
  <c r="ED202"/>
  <c r="FN202"/>
  <c r="EC202"/>
  <c r="FM202"/>
  <c r="EB202"/>
  <c r="FL202"/>
  <c r="EA202"/>
  <c r="FK202"/>
  <c r="DZ202"/>
  <c r="FJ202"/>
  <c r="DY202"/>
  <c r="FI202"/>
  <c r="DX202"/>
  <c r="FH202"/>
  <c r="DW202"/>
  <c r="FG202"/>
  <c r="DV202"/>
  <c r="FF202"/>
  <c r="DU202"/>
  <c r="FE202"/>
  <c r="DT202"/>
  <c r="FD202"/>
  <c r="DS202"/>
  <c r="FC202"/>
  <c r="DR202"/>
  <c r="FB202"/>
  <c r="DQ202"/>
  <c r="FA202"/>
  <c r="DP202"/>
  <c r="EZ202"/>
  <c r="DO202"/>
  <c r="EY202"/>
  <c r="DN202"/>
  <c r="EX202"/>
  <c r="DM202"/>
  <c r="EW202"/>
  <c r="DL202"/>
  <c r="EV202"/>
  <c r="DK202"/>
  <c r="EU202"/>
  <c r="DJ202"/>
  <c r="ET202"/>
  <c r="DI202"/>
  <c r="ES202"/>
  <c r="DH202"/>
  <c r="ER202"/>
  <c r="DG202"/>
  <c r="EQ202"/>
  <c r="DD202"/>
  <c r="DC202" s="1"/>
  <c r="DE202"/>
  <c r="CZ202"/>
  <c r="CM202"/>
  <c r="CL202"/>
  <c r="CK202"/>
  <c r="AY202"/>
  <c r="B202"/>
  <c r="DF201"/>
  <c r="EP201" s="1"/>
  <c r="FU201" s="1"/>
  <c r="EJ201"/>
  <c r="FT201" s="1"/>
  <c r="EI201"/>
  <c r="FS201" s="1"/>
  <c r="EH201"/>
  <c r="FR201"/>
  <c r="EG201"/>
  <c r="FQ201" s="1"/>
  <c r="EF201"/>
  <c r="FP201" s="1"/>
  <c r="EE201"/>
  <c r="FO201" s="1"/>
  <c r="ED201"/>
  <c r="FN201" s="1"/>
  <c r="EC201"/>
  <c r="FM201" s="1"/>
  <c r="EB201"/>
  <c r="FL201"/>
  <c r="EA201"/>
  <c r="FK201" s="1"/>
  <c r="DZ201"/>
  <c r="FJ201"/>
  <c r="DY201"/>
  <c r="FI201" s="1"/>
  <c r="DX201"/>
  <c r="FH201" s="1"/>
  <c r="DW201"/>
  <c r="FG201" s="1"/>
  <c r="DV201"/>
  <c r="FF201"/>
  <c r="DU201"/>
  <c r="FE201" s="1"/>
  <c r="DT201"/>
  <c r="FD201" s="1"/>
  <c r="DS201"/>
  <c r="FC201" s="1"/>
  <c r="DR201"/>
  <c r="FB201"/>
  <c r="DQ201"/>
  <c r="FA201" s="1"/>
  <c r="DP201"/>
  <c r="EZ201" s="1"/>
  <c r="DO201"/>
  <c r="EY201" s="1"/>
  <c r="DN201"/>
  <c r="EX201" s="1"/>
  <c r="DM201"/>
  <c r="EW201" s="1"/>
  <c r="DL201"/>
  <c r="EV201" s="1"/>
  <c r="DK201"/>
  <c r="EU201" s="1"/>
  <c r="DJ201"/>
  <c r="ET201"/>
  <c r="DI201"/>
  <c r="ES201" s="1"/>
  <c r="DH201"/>
  <c r="ER201" s="1"/>
  <c r="DG201"/>
  <c r="EQ201" s="1"/>
  <c r="DD201"/>
  <c r="CZ201"/>
  <c r="CM201"/>
  <c r="CL201"/>
  <c r="CK201"/>
  <c r="AY201"/>
  <c r="B201"/>
  <c r="DF200"/>
  <c r="EJ200"/>
  <c r="FT200" s="1"/>
  <c r="EI200"/>
  <c r="FS200"/>
  <c r="EH200"/>
  <c r="FR200" s="1"/>
  <c r="EG200"/>
  <c r="FQ200"/>
  <c r="EF200"/>
  <c r="FP200" s="1"/>
  <c r="EE200"/>
  <c r="FO200"/>
  <c r="ED200"/>
  <c r="FN200" s="1"/>
  <c r="EC200"/>
  <c r="FM200"/>
  <c r="EB200"/>
  <c r="FL200" s="1"/>
  <c r="EA200"/>
  <c r="FK200"/>
  <c r="DZ200"/>
  <c r="FJ200" s="1"/>
  <c r="DY200"/>
  <c r="FI200"/>
  <c r="DX200"/>
  <c r="FH200" s="1"/>
  <c r="DW200"/>
  <c r="FG200"/>
  <c r="DV200"/>
  <c r="FF200" s="1"/>
  <c r="DU200"/>
  <c r="FE200"/>
  <c r="DT200"/>
  <c r="FD200" s="1"/>
  <c r="DS200"/>
  <c r="FC200"/>
  <c r="DR200"/>
  <c r="FB200" s="1"/>
  <c r="DQ200"/>
  <c r="FA200"/>
  <c r="DP200"/>
  <c r="EZ200" s="1"/>
  <c r="DO200"/>
  <c r="EY200"/>
  <c r="DN200"/>
  <c r="EX200" s="1"/>
  <c r="DM200"/>
  <c r="EW200"/>
  <c r="DL200"/>
  <c r="EV200" s="1"/>
  <c r="DK200"/>
  <c r="EU200"/>
  <c r="DJ200"/>
  <c r="ET200" s="1"/>
  <c r="DI200"/>
  <c r="ES200"/>
  <c r="DH200"/>
  <c r="ER200" s="1"/>
  <c r="DG200"/>
  <c r="EQ200"/>
  <c r="DD200"/>
  <c r="DE200" s="1"/>
  <c r="DC200"/>
  <c r="CZ200"/>
  <c r="CM200"/>
  <c r="CL200"/>
  <c r="CK200"/>
  <c r="AY200"/>
  <c r="B200"/>
  <c r="DF199"/>
  <c r="EP199"/>
  <c r="FU199" s="1"/>
  <c r="EJ199"/>
  <c r="FT199" s="1"/>
  <c r="EI199"/>
  <c r="FS199" s="1"/>
  <c r="EH199"/>
  <c r="FR199" s="1"/>
  <c r="EG199"/>
  <c r="FQ199" s="1"/>
  <c r="EF199"/>
  <c r="FP199" s="1"/>
  <c r="EE199"/>
  <c r="FO199"/>
  <c r="ED199"/>
  <c r="FN199" s="1"/>
  <c r="EC199"/>
  <c r="FM199" s="1"/>
  <c r="EB199"/>
  <c r="FL199" s="1"/>
  <c r="EA199"/>
  <c r="FK199" s="1"/>
  <c r="DZ199"/>
  <c r="FJ199" s="1"/>
  <c r="DY199"/>
  <c r="FI199"/>
  <c r="DX199"/>
  <c r="FH199" s="1"/>
  <c r="DW199"/>
  <c r="FG199"/>
  <c r="DV199"/>
  <c r="FF199" s="1"/>
  <c r="DU199"/>
  <c r="FE199" s="1"/>
  <c r="DT199"/>
  <c r="FD199" s="1"/>
  <c r="DS199"/>
  <c r="FC199"/>
  <c r="DR199"/>
  <c r="FB199" s="1"/>
  <c r="DQ199"/>
  <c r="FA199"/>
  <c r="DP199"/>
  <c r="EZ199" s="1"/>
  <c r="DO199"/>
  <c r="EY199"/>
  <c r="DN199"/>
  <c r="EX199" s="1"/>
  <c r="DM199"/>
  <c r="EW199" s="1"/>
  <c r="DL199"/>
  <c r="EV199" s="1"/>
  <c r="DK199"/>
  <c r="EU199"/>
  <c r="DJ199"/>
  <c r="ET199" s="1"/>
  <c r="DI199"/>
  <c r="ES199" s="1"/>
  <c r="DH199"/>
  <c r="ER199" s="1"/>
  <c r="DG199"/>
  <c r="EQ199"/>
  <c r="EK199"/>
  <c r="DD199"/>
  <c r="DE199"/>
  <c r="DC199"/>
  <c r="CZ199"/>
  <c r="CM199"/>
  <c r="CL199"/>
  <c r="CK199"/>
  <c r="AY199"/>
  <c r="B199"/>
  <c r="DF198"/>
  <c r="EK198" s="1"/>
  <c r="EJ198"/>
  <c r="FT198"/>
  <c r="EI198"/>
  <c r="FS198" s="1"/>
  <c r="EH198"/>
  <c r="FR198"/>
  <c r="EG198"/>
  <c r="FQ198" s="1"/>
  <c r="EF198"/>
  <c r="FP198"/>
  <c r="EE198"/>
  <c r="FO198" s="1"/>
  <c r="ED198"/>
  <c r="FN198"/>
  <c r="EC198"/>
  <c r="FM198" s="1"/>
  <c r="EB198"/>
  <c r="FL198"/>
  <c r="EA198"/>
  <c r="FK198" s="1"/>
  <c r="DZ198"/>
  <c r="FJ198"/>
  <c r="DY198"/>
  <c r="FI198" s="1"/>
  <c r="DX198"/>
  <c r="FH198"/>
  <c r="DW198"/>
  <c r="FG198" s="1"/>
  <c r="DV198"/>
  <c r="FF198"/>
  <c r="DU198"/>
  <c r="FE198" s="1"/>
  <c r="DT198"/>
  <c r="FD198"/>
  <c r="DS198"/>
  <c r="FC198" s="1"/>
  <c r="DR198"/>
  <c r="FB198"/>
  <c r="DQ198"/>
  <c r="FA198" s="1"/>
  <c r="DP198"/>
  <c r="EZ198"/>
  <c r="DO198"/>
  <c r="EY198" s="1"/>
  <c r="DN198"/>
  <c r="EX198"/>
  <c r="DM198"/>
  <c r="EW198" s="1"/>
  <c r="DL198"/>
  <c r="EV198"/>
  <c r="DK198"/>
  <c r="EU198" s="1"/>
  <c r="DJ198"/>
  <c r="ET198"/>
  <c r="DI198"/>
  <c r="ES198" s="1"/>
  <c r="DH198"/>
  <c r="ER198"/>
  <c r="DG198"/>
  <c r="EQ198" s="1"/>
  <c r="DD198"/>
  <c r="DE198" s="1"/>
  <c r="DC198"/>
  <c r="CZ198"/>
  <c r="CM198"/>
  <c r="CL198"/>
  <c r="CK198"/>
  <c r="AY198"/>
  <c r="B198"/>
  <c r="DF197"/>
  <c r="EP197" s="1"/>
  <c r="FU197" s="1"/>
  <c r="EJ197"/>
  <c r="FT197" s="1"/>
  <c r="EI197"/>
  <c r="FS197" s="1"/>
  <c r="EH197"/>
  <c r="FR197" s="1"/>
  <c r="EG197"/>
  <c r="FQ197" s="1"/>
  <c r="EF197"/>
  <c r="FP197"/>
  <c r="EE197"/>
  <c r="FO197" s="1"/>
  <c r="ED197"/>
  <c r="FN197" s="1"/>
  <c r="EC197"/>
  <c r="FM197" s="1"/>
  <c r="EB197"/>
  <c r="FL197" s="1"/>
  <c r="EA197"/>
  <c r="FK197" s="1"/>
  <c r="DZ197"/>
  <c r="FJ197"/>
  <c r="DY197"/>
  <c r="FI197" s="1"/>
  <c r="DX197"/>
  <c r="FH197"/>
  <c r="DW197"/>
  <c r="FG197" s="1"/>
  <c r="DV197"/>
  <c r="FF197" s="1"/>
  <c r="DU197"/>
  <c r="FE197" s="1"/>
  <c r="DT197"/>
  <c r="FD197"/>
  <c r="DS197"/>
  <c r="FC197" s="1"/>
  <c r="DR197"/>
  <c r="FB197"/>
  <c r="DQ197"/>
  <c r="FA197" s="1"/>
  <c r="DP197"/>
  <c r="EZ197"/>
  <c r="DO197"/>
  <c r="EY197" s="1"/>
  <c r="DN197"/>
  <c r="EX197" s="1"/>
  <c r="DM197"/>
  <c r="EW197" s="1"/>
  <c r="DL197"/>
  <c r="EV197"/>
  <c r="DK197"/>
  <c r="EU197" s="1"/>
  <c r="DJ197"/>
  <c r="ET197" s="1"/>
  <c r="DI197"/>
  <c r="ES197" s="1"/>
  <c r="DH197"/>
  <c r="ER197"/>
  <c r="DG197"/>
  <c r="EQ197" s="1"/>
  <c r="EK197"/>
  <c r="DD197"/>
  <c r="DC197" s="1"/>
  <c r="DE197"/>
  <c r="CZ197"/>
  <c r="CM197"/>
  <c r="CL197"/>
  <c r="CK197"/>
  <c r="AY197"/>
  <c r="B197"/>
  <c r="DF196"/>
  <c r="EP196" s="1"/>
  <c r="FU196" s="1"/>
  <c r="EJ196"/>
  <c r="FT196"/>
  <c r="EI196"/>
  <c r="FS196"/>
  <c r="EH196"/>
  <c r="FR196"/>
  <c r="EG196"/>
  <c r="FQ196"/>
  <c r="EF196"/>
  <c r="FP196"/>
  <c r="EE196"/>
  <c r="FO196"/>
  <c r="ED196"/>
  <c r="FN196"/>
  <c r="EC196"/>
  <c r="FM196"/>
  <c r="EB196"/>
  <c r="FL196"/>
  <c r="EA196"/>
  <c r="FK196"/>
  <c r="DZ196"/>
  <c r="FJ196"/>
  <c r="DY196"/>
  <c r="FI196"/>
  <c r="DX196"/>
  <c r="FH196"/>
  <c r="DW196"/>
  <c r="FG196"/>
  <c r="DV196"/>
  <c r="FF196"/>
  <c r="DU196"/>
  <c r="FE196"/>
  <c r="DT196"/>
  <c r="FD196"/>
  <c r="DS196"/>
  <c r="FC196"/>
  <c r="DR196"/>
  <c r="FB196"/>
  <c r="DQ196"/>
  <c r="FA196"/>
  <c r="DP196"/>
  <c r="EZ196"/>
  <c r="DO196"/>
  <c r="EY196"/>
  <c r="DN196"/>
  <c r="EX196"/>
  <c r="DM196"/>
  <c r="EW196"/>
  <c r="DL196"/>
  <c r="EV196"/>
  <c r="DK196"/>
  <c r="EU196"/>
  <c r="DJ196"/>
  <c r="ET196"/>
  <c r="DI196"/>
  <c r="ES196"/>
  <c r="DH196"/>
  <c r="ER196"/>
  <c r="DG196"/>
  <c r="EQ196"/>
  <c r="DD196"/>
  <c r="CZ196"/>
  <c r="CM196"/>
  <c r="CL196"/>
  <c r="CK196"/>
  <c r="AY196"/>
  <c r="B196"/>
  <c r="DF195"/>
  <c r="EP195"/>
  <c r="FU195" s="1"/>
  <c r="EJ195"/>
  <c r="FT195" s="1"/>
  <c r="EI195"/>
  <c r="FS195" s="1"/>
  <c r="EH195"/>
  <c r="FR195" s="1"/>
  <c r="EG195"/>
  <c r="FQ195" s="1"/>
  <c r="EF195"/>
  <c r="FP195" s="1"/>
  <c r="EE195"/>
  <c r="FO195" s="1"/>
  <c r="ED195"/>
  <c r="FN195" s="1"/>
  <c r="EC195"/>
  <c r="FM195"/>
  <c r="EB195"/>
  <c r="FL195" s="1"/>
  <c r="EA195"/>
  <c r="FK195" s="1"/>
  <c r="DZ195"/>
  <c r="FJ195" s="1"/>
  <c r="DY195"/>
  <c r="FI195" s="1"/>
  <c r="DX195"/>
  <c r="FH195" s="1"/>
  <c r="DW195"/>
  <c r="FG195"/>
  <c r="DV195"/>
  <c r="FF195" s="1"/>
  <c r="DU195"/>
  <c r="FE195"/>
  <c r="DT195"/>
  <c r="FD195" s="1"/>
  <c r="DS195"/>
  <c r="FC195" s="1"/>
  <c r="DR195"/>
  <c r="FB195" s="1"/>
  <c r="DQ195"/>
  <c r="FA195"/>
  <c r="DP195"/>
  <c r="EZ195" s="1"/>
  <c r="DO195"/>
  <c r="EY195" s="1"/>
  <c r="DN195"/>
  <c r="EX195" s="1"/>
  <c r="DM195"/>
  <c r="EW195"/>
  <c r="DL195"/>
  <c r="EV195" s="1"/>
  <c r="DK195"/>
  <c r="EU195" s="1"/>
  <c r="DJ195"/>
  <c r="ET195" s="1"/>
  <c r="DI195"/>
  <c r="ES195" s="1"/>
  <c r="DH195"/>
  <c r="ER195" s="1"/>
  <c r="DG195"/>
  <c r="EQ195" s="1"/>
  <c r="EK195"/>
  <c r="DD195"/>
  <c r="DE195"/>
  <c r="DC195"/>
  <c r="CZ195"/>
  <c r="CM195"/>
  <c r="CL195"/>
  <c r="CK195"/>
  <c r="AY195"/>
  <c r="B195"/>
  <c r="DF194"/>
  <c r="EJ194"/>
  <c r="FT194"/>
  <c r="EI194"/>
  <c r="FS194" s="1"/>
  <c r="EH194"/>
  <c r="FR194"/>
  <c r="EG194"/>
  <c r="FQ194" s="1"/>
  <c r="EF194"/>
  <c r="FP194"/>
  <c r="EE194"/>
  <c r="FO194" s="1"/>
  <c r="ED194"/>
  <c r="FN194"/>
  <c r="EC194"/>
  <c r="FM194" s="1"/>
  <c r="EB194"/>
  <c r="FL194"/>
  <c r="EA194"/>
  <c r="FK194" s="1"/>
  <c r="DZ194"/>
  <c r="FJ194"/>
  <c r="DY194"/>
  <c r="FI194" s="1"/>
  <c r="DX194"/>
  <c r="FH194"/>
  <c r="DW194"/>
  <c r="FG194" s="1"/>
  <c r="DV194"/>
  <c r="FF194"/>
  <c r="DU194"/>
  <c r="FE194" s="1"/>
  <c r="DT194"/>
  <c r="FD194"/>
  <c r="DS194"/>
  <c r="FC194" s="1"/>
  <c r="DR194"/>
  <c r="FB194"/>
  <c r="DQ194"/>
  <c r="FA194" s="1"/>
  <c r="DP194"/>
  <c r="EZ194"/>
  <c r="DO194"/>
  <c r="EY194" s="1"/>
  <c r="DN194"/>
  <c r="EX194"/>
  <c r="DM194"/>
  <c r="EW194" s="1"/>
  <c r="DL194"/>
  <c r="EV194"/>
  <c r="DK194"/>
  <c r="EU194" s="1"/>
  <c r="DJ194"/>
  <c r="ET194"/>
  <c r="DI194"/>
  <c r="ES194" s="1"/>
  <c r="DH194"/>
  <c r="ER194"/>
  <c r="DG194"/>
  <c r="EQ194" s="1"/>
  <c r="DD194"/>
  <c r="DE194"/>
  <c r="DC194"/>
  <c r="CZ194"/>
  <c r="CM194"/>
  <c r="CL194"/>
  <c r="CK194"/>
  <c r="AY194"/>
  <c r="B194"/>
  <c r="DF193"/>
  <c r="EJ193"/>
  <c r="FT193" s="1"/>
  <c r="EI193"/>
  <c r="FS193" s="1"/>
  <c r="EH193"/>
  <c r="FR193" s="1"/>
  <c r="EG193"/>
  <c r="FQ193" s="1"/>
  <c r="EF193"/>
  <c r="FP193"/>
  <c r="EE193"/>
  <c r="FO193" s="1"/>
  <c r="ED193"/>
  <c r="FN193"/>
  <c r="EC193"/>
  <c r="FM193" s="1"/>
  <c r="EB193"/>
  <c r="FL193" s="1"/>
  <c r="EA193"/>
  <c r="FK193" s="1"/>
  <c r="DZ193"/>
  <c r="FJ193"/>
  <c r="DY193"/>
  <c r="FI193" s="1"/>
  <c r="DX193"/>
  <c r="FH193"/>
  <c r="DW193"/>
  <c r="FG193" s="1"/>
  <c r="DV193"/>
  <c r="FF193"/>
  <c r="DU193"/>
  <c r="FE193" s="1"/>
  <c r="DT193"/>
  <c r="FD193" s="1"/>
  <c r="DS193"/>
  <c r="FC193" s="1"/>
  <c r="DR193"/>
  <c r="FB193"/>
  <c r="DQ193"/>
  <c r="FA193" s="1"/>
  <c r="DP193"/>
  <c r="EZ193" s="1"/>
  <c r="DO193"/>
  <c r="EY193" s="1"/>
  <c r="DN193"/>
  <c r="EX193"/>
  <c r="DM193"/>
  <c r="EW193" s="1"/>
  <c r="DL193"/>
  <c r="EV193" s="1"/>
  <c r="DK193"/>
  <c r="EU193" s="1"/>
  <c r="DJ193"/>
  <c r="ET193" s="1"/>
  <c r="DI193"/>
  <c r="ES193" s="1"/>
  <c r="DH193"/>
  <c r="ER193" s="1"/>
  <c r="DG193"/>
  <c r="EQ193" s="1"/>
  <c r="DD193"/>
  <c r="CZ193"/>
  <c r="CM193"/>
  <c r="CL193"/>
  <c r="CK193"/>
  <c r="AY193"/>
  <c r="B193"/>
  <c r="DF192"/>
  <c r="EJ192"/>
  <c r="FT192" s="1"/>
  <c r="EI192"/>
  <c r="FS192"/>
  <c r="EH192"/>
  <c r="FR192" s="1"/>
  <c r="EG192"/>
  <c r="FQ192"/>
  <c r="EF192"/>
  <c r="FP192" s="1"/>
  <c r="EE192"/>
  <c r="FO192"/>
  <c r="ED192"/>
  <c r="FN192" s="1"/>
  <c r="EC192"/>
  <c r="FM192"/>
  <c r="EB192"/>
  <c r="FL192" s="1"/>
  <c r="EA192"/>
  <c r="FK192"/>
  <c r="DZ192"/>
  <c r="FJ192" s="1"/>
  <c r="DY192"/>
  <c r="FI192"/>
  <c r="DX192"/>
  <c r="FH192" s="1"/>
  <c r="DW192"/>
  <c r="FG192"/>
  <c r="DV192"/>
  <c r="FF192" s="1"/>
  <c r="DU192"/>
  <c r="FE192"/>
  <c r="DT192"/>
  <c r="FD192" s="1"/>
  <c r="DS192"/>
  <c r="FC192"/>
  <c r="DR192"/>
  <c r="FB192" s="1"/>
  <c r="DQ192"/>
  <c r="FA192"/>
  <c r="DP192"/>
  <c r="EZ192" s="1"/>
  <c r="DO192"/>
  <c r="EY192"/>
  <c r="DN192"/>
  <c r="EX192" s="1"/>
  <c r="DM192"/>
  <c r="EW192"/>
  <c r="DL192"/>
  <c r="EV192" s="1"/>
  <c r="DK192"/>
  <c r="EU192"/>
  <c r="DJ192"/>
  <c r="ET192" s="1"/>
  <c r="DI192"/>
  <c r="ES192"/>
  <c r="DH192"/>
  <c r="ER192" s="1"/>
  <c r="DG192"/>
  <c r="EQ192"/>
  <c r="DD192"/>
  <c r="DE192" s="1"/>
  <c r="DC192"/>
  <c r="CZ192"/>
  <c r="CM192"/>
  <c r="CL192"/>
  <c r="CK192"/>
  <c r="AY192"/>
  <c r="B192"/>
  <c r="DF191"/>
  <c r="EP191" s="1"/>
  <c r="FU191" s="1"/>
  <c r="EJ191"/>
  <c r="FT191" s="1"/>
  <c r="EI191"/>
  <c r="FS191"/>
  <c r="EH191"/>
  <c r="FR191" s="1"/>
  <c r="EG191"/>
  <c r="FQ191" s="1"/>
  <c r="EF191"/>
  <c r="FP191" s="1"/>
  <c r="EE191"/>
  <c r="FO191" s="1"/>
  <c r="ED191"/>
  <c r="FN191" s="1"/>
  <c r="EC191"/>
  <c r="FM191" s="1"/>
  <c r="EB191"/>
  <c r="FL191" s="1"/>
  <c r="EA191"/>
  <c r="FK191"/>
  <c r="DZ191"/>
  <c r="FJ191" s="1"/>
  <c r="DY191"/>
  <c r="FI191" s="1"/>
  <c r="DX191"/>
  <c r="FH191" s="1"/>
  <c r="DW191"/>
  <c r="FG191" s="1"/>
  <c r="DV191"/>
  <c r="FF191" s="1"/>
  <c r="DU191"/>
  <c r="FE191"/>
  <c r="DT191"/>
  <c r="FD191" s="1"/>
  <c r="DS191"/>
  <c r="FC191"/>
  <c r="DR191"/>
  <c r="FB191" s="1"/>
  <c r="DQ191"/>
  <c r="FA191" s="1"/>
  <c r="DP191"/>
  <c r="EZ191" s="1"/>
  <c r="DO191"/>
  <c r="EY191"/>
  <c r="DN191"/>
  <c r="EX191" s="1"/>
  <c r="DM191"/>
  <c r="EW191" s="1"/>
  <c r="DL191"/>
  <c r="EV191" s="1"/>
  <c r="DK191"/>
  <c r="EU191"/>
  <c r="DJ191"/>
  <c r="ET191" s="1"/>
  <c r="DI191"/>
  <c r="ES191" s="1"/>
  <c r="DH191"/>
  <c r="ER191" s="1"/>
  <c r="DG191"/>
  <c r="EQ191" s="1"/>
  <c r="DD191"/>
  <c r="DE191"/>
  <c r="DC191"/>
  <c r="CZ191"/>
  <c r="CM191"/>
  <c r="CL191"/>
  <c r="CK191"/>
  <c r="AY191"/>
  <c r="B191"/>
  <c r="DF190"/>
  <c r="EK190" s="1"/>
  <c r="EJ190"/>
  <c r="FT190"/>
  <c r="EI190"/>
  <c r="FS190" s="1"/>
  <c r="EH190"/>
  <c r="FR190" s="1"/>
  <c r="EG190"/>
  <c r="FQ190" s="1"/>
  <c r="EF190"/>
  <c r="FP190" s="1"/>
  <c r="EE190"/>
  <c r="FO190" s="1"/>
  <c r="ED190"/>
  <c r="FN190" s="1"/>
  <c r="EC190"/>
  <c r="FM190" s="1"/>
  <c r="EB190"/>
  <c r="FL190"/>
  <c r="EA190"/>
  <c r="FK190" s="1"/>
  <c r="DZ190"/>
  <c r="FJ190" s="1"/>
  <c r="DY190"/>
  <c r="FI190" s="1"/>
  <c r="DX190"/>
  <c r="FH190" s="1"/>
  <c r="DW190"/>
  <c r="FG190" s="1"/>
  <c r="DV190"/>
  <c r="FF190" s="1"/>
  <c r="DU190"/>
  <c r="FE190" s="1"/>
  <c r="DT190"/>
  <c r="FD190"/>
  <c r="DS190"/>
  <c r="FC190" s="1"/>
  <c r="DR190"/>
  <c r="FB190" s="1"/>
  <c r="DQ190"/>
  <c r="FA190" s="1"/>
  <c r="DP190"/>
  <c r="EZ190" s="1"/>
  <c r="DO190"/>
  <c r="EY190" s="1"/>
  <c r="DN190"/>
  <c r="EX190"/>
  <c r="DM190"/>
  <c r="EW190" s="1"/>
  <c r="DL190"/>
  <c r="EV190"/>
  <c r="DK190"/>
  <c r="EU190" s="1"/>
  <c r="DJ190"/>
  <c r="ET190"/>
  <c r="DI190"/>
  <c r="ES190" s="1"/>
  <c r="DH190"/>
  <c r="ER190"/>
  <c r="DG190"/>
  <c r="EQ190" s="1"/>
  <c r="DD190"/>
  <c r="CZ190"/>
  <c r="CM190"/>
  <c r="CL190"/>
  <c r="CK190"/>
  <c r="AY190"/>
  <c r="B190"/>
  <c r="DF189"/>
  <c r="EP189" s="1"/>
  <c r="FU189" s="1"/>
  <c r="EJ189"/>
  <c r="FT189" s="1"/>
  <c r="EI189"/>
  <c r="FS189" s="1"/>
  <c r="EH189"/>
  <c r="FR189" s="1"/>
  <c r="EG189"/>
  <c r="FQ189" s="1"/>
  <c r="EF189"/>
  <c r="FP189" s="1"/>
  <c r="EE189"/>
  <c r="FO189" s="1"/>
  <c r="ED189"/>
  <c r="FN189" s="1"/>
  <c r="EC189"/>
  <c r="FM189" s="1"/>
  <c r="EB189"/>
  <c r="FL189" s="1"/>
  <c r="EA189"/>
  <c r="FK189" s="1"/>
  <c r="DZ189"/>
  <c r="FJ189" s="1"/>
  <c r="DY189"/>
  <c r="FI189" s="1"/>
  <c r="DX189"/>
  <c r="FH189" s="1"/>
  <c r="DW189"/>
  <c r="FG189" s="1"/>
  <c r="DV189"/>
  <c r="FF189" s="1"/>
  <c r="DU189"/>
  <c r="FE189" s="1"/>
  <c r="DT189"/>
  <c r="FD189" s="1"/>
  <c r="DS189"/>
  <c r="FC189" s="1"/>
  <c r="DR189"/>
  <c r="FB189" s="1"/>
  <c r="DQ189"/>
  <c r="FA189" s="1"/>
  <c r="DP189"/>
  <c r="EZ189" s="1"/>
  <c r="DO189"/>
  <c r="EY189" s="1"/>
  <c r="DN189"/>
  <c r="EX189" s="1"/>
  <c r="DM189"/>
  <c r="EW189" s="1"/>
  <c r="DL189"/>
  <c r="EV189" s="1"/>
  <c r="DK189"/>
  <c r="EU189" s="1"/>
  <c r="DJ189"/>
  <c r="ET189" s="1"/>
  <c r="DI189"/>
  <c r="ES189" s="1"/>
  <c r="DH189"/>
  <c r="ER189" s="1"/>
  <c r="DG189"/>
  <c r="EQ189" s="1"/>
  <c r="EK189"/>
  <c r="DD189"/>
  <c r="DC189" s="1"/>
  <c r="CZ189"/>
  <c r="CM189"/>
  <c r="CL189"/>
  <c r="CK189"/>
  <c r="AY189"/>
  <c r="B189"/>
  <c r="DF188"/>
  <c r="EJ188"/>
  <c r="FT188" s="1"/>
  <c r="EI188"/>
  <c r="FS188" s="1"/>
  <c r="EH188"/>
  <c r="FR188" s="1"/>
  <c r="EG188"/>
  <c r="FQ188" s="1"/>
  <c r="EF188"/>
  <c r="FP188" s="1"/>
  <c r="EE188"/>
  <c r="FO188" s="1"/>
  <c r="ED188"/>
  <c r="FN188" s="1"/>
  <c r="EC188"/>
  <c r="FM188" s="1"/>
  <c r="EB188"/>
  <c r="FL188" s="1"/>
  <c r="EA188"/>
  <c r="FK188" s="1"/>
  <c r="DZ188"/>
  <c r="FJ188" s="1"/>
  <c r="DY188"/>
  <c r="FI188" s="1"/>
  <c r="DX188"/>
  <c r="FH188" s="1"/>
  <c r="DW188"/>
  <c r="FG188" s="1"/>
  <c r="DV188"/>
  <c r="FF188" s="1"/>
  <c r="DU188"/>
  <c r="FE188" s="1"/>
  <c r="DT188"/>
  <c r="FD188" s="1"/>
  <c r="DS188"/>
  <c r="FC188" s="1"/>
  <c r="DR188"/>
  <c r="FB188" s="1"/>
  <c r="DQ188"/>
  <c r="FA188" s="1"/>
  <c r="DP188"/>
  <c r="EZ188" s="1"/>
  <c r="DO188"/>
  <c r="EY188" s="1"/>
  <c r="DN188"/>
  <c r="EX188" s="1"/>
  <c r="DM188"/>
  <c r="EW188" s="1"/>
  <c r="DL188"/>
  <c r="EV188" s="1"/>
  <c r="DK188"/>
  <c r="EU188" s="1"/>
  <c r="DJ188"/>
  <c r="ET188" s="1"/>
  <c r="DI188"/>
  <c r="ES188" s="1"/>
  <c r="DH188"/>
  <c r="ER188" s="1"/>
  <c r="DG188"/>
  <c r="EQ188" s="1"/>
  <c r="DD188"/>
  <c r="DE188" s="1"/>
  <c r="DC188"/>
  <c r="CZ188"/>
  <c r="CM188"/>
  <c r="CL188"/>
  <c r="CK188"/>
  <c r="AY188"/>
  <c r="B188"/>
  <c r="CX187"/>
  <c r="CZ187"/>
  <c r="DZ187" s="1"/>
  <c r="DH187"/>
  <c r="DP187"/>
  <c r="DV187"/>
  <c r="ED187"/>
  <c r="EH187"/>
  <c r="DD187"/>
  <c r="BA187"/>
  <c r="CM187"/>
  <c r="CL187"/>
  <c r="CK187"/>
  <c r="AY187"/>
  <c r="B183"/>
  <c r="CX186"/>
  <c r="CZ186"/>
  <c r="DJ186"/>
  <c r="DN186"/>
  <c r="DO186"/>
  <c r="DP186"/>
  <c r="DQ186"/>
  <c r="DR186"/>
  <c r="DS186"/>
  <c r="DT186"/>
  <c r="DU186"/>
  <c r="DV186"/>
  <c r="DW186"/>
  <c r="DX186"/>
  <c r="DY186"/>
  <c r="DZ186"/>
  <c r="EA186"/>
  <c r="EB186"/>
  <c r="EC186"/>
  <c r="ED186"/>
  <c r="EE186"/>
  <c r="EF186"/>
  <c r="EG186"/>
  <c r="EH186"/>
  <c r="EI186"/>
  <c r="EJ186"/>
  <c r="DD186"/>
  <c r="BA186"/>
  <c r="CM186"/>
  <c r="CL186"/>
  <c r="CK186"/>
  <c r="AY186"/>
  <c r="B182"/>
  <c r="CX185"/>
  <c r="CZ185"/>
  <c r="DK185"/>
  <c r="DO185"/>
  <c r="DS185"/>
  <c r="DW185"/>
  <c r="EA185"/>
  <c r="EC185"/>
  <c r="EE185"/>
  <c r="DD185"/>
  <c r="DE185"/>
  <c r="DC185"/>
  <c r="BA185"/>
  <c r="CM185" s="1"/>
  <c r="CL185"/>
  <c r="CK185"/>
  <c r="AY185"/>
  <c r="B180"/>
  <c r="CX184"/>
  <c r="CZ184"/>
  <c r="DF184"/>
  <c r="DL184"/>
  <c r="DT184"/>
  <c r="EA184"/>
  <c r="EI184"/>
  <c r="DD184"/>
  <c r="BA184"/>
  <c r="CM184"/>
  <c r="CL184"/>
  <c r="CK184"/>
  <c r="AY184"/>
  <c r="B184"/>
  <c r="CX183"/>
  <c r="CZ183"/>
  <c r="DH183"/>
  <c r="DL183"/>
  <c r="DP183"/>
  <c r="DR183"/>
  <c r="DT183"/>
  <c r="DZ183"/>
  <c r="EF183"/>
  <c r="EH183"/>
  <c r="EJ183"/>
  <c r="DD183"/>
  <c r="DC183" s="1"/>
  <c r="DE183"/>
  <c r="BA183"/>
  <c r="CM183" s="1"/>
  <c r="CL183"/>
  <c r="CK183"/>
  <c r="AY183"/>
  <c r="B185"/>
  <c r="CX182"/>
  <c r="CZ182"/>
  <c r="DF182"/>
  <c r="DG182"/>
  <c r="DH182"/>
  <c r="DI182"/>
  <c r="DJ182"/>
  <c r="DK182"/>
  <c r="DL182"/>
  <c r="DM182"/>
  <c r="DN182"/>
  <c r="DO182"/>
  <c r="DP182"/>
  <c r="DQ182"/>
  <c r="DR182"/>
  <c r="DS182"/>
  <c r="DT182"/>
  <c r="DU182"/>
  <c r="DV182"/>
  <c r="DW182"/>
  <c r="DX182"/>
  <c r="DY182"/>
  <c r="DZ182"/>
  <c r="EA182"/>
  <c r="EB182"/>
  <c r="EC182"/>
  <c r="ED182"/>
  <c r="EE182"/>
  <c r="EF182"/>
  <c r="EG182"/>
  <c r="EH182"/>
  <c r="EI182"/>
  <c r="EJ182"/>
  <c r="DD182"/>
  <c r="BA182"/>
  <c r="CM182"/>
  <c r="CL182"/>
  <c r="CK182"/>
  <c r="AY182"/>
  <c r="B178"/>
  <c r="CX181"/>
  <c r="CZ181"/>
  <c r="DO181"/>
  <c r="DQ181"/>
  <c r="DS181"/>
  <c r="DU181"/>
  <c r="DW181"/>
  <c r="DY181"/>
  <c r="EA181"/>
  <c r="EC181"/>
  <c r="EE181"/>
  <c r="EG181"/>
  <c r="EI181"/>
  <c r="DD181"/>
  <c r="DE181"/>
  <c r="DC181"/>
  <c r="BA181"/>
  <c r="CM181" s="1"/>
  <c r="CL181"/>
  <c r="CK181"/>
  <c r="AY181"/>
  <c r="B181"/>
  <c r="CX180"/>
  <c r="CZ180"/>
  <c r="DF180"/>
  <c r="DH180"/>
  <c r="DJ180"/>
  <c r="DK180"/>
  <c r="DN180"/>
  <c r="DP180"/>
  <c r="DQ180"/>
  <c r="DR180"/>
  <c r="DS180"/>
  <c r="DU180"/>
  <c r="DV180"/>
  <c r="DX180"/>
  <c r="DY180"/>
  <c r="DZ180"/>
  <c r="EA180"/>
  <c r="EC180"/>
  <c r="ED180"/>
  <c r="EF180"/>
  <c r="EG180"/>
  <c r="EH180"/>
  <c r="EI180"/>
  <c r="DD180"/>
  <c r="DE180" s="1"/>
  <c r="DC180"/>
  <c r="BA180"/>
  <c r="CM180" s="1"/>
  <c r="CL180"/>
  <c r="CK180"/>
  <c r="AY180"/>
  <c r="B187"/>
  <c r="CX179"/>
  <c r="CZ179"/>
  <c r="DP179"/>
  <c r="DR179"/>
  <c r="EF179"/>
  <c r="EH179"/>
  <c r="DD179"/>
  <c r="DC179" s="1"/>
  <c r="BA179"/>
  <c r="CM179"/>
  <c r="CL179"/>
  <c r="CK179"/>
  <c r="AY179"/>
  <c r="B179"/>
  <c r="CX178"/>
  <c r="DH178" s="1"/>
  <c r="CZ178"/>
  <c r="DF178"/>
  <c r="DG178"/>
  <c r="DI178"/>
  <c r="DJ178"/>
  <c r="DK178"/>
  <c r="DL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DD178"/>
  <c r="DC178" s="1"/>
  <c r="DE178"/>
  <c r="CL178"/>
  <c r="CK178"/>
  <c r="AY178"/>
  <c r="B186"/>
  <c r="CX177"/>
  <c r="CZ177"/>
  <c r="DF177"/>
  <c r="DH177"/>
  <c r="DN177"/>
  <c r="DP177"/>
  <c r="DV177"/>
  <c r="DX177"/>
  <c r="ED177"/>
  <c r="EF177"/>
  <c r="DD177"/>
  <c r="BA177"/>
  <c r="CM177"/>
  <c r="CL177"/>
  <c r="CK177"/>
  <c r="AY177"/>
  <c r="B174"/>
  <c r="CZ176"/>
  <c r="DK176"/>
  <c r="DM176"/>
  <c r="DS176"/>
  <c r="DU176"/>
  <c r="EA176"/>
  <c r="EC176"/>
  <c r="EI176"/>
  <c r="DD176"/>
  <c r="DE176"/>
  <c r="DC176"/>
  <c r="BA176"/>
  <c r="CM176" s="1"/>
  <c r="CL176"/>
  <c r="CK176"/>
  <c r="AY176"/>
  <c r="B168"/>
  <c r="CZ175"/>
  <c r="DH175"/>
  <c r="DJ175"/>
  <c r="DL175"/>
  <c r="DP175"/>
  <c r="DR175"/>
  <c r="DT175"/>
  <c r="DX175"/>
  <c r="DZ175"/>
  <c r="EB175"/>
  <c r="EF175"/>
  <c r="EH175"/>
  <c r="EJ175"/>
  <c r="DD175"/>
  <c r="DC175" s="1"/>
  <c r="DE175"/>
  <c r="BA175"/>
  <c r="CM175" s="1"/>
  <c r="CL175"/>
  <c r="CK175"/>
  <c r="AY175"/>
  <c r="B170"/>
  <c r="CZ174"/>
  <c r="DG174"/>
  <c r="DI174"/>
  <c r="DK174"/>
  <c r="DM174"/>
  <c r="DO174"/>
  <c r="DQ174"/>
  <c r="DR174"/>
  <c r="DS174"/>
  <c r="DT174"/>
  <c r="DU174"/>
  <c r="DV174"/>
  <c r="DW174"/>
  <c r="DX174"/>
  <c r="DY174"/>
  <c r="DZ174"/>
  <c r="EA174"/>
  <c r="EB174"/>
  <c r="EC174"/>
  <c r="ED174"/>
  <c r="EE174"/>
  <c r="EF174"/>
  <c r="EG174"/>
  <c r="EH174"/>
  <c r="EI174"/>
  <c r="EJ174"/>
  <c r="DD174"/>
  <c r="DE174" s="1"/>
  <c r="DC174"/>
  <c r="BA174"/>
  <c r="CM174" s="1"/>
  <c r="CL174"/>
  <c r="CK174"/>
  <c r="AY174"/>
  <c r="B175"/>
  <c r="CZ173"/>
  <c r="DF173"/>
  <c r="DG173"/>
  <c r="DH173"/>
  <c r="DI173"/>
  <c r="DJ173"/>
  <c r="DK173"/>
  <c r="DL173"/>
  <c r="DM173"/>
  <c r="DN173"/>
  <c r="DO173"/>
  <c r="DP173"/>
  <c r="DQ173"/>
  <c r="DR173"/>
  <c r="DS173"/>
  <c r="DT173"/>
  <c r="DU173"/>
  <c r="DV173"/>
  <c r="DW173"/>
  <c r="DX173"/>
  <c r="DY173"/>
  <c r="DZ173"/>
  <c r="EA173"/>
  <c r="EB173"/>
  <c r="EC173"/>
  <c r="ED173"/>
  <c r="EE173"/>
  <c r="EF173"/>
  <c r="EG173"/>
  <c r="EH173"/>
  <c r="EI173"/>
  <c r="EJ173"/>
  <c r="DD173"/>
  <c r="BA173"/>
  <c r="CM173"/>
  <c r="CL173"/>
  <c r="CK173"/>
  <c r="AY173"/>
  <c r="B172"/>
  <c r="CZ172"/>
  <c r="DD172"/>
  <c r="DE172" s="1"/>
  <c r="DC172"/>
  <c r="BA172"/>
  <c r="CM172" s="1"/>
  <c r="CL172"/>
  <c r="CK172"/>
  <c r="AY172"/>
  <c r="B171"/>
  <c r="CX171"/>
  <c r="CZ171"/>
  <c r="DF171"/>
  <c r="DH171"/>
  <c r="DJ171"/>
  <c r="DL171"/>
  <c r="DN171"/>
  <c r="DP171"/>
  <c r="DR171"/>
  <c r="DT171"/>
  <c r="DV171"/>
  <c r="DX171"/>
  <c r="DZ171"/>
  <c r="EB171"/>
  <c r="ED171"/>
  <c r="EF171"/>
  <c r="EH171"/>
  <c r="EJ171"/>
  <c r="DD171"/>
  <c r="BA171"/>
  <c r="CM171"/>
  <c r="CL171"/>
  <c r="CK171"/>
  <c r="AY171"/>
  <c r="B169"/>
  <c r="CX170"/>
  <c r="CZ170"/>
  <c r="DF170"/>
  <c r="DG170"/>
  <c r="DH170"/>
  <c r="DI170"/>
  <c r="DJ170"/>
  <c r="DK170"/>
  <c r="DL170"/>
  <c r="DM170"/>
  <c r="DN170"/>
  <c r="DO170"/>
  <c r="DP170"/>
  <c r="DQ170"/>
  <c r="DR170"/>
  <c r="DS170"/>
  <c r="DT170"/>
  <c r="DU170"/>
  <c r="DV170"/>
  <c r="DW170"/>
  <c r="DX170"/>
  <c r="DY170"/>
  <c r="DZ170"/>
  <c r="EA170"/>
  <c r="EB170"/>
  <c r="EC170"/>
  <c r="ED170"/>
  <c r="EE170"/>
  <c r="EF170"/>
  <c r="EG170"/>
  <c r="EH170"/>
  <c r="EI170"/>
  <c r="EJ170"/>
  <c r="DD170"/>
  <c r="DC170" s="1"/>
  <c r="DE170"/>
  <c r="BA170"/>
  <c r="CM170"/>
  <c r="CL170"/>
  <c r="CK170"/>
  <c r="AY170"/>
  <c r="B176"/>
  <c r="CZ169"/>
  <c r="DI169" s="1"/>
  <c r="DG169"/>
  <c r="DK169"/>
  <c r="DO169"/>
  <c r="DS169"/>
  <c r="DW169"/>
  <c r="EA169"/>
  <c r="EE169"/>
  <c r="EI169"/>
  <c r="DD169"/>
  <c r="DE169" s="1"/>
  <c r="DC169"/>
  <c r="BA169"/>
  <c r="CM169"/>
  <c r="CL169"/>
  <c r="CK169"/>
  <c r="AY169"/>
  <c r="B177"/>
  <c r="CX168"/>
  <c r="CZ168"/>
  <c r="DZ168" s="1"/>
  <c r="DJ168"/>
  <c r="DP168"/>
  <c r="EF168"/>
  <c r="DD168"/>
  <c r="DC168" s="1"/>
  <c r="DE168"/>
  <c r="CL168"/>
  <c r="CK168"/>
  <c r="AY168"/>
  <c r="B173"/>
  <c r="CX167"/>
  <c r="CZ167"/>
  <c r="DZ167" s="1"/>
  <c r="DJ167"/>
  <c r="DK167"/>
  <c r="DP167"/>
  <c r="DU167"/>
  <c r="EA167"/>
  <c r="EF167"/>
  <c r="DD167"/>
  <c r="DE167" s="1"/>
  <c r="DC167"/>
  <c r="BA167"/>
  <c r="CM167"/>
  <c r="CL167"/>
  <c r="CK167"/>
  <c r="AY167"/>
  <c r="B160"/>
  <c r="CW166"/>
  <c r="CX166"/>
  <c r="CZ166"/>
  <c r="DF166"/>
  <c r="DK166"/>
  <c r="DP166"/>
  <c r="DQ166"/>
  <c r="DV166"/>
  <c r="EA166"/>
  <c r="EF166"/>
  <c r="EG166"/>
  <c r="DD166"/>
  <c r="BA166"/>
  <c r="CM166"/>
  <c r="CL166"/>
  <c r="CK166"/>
  <c r="AY166"/>
  <c r="B159"/>
  <c r="CZ165"/>
  <c r="DF165"/>
  <c r="DG165"/>
  <c r="DH165"/>
  <c r="DI165"/>
  <c r="DJ165"/>
  <c r="DK165"/>
  <c r="DL165"/>
  <c r="DM165"/>
  <c r="DN165"/>
  <c r="DO165"/>
  <c r="DP165"/>
  <c r="DQ165"/>
  <c r="DR165"/>
  <c r="DS165"/>
  <c r="DT165"/>
  <c r="DU165"/>
  <c r="DV165"/>
  <c r="DW165"/>
  <c r="DX165"/>
  <c r="DY165"/>
  <c r="DZ165"/>
  <c r="EA165"/>
  <c r="EB165"/>
  <c r="EC165"/>
  <c r="ED165"/>
  <c r="EE165"/>
  <c r="EF165"/>
  <c r="EG165"/>
  <c r="EH165"/>
  <c r="EI165"/>
  <c r="EJ165"/>
  <c r="DD165"/>
  <c r="DE165"/>
  <c r="DC165"/>
  <c r="BA165"/>
  <c r="CM165"/>
  <c r="CL165"/>
  <c r="CK165"/>
  <c r="AY165"/>
  <c r="B158"/>
  <c r="CZ164"/>
  <c r="DJ164" s="1"/>
  <c r="DF164"/>
  <c r="DG164"/>
  <c r="DH164"/>
  <c r="DI164"/>
  <c r="DK164"/>
  <c r="DL164"/>
  <c r="DN164"/>
  <c r="DO164"/>
  <c r="DP164"/>
  <c r="DQ164"/>
  <c r="DS164"/>
  <c r="DT164"/>
  <c r="DV164"/>
  <c r="DW164"/>
  <c r="DX164"/>
  <c r="DY164"/>
  <c r="EA164"/>
  <c r="EB164"/>
  <c r="ED164"/>
  <c r="EE164"/>
  <c r="EF164"/>
  <c r="EG164"/>
  <c r="EI164"/>
  <c r="EJ164"/>
  <c r="DD164"/>
  <c r="DE164" s="1"/>
  <c r="DC164"/>
  <c r="BA164"/>
  <c r="CM164"/>
  <c r="CL164"/>
  <c r="CK164"/>
  <c r="AY164"/>
  <c r="B162"/>
  <c r="CZ163"/>
  <c r="DF163"/>
  <c r="DG163"/>
  <c r="DH163"/>
  <c r="DI163"/>
  <c r="DJ163"/>
  <c r="DK163"/>
  <c r="DL163"/>
  <c r="DM163"/>
  <c r="DN163"/>
  <c r="DO163"/>
  <c r="DP163"/>
  <c r="DQ163"/>
  <c r="DR163"/>
  <c r="DS163"/>
  <c r="DT163"/>
  <c r="DU163"/>
  <c r="DV163"/>
  <c r="DW163"/>
  <c r="DX163"/>
  <c r="DY163"/>
  <c r="DZ163"/>
  <c r="EA163"/>
  <c r="EB163"/>
  <c r="EC163"/>
  <c r="ED163"/>
  <c r="EE163"/>
  <c r="EF163"/>
  <c r="EG163"/>
  <c r="EH163"/>
  <c r="EI163"/>
  <c r="EJ163"/>
  <c r="DD163"/>
  <c r="BA163"/>
  <c r="CM163"/>
  <c r="CL163"/>
  <c r="CK163"/>
  <c r="AY163"/>
  <c r="B161"/>
  <c r="CZ162"/>
  <c r="DF162"/>
  <c r="DG162"/>
  <c r="DH162"/>
  <c r="DI162"/>
  <c r="DJ162"/>
  <c r="DK162"/>
  <c r="DL162"/>
  <c r="DM162"/>
  <c r="DN162"/>
  <c r="DO162"/>
  <c r="DP162"/>
  <c r="DQ162"/>
  <c r="DR162"/>
  <c r="DS162"/>
  <c r="DT162"/>
  <c r="DU162"/>
  <c r="DV162"/>
  <c r="DW162"/>
  <c r="DX162"/>
  <c r="DY162"/>
  <c r="DZ162"/>
  <c r="EA162"/>
  <c r="EB162"/>
  <c r="EC162"/>
  <c r="ED162"/>
  <c r="EE162"/>
  <c r="EF162"/>
  <c r="EG162"/>
  <c r="EH162"/>
  <c r="EI162"/>
  <c r="EJ162"/>
  <c r="DD162"/>
  <c r="DE162" s="1"/>
  <c r="DC162"/>
  <c r="BA162"/>
  <c r="CM162" s="1"/>
  <c r="CL162"/>
  <c r="CK162"/>
  <c r="AY162"/>
  <c r="B163"/>
  <c r="CX161"/>
  <c r="CZ161"/>
  <c r="DP161"/>
  <c r="DV161"/>
  <c r="DD161"/>
  <c r="BA161"/>
  <c r="CM161"/>
  <c r="CL161"/>
  <c r="CK161"/>
  <c r="AY161"/>
  <c r="B166"/>
  <c r="CW160"/>
  <c r="CX160"/>
  <c r="CZ160"/>
  <c r="EB160"/>
  <c r="ED160"/>
  <c r="DD160"/>
  <c r="DC160" s="1"/>
  <c r="DE160"/>
  <c r="BA160"/>
  <c r="CM160"/>
  <c r="CL160"/>
  <c r="CK160"/>
  <c r="AY160"/>
  <c r="B167"/>
  <c r="CX159"/>
  <c r="DH159" s="1"/>
  <c r="CZ159"/>
  <c r="DG159"/>
  <c r="DJ159"/>
  <c r="DN159"/>
  <c r="DO159"/>
  <c r="DP159"/>
  <c r="DQ159"/>
  <c r="DR159"/>
  <c r="DS159"/>
  <c r="DT159"/>
  <c r="DU159"/>
  <c r="DV159"/>
  <c r="DW159"/>
  <c r="DX159"/>
  <c r="DY159"/>
  <c r="DZ159"/>
  <c r="EA159"/>
  <c r="EB159"/>
  <c r="EC159"/>
  <c r="ED159"/>
  <c r="EE159"/>
  <c r="EF159"/>
  <c r="EG159"/>
  <c r="EH159"/>
  <c r="EI159"/>
  <c r="EJ159"/>
  <c r="DD159"/>
  <c r="DE159"/>
  <c r="DC159"/>
  <c r="CL159"/>
  <c r="CK159"/>
  <c r="AY159"/>
  <c r="B164"/>
  <c r="CZ158"/>
  <c r="DF158"/>
  <c r="DG158"/>
  <c r="DH158"/>
  <c r="DI158"/>
  <c r="DJ158"/>
  <c r="DK158"/>
  <c r="DL158"/>
  <c r="DM158"/>
  <c r="DN158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DD158"/>
  <c r="DE158"/>
  <c r="DC158"/>
  <c r="CM158"/>
  <c r="CL158"/>
  <c r="CK158"/>
  <c r="AY158"/>
  <c r="B165"/>
  <c r="CZ157"/>
  <c r="DF157"/>
  <c r="DH157"/>
  <c r="DJ157"/>
  <c r="DL157"/>
  <c r="DN157"/>
  <c r="DP157"/>
  <c r="DR157"/>
  <c r="DT157"/>
  <c r="DV157"/>
  <c r="DX157"/>
  <c r="DZ157"/>
  <c r="EB157"/>
  <c r="ED157"/>
  <c r="EF157"/>
  <c r="EH157"/>
  <c r="EJ157"/>
  <c r="DD157"/>
  <c r="DC157" s="1"/>
  <c r="DE157"/>
  <c r="BA157"/>
  <c r="CM157" s="1"/>
  <c r="CL157"/>
  <c r="CK157"/>
  <c r="AY157"/>
  <c r="B149"/>
  <c r="CX156"/>
  <c r="DI156" s="1"/>
  <c r="CZ156"/>
  <c r="DF156"/>
  <c r="DG156"/>
  <c r="DH156"/>
  <c r="DJ156"/>
  <c r="DL156"/>
  <c r="DN156"/>
  <c r="DO156"/>
  <c r="DP156"/>
  <c r="DQ156"/>
  <c r="DR156"/>
  <c r="DS156"/>
  <c r="DT156"/>
  <c r="DU156"/>
  <c r="DV156"/>
  <c r="DW156"/>
  <c r="DX156"/>
  <c r="DY156"/>
  <c r="DZ156"/>
  <c r="EA156"/>
  <c r="EB156"/>
  <c r="EC156"/>
  <c r="ED156"/>
  <c r="EE156"/>
  <c r="EF156"/>
  <c r="EG156"/>
  <c r="EH156"/>
  <c r="EI156"/>
  <c r="EJ156"/>
  <c r="DD156"/>
  <c r="DC156" s="1"/>
  <c r="DE156"/>
  <c r="BA156"/>
  <c r="CM156" s="1"/>
  <c r="CL156"/>
  <c r="CK156"/>
  <c r="AY156"/>
  <c r="B150"/>
  <c r="CZ155"/>
  <c r="DK155" s="1"/>
  <c r="DG155"/>
  <c r="DO155"/>
  <c r="DW155"/>
  <c r="EE155"/>
  <c r="DD155"/>
  <c r="DE155"/>
  <c r="DC155"/>
  <c r="BA155"/>
  <c r="CM155" s="1"/>
  <c r="CL155"/>
  <c r="CK155"/>
  <c r="AY155"/>
  <c r="B153"/>
  <c r="CZ154"/>
  <c r="DG154" s="1"/>
  <c r="DF154"/>
  <c r="DH154"/>
  <c r="DJ154"/>
  <c r="DL154"/>
  <c r="DN154"/>
  <c r="DP154"/>
  <c r="DR154"/>
  <c r="DT154"/>
  <c r="DV154"/>
  <c r="DX154"/>
  <c r="DZ154"/>
  <c r="EB154"/>
  <c r="ED154"/>
  <c r="EF154"/>
  <c r="EH154"/>
  <c r="EJ154"/>
  <c r="DD154"/>
  <c r="DC154" s="1"/>
  <c r="DE154"/>
  <c r="BA154"/>
  <c r="CM154"/>
  <c r="CL154"/>
  <c r="CK154"/>
  <c r="AY154"/>
  <c r="B155"/>
  <c r="CZ153"/>
  <c r="DG153"/>
  <c r="DI153"/>
  <c r="DK153"/>
  <c r="DM153"/>
  <c r="DO153"/>
  <c r="DQ153"/>
  <c r="DS153"/>
  <c r="DU153"/>
  <c r="DW153"/>
  <c r="DY153"/>
  <c r="EA153"/>
  <c r="EC153"/>
  <c r="EE153"/>
  <c r="EG153"/>
  <c r="EI153"/>
  <c r="DD153"/>
  <c r="DE153"/>
  <c r="DC153"/>
  <c r="BA153"/>
  <c r="CM153" s="1"/>
  <c r="CL153"/>
  <c r="CK153"/>
  <c r="AY153"/>
  <c r="B152"/>
  <c r="CZ152"/>
  <c r="DG152" s="1"/>
  <c r="DJ152"/>
  <c r="DL152"/>
  <c r="DR152"/>
  <c r="DT152"/>
  <c r="DZ152"/>
  <c r="EB152"/>
  <c r="EH152"/>
  <c r="EJ152"/>
  <c r="DD152"/>
  <c r="DC152" s="1"/>
  <c r="BA152"/>
  <c r="CM152" s="1"/>
  <c r="CL152"/>
  <c r="CK152"/>
  <c r="AY152"/>
  <c r="B156"/>
  <c r="DE151"/>
  <c r="DE231" s="1"/>
  <c r="DC151"/>
  <c r="B148"/>
  <c r="DC150"/>
  <c r="B157"/>
  <c r="CW151"/>
  <c r="CX151"/>
  <c r="CM151"/>
  <c r="CL151"/>
  <c r="CK151"/>
  <c r="AY151"/>
  <c r="B154"/>
  <c r="CL150"/>
  <c r="CK150"/>
  <c r="AY150"/>
  <c r="B151"/>
  <c r="CZ147"/>
  <c r="DF147" s="1"/>
  <c r="DH147"/>
  <c r="DJ147"/>
  <c r="DL147"/>
  <c r="DN147"/>
  <c r="DP147"/>
  <c r="DR147"/>
  <c r="DT147"/>
  <c r="DV147"/>
  <c r="DX147"/>
  <c r="DZ147"/>
  <c r="EB147"/>
  <c r="ED147"/>
  <c r="EF147"/>
  <c r="EH147"/>
  <c r="EJ147"/>
  <c r="DD147"/>
  <c r="BA147"/>
  <c r="CM147"/>
  <c r="CL147"/>
  <c r="CK147"/>
  <c r="AY147"/>
  <c r="B139"/>
  <c r="CX146"/>
  <c r="CZ146"/>
  <c r="DG146" s="1"/>
  <c r="DF146"/>
  <c r="DH146"/>
  <c r="DJ146"/>
  <c r="DL146"/>
  <c r="DN146"/>
  <c r="DP146"/>
  <c r="DR146"/>
  <c r="DT146"/>
  <c r="DV146"/>
  <c r="DX146"/>
  <c r="DZ146"/>
  <c r="EB146"/>
  <c r="ED146"/>
  <c r="EF146"/>
  <c r="EH146"/>
  <c r="EJ146"/>
  <c r="DD146"/>
  <c r="DC146" s="1"/>
  <c r="BA146"/>
  <c r="CM146"/>
  <c r="CL146"/>
  <c r="CK146"/>
  <c r="AY146"/>
  <c r="B145"/>
  <c r="CX145"/>
  <c r="CZ145"/>
  <c r="DM145" s="1"/>
  <c r="DN145"/>
  <c r="DO145"/>
  <c r="DR145"/>
  <c r="DS145"/>
  <c r="DV145"/>
  <c r="DW145"/>
  <c r="DZ145"/>
  <c r="EA145"/>
  <c r="ED145"/>
  <c r="EE145"/>
  <c r="EH145"/>
  <c r="EI145"/>
  <c r="DD145"/>
  <c r="DE145"/>
  <c r="DC145"/>
  <c r="BA145"/>
  <c r="CM145"/>
  <c r="CL145"/>
  <c r="CK145"/>
  <c r="AY145"/>
  <c r="B138"/>
  <c r="CX144"/>
  <c r="CZ144"/>
  <c r="DK144" s="1"/>
  <c r="DO144"/>
  <c r="DS144"/>
  <c r="EE144"/>
  <c r="EI144"/>
  <c r="DD144"/>
  <c r="DE144" s="1"/>
  <c r="DC144"/>
  <c r="BA144"/>
  <c r="CM144" s="1"/>
  <c r="CL144"/>
  <c r="CK144"/>
  <c r="AY144"/>
  <c r="B144"/>
  <c r="CZ143"/>
  <c r="DG143" s="1"/>
  <c r="DF143"/>
  <c r="DH143"/>
  <c r="DJ143"/>
  <c r="DL143"/>
  <c r="DN143"/>
  <c r="DP143"/>
  <c r="DR143"/>
  <c r="DT143"/>
  <c r="DV143"/>
  <c r="DW143"/>
  <c r="DX143"/>
  <c r="DY143"/>
  <c r="DZ143"/>
  <c r="EA143"/>
  <c r="EB143"/>
  <c r="EC143"/>
  <c r="ED143"/>
  <c r="EE143"/>
  <c r="EF143"/>
  <c r="EG143"/>
  <c r="EH143"/>
  <c r="EI143"/>
  <c r="EJ143"/>
  <c r="DD143"/>
  <c r="DC143" s="1"/>
  <c r="BA143"/>
  <c r="CM143"/>
  <c r="CL143"/>
  <c r="CK143"/>
  <c r="AY143"/>
  <c r="B147"/>
  <c r="CX142"/>
  <c r="CZ142"/>
  <c r="DI142"/>
  <c r="DM142"/>
  <c r="DN142"/>
  <c r="DO142"/>
  <c r="DP142"/>
  <c r="DQ142"/>
  <c r="DR142"/>
  <c r="DS142"/>
  <c r="DT142"/>
  <c r="DU142"/>
  <c r="DV142"/>
  <c r="DW142"/>
  <c r="DX142"/>
  <c r="DY142"/>
  <c r="DZ142"/>
  <c r="EA142"/>
  <c r="EB142"/>
  <c r="EC142"/>
  <c r="ED142"/>
  <c r="EE142"/>
  <c r="EF142"/>
  <c r="EG142"/>
  <c r="EH142"/>
  <c r="EI142"/>
  <c r="EJ142"/>
  <c r="DD142"/>
  <c r="DC142" s="1"/>
  <c r="BA142"/>
  <c r="CM142"/>
  <c r="CL142"/>
  <c r="CK142"/>
  <c r="AY142"/>
  <c r="B142"/>
  <c r="CW141"/>
  <c r="CX141"/>
  <c r="CZ141"/>
  <c r="DO141" s="1"/>
  <c r="DQ141"/>
  <c r="DY141"/>
  <c r="EG141"/>
  <c r="DD141"/>
  <c r="DE141" s="1"/>
  <c r="DE230" s="1"/>
  <c r="DC141"/>
  <c r="BA141"/>
  <c r="CM141"/>
  <c r="CL141"/>
  <c r="CK141"/>
  <c r="AY141"/>
  <c r="B146"/>
  <c r="CW140"/>
  <c r="CX140"/>
  <c r="CZ140"/>
  <c r="DQ140" s="1"/>
  <c r="DS140"/>
  <c r="DU140"/>
  <c r="EA140"/>
  <c r="EC140"/>
  <c r="EI140"/>
  <c r="DD140"/>
  <c r="DC140" s="1"/>
  <c r="BA140"/>
  <c r="CM140"/>
  <c r="CL140"/>
  <c r="CK140"/>
  <c r="AY140"/>
  <c r="B141"/>
  <c r="CZ139"/>
  <c r="DJ139" s="1"/>
  <c r="DF139"/>
  <c r="DG139"/>
  <c r="DH139"/>
  <c r="DI139"/>
  <c r="DK139"/>
  <c r="DL139"/>
  <c r="DN139"/>
  <c r="DO139"/>
  <c r="DP139"/>
  <c r="DQ139"/>
  <c r="DS139"/>
  <c r="DT139"/>
  <c r="DV139"/>
  <c r="DW139"/>
  <c r="DX139"/>
  <c r="DY139"/>
  <c r="EA139"/>
  <c r="EB139"/>
  <c r="ED139"/>
  <c r="EE139"/>
  <c r="EF139"/>
  <c r="EG139"/>
  <c r="EI139"/>
  <c r="EJ139"/>
  <c r="DD139"/>
  <c r="DE139" s="1"/>
  <c r="DC139"/>
  <c r="BA139"/>
  <c r="CM139"/>
  <c r="CL139"/>
  <c r="CK139"/>
  <c r="AY139"/>
  <c r="B140"/>
  <c r="CZ138"/>
  <c r="DF138"/>
  <c r="DG138"/>
  <c r="DH138"/>
  <c r="DI138"/>
  <c r="DJ138"/>
  <c r="DK138"/>
  <c r="DL138"/>
  <c r="DM138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EG138"/>
  <c r="EH138"/>
  <c r="EI138"/>
  <c r="EJ138"/>
  <c r="DD138"/>
  <c r="CL138"/>
  <c r="CK138"/>
  <c r="AY138"/>
  <c r="B143"/>
  <c r="CZ137"/>
  <c r="DH137" s="1"/>
  <c r="DI137"/>
  <c r="DM137"/>
  <c r="DQ137"/>
  <c r="DU137"/>
  <c r="DY137"/>
  <c r="EC137"/>
  <c r="EG137"/>
  <c r="DD137"/>
  <c r="DE137" s="1"/>
  <c r="BA137"/>
  <c r="CM137" s="1"/>
  <c r="CL137"/>
  <c r="CK137"/>
  <c r="AY137"/>
  <c r="B130"/>
  <c r="CZ136"/>
  <c r="DG136" s="1"/>
  <c r="DL136"/>
  <c r="DT136"/>
  <c r="EB136"/>
  <c r="EJ136"/>
  <c r="DD136"/>
  <c r="DC136" s="1"/>
  <c r="BA136"/>
  <c r="CM136"/>
  <c r="CL136"/>
  <c r="CK136"/>
  <c r="AY136"/>
  <c r="B128"/>
  <c r="CW135"/>
  <c r="CX135"/>
  <c r="CZ135"/>
  <c r="DF135"/>
  <c r="DH135"/>
  <c r="DJ135"/>
  <c r="DL135"/>
  <c r="DN135"/>
  <c r="DP135"/>
  <c r="DR135"/>
  <c r="DT135"/>
  <c r="DV135"/>
  <c r="DX135"/>
  <c r="DZ135"/>
  <c r="EB135"/>
  <c r="ED135"/>
  <c r="EF135"/>
  <c r="EH135"/>
  <c r="EJ135"/>
  <c r="DD135"/>
  <c r="DC135" s="1"/>
  <c r="BA135"/>
  <c r="CM135"/>
  <c r="CL135"/>
  <c r="CK135"/>
  <c r="AY135"/>
  <c r="B129"/>
  <c r="CW134"/>
  <c r="CX134"/>
  <c r="CZ134"/>
  <c r="DJ134" s="1"/>
  <c r="DN134"/>
  <c r="DR134"/>
  <c r="ED134"/>
  <c r="EH134"/>
  <c r="DD134"/>
  <c r="DC134" s="1"/>
  <c r="BA134"/>
  <c r="CM134"/>
  <c r="CL134"/>
  <c r="CK134"/>
  <c r="AY134"/>
  <c r="B137"/>
  <c r="CZ133"/>
  <c r="DG133" s="1"/>
  <c r="DD133"/>
  <c r="DE133" s="1"/>
  <c r="DC133"/>
  <c r="BA133"/>
  <c r="CM133" s="1"/>
  <c r="CL133"/>
  <c r="CK133"/>
  <c r="AY133"/>
  <c r="B134"/>
  <c r="CX132"/>
  <c r="CZ132"/>
  <c r="DF132"/>
  <c r="DH132"/>
  <c r="DJ132"/>
  <c r="DL132"/>
  <c r="DN132"/>
  <c r="DP132"/>
  <c r="DR132"/>
  <c r="DT132"/>
  <c r="DV132"/>
  <c r="DX132"/>
  <c r="DZ132"/>
  <c r="EB132"/>
  <c r="ED132"/>
  <c r="EF132"/>
  <c r="EH132"/>
  <c r="EJ132"/>
  <c r="DD132"/>
  <c r="BA132"/>
  <c r="CM132" s="1"/>
  <c r="CL132"/>
  <c r="CK132"/>
  <c r="AY132"/>
  <c r="B132"/>
  <c r="CZ131"/>
  <c r="DF131"/>
  <c r="DG131"/>
  <c r="DH131"/>
  <c r="DI131"/>
  <c r="DJ131"/>
  <c r="DK131"/>
  <c r="DL131"/>
  <c r="DM131"/>
  <c r="DN131"/>
  <c r="DO131"/>
  <c r="DP131"/>
  <c r="DQ131"/>
  <c r="DR131"/>
  <c r="DS131"/>
  <c r="DT131"/>
  <c r="DU131"/>
  <c r="DV131"/>
  <c r="DW131"/>
  <c r="DX131"/>
  <c r="DY131"/>
  <c r="DZ131"/>
  <c r="EA131"/>
  <c r="EB131"/>
  <c r="EC131"/>
  <c r="ED131"/>
  <c r="EE131"/>
  <c r="EF131"/>
  <c r="EG131"/>
  <c r="EH131"/>
  <c r="EI131"/>
  <c r="EJ131"/>
  <c r="DD131"/>
  <c r="DE131" s="1"/>
  <c r="DE229" s="1"/>
  <c r="DC131"/>
  <c r="BA131"/>
  <c r="CM131"/>
  <c r="CL131"/>
  <c r="CK131"/>
  <c r="AY131"/>
  <c r="B133"/>
  <c r="CX130"/>
  <c r="CZ130"/>
  <c r="DQ130" s="1"/>
  <c r="DD130"/>
  <c r="DC130" s="1"/>
  <c r="BA130"/>
  <c r="CM130" s="1"/>
  <c r="CL130"/>
  <c r="CK130"/>
  <c r="AY130"/>
  <c r="B136"/>
  <c r="CX129"/>
  <c r="CZ129"/>
  <c r="DH129" s="1"/>
  <c r="DN129"/>
  <c r="DR129"/>
  <c r="ED129"/>
  <c r="EH129"/>
  <c r="DD129"/>
  <c r="BA129"/>
  <c r="CM129" s="1"/>
  <c r="CL129"/>
  <c r="CK129"/>
  <c r="AY129"/>
  <c r="B135"/>
  <c r="CW128"/>
  <c r="CX128"/>
  <c r="CZ128"/>
  <c r="DH128"/>
  <c r="DL128"/>
  <c r="DP128"/>
  <c r="DT128"/>
  <c r="DX128"/>
  <c r="EB128"/>
  <c r="EF128"/>
  <c r="EJ128"/>
  <c r="DD128"/>
  <c r="CL128"/>
  <c r="CK128"/>
  <c r="AY128"/>
  <c r="B131"/>
  <c r="CX127"/>
  <c r="CZ127"/>
  <c r="DD127"/>
  <c r="DE127"/>
  <c r="DC127"/>
  <c r="BA127"/>
  <c r="CM127" s="1"/>
  <c r="CL127"/>
  <c r="CK127"/>
  <c r="AY127"/>
  <c r="B119"/>
  <c r="CX126"/>
  <c r="CZ126"/>
  <c r="DJ126" s="1"/>
  <c r="DF126"/>
  <c r="DH126"/>
  <c r="DL126"/>
  <c r="DN126"/>
  <c r="DP126"/>
  <c r="DR126"/>
  <c r="DT126"/>
  <c r="DV126"/>
  <c r="DX126"/>
  <c r="DZ126"/>
  <c r="EB126"/>
  <c r="ED126"/>
  <c r="EF126"/>
  <c r="EH126"/>
  <c r="EJ126"/>
  <c r="DD126"/>
  <c r="BA126"/>
  <c r="CM126" s="1"/>
  <c r="CL126"/>
  <c r="CK126"/>
  <c r="AY126"/>
  <c r="B125"/>
  <c r="CX125"/>
  <c r="CZ125"/>
  <c r="DG125" s="1"/>
  <c r="DF125"/>
  <c r="DH125"/>
  <c r="DJ125"/>
  <c r="DL125"/>
  <c r="DN125"/>
  <c r="DP125"/>
  <c r="DR125"/>
  <c r="DT125"/>
  <c r="DV125"/>
  <c r="DX125"/>
  <c r="DZ125"/>
  <c r="EB125"/>
  <c r="ED125"/>
  <c r="EF125"/>
  <c r="EH125"/>
  <c r="EJ125"/>
  <c r="DD125"/>
  <c r="DC125" s="1"/>
  <c r="BA125"/>
  <c r="CM125"/>
  <c r="CL125"/>
  <c r="CK125"/>
  <c r="AY125"/>
  <c r="B120"/>
  <c r="CX124"/>
  <c r="CZ124"/>
  <c r="DP124" s="1"/>
  <c r="DQ124"/>
  <c r="DU124"/>
  <c r="DY124"/>
  <c r="EC124"/>
  <c r="EG124"/>
  <c r="DD124"/>
  <c r="DE124" s="1"/>
  <c r="BA124"/>
  <c r="CM124"/>
  <c r="CL124"/>
  <c r="CK124"/>
  <c r="AY124"/>
  <c r="B124"/>
  <c r="CX123"/>
  <c r="CZ123"/>
  <c r="DD123"/>
  <c r="DE123"/>
  <c r="DC123"/>
  <c r="BA123"/>
  <c r="CM123" s="1"/>
  <c r="CL123"/>
  <c r="CK123"/>
  <c r="AY123"/>
  <c r="B123"/>
  <c r="CX122"/>
  <c r="CZ122"/>
  <c r="DJ122" s="1"/>
  <c r="DL122"/>
  <c r="DT122"/>
  <c r="EB122"/>
  <c r="EJ122"/>
  <c r="DD122"/>
  <c r="BA122"/>
  <c r="CM122" s="1"/>
  <c r="CL122"/>
  <c r="CK122"/>
  <c r="AY122"/>
  <c r="B121"/>
  <c r="CW121"/>
  <c r="CX121"/>
  <c r="CZ121"/>
  <c r="DD121"/>
  <c r="BA121"/>
  <c r="CM121"/>
  <c r="CL121"/>
  <c r="CK121"/>
  <c r="AY121"/>
  <c r="B126"/>
  <c r="CZ120"/>
  <c r="DG120" s="1"/>
  <c r="DH120"/>
  <c r="DI120"/>
  <c r="DL120"/>
  <c r="DM120"/>
  <c r="DP120"/>
  <c r="DQ120"/>
  <c r="DT120"/>
  <c r="DU120"/>
  <c r="DX120"/>
  <c r="DY120"/>
  <c r="EB120"/>
  <c r="EC120"/>
  <c r="EF120"/>
  <c r="EG120"/>
  <c r="EJ120"/>
  <c r="DD120"/>
  <c r="DC120" s="1"/>
  <c r="BA120"/>
  <c r="CM120"/>
  <c r="CL120"/>
  <c r="CK120"/>
  <c r="AY120"/>
  <c r="B127"/>
  <c r="CW119"/>
  <c r="CX119"/>
  <c r="CZ119"/>
  <c r="DO119" s="1"/>
  <c r="DQ119"/>
  <c r="DY119"/>
  <c r="EG119"/>
  <c r="DD119"/>
  <c r="DE119"/>
  <c r="DC119"/>
  <c r="BA119"/>
  <c r="CM119"/>
  <c r="CL119"/>
  <c r="CK119"/>
  <c r="AY119"/>
  <c r="B122"/>
  <c r="CX118"/>
  <c r="CZ118"/>
  <c r="DI118" s="1"/>
  <c r="DS118"/>
  <c r="EI118"/>
  <c r="DD118"/>
  <c r="DC118" s="1"/>
  <c r="CL118"/>
  <c r="CK118"/>
  <c r="AY118"/>
  <c r="B118"/>
  <c r="CZ117"/>
  <c r="DI117" s="1"/>
  <c r="DS117"/>
  <c r="EI117"/>
  <c r="DD117"/>
  <c r="DC117" s="1"/>
  <c r="BA117"/>
  <c r="CM117" s="1"/>
  <c r="CL117"/>
  <c r="CK117"/>
  <c r="AY117"/>
  <c r="B108"/>
  <c r="CZ116"/>
  <c r="DG116" s="1"/>
  <c r="DJ116"/>
  <c r="DL116"/>
  <c r="DR116"/>
  <c r="DT116"/>
  <c r="DZ116"/>
  <c r="EB116"/>
  <c r="EH116"/>
  <c r="EJ116"/>
  <c r="DD116"/>
  <c r="DC116" s="1"/>
  <c r="BA116"/>
  <c r="CM116"/>
  <c r="CL116"/>
  <c r="CK116"/>
  <c r="AY116"/>
  <c r="B113"/>
  <c r="CZ115"/>
  <c r="DM115" s="1"/>
  <c r="DQ115"/>
  <c r="DU115"/>
  <c r="EG115"/>
  <c r="DD115"/>
  <c r="DC115" s="1"/>
  <c r="BA115"/>
  <c r="CM115" s="1"/>
  <c r="CL115"/>
  <c r="CK115"/>
  <c r="AY115"/>
  <c r="B110"/>
  <c r="CZ114"/>
  <c r="DG114" s="1"/>
  <c r="DJ114"/>
  <c r="DL114"/>
  <c r="DR114"/>
  <c r="DT114"/>
  <c r="DZ114"/>
  <c r="EB114"/>
  <c r="EH114"/>
  <c r="EJ114"/>
  <c r="DD114"/>
  <c r="DC114" s="1"/>
  <c r="BA114"/>
  <c r="CM114"/>
  <c r="CL114"/>
  <c r="CK114"/>
  <c r="AY114"/>
  <c r="B109"/>
  <c r="CZ113"/>
  <c r="DI113" s="1"/>
  <c r="DK113"/>
  <c r="DO113"/>
  <c r="DS113"/>
  <c r="DW113"/>
  <c r="EA113"/>
  <c r="EE113"/>
  <c r="EI113"/>
  <c r="DD113"/>
  <c r="DE113"/>
  <c r="DC113"/>
  <c r="BA113"/>
  <c r="CM113" s="1"/>
  <c r="CL113"/>
  <c r="CK113"/>
  <c r="AY113"/>
  <c r="B116"/>
  <c r="CZ112"/>
  <c r="DG112" s="1"/>
  <c r="DF112"/>
  <c r="DH112"/>
  <c r="DJ112"/>
  <c r="DL112"/>
  <c r="DN112"/>
  <c r="DP112"/>
  <c r="DR112"/>
  <c r="DT112"/>
  <c r="DV112"/>
  <c r="DX112"/>
  <c r="DZ112"/>
  <c r="EB112"/>
  <c r="ED112"/>
  <c r="EF112"/>
  <c r="EH112"/>
  <c r="EJ112"/>
  <c r="DD112"/>
  <c r="DC112" s="1"/>
  <c r="BA112"/>
  <c r="CM112"/>
  <c r="CL112"/>
  <c r="CK112"/>
  <c r="AY112"/>
  <c r="B115"/>
  <c r="CZ111"/>
  <c r="DI111"/>
  <c r="DM111"/>
  <c r="DQ111"/>
  <c r="DU111"/>
  <c r="DY111"/>
  <c r="EC111"/>
  <c r="EG111"/>
  <c r="DD111"/>
  <c r="DE111"/>
  <c r="DE227" s="1"/>
  <c r="DC111"/>
  <c r="BA111"/>
  <c r="CM111" s="1"/>
  <c r="CL111"/>
  <c r="CK111"/>
  <c r="AY111"/>
  <c r="B117"/>
  <c r="CZ110"/>
  <c r="DG110" s="1"/>
  <c r="DF110"/>
  <c r="DH110"/>
  <c r="DJ110"/>
  <c r="DL110"/>
  <c r="DN110"/>
  <c r="DP110"/>
  <c r="DR110"/>
  <c r="DT110"/>
  <c r="DV110"/>
  <c r="DX110"/>
  <c r="DZ110"/>
  <c r="EB110"/>
  <c r="ED110"/>
  <c r="EF110"/>
  <c r="EH110"/>
  <c r="EJ110"/>
  <c r="DD110"/>
  <c r="DC110" s="1"/>
  <c r="BA110"/>
  <c r="CM110"/>
  <c r="CL110"/>
  <c r="CK110"/>
  <c r="AY110"/>
  <c r="B111"/>
  <c r="CZ109"/>
  <c r="DI109" s="1"/>
  <c r="EI109"/>
  <c r="DD109"/>
  <c r="DC109" s="1"/>
  <c r="BA109"/>
  <c r="CM109" s="1"/>
  <c r="CL109"/>
  <c r="CK109"/>
  <c r="AY109"/>
  <c r="B114"/>
  <c r="CZ108"/>
  <c r="DG108" s="1"/>
  <c r="DJ108"/>
  <c r="DL108"/>
  <c r="DR108"/>
  <c r="DT108"/>
  <c r="DZ108"/>
  <c r="EB108"/>
  <c r="EH108"/>
  <c r="EJ108"/>
  <c r="DD108"/>
  <c r="DC108" s="1"/>
  <c r="CL108"/>
  <c r="CK108"/>
  <c r="AY108"/>
  <c r="B112"/>
  <c r="CW107"/>
  <c r="CX107"/>
  <c r="DG107" s="1"/>
  <c r="CZ107"/>
  <c r="DO107" s="1"/>
  <c r="DQ107"/>
  <c r="DU107"/>
  <c r="EG107"/>
  <c r="DD107"/>
  <c r="DC107" s="1"/>
  <c r="BA107"/>
  <c r="CM107" s="1"/>
  <c r="CL107"/>
  <c r="CK107"/>
  <c r="AY107"/>
  <c r="B101"/>
  <c r="CZ106"/>
  <c r="DG106" s="1"/>
  <c r="DJ106"/>
  <c r="DL106"/>
  <c r="DR106"/>
  <c r="DT106"/>
  <c r="DZ106"/>
  <c r="EB106"/>
  <c r="EH106"/>
  <c r="EJ106"/>
  <c r="DD106"/>
  <c r="DC106" s="1"/>
  <c r="BA106"/>
  <c r="CM106"/>
  <c r="CL106"/>
  <c r="CK106"/>
  <c r="AY106"/>
  <c r="B104"/>
  <c r="CZ105"/>
  <c r="DI105" s="1"/>
  <c r="DK105"/>
  <c r="DO105"/>
  <c r="DS105"/>
  <c r="DW105"/>
  <c r="EA105"/>
  <c r="EE105"/>
  <c r="EI105"/>
  <c r="DD105"/>
  <c r="DE105"/>
  <c r="DC105"/>
  <c r="BA105"/>
  <c r="CM105" s="1"/>
  <c r="CL105"/>
  <c r="CK105"/>
  <c r="AY105"/>
  <c r="B107"/>
  <c r="CZ104"/>
  <c r="DG104" s="1"/>
  <c r="DF104"/>
  <c r="DH104"/>
  <c r="DJ104"/>
  <c r="DL104"/>
  <c r="DN104"/>
  <c r="DP104"/>
  <c r="DR104"/>
  <c r="DT104"/>
  <c r="DV104"/>
  <c r="DX104"/>
  <c r="DZ104"/>
  <c r="EB104"/>
  <c r="ED104"/>
  <c r="EF104"/>
  <c r="EH104"/>
  <c r="EJ104"/>
  <c r="DD104"/>
  <c r="DC104" s="1"/>
  <c r="BA104"/>
  <c r="CM104"/>
  <c r="CL104"/>
  <c r="CK104"/>
  <c r="AY104"/>
  <c r="B106"/>
  <c r="CZ103"/>
  <c r="DI103"/>
  <c r="DM103"/>
  <c r="DQ103"/>
  <c r="DU103"/>
  <c r="DY103"/>
  <c r="EC103"/>
  <c r="EG103"/>
  <c r="DD103"/>
  <c r="DE103"/>
  <c r="DC103"/>
  <c r="BA103"/>
  <c r="CM103" s="1"/>
  <c r="CL103"/>
  <c r="CK103"/>
  <c r="AY103"/>
  <c r="B99"/>
  <c r="CZ102"/>
  <c r="DG102" s="1"/>
  <c r="DF102"/>
  <c r="DH102"/>
  <c r="DJ102"/>
  <c r="DL102"/>
  <c r="DN102"/>
  <c r="DP102"/>
  <c r="DR102"/>
  <c r="DT102"/>
  <c r="DV102"/>
  <c r="DX102"/>
  <c r="DZ102"/>
  <c r="EB102"/>
  <c r="ED102"/>
  <c r="EF102"/>
  <c r="EH102"/>
  <c r="EJ102"/>
  <c r="DD102"/>
  <c r="DC102" s="1"/>
  <c r="BA102"/>
  <c r="CM102"/>
  <c r="CL102"/>
  <c r="CK102"/>
  <c r="AY102"/>
  <c r="B98"/>
  <c r="CX101"/>
  <c r="DG101" s="1"/>
  <c r="CZ101"/>
  <c r="DM101" s="1"/>
  <c r="DN101"/>
  <c r="DO101"/>
  <c r="DR101"/>
  <c r="DS101"/>
  <c r="DV101"/>
  <c r="DW101"/>
  <c r="DZ101"/>
  <c r="EA101"/>
  <c r="ED101"/>
  <c r="EE101"/>
  <c r="EH101"/>
  <c r="EI101"/>
  <c r="DD101"/>
  <c r="DE101"/>
  <c r="DE226" s="1"/>
  <c r="DC101"/>
  <c r="BA101"/>
  <c r="CM101"/>
  <c r="CL101"/>
  <c r="CK101"/>
  <c r="AY101"/>
  <c r="B102"/>
  <c r="CX100"/>
  <c r="CZ100"/>
  <c r="DI100" s="1"/>
  <c r="DO100"/>
  <c r="DS100"/>
  <c r="EE100"/>
  <c r="EI100"/>
  <c r="DD100"/>
  <c r="DE100" s="1"/>
  <c r="DC100"/>
  <c r="BA100"/>
  <c r="CM100" s="1"/>
  <c r="CL100"/>
  <c r="CK100"/>
  <c r="AY100"/>
  <c r="B105"/>
  <c r="CZ99"/>
  <c r="DG99" s="1"/>
  <c r="DF99"/>
  <c r="DH99"/>
  <c r="DJ99"/>
  <c r="DL99"/>
  <c r="DN99"/>
  <c r="DP99"/>
  <c r="DR99"/>
  <c r="DT99"/>
  <c r="DV99"/>
  <c r="DX99"/>
  <c r="DZ99"/>
  <c r="EB99"/>
  <c r="ED99"/>
  <c r="EF99"/>
  <c r="EG99"/>
  <c r="EH99"/>
  <c r="EI99"/>
  <c r="EJ99"/>
  <c r="DD99"/>
  <c r="DC99" s="1"/>
  <c r="BA99"/>
  <c r="CM99"/>
  <c r="CL99"/>
  <c r="CK99"/>
  <c r="AY99"/>
  <c r="B100"/>
  <c r="CZ98"/>
  <c r="DQ98" s="1"/>
  <c r="DU98"/>
  <c r="DD98"/>
  <c r="DE98" s="1"/>
  <c r="DE213" s="1"/>
  <c r="CL98"/>
  <c r="CK98"/>
  <c r="AY98"/>
  <c r="B103"/>
  <c r="CZ97"/>
  <c r="DG97" s="1"/>
  <c r="DD97"/>
  <c r="DE97" s="1"/>
  <c r="DC97"/>
  <c r="BA97"/>
  <c r="CM97" s="1"/>
  <c r="CL97"/>
  <c r="CK97"/>
  <c r="AY97"/>
  <c r="B88"/>
  <c r="CZ96"/>
  <c r="DF96"/>
  <c r="DG96"/>
  <c r="DH96"/>
  <c r="DI96"/>
  <c r="DJ96"/>
  <c r="DK96"/>
  <c r="DL96"/>
  <c r="DM96"/>
  <c r="DN96"/>
  <c r="DO96"/>
  <c r="DP96"/>
  <c r="DQ96"/>
  <c r="DR96"/>
  <c r="DS96"/>
  <c r="DT96"/>
  <c r="DU96"/>
  <c r="DV96"/>
  <c r="DW96"/>
  <c r="DX96"/>
  <c r="DY96"/>
  <c r="DZ96"/>
  <c r="EA96"/>
  <c r="EB96"/>
  <c r="EC96"/>
  <c r="ED96"/>
  <c r="EE96"/>
  <c r="EF96"/>
  <c r="EG96"/>
  <c r="EH96"/>
  <c r="EI96"/>
  <c r="EJ96"/>
  <c r="DD96"/>
  <c r="DC96" s="1"/>
  <c r="BA96"/>
  <c r="CM96"/>
  <c r="CL96"/>
  <c r="CK96"/>
  <c r="AY96"/>
  <c r="B94"/>
  <c r="CZ95"/>
  <c r="DD95"/>
  <c r="DE95" s="1"/>
  <c r="BA95"/>
  <c r="CM95" s="1"/>
  <c r="CL95"/>
  <c r="CK95"/>
  <c r="AY95"/>
  <c r="B92"/>
  <c r="CZ94"/>
  <c r="DG94" s="1"/>
  <c r="DH94"/>
  <c r="DI94"/>
  <c r="DL94"/>
  <c r="DM94"/>
  <c r="DP94"/>
  <c r="DQ94"/>
  <c r="DT94"/>
  <c r="DU94"/>
  <c r="DX94"/>
  <c r="DY94"/>
  <c r="EB94"/>
  <c r="EC94"/>
  <c r="EF94"/>
  <c r="EG94"/>
  <c r="EJ94"/>
  <c r="DD94"/>
  <c r="DC94" s="1"/>
  <c r="BA94"/>
  <c r="CM94"/>
  <c r="CL94"/>
  <c r="CK94"/>
  <c r="AY94"/>
  <c r="B91"/>
  <c r="CZ93"/>
  <c r="DD93"/>
  <c r="DE93" s="1"/>
  <c r="BA93"/>
  <c r="CM93" s="1"/>
  <c r="CL93"/>
  <c r="CK93"/>
  <c r="AY93"/>
  <c r="B97"/>
  <c r="CZ92"/>
  <c r="DH92" s="1"/>
  <c r="DI92"/>
  <c r="DM92"/>
  <c r="DQ92"/>
  <c r="DU92"/>
  <c r="DY92"/>
  <c r="EC92"/>
  <c r="EG92"/>
  <c r="DD92"/>
  <c r="DC92" s="1"/>
  <c r="BA92"/>
  <c r="CM92"/>
  <c r="CL92"/>
  <c r="CK92"/>
  <c r="AY92"/>
  <c r="B89"/>
  <c r="CZ91"/>
  <c r="DG91" s="1"/>
  <c r="DD91"/>
  <c r="DE91" s="1"/>
  <c r="BA91"/>
  <c r="CM91" s="1"/>
  <c r="CL91"/>
  <c r="CK91"/>
  <c r="AY91"/>
  <c r="B90"/>
  <c r="CZ90"/>
  <c r="DF90"/>
  <c r="DG90"/>
  <c r="DH90"/>
  <c r="DI90"/>
  <c r="DJ90"/>
  <c r="DK90"/>
  <c r="DL90"/>
  <c r="DM90"/>
  <c r="DN90"/>
  <c r="DO90"/>
  <c r="DP90"/>
  <c r="DQ90"/>
  <c r="DR90"/>
  <c r="DS90"/>
  <c r="DT90"/>
  <c r="DU90"/>
  <c r="DV90"/>
  <c r="DW90"/>
  <c r="DX90"/>
  <c r="DY90"/>
  <c r="DZ90"/>
  <c r="EA90"/>
  <c r="EB90"/>
  <c r="EC90"/>
  <c r="ED90"/>
  <c r="EE90"/>
  <c r="EF90"/>
  <c r="EG90"/>
  <c r="EH90"/>
  <c r="EI90"/>
  <c r="EJ90"/>
  <c r="DD90"/>
  <c r="DC90" s="1"/>
  <c r="BA90"/>
  <c r="CM90"/>
  <c r="CL90"/>
  <c r="CK90"/>
  <c r="AY90"/>
  <c r="B96"/>
  <c r="CX89"/>
  <c r="CZ89"/>
  <c r="DN89" s="1"/>
  <c r="DO89"/>
  <c r="DQ89"/>
  <c r="DU89"/>
  <c r="DW89"/>
  <c r="DY89"/>
  <c r="EA89"/>
  <c r="EC89"/>
  <c r="EE89"/>
  <c r="EG89"/>
  <c r="EI89"/>
  <c r="DD89"/>
  <c r="DE89"/>
  <c r="DC89"/>
  <c r="BA89"/>
  <c r="CM89" s="1"/>
  <c r="CL89"/>
  <c r="CK89"/>
  <c r="AY89"/>
  <c r="B93"/>
  <c r="CZ88"/>
  <c r="DF88"/>
  <c r="DH88"/>
  <c r="DJ88"/>
  <c r="DL88"/>
  <c r="DN88"/>
  <c r="DP88"/>
  <c r="DR88"/>
  <c r="DT88"/>
  <c r="DV88"/>
  <c r="DX88"/>
  <c r="DZ88"/>
  <c r="EB88"/>
  <c r="ED88"/>
  <c r="EF88"/>
  <c r="EH88"/>
  <c r="EJ88"/>
  <c r="DD88"/>
  <c r="CL88"/>
  <c r="CK88"/>
  <c r="AY88"/>
  <c r="B95"/>
  <c r="C79"/>
  <c r="C78"/>
  <c r="C77"/>
  <c r="C76"/>
  <c r="C75"/>
  <c r="C74"/>
  <c r="C73"/>
  <c r="C72"/>
  <c r="C71"/>
  <c r="C70"/>
  <c r="W13"/>
  <c r="D13"/>
  <c r="W12"/>
  <c r="D12"/>
  <c r="W11"/>
  <c r="D11"/>
  <c r="W10"/>
  <c r="D10"/>
  <c r="W9"/>
  <c r="D9"/>
  <c r="W8"/>
  <c r="D8"/>
  <c r="W7"/>
  <c r="T7"/>
  <c r="S7"/>
  <c r="R7"/>
  <c r="Q7"/>
  <c r="P7"/>
  <c r="O7"/>
  <c r="N7"/>
  <c r="M7"/>
  <c r="D7"/>
  <c r="W6"/>
  <c r="T6"/>
  <c r="S6"/>
  <c r="R6"/>
  <c r="Q6"/>
  <c r="P6"/>
  <c r="O6"/>
  <c r="N6"/>
  <c r="M6"/>
  <c r="D6"/>
  <c r="W5"/>
  <c r="T5"/>
  <c r="S5"/>
  <c r="R5"/>
  <c r="Q5"/>
  <c r="P5"/>
  <c r="O5"/>
  <c r="N5"/>
  <c r="M5"/>
  <c r="D5"/>
  <c r="W4"/>
  <c r="G4"/>
  <c r="D4"/>
  <c r="ET149" l="1"/>
  <c r="FL149"/>
  <c r="EV149"/>
  <c r="DU130"/>
  <c r="DC91"/>
  <c r="EH92"/>
  <c r="FR92" s="1"/>
  <c r="DZ92"/>
  <c r="DR92"/>
  <c r="DJ92"/>
  <c r="DC98"/>
  <c r="DI98"/>
  <c r="ES98" s="1"/>
  <c r="DW109"/>
  <c r="DG117"/>
  <c r="EQ117" s="1"/>
  <c r="DG118"/>
  <c r="EQ118" s="1"/>
  <c r="EI119"/>
  <c r="FS119" s="1"/>
  <c r="DS119"/>
  <c r="DV122"/>
  <c r="FF122" s="1"/>
  <c r="DN122"/>
  <c r="EX122" s="1"/>
  <c r="EH124"/>
  <c r="DZ124"/>
  <c r="DR124"/>
  <c r="FB124" s="1"/>
  <c r="DE130"/>
  <c r="DI130"/>
  <c r="ES130" s="1"/>
  <c r="ED136"/>
  <c r="DN136"/>
  <c r="EH137"/>
  <c r="DZ137"/>
  <c r="FJ137" s="1"/>
  <c r="DR137"/>
  <c r="DJ137"/>
  <c r="ET137" s="1"/>
  <c r="EI141"/>
  <c r="FS141" s="1"/>
  <c r="DS141"/>
  <c r="FC141" s="1"/>
  <c r="DE146"/>
  <c r="DE150"/>
  <c r="DS89"/>
  <c r="FC89" s="1"/>
  <c r="EI92"/>
  <c r="EE92"/>
  <c r="EA92"/>
  <c r="FK92" s="1"/>
  <c r="DW92"/>
  <c r="DS92"/>
  <c r="DO92"/>
  <c r="DK92"/>
  <c r="EU92" s="1"/>
  <c r="DG92"/>
  <c r="EQ92" s="1"/>
  <c r="DC93"/>
  <c r="EH94"/>
  <c r="ED94"/>
  <c r="DZ94"/>
  <c r="FJ94" s="1"/>
  <c r="DV94"/>
  <c r="DR94"/>
  <c r="DN94"/>
  <c r="EX94" s="1"/>
  <c r="DJ94"/>
  <c r="ET94" s="1"/>
  <c r="DF94"/>
  <c r="EC98"/>
  <c r="DM98"/>
  <c r="DW100"/>
  <c r="DG100"/>
  <c r="EJ101"/>
  <c r="EF101"/>
  <c r="FP101" s="1"/>
  <c r="EB101"/>
  <c r="FL101" s="1"/>
  <c r="DX101"/>
  <c r="DT101"/>
  <c r="DP101"/>
  <c r="EZ101" s="1"/>
  <c r="DI101"/>
  <c r="ES101" s="1"/>
  <c r="ED106"/>
  <c r="DV106"/>
  <c r="DN106"/>
  <c r="EX106" s="1"/>
  <c r="DF106"/>
  <c r="EP106" s="1"/>
  <c r="DE107"/>
  <c r="DY107"/>
  <c r="DI107"/>
  <c r="ES107" s="1"/>
  <c r="ED108"/>
  <c r="FN108" s="1"/>
  <c r="DV108"/>
  <c r="DN108"/>
  <c r="DF108"/>
  <c r="EP108" s="1"/>
  <c r="DE109"/>
  <c r="EA109"/>
  <c r="DK109"/>
  <c r="ED114"/>
  <c r="FN114" s="1"/>
  <c r="DV114"/>
  <c r="FF114" s="1"/>
  <c r="DN114"/>
  <c r="DF114"/>
  <c r="DE115"/>
  <c r="DY115"/>
  <c r="FI115" s="1"/>
  <c r="DI115"/>
  <c r="ED116"/>
  <c r="DV116"/>
  <c r="DN116"/>
  <c r="DF116"/>
  <c r="DE117"/>
  <c r="EA117"/>
  <c r="FK117" s="1"/>
  <c r="DK117"/>
  <c r="EU117" s="1"/>
  <c r="DE118"/>
  <c r="DE215" s="1"/>
  <c r="EA118"/>
  <c r="DK118"/>
  <c r="EU118" s="1"/>
  <c r="EC119"/>
  <c r="DU119"/>
  <c r="DM119"/>
  <c r="DE120"/>
  <c r="EH120"/>
  <c r="FR120" s="1"/>
  <c r="ED120"/>
  <c r="DZ120"/>
  <c r="DV120"/>
  <c r="FF120" s="1"/>
  <c r="DR120"/>
  <c r="FB120" s="1"/>
  <c r="DN120"/>
  <c r="DJ120"/>
  <c r="DF120"/>
  <c r="EF122"/>
  <c r="FP122" s="1"/>
  <c r="DX122"/>
  <c r="DP122"/>
  <c r="DH122"/>
  <c r="ER122" s="1"/>
  <c r="DC124"/>
  <c r="EI124"/>
  <c r="EE124"/>
  <c r="EA124"/>
  <c r="FK124" s="1"/>
  <c r="DW124"/>
  <c r="FG124" s="1"/>
  <c r="DS124"/>
  <c r="DO124"/>
  <c r="DV129"/>
  <c r="FF129" s="1"/>
  <c r="DF129"/>
  <c r="EC130"/>
  <c r="DM130"/>
  <c r="DV134"/>
  <c r="FF134" s="1"/>
  <c r="DF134"/>
  <c r="EP134" s="1"/>
  <c r="DE136"/>
  <c r="EF136"/>
  <c r="DX136"/>
  <c r="FH136" s="1"/>
  <c r="DP136"/>
  <c r="EZ136" s="1"/>
  <c r="DH136"/>
  <c r="DC137"/>
  <c r="EI137"/>
  <c r="FS137" s="1"/>
  <c r="EE137"/>
  <c r="EA137"/>
  <c r="DW137"/>
  <c r="DS137"/>
  <c r="FC137" s="1"/>
  <c r="DO137"/>
  <c r="EY137" s="1"/>
  <c r="DK137"/>
  <c r="DG137"/>
  <c r="DE140"/>
  <c r="EE140"/>
  <c r="DW140"/>
  <c r="DO140"/>
  <c r="EY140" s="1"/>
  <c r="EC141"/>
  <c r="FM141" s="1"/>
  <c r="DU141"/>
  <c r="DM141"/>
  <c r="DE142"/>
  <c r="DW144"/>
  <c r="DG144"/>
  <c r="EJ145"/>
  <c r="EF145"/>
  <c r="FP145" s="1"/>
  <c r="EB145"/>
  <c r="DX145"/>
  <c r="DT145"/>
  <c r="DP145"/>
  <c r="EZ145" s="1"/>
  <c r="DI145"/>
  <c r="ES145" s="1"/>
  <c r="FN149"/>
  <c r="FF149"/>
  <c r="ED152"/>
  <c r="FN152" s="1"/>
  <c r="DV152"/>
  <c r="FF152" s="1"/>
  <c r="DN152"/>
  <c r="DF152"/>
  <c r="EP152" s="1"/>
  <c r="DS109"/>
  <c r="FC109" s="1"/>
  <c r="ED92"/>
  <c r="FN92" s="1"/>
  <c r="DV92"/>
  <c r="DN92"/>
  <c r="DF92"/>
  <c r="DY98"/>
  <c r="DE102"/>
  <c r="DG109"/>
  <c r="EQ109" s="1"/>
  <c r="DE110"/>
  <c r="DW117"/>
  <c r="DW118"/>
  <c r="EA119"/>
  <c r="DI119"/>
  <c r="ED122"/>
  <c r="DF122"/>
  <c r="ED124"/>
  <c r="DV124"/>
  <c r="FF124" s="1"/>
  <c r="DN124"/>
  <c r="EX124" s="1"/>
  <c r="DY130"/>
  <c r="DV136"/>
  <c r="DF136"/>
  <c r="ED137"/>
  <c r="DV137"/>
  <c r="DN137"/>
  <c r="DF137"/>
  <c r="EA141"/>
  <c r="FK141" s="1"/>
  <c r="DI141"/>
  <c r="ES141" s="1"/>
  <c r="EJ92"/>
  <c r="EF92"/>
  <c r="FP92" s="1"/>
  <c r="EB92"/>
  <c r="FL92" s="1"/>
  <c r="DX92"/>
  <c r="DT92"/>
  <c r="DP92"/>
  <c r="EZ92" s="1"/>
  <c r="DL92"/>
  <c r="EV92" s="1"/>
  <c r="EI94"/>
  <c r="FS94" s="1"/>
  <c r="EE94"/>
  <c r="EA94"/>
  <c r="FK94" s="1"/>
  <c r="DW94"/>
  <c r="FG94" s="1"/>
  <c r="DS94"/>
  <c r="DO94"/>
  <c r="DK94"/>
  <c r="EU94" s="1"/>
  <c r="DC95"/>
  <c r="EG98"/>
  <c r="FQ98" s="1"/>
  <c r="EA100"/>
  <c r="DK100"/>
  <c r="EU100" s="1"/>
  <c r="EG101"/>
  <c r="EC101"/>
  <c r="DY101"/>
  <c r="DU101"/>
  <c r="FE101" s="1"/>
  <c r="DQ101"/>
  <c r="FA101" s="1"/>
  <c r="DG105"/>
  <c r="DE106"/>
  <c r="EF106"/>
  <c r="DX106"/>
  <c r="FH106" s="1"/>
  <c r="DP106"/>
  <c r="EZ106" s="1"/>
  <c r="DH106"/>
  <c r="EC107"/>
  <c r="FM107" s="1"/>
  <c r="DM107"/>
  <c r="EW107" s="1"/>
  <c r="EF108"/>
  <c r="DX108"/>
  <c r="DP108"/>
  <c r="DH108"/>
  <c r="ER108" s="1"/>
  <c r="EE109"/>
  <c r="DO109"/>
  <c r="DG113"/>
  <c r="EQ113" s="1"/>
  <c r="DE114"/>
  <c r="EF114"/>
  <c r="FP114" s="1"/>
  <c r="DX114"/>
  <c r="DP114"/>
  <c r="EZ114" s="1"/>
  <c r="DH114"/>
  <c r="ER114" s="1"/>
  <c r="EC115"/>
  <c r="FM115" s="1"/>
  <c r="EF116"/>
  <c r="DX116"/>
  <c r="FH116" s="1"/>
  <c r="DP116"/>
  <c r="EZ116" s="1"/>
  <c r="DH116"/>
  <c r="EE117"/>
  <c r="DO117"/>
  <c r="EE118"/>
  <c r="FO118" s="1"/>
  <c r="DO118"/>
  <c r="EY118" s="1"/>
  <c r="EE119"/>
  <c r="DW119"/>
  <c r="DG119"/>
  <c r="EQ119" s="1"/>
  <c r="EI120"/>
  <c r="EE120"/>
  <c r="EA120"/>
  <c r="FK120" s="1"/>
  <c r="DW120"/>
  <c r="FG120" s="1"/>
  <c r="DS120"/>
  <c r="FC120" s="1"/>
  <c r="DO120"/>
  <c r="DK120"/>
  <c r="EH122"/>
  <c r="FR122" s="1"/>
  <c r="DZ122"/>
  <c r="FJ122" s="1"/>
  <c r="DR122"/>
  <c r="EJ124"/>
  <c r="FT124" s="1"/>
  <c r="EF124"/>
  <c r="FP124" s="1"/>
  <c r="EB124"/>
  <c r="FL124" s="1"/>
  <c r="DX124"/>
  <c r="DT124"/>
  <c r="FD124" s="1"/>
  <c r="DI124"/>
  <c r="DZ129"/>
  <c r="DJ129"/>
  <c r="EG130"/>
  <c r="FQ130" s="1"/>
  <c r="DG130"/>
  <c r="EQ130" s="1"/>
  <c r="DZ134"/>
  <c r="EH136"/>
  <c r="DZ136"/>
  <c r="FJ136" s="1"/>
  <c r="DR136"/>
  <c r="FB136" s="1"/>
  <c r="DJ136"/>
  <c r="ET136" s="1"/>
  <c r="EJ137"/>
  <c r="EF137"/>
  <c r="FP137" s="1"/>
  <c r="EB137"/>
  <c r="FL137" s="1"/>
  <c r="DX137"/>
  <c r="DT137"/>
  <c r="DP137"/>
  <c r="EZ137" s="1"/>
  <c r="DL137"/>
  <c r="EG140"/>
  <c r="DY140"/>
  <c r="EE141"/>
  <c r="FO141" s="1"/>
  <c r="DW141"/>
  <c r="FG141" s="1"/>
  <c r="DE143"/>
  <c r="EA144"/>
  <c r="EG145"/>
  <c r="EC145"/>
  <c r="FM145" s="1"/>
  <c r="DY145"/>
  <c r="DU145"/>
  <c r="DQ145"/>
  <c r="FA145" s="1"/>
  <c r="FH149"/>
  <c r="EZ149"/>
  <c r="DE152"/>
  <c r="EF152"/>
  <c r="DX152"/>
  <c r="FH152" s="1"/>
  <c r="DP152"/>
  <c r="EZ152" s="1"/>
  <c r="DH152"/>
  <c r="ER152" s="1"/>
  <c r="EW90"/>
  <c r="ES90"/>
  <c r="EW101"/>
  <c r="EW115"/>
  <c r="ES124"/>
  <c r="EW138"/>
  <c r="EW145"/>
  <c r="EW162"/>
  <c r="ES162"/>
  <c r="ES164"/>
  <c r="EW173"/>
  <c r="ES173"/>
  <c r="FQ89"/>
  <c r="FI89"/>
  <c r="FA94"/>
  <c r="EW94"/>
  <c r="ES94"/>
  <c r="ES100"/>
  <c r="EW103"/>
  <c r="EW111"/>
  <c r="ES119"/>
  <c r="EW120"/>
  <c r="ES120"/>
  <c r="FA142"/>
  <c r="EW142"/>
  <c r="FA159"/>
  <c r="FA164"/>
  <c r="FA180"/>
  <c r="EW182"/>
  <c r="ES182"/>
  <c r="EZ94"/>
  <c r="EZ99"/>
  <c r="EZ142"/>
  <c r="EZ143"/>
  <c r="EZ150"/>
  <c r="FM96"/>
  <c r="FI96"/>
  <c r="EW96"/>
  <c r="ES96"/>
  <c r="ES105"/>
  <c r="FI107"/>
  <c r="ES113"/>
  <c r="ES115"/>
  <c r="FM119"/>
  <c r="EW119"/>
  <c r="FM130"/>
  <c r="EW130"/>
  <c r="FM131"/>
  <c r="FI131"/>
  <c r="EW131"/>
  <c r="ES131"/>
  <c r="FI139"/>
  <c r="ES139"/>
  <c r="EW141"/>
  <c r="FM143"/>
  <c r="FI143"/>
  <c r="FI153"/>
  <c r="ES153"/>
  <c r="FM156"/>
  <c r="FI156"/>
  <c r="FQ165"/>
  <c r="FM165"/>
  <c r="FI165"/>
  <c r="EW165"/>
  <c r="ES165"/>
  <c r="EW174"/>
  <c r="FM180"/>
  <c r="FM185"/>
  <c r="EP122"/>
  <c r="EP131"/>
  <c r="J372"/>
  <c r="J376" s="1"/>
  <c r="EW92"/>
  <c r="ES92"/>
  <c r="ES103"/>
  <c r="ES109"/>
  <c r="ES111"/>
  <c r="ES117"/>
  <c r="EP132"/>
  <c r="EW137"/>
  <c r="ES137"/>
  <c r="ES142"/>
  <c r="EW153"/>
  <c r="ES156"/>
  <c r="EW158"/>
  <c r="ES158"/>
  <c r="ES163"/>
  <c r="ES169"/>
  <c r="EW170"/>
  <c r="ES170"/>
  <c r="ES174"/>
  <c r="EW176"/>
  <c r="N372"/>
  <c r="N382" s="1"/>
  <c r="FJ92"/>
  <c r="FJ96"/>
  <c r="FJ156"/>
  <c r="FJ157"/>
  <c r="FJ165"/>
  <c r="EY100"/>
  <c r="EY144"/>
  <c r="EY165"/>
  <c r="FC181"/>
  <c r="EZ183"/>
  <c r="U372"/>
  <c r="U379" s="1"/>
  <c r="EY96"/>
  <c r="EY131"/>
  <c r="EY155"/>
  <c r="EY156"/>
  <c r="EZ88"/>
  <c r="FP96"/>
  <c r="FD96"/>
  <c r="FP102"/>
  <c r="FP104"/>
  <c r="FD106"/>
  <c r="FD108"/>
  <c r="FP110"/>
  <c r="FP112"/>
  <c r="FL114"/>
  <c r="FD114"/>
  <c r="FL116"/>
  <c r="FD116"/>
  <c r="FP125"/>
  <c r="FP126"/>
  <c r="FD131"/>
  <c r="FP132"/>
  <c r="FP135"/>
  <c r="FD149"/>
  <c r="FP156"/>
  <c r="FD156"/>
  <c r="FP165"/>
  <c r="FD165"/>
  <c r="FP166"/>
  <c r="FP171"/>
  <c r="P372"/>
  <c r="P374" s="1"/>
  <c r="FN132"/>
  <c r="FN134"/>
  <c r="FN145"/>
  <c r="FJ180"/>
  <c r="FS90"/>
  <c r="FC90"/>
  <c r="EY90"/>
  <c r="FC92"/>
  <c r="EY92"/>
  <c r="FF94"/>
  <c r="FB94"/>
  <c r="EV99"/>
  <c r="FJ102"/>
  <c r="FB102"/>
  <c r="FJ104"/>
  <c r="FB104"/>
  <c r="FS105"/>
  <c r="FF106"/>
  <c r="FJ110"/>
  <c r="FB110"/>
  <c r="FJ112"/>
  <c r="FB112"/>
  <c r="FF116"/>
  <c r="EX116"/>
  <c r="FJ120"/>
  <c r="FS124"/>
  <c r="EY124"/>
  <c r="FB125"/>
  <c r="FB126"/>
  <c r="FB132"/>
  <c r="FB135"/>
  <c r="EY139"/>
  <c r="FF142"/>
  <c r="FB142"/>
  <c r="EX142"/>
  <c r="EV143"/>
  <c r="FJ146"/>
  <c r="FB146"/>
  <c r="EV150"/>
  <c r="FJ154"/>
  <c r="FB154"/>
  <c r="FF159"/>
  <c r="FB159"/>
  <c r="FS163"/>
  <c r="EY163"/>
  <c r="EX164"/>
  <c r="FS170"/>
  <c r="EY170"/>
  <c r="FJ171"/>
  <c r="FB171"/>
  <c r="EV173"/>
  <c r="FC174"/>
  <c r="FB179"/>
  <c r="FB180"/>
  <c r="EY181"/>
  <c r="FF182"/>
  <c r="FB182"/>
  <c r="FS184"/>
  <c r="EY185"/>
  <c r="EY186"/>
  <c r="AF372"/>
  <c r="AF379" s="1"/>
  <c r="FJ101"/>
  <c r="FJ149"/>
  <c r="EX88"/>
  <c r="FO89"/>
  <c r="FR90"/>
  <c r="FJ90"/>
  <c r="FF90"/>
  <c r="FB90"/>
  <c r="EX90"/>
  <c r="FF92"/>
  <c r="FB92"/>
  <c r="EX92"/>
  <c r="EV96"/>
  <c r="FB99"/>
  <c r="FO101"/>
  <c r="FO105"/>
  <c r="EV106"/>
  <c r="EV108"/>
  <c r="FO113"/>
  <c r="EV114"/>
  <c r="FR124"/>
  <c r="FJ124"/>
  <c r="FR129"/>
  <c r="FB129"/>
  <c r="EV131"/>
  <c r="FR134"/>
  <c r="FB134"/>
  <c r="FF136"/>
  <c r="EX136"/>
  <c r="FR137"/>
  <c r="FF137"/>
  <c r="FB137"/>
  <c r="EX139"/>
  <c r="FB143"/>
  <c r="FO145"/>
  <c r="FR147"/>
  <c r="FB147"/>
  <c r="FR150"/>
  <c r="FB150"/>
  <c r="FO151"/>
  <c r="EX152"/>
  <c r="FO153"/>
  <c r="FF157"/>
  <c r="EX158"/>
  <c r="FF161"/>
  <c r="FO162"/>
  <c r="FR163"/>
  <c r="FJ163"/>
  <c r="FF163"/>
  <c r="FB163"/>
  <c r="EX163"/>
  <c r="EV164"/>
  <c r="FR170"/>
  <c r="FF170"/>
  <c r="FB170"/>
  <c r="EX170"/>
  <c r="FO173"/>
  <c r="FR174"/>
  <c r="FF174"/>
  <c r="FB174"/>
  <c r="FR175"/>
  <c r="EX177"/>
  <c r="FF180"/>
  <c r="FJ183"/>
  <c r="FR186"/>
  <c r="FF186"/>
  <c r="FB186"/>
  <c r="EX186"/>
  <c r="W372"/>
  <c r="W377" s="1"/>
  <c r="FE96"/>
  <c r="FT101"/>
  <c r="ET102"/>
  <c r="ET112"/>
  <c r="FH122"/>
  <c r="FP136"/>
  <c r="FP138"/>
  <c r="FT139"/>
  <c r="FH145"/>
  <c r="ET146"/>
  <c r="FT147"/>
  <c r="ET148"/>
  <c r="FT150"/>
  <c r="ET154"/>
  <c r="FH157"/>
  <c r="FT162"/>
  <c r="FH164"/>
  <c r="ET167"/>
  <c r="FT173"/>
  <c r="FH173"/>
  <c r="FT175"/>
  <c r="FH178"/>
  <c r="FP183"/>
  <c r="FP90"/>
  <c r="FF96"/>
  <c r="FB96"/>
  <c r="FF99"/>
  <c r="FP106"/>
  <c r="FP108"/>
  <c r="FB122"/>
  <c r="FF131"/>
  <c r="FB131"/>
  <c r="FP139"/>
  <c r="FF139"/>
  <c r="FF143"/>
  <c r="FF147"/>
  <c r="FP149"/>
  <c r="FF150"/>
  <c r="FB152"/>
  <c r="FF156"/>
  <c r="FB156"/>
  <c r="FB157"/>
  <c r="FP163"/>
  <c r="FF165"/>
  <c r="FB165"/>
  <c r="FF166"/>
  <c r="FP167"/>
  <c r="FP170"/>
  <c r="FB175"/>
  <c r="FF177"/>
  <c r="FB183"/>
  <c r="FP186"/>
  <c r="FL99"/>
  <c r="FH101"/>
  <c r="ET104"/>
  <c r="ET110"/>
  <c r="ET120"/>
  <c r="ET139"/>
  <c r="FT145"/>
  <c r="FL147"/>
  <c r="FL150"/>
  <c r="FH162"/>
  <c r="ET171"/>
  <c r="FP173"/>
  <c r="FP177"/>
  <c r="FP178"/>
  <c r="FH180"/>
  <c r="FM89"/>
  <c r="FQ90"/>
  <c r="FM90"/>
  <c r="FI90"/>
  <c r="FT92"/>
  <c r="FI92"/>
  <c r="FT94"/>
  <c r="FP94"/>
  <c r="FT99"/>
  <c r="FP99"/>
  <c r="FF101"/>
  <c r="FB101"/>
  <c r="FF102"/>
  <c r="FI103"/>
  <c r="FF104"/>
  <c r="FB106"/>
  <c r="ET106"/>
  <c r="FQ107"/>
  <c r="ET108"/>
  <c r="FF110"/>
  <c r="FI111"/>
  <c r="FF112"/>
  <c r="FB114"/>
  <c r="FQ115"/>
  <c r="FB116"/>
  <c r="FI119"/>
  <c r="FT120"/>
  <c r="FT122"/>
  <c r="FM124"/>
  <c r="FI124"/>
  <c r="FF125"/>
  <c r="FF126"/>
  <c r="FF132"/>
  <c r="FF135"/>
  <c r="FT136"/>
  <c r="FM137"/>
  <c r="FI137"/>
  <c r="FI141"/>
  <c r="FT142"/>
  <c r="FP142"/>
  <c r="FF145"/>
  <c r="FB145"/>
  <c r="FF146"/>
  <c r="FB149"/>
  <c r="FP150"/>
  <c r="FT152"/>
  <c r="FM153"/>
  <c r="FF154"/>
  <c r="FT157"/>
  <c r="FT159"/>
  <c r="FF162"/>
  <c r="FB162"/>
  <c r="ET162"/>
  <c r="FQ163"/>
  <c r="FM163"/>
  <c r="FI163"/>
  <c r="FF164"/>
  <c r="FM170"/>
  <c r="FI170"/>
  <c r="FF171"/>
  <c r="FF173"/>
  <c r="FB173"/>
  <c r="FQ174"/>
  <c r="FM174"/>
  <c r="FI174"/>
  <c r="ET175"/>
  <c r="FM176"/>
  <c r="FT182"/>
  <c r="FP182"/>
  <c r="FT183"/>
  <c r="FM186"/>
  <c r="FI186"/>
  <c r="FF187"/>
  <c r="AK372"/>
  <c r="AK381" s="1"/>
  <c r="S372"/>
  <c r="S375" s="1"/>
  <c r="H516"/>
  <c r="FA89"/>
  <c r="FK90"/>
  <c r="EU90"/>
  <c r="FG92"/>
  <c r="FA96"/>
  <c r="FA103"/>
  <c r="FR104"/>
  <c r="FK109"/>
  <c r="FA131"/>
  <c r="FR135"/>
  <c r="FK137"/>
  <c r="EU137"/>
  <c r="FD139"/>
  <c r="FO140"/>
  <c r="FR142"/>
  <c r="FD145"/>
  <c r="FA153"/>
  <c r="FO155"/>
  <c r="FD162"/>
  <c r="FK163"/>
  <c r="FA165"/>
  <c r="FA166"/>
  <c r="FK167"/>
  <c r="FK169"/>
  <c r="FO170"/>
  <c r="FO174"/>
  <c r="FR180"/>
  <c r="FO181"/>
  <c r="FK186"/>
  <c r="FR187"/>
  <c r="EV88"/>
  <c r="EX89"/>
  <c r="FA90"/>
  <c r="FE92"/>
  <c r="FA92"/>
  <c r="FH94"/>
  <c r="FD94"/>
  <c r="EV94"/>
  <c r="FS96"/>
  <c r="FO96"/>
  <c r="FK96"/>
  <c r="EU96"/>
  <c r="FH99"/>
  <c r="FO100"/>
  <c r="FR101"/>
  <c r="EX101"/>
  <c r="EX102"/>
  <c r="EX104"/>
  <c r="FK105"/>
  <c r="EU105"/>
  <c r="FR106"/>
  <c r="FA107"/>
  <c r="FS109"/>
  <c r="EX110"/>
  <c r="FK113"/>
  <c r="EU113"/>
  <c r="FR114"/>
  <c r="FA115"/>
  <c r="FR116"/>
  <c r="FS117"/>
  <c r="FA119"/>
  <c r="FH120"/>
  <c r="FD120"/>
  <c r="EV120"/>
  <c r="FD122"/>
  <c r="EV122"/>
  <c r="FE124"/>
  <c r="EX126"/>
  <c r="EX129"/>
  <c r="FO131"/>
  <c r="FK131"/>
  <c r="EU131"/>
  <c r="EX132"/>
  <c r="EX134"/>
  <c r="FD136"/>
  <c r="FA137"/>
  <c r="FK140"/>
  <c r="FH142"/>
  <c r="FD142"/>
  <c r="FS143"/>
  <c r="FO143"/>
  <c r="FK143"/>
  <c r="FO144"/>
  <c r="FR145"/>
  <c r="EX145"/>
  <c r="EX146"/>
  <c r="FH147"/>
  <c r="FR149"/>
  <c r="FH150"/>
  <c r="FD152"/>
  <c r="EX154"/>
  <c r="FO156"/>
  <c r="FK156"/>
  <c r="FD157"/>
  <c r="EV157"/>
  <c r="FH159"/>
  <c r="FD159"/>
  <c r="FR162"/>
  <c r="EX162"/>
  <c r="FA163"/>
  <c r="FK164"/>
  <c r="EU164"/>
  <c r="FS165"/>
  <c r="FO165"/>
  <c r="FK165"/>
  <c r="EU165"/>
  <c r="FK166"/>
  <c r="EU166"/>
  <c r="FA170"/>
  <c r="FR173"/>
  <c r="EX173"/>
  <c r="FE174"/>
  <c r="FD175"/>
  <c r="FH177"/>
  <c r="FR179"/>
  <c r="FE180"/>
  <c r="FS181"/>
  <c r="FK181"/>
  <c r="FH182"/>
  <c r="FD182"/>
  <c r="EV182"/>
  <c r="FD183"/>
  <c r="FD184"/>
  <c r="FA186"/>
  <c r="AB372"/>
  <c r="AB380" s="1"/>
  <c r="M372"/>
  <c r="M380" s="1"/>
  <c r="H466"/>
  <c r="FO90"/>
  <c r="FG90"/>
  <c r="FR94"/>
  <c r="FR99"/>
  <c r="FD99"/>
  <c r="FD101"/>
  <c r="FR102"/>
  <c r="EU109"/>
  <c r="FR110"/>
  <c r="FR112"/>
  <c r="FO124"/>
  <c r="FR125"/>
  <c r="FR126"/>
  <c r="FR132"/>
  <c r="FO137"/>
  <c r="FD138"/>
  <c r="FO139"/>
  <c r="FD143"/>
  <c r="FG144"/>
  <c r="FR146"/>
  <c r="FD147"/>
  <c r="FD150"/>
  <c r="FR154"/>
  <c r="EU155"/>
  <c r="FR159"/>
  <c r="FO163"/>
  <c r="FG163"/>
  <c r="EU163"/>
  <c r="EU169"/>
  <c r="FK170"/>
  <c r="EU170"/>
  <c r="FR171"/>
  <c r="FD173"/>
  <c r="FK174"/>
  <c r="EU180"/>
  <c r="FR182"/>
  <c r="FO186"/>
  <c r="AI372"/>
  <c r="AI378" s="1"/>
  <c r="FD90"/>
  <c r="EV90"/>
  <c r="FO92"/>
  <c r="FD92"/>
  <c r="FO94"/>
  <c r="FR96"/>
  <c r="EX96"/>
  <c r="FA98"/>
  <c r="EX99"/>
  <c r="FD102"/>
  <c r="EV102"/>
  <c r="FD104"/>
  <c r="EV104"/>
  <c r="FO109"/>
  <c r="FD110"/>
  <c r="FD112"/>
  <c r="FO117"/>
  <c r="FO119"/>
  <c r="FO120"/>
  <c r="FD125"/>
  <c r="EV125"/>
  <c r="FD126"/>
  <c r="FR131"/>
  <c r="EX131"/>
  <c r="FD132"/>
  <c r="FD135"/>
  <c r="EV135"/>
  <c r="FR136"/>
  <c r="FD137"/>
  <c r="FA140"/>
  <c r="FO142"/>
  <c r="FR143"/>
  <c r="FD146"/>
  <c r="FR152"/>
  <c r="FD154"/>
  <c r="FR156"/>
  <c r="EX156"/>
  <c r="FR157"/>
  <c r="EV158"/>
  <c r="FO159"/>
  <c r="FD163"/>
  <c r="FO164"/>
  <c r="FD164"/>
  <c r="FR165"/>
  <c r="FO169"/>
  <c r="FD170"/>
  <c r="EV170"/>
  <c r="FD171"/>
  <c r="FL174"/>
  <c r="FD174"/>
  <c r="FO182"/>
  <c r="FR183"/>
  <c r="EV184"/>
  <c r="FO185"/>
  <c r="FD186"/>
  <c r="Y372"/>
  <c r="Y381" s="1"/>
  <c r="L372"/>
  <c r="L376" s="1"/>
  <c r="H382"/>
  <c r="H380"/>
  <c r="H375"/>
  <c r="H378"/>
  <c r="H379"/>
  <c r="EQ97"/>
  <c r="EQ100"/>
  <c r="EQ137"/>
  <c r="EQ143"/>
  <c r="EQ144"/>
  <c r="EQ150"/>
  <c r="EQ151"/>
  <c r="ER159"/>
  <c r="ER162"/>
  <c r="EQ163"/>
  <c r="EQ170"/>
  <c r="FS89"/>
  <c r="FK89"/>
  <c r="FT90"/>
  <c r="FH90"/>
  <c r="EZ90"/>
  <c r="FS92"/>
  <c r="FH92"/>
  <c r="FC94"/>
  <c r="EY94"/>
  <c r="EQ94"/>
  <c r="FN96"/>
  <c r="ET96"/>
  <c r="FS99"/>
  <c r="FK100"/>
  <c r="FM101"/>
  <c r="FI101"/>
  <c r="FT102"/>
  <c r="EQ102"/>
  <c r="FE103"/>
  <c r="FT104"/>
  <c r="EQ104"/>
  <c r="EQ105"/>
  <c r="ER106"/>
  <c r="EY109"/>
  <c r="FT110"/>
  <c r="EQ110"/>
  <c r="FE111"/>
  <c r="FT112"/>
  <c r="EQ112"/>
  <c r="FH114"/>
  <c r="EY117"/>
  <c r="EY119"/>
  <c r="EY120"/>
  <c r="EU120"/>
  <c r="EQ120"/>
  <c r="FH124"/>
  <c r="FT125"/>
  <c r="EQ125"/>
  <c r="FT126"/>
  <c r="FN131"/>
  <c r="FT132"/>
  <c r="FT135"/>
  <c r="FT137"/>
  <c r="FH137"/>
  <c r="FK139"/>
  <c r="EU139"/>
  <c r="FI140"/>
  <c r="EY141"/>
  <c r="FS142"/>
  <c r="FK142"/>
  <c r="FC142"/>
  <c r="EY142"/>
  <c r="FK144"/>
  <c r="EU144"/>
  <c r="FI145"/>
  <c r="FT146"/>
  <c r="EQ146"/>
  <c r="EY151"/>
  <c r="ET152"/>
  <c r="FK153"/>
  <c r="EU153"/>
  <c r="FT154"/>
  <c r="EQ154"/>
  <c r="EQ156"/>
  <c r="FK159"/>
  <c r="EY159"/>
  <c r="FM162"/>
  <c r="FI162"/>
  <c r="FT163"/>
  <c r="FH163"/>
  <c r="FT164"/>
  <c r="FI164"/>
  <c r="EY164"/>
  <c r="ET164"/>
  <c r="ET165"/>
  <c r="EU167"/>
  <c r="EY169"/>
  <c r="FT170"/>
  <c r="FH170"/>
  <c r="ER170"/>
  <c r="FT171"/>
  <c r="FM173"/>
  <c r="FI173"/>
  <c r="FT174"/>
  <c r="FH174"/>
  <c r="EY174"/>
  <c r="EQ174"/>
  <c r="FK176"/>
  <c r="EU176"/>
  <c r="FN180"/>
  <c r="FI180"/>
  <c r="FI181"/>
  <c r="FS182"/>
  <c r="FK182"/>
  <c r="EY182"/>
  <c r="EU182"/>
  <c r="EQ182"/>
  <c r="FT186"/>
  <c r="FH186"/>
  <c r="EZ187"/>
  <c r="AD372"/>
  <c r="AD379" s="1"/>
  <c r="EQ90"/>
  <c r="EQ99"/>
  <c r="EQ91"/>
  <c r="EQ96"/>
  <c r="EQ101"/>
  <c r="EQ107"/>
  <c r="EQ131"/>
  <c r="EQ136"/>
  <c r="EQ139"/>
  <c r="EQ152"/>
  <c r="EQ159"/>
  <c r="EQ165"/>
  <c r="H468"/>
  <c r="EY89"/>
  <c r="ET90"/>
  <c r="FM92"/>
  <c r="ET92"/>
  <c r="FM94"/>
  <c r="FI94"/>
  <c r="FE94"/>
  <c r="FT96"/>
  <c r="FH96"/>
  <c r="ER96"/>
  <c r="ET99"/>
  <c r="FS100"/>
  <c r="FC100"/>
  <c r="FS101"/>
  <c r="FK101"/>
  <c r="FC101"/>
  <c r="EY101"/>
  <c r="FH102"/>
  <c r="EZ102"/>
  <c r="FM103"/>
  <c r="FH104"/>
  <c r="EZ104"/>
  <c r="EY105"/>
  <c r="FT106"/>
  <c r="EQ106"/>
  <c r="FE107"/>
  <c r="EY107"/>
  <c r="EQ108"/>
  <c r="FH110"/>
  <c r="EZ110"/>
  <c r="FM111"/>
  <c r="FH112"/>
  <c r="EY113"/>
  <c r="FT114"/>
  <c r="EQ114"/>
  <c r="FT116"/>
  <c r="FK119"/>
  <c r="FM120"/>
  <c r="FI120"/>
  <c r="FE120"/>
  <c r="FN122"/>
  <c r="FH125"/>
  <c r="FH126"/>
  <c r="EZ126"/>
  <c r="ER126"/>
  <c r="ER129"/>
  <c r="FI130"/>
  <c r="FT131"/>
  <c r="FH131"/>
  <c r="FH132"/>
  <c r="EZ132"/>
  <c r="EQ133"/>
  <c r="FH135"/>
  <c r="EZ135"/>
  <c r="EU138"/>
  <c r="EQ138"/>
  <c r="FH139"/>
  <c r="FM140"/>
  <c r="FM142"/>
  <c r="FI142"/>
  <c r="FT143"/>
  <c r="FH143"/>
  <c r="FS144"/>
  <c r="FK145"/>
  <c r="EY145"/>
  <c r="FH146"/>
  <c r="FT149"/>
  <c r="EU151"/>
  <c r="EY153"/>
  <c r="EQ153"/>
  <c r="FH154"/>
  <c r="FT156"/>
  <c r="FH156"/>
  <c r="EZ156"/>
  <c r="ET156"/>
  <c r="FN157"/>
  <c r="FM159"/>
  <c r="FI159"/>
  <c r="ET159"/>
  <c r="FK162"/>
  <c r="EY162"/>
  <c r="EU162"/>
  <c r="EQ162"/>
  <c r="FN163"/>
  <c r="ET163"/>
  <c r="EQ164"/>
  <c r="FT165"/>
  <c r="FH165"/>
  <c r="EZ165"/>
  <c r="ER165"/>
  <c r="EQ169"/>
  <c r="FH171"/>
  <c r="EZ171"/>
  <c r="ER171"/>
  <c r="FK173"/>
  <c r="EY173"/>
  <c r="EU173"/>
  <c r="EQ173"/>
  <c r="EU174"/>
  <c r="FH175"/>
  <c r="FK180"/>
  <c r="ET180"/>
  <c r="FM181"/>
  <c r="FM182"/>
  <c r="FI182"/>
  <c r="FK184"/>
  <c r="FK185"/>
  <c r="EU185"/>
  <c r="Z372"/>
  <c r="Z378" s="1"/>
  <c r="EK201"/>
  <c r="EK191"/>
  <c r="EK196"/>
  <c r="EP198"/>
  <c r="FU198" s="1"/>
  <c r="FJ108"/>
  <c r="EX108"/>
  <c r="EV128"/>
  <c r="FS138"/>
  <c r="FM138"/>
  <c r="FM158"/>
  <c r="EY158"/>
  <c r="FJ168"/>
  <c r="FS178"/>
  <c r="FB178"/>
  <c r="EY178"/>
  <c r="FF88"/>
  <c r="EZ128"/>
  <c r="FB148"/>
  <c r="ET168"/>
  <c r="FI178"/>
  <c r="EU178"/>
  <c r="FH88"/>
  <c r="ER88"/>
  <c r="FB108"/>
  <c r="FS118"/>
  <c r="ES118"/>
  <c r="FT128"/>
  <c r="FD128"/>
  <c r="FO138"/>
  <c r="FK138"/>
  <c r="EX138"/>
  <c r="FF148"/>
  <c r="FK158"/>
  <c r="EU158"/>
  <c r="EQ158"/>
  <c r="FJ178"/>
  <c r="FD178"/>
  <c r="EV178"/>
  <c r="EQ178"/>
  <c r="FT138"/>
  <c r="FT158"/>
  <c r="FN158"/>
  <c r="FD158"/>
  <c r="EZ178"/>
  <c r="FT88"/>
  <c r="FD88"/>
  <c r="FM98"/>
  <c r="FK118"/>
  <c r="FI138"/>
  <c r="FF138"/>
  <c r="FI158"/>
  <c r="FR108"/>
  <c r="FF108"/>
  <c r="FP128"/>
  <c r="ES138"/>
  <c r="FR148"/>
  <c r="FT178"/>
  <c r="FM178"/>
  <c r="FC178"/>
  <c r="FP88"/>
  <c r="FE98"/>
  <c r="FR88"/>
  <c r="FJ88"/>
  <c r="FB88"/>
  <c r="ET88"/>
  <c r="FI98"/>
  <c r="FH128"/>
  <c r="FE138"/>
  <c r="EY138"/>
  <c r="FJ148"/>
  <c r="FO158"/>
  <c r="FH158"/>
  <c r="FE158"/>
  <c r="FB158"/>
  <c r="FR178"/>
  <c r="FO178"/>
  <c r="FK178"/>
  <c r="ES178"/>
  <c r="FF158"/>
  <c r="FF178"/>
  <c r="FT108"/>
  <c r="FH108"/>
  <c r="FR138"/>
  <c r="FH138"/>
  <c r="FB138"/>
  <c r="FR158"/>
  <c r="EV147"/>
  <c r="ET147"/>
  <c r="EQ155"/>
  <c r="EV116"/>
  <c r="EQ116"/>
  <c r="AK29"/>
  <c r="AK45" s="1"/>
  <c r="AJ28"/>
  <c r="AJ44" s="1"/>
  <c r="X28"/>
  <c r="X44" s="1"/>
  <c r="P28"/>
  <c r="P44" s="1"/>
  <c r="L28"/>
  <c r="L44" s="1"/>
  <c r="AE27"/>
  <c r="AE43" s="1"/>
  <c r="AF24"/>
  <c r="AF40" s="1"/>
  <c r="X24"/>
  <c r="X40" s="1"/>
  <c r="P24"/>
  <c r="P40" s="1"/>
  <c r="H24"/>
  <c r="H40" s="1"/>
  <c r="O23"/>
  <c r="O39" s="1"/>
  <c r="AK21"/>
  <c r="AK37" s="1"/>
  <c r="Q21"/>
  <c r="Q37" s="1"/>
  <c r="L23"/>
  <c r="L39" s="1"/>
  <c r="AJ23"/>
  <c r="AJ39" s="1"/>
  <c r="AF23"/>
  <c r="AF39" s="1"/>
  <c r="X23"/>
  <c r="X39" s="1"/>
  <c r="AH21"/>
  <c r="AH37" s="1"/>
  <c r="H22"/>
  <c r="H38" s="1"/>
  <c r="AF28"/>
  <c r="AF44" s="1"/>
  <c r="U25"/>
  <c r="U41" s="1"/>
  <c r="Y29"/>
  <c r="Y45" s="1"/>
  <c r="I28"/>
  <c r="I44" s="1"/>
  <c r="AJ25"/>
  <c r="AJ41" s="1"/>
  <c r="L25"/>
  <c r="L41" s="1"/>
  <c r="AB25"/>
  <c r="AB41" s="1"/>
  <c r="AD25"/>
  <c r="AD41" s="1"/>
  <c r="AB24"/>
  <c r="AB40" s="1"/>
  <c r="T24"/>
  <c r="T40" s="1"/>
  <c r="L24"/>
  <c r="L40" s="1"/>
  <c r="AJ24"/>
  <c r="AJ40" s="1"/>
  <c r="AK23"/>
  <c r="AK39" s="1"/>
  <c r="AG23"/>
  <c r="AG39" s="1"/>
  <c r="AC23"/>
  <c r="AC39" s="1"/>
  <c r="Y23"/>
  <c r="Y39" s="1"/>
  <c r="U23"/>
  <c r="U39" s="1"/>
  <c r="M23"/>
  <c r="M39" s="1"/>
  <c r="I23"/>
  <c r="I39" s="1"/>
  <c r="D73"/>
  <c r="D537" s="1"/>
  <c r="K23"/>
  <c r="K39" s="1"/>
  <c r="T23"/>
  <c r="T39" s="1"/>
  <c r="AJ22"/>
  <c r="AJ38" s="1"/>
  <c r="AF22"/>
  <c r="AF38" s="1"/>
  <c r="AB22"/>
  <c r="AB38" s="1"/>
  <c r="X22"/>
  <c r="X38" s="1"/>
  <c r="T22"/>
  <c r="T38" s="1"/>
  <c r="P22"/>
  <c r="P38" s="1"/>
  <c r="L22"/>
  <c r="L38" s="1"/>
  <c r="P25"/>
  <c r="P41" s="1"/>
  <c r="AJ26"/>
  <c r="AJ42" s="1"/>
  <c r="AB26"/>
  <c r="AB42" s="1"/>
  <c r="X26"/>
  <c r="X42" s="1"/>
  <c r="T26"/>
  <c r="T42" s="1"/>
  <c r="L26"/>
  <c r="L42" s="1"/>
  <c r="Q22"/>
  <c r="Q38" s="1"/>
  <c r="AI29"/>
  <c r="AI45" s="1"/>
  <c r="AA29"/>
  <c r="AA45" s="1"/>
  <c r="S29"/>
  <c r="S45" s="1"/>
  <c r="G29"/>
  <c r="G45" s="1"/>
  <c r="D79"/>
  <c r="D549" s="1"/>
  <c r="AE29"/>
  <c r="AE45" s="1"/>
  <c r="W29"/>
  <c r="W45" s="1"/>
  <c r="O29"/>
  <c r="O45" s="1"/>
  <c r="K29"/>
  <c r="K45" s="1"/>
  <c r="AB29"/>
  <c r="AB45" s="1"/>
  <c r="AF29"/>
  <c r="AF45" s="1"/>
  <c r="T29"/>
  <c r="T45" s="1"/>
  <c r="H29"/>
  <c r="H45" s="1"/>
  <c r="AG29"/>
  <c r="AG45" s="1"/>
  <c r="AC29"/>
  <c r="AC45" s="1"/>
  <c r="U29"/>
  <c r="U45" s="1"/>
  <c r="Q29"/>
  <c r="Q45" s="1"/>
  <c r="M29"/>
  <c r="M45" s="1"/>
  <c r="I29"/>
  <c r="I45" s="1"/>
  <c r="AJ29"/>
  <c r="AJ45" s="1"/>
  <c r="P29"/>
  <c r="P45" s="1"/>
  <c r="L29"/>
  <c r="L45" s="1"/>
  <c r="U28"/>
  <c r="U44" s="1"/>
  <c r="Q28"/>
  <c r="Q44" s="1"/>
  <c r="M28"/>
  <c r="M44" s="1"/>
  <c r="X29"/>
  <c r="X45" s="1"/>
  <c r="AB28"/>
  <c r="AB44" s="1"/>
  <c r="D78"/>
  <c r="D547" s="1"/>
  <c r="AK28"/>
  <c r="AK44" s="1"/>
  <c r="AG28"/>
  <c r="AG44" s="1"/>
  <c r="AC28"/>
  <c r="AC44" s="1"/>
  <c r="Y28"/>
  <c r="Y44" s="1"/>
  <c r="AI28"/>
  <c r="AI44" s="1"/>
  <c r="AA28"/>
  <c r="AA44" s="1"/>
  <c r="W28"/>
  <c r="W44" s="1"/>
  <c r="S28"/>
  <c r="S44" s="1"/>
  <c r="O28"/>
  <c r="O44" s="1"/>
  <c r="K28"/>
  <c r="K44" s="1"/>
  <c r="G28"/>
  <c r="G44" s="1"/>
  <c r="G430" s="1"/>
  <c r="T28"/>
  <c r="T44" s="1"/>
  <c r="H28"/>
  <c r="H44" s="1"/>
  <c r="AE28"/>
  <c r="AE44" s="1"/>
  <c r="AF27"/>
  <c r="AF43" s="1"/>
  <c r="P27"/>
  <c r="P43" s="1"/>
  <c r="D77"/>
  <c r="C380" s="1"/>
  <c r="AK27"/>
  <c r="AK43" s="1"/>
  <c r="AG27"/>
  <c r="AG43" s="1"/>
  <c r="AC27"/>
  <c r="AC43" s="1"/>
  <c r="Y27"/>
  <c r="Y43" s="1"/>
  <c r="U27"/>
  <c r="U43" s="1"/>
  <c r="Q27"/>
  <c r="Q43" s="1"/>
  <c r="M27"/>
  <c r="M43" s="1"/>
  <c r="I27"/>
  <c r="I43" s="1"/>
  <c r="AI27"/>
  <c r="AI43" s="1"/>
  <c r="AA27"/>
  <c r="AA43" s="1"/>
  <c r="W27"/>
  <c r="W43" s="1"/>
  <c r="S27"/>
  <c r="S43" s="1"/>
  <c r="O27"/>
  <c r="O43" s="1"/>
  <c r="K27"/>
  <c r="K43" s="1"/>
  <c r="G27"/>
  <c r="G43" s="1"/>
  <c r="U26"/>
  <c r="U42" s="1"/>
  <c r="M26"/>
  <c r="M42" s="1"/>
  <c r="AI26"/>
  <c r="AI42" s="1"/>
  <c r="AE26"/>
  <c r="AE42" s="1"/>
  <c r="AA26"/>
  <c r="AA42" s="1"/>
  <c r="W26"/>
  <c r="W42" s="1"/>
  <c r="S26"/>
  <c r="S42" s="1"/>
  <c r="O26"/>
  <c r="O42" s="1"/>
  <c r="K26"/>
  <c r="K42" s="1"/>
  <c r="AG26"/>
  <c r="AG42" s="1"/>
  <c r="D76"/>
  <c r="D543" s="1"/>
  <c r="AB27"/>
  <c r="AB43" s="1"/>
  <c r="P26"/>
  <c r="P42" s="1"/>
  <c r="AJ27"/>
  <c r="AJ43" s="1"/>
  <c r="T27"/>
  <c r="T43" s="1"/>
  <c r="H27"/>
  <c r="H43" s="1"/>
  <c r="AF26"/>
  <c r="AF42" s="1"/>
  <c r="H26"/>
  <c r="H42" s="1"/>
  <c r="L27"/>
  <c r="L43" s="1"/>
  <c r="AK26"/>
  <c r="AK42" s="1"/>
  <c r="AC26"/>
  <c r="AC42" s="1"/>
  <c r="Y26"/>
  <c r="Y42" s="1"/>
  <c r="Q26"/>
  <c r="Q42" s="1"/>
  <c r="I26"/>
  <c r="I42" s="1"/>
  <c r="X27"/>
  <c r="X43" s="1"/>
  <c r="D75"/>
  <c r="D541" s="1"/>
  <c r="G26"/>
  <c r="G42" s="1"/>
  <c r="G428" s="1"/>
  <c r="G25"/>
  <c r="G41" s="1"/>
  <c r="G427" s="1"/>
  <c r="AI25"/>
  <c r="AI41" s="1"/>
  <c r="AE25"/>
  <c r="AE41" s="1"/>
  <c r="AA25"/>
  <c r="AA41" s="1"/>
  <c r="W25"/>
  <c r="W41" s="1"/>
  <c r="S25"/>
  <c r="S41" s="1"/>
  <c r="K25"/>
  <c r="K41" s="1"/>
  <c r="O25"/>
  <c r="O41" s="1"/>
  <c r="T25"/>
  <c r="T41" s="1"/>
  <c r="AK25"/>
  <c r="AK41" s="1"/>
  <c r="AG25"/>
  <c r="AG41" s="1"/>
  <c r="AC25"/>
  <c r="AC41" s="1"/>
  <c r="Y25"/>
  <c r="Y41" s="1"/>
  <c r="Q25"/>
  <c r="Q41" s="1"/>
  <c r="M25"/>
  <c r="M41" s="1"/>
  <c r="I25"/>
  <c r="I41" s="1"/>
  <c r="AF25"/>
  <c r="AF41" s="1"/>
  <c r="H25"/>
  <c r="H41" s="1"/>
  <c r="D74"/>
  <c r="D539" s="1"/>
  <c r="X25"/>
  <c r="X41" s="1"/>
  <c r="AK24"/>
  <c r="AK40" s="1"/>
  <c r="AG24"/>
  <c r="AG40" s="1"/>
  <c r="AC24"/>
  <c r="AC40" s="1"/>
  <c r="Y24"/>
  <c r="Y40" s="1"/>
  <c r="U24"/>
  <c r="U40" s="1"/>
  <c r="Q24"/>
  <c r="Q40" s="1"/>
  <c r="M24"/>
  <c r="M40" s="1"/>
  <c r="I24"/>
  <c r="I40" s="1"/>
  <c r="AI23"/>
  <c r="AI39" s="1"/>
  <c r="AE23"/>
  <c r="AE39" s="1"/>
  <c r="AA23"/>
  <c r="AA39" s="1"/>
  <c r="S23"/>
  <c r="S39" s="1"/>
  <c r="G23"/>
  <c r="G39" s="1"/>
  <c r="AB23"/>
  <c r="AB39" s="1"/>
  <c r="P23"/>
  <c r="P39" s="1"/>
  <c r="H23"/>
  <c r="H39" s="1"/>
  <c r="AG22"/>
  <c r="AG38" s="1"/>
  <c r="AC22"/>
  <c r="AC38" s="1"/>
  <c r="U30"/>
  <c r="U46" s="1"/>
  <c r="M22"/>
  <c r="M38" s="1"/>
  <c r="I22"/>
  <c r="I38" s="1"/>
  <c r="Q23"/>
  <c r="Q39" s="1"/>
  <c r="D72"/>
  <c r="D535" s="1"/>
  <c r="Y22"/>
  <c r="Y38" s="1"/>
  <c r="AI30"/>
  <c r="AI46" s="1"/>
  <c r="AA30"/>
  <c r="AA46" s="1"/>
  <c r="O30"/>
  <c r="O46" s="1"/>
  <c r="G21"/>
  <c r="G37" s="1"/>
  <c r="G423" s="1"/>
  <c r="X30"/>
  <c r="X46" s="1"/>
  <c r="T30"/>
  <c r="T46" s="1"/>
  <c r="H30"/>
  <c r="H46" s="1"/>
  <c r="AK30"/>
  <c r="AK46" s="1"/>
  <c r="AG21"/>
  <c r="AG37" s="1"/>
  <c r="AC30"/>
  <c r="AC46" s="1"/>
  <c r="Y30"/>
  <c r="Y46" s="1"/>
  <c r="U21"/>
  <c r="U37" s="1"/>
  <c r="Q30"/>
  <c r="Q46" s="1"/>
  <c r="M21"/>
  <c r="M37" s="1"/>
  <c r="I21"/>
  <c r="I37" s="1"/>
  <c r="L30"/>
  <c r="L46" s="1"/>
  <c r="J21"/>
  <c r="J37" s="1"/>
  <c r="AD21"/>
  <c r="AD37" s="1"/>
  <c r="Z21"/>
  <c r="Z37" s="1"/>
  <c r="V21"/>
  <c r="V37" s="1"/>
  <c r="R21"/>
  <c r="R37" s="1"/>
  <c r="N21"/>
  <c r="N37" s="1"/>
  <c r="AG30"/>
  <c r="AG46" s="1"/>
  <c r="X21"/>
  <c r="X37" s="1"/>
  <c r="W30"/>
  <c r="W46" s="1"/>
  <c r="S30"/>
  <c r="S46" s="1"/>
  <c r="K30"/>
  <c r="K46" s="1"/>
  <c r="G30"/>
  <c r="G46" s="1"/>
  <c r="AD29"/>
  <c r="AD45" s="1"/>
  <c r="V29"/>
  <c r="V45" s="1"/>
  <c r="N29"/>
  <c r="N45" s="1"/>
  <c r="AD27"/>
  <c r="AD43" s="1"/>
  <c r="V27"/>
  <c r="V43" s="1"/>
  <c r="N27"/>
  <c r="N43" s="1"/>
  <c r="AH25"/>
  <c r="AH41" s="1"/>
  <c r="Z25"/>
  <c r="Z41" s="1"/>
  <c r="R25"/>
  <c r="R41" s="1"/>
  <c r="J25"/>
  <c r="J41" s="1"/>
  <c r="AK22"/>
  <c r="AK38" s="1"/>
  <c r="Y21"/>
  <c r="Y37" s="1"/>
  <c r="L21"/>
  <c r="L37" s="1"/>
  <c r="AE30"/>
  <c r="AE46" s="1"/>
  <c r="AE432" s="1"/>
  <c r="M30"/>
  <c r="M46" s="1"/>
  <c r="W23"/>
  <c r="W39" s="1"/>
  <c r="U22"/>
  <c r="U38" s="1"/>
  <c r="T21"/>
  <c r="T37" s="1"/>
  <c r="AI21"/>
  <c r="AI37" s="1"/>
  <c r="AE21"/>
  <c r="AE37" s="1"/>
  <c r="AA21"/>
  <c r="AA37" s="1"/>
  <c r="W21"/>
  <c r="W37" s="1"/>
  <c r="S21"/>
  <c r="S37" s="1"/>
  <c r="O21"/>
  <c r="O37" s="1"/>
  <c r="K21"/>
  <c r="K37" s="1"/>
  <c r="AH29"/>
  <c r="AH45" s="1"/>
  <c r="Z29"/>
  <c r="Z45" s="1"/>
  <c r="R29"/>
  <c r="R45" s="1"/>
  <c r="J29"/>
  <c r="AH27"/>
  <c r="AH43" s="1"/>
  <c r="Z27"/>
  <c r="Z43" s="1"/>
  <c r="R27"/>
  <c r="R43" s="1"/>
  <c r="J27"/>
  <c r="V25"/>
  <c r="V41" s="1"/>
  <c r="N25"/>
  <c r="N41" s="1"/>
  <c r="I30"/>
  <c r="I46" s="1"/>
  <c r="AC21"/>
  <c r="AC37" s="1"/>
  <c r="H21"/>
  <c r="H37" s="1"/>
  <c r="AI22"/>
  <c r="AI38" s="1"/>
  <c r="AE22"/>
  <c r="AE38" s="1"/>
  <c r="AA22"/>
  <c r="AA38" s="1"/>
  <c r="W22"/>
  <c r="W38" s="1"/>
  <c r="S22"/>
  <c r="S38" s="1"/>
  <c r="O22"/>
  <c r="O38" s="1"/>
  <c r="K22"/>
  <c r="K38" s="1"/>
  <c r="EW163"/>
  <c r="FQ181"/>
  <c r="FQ156"/>
  <c r="FN150"/>
  <c r="FN143"/>
  <c r="FN120"/>
  <c r="E505"/>
  <c r="H506" s="1"/>
  <c r="FN178"/>
  <c r="FN173"/>
  <c r="FN165"/>
  <c r="FN137"/>
  <c r="FN124"/>
  <c r="FL186"/>
  <c r="FL173"/>
  <c r="FL165"/>
  <c r="FL163"/>
  <c r="FL152"/>
  <c r="FL143"/>
  <c r="FL138"/>
  <c r="FL175"/>
  <c r="FL158"/>
  <c r="FL157"/>
  <c r="FL154"/>
  <c r="FL146"/>
  <c r="FL142"/>
  <c r="FL112"/>
  <c r="FG181"/>
  <c r="FG174"/>
  <c r="E491"/>
  <c r="H492" s="1"/>
  <c r="X372"/>
  <c r="X373" s="1"/>
  <c r="FG162"/>
  <c r="FG156"/>
  <c r="ER149"/>
  <c r="ER131"/>
  <c r="ER112"/>
  <c r="ER157"/>
  <c r="ER156"/>
  <c r="ER154"/>
  <c r="ER146"/>
  <c r="ER135"/>
  <c r="ER125"/>
  <c r="ER120"/>
  <c r="EP165"/>
  <c r="EP150"/>
  <c r="EP143"/>
  <c r="EP120"/>
  <c r="EP178"/>
  <c r="EP173"/>
  <c r="EP158"/>
  <c r="EP136"/>
  <c r="EP110"/>
  <c r="O376"/>
  <c r="O373"/>
  <c r="O380"/>
  <c r="AA372"/>
  <c r="AA374" s="1"/>
  <c r="FJ182"/>
  <c r="FJ158"/>
  <c r="FJ150"/>
  <c r="FJ143"/>
  <c r="FJ142"/>
  <c r="FJ114"/>
  <c r="FJ159"/>
  <c r="FJ145"/>
  <c r="FJ131"/>
  <c r="E487"/>
  <c r="H488" s="1"/>
  <c r="FE156"/>
  <c r="FC164"/>
  <c r="T372"/>
  <c r="T381" s="1"/>
  <c r="FC169"/>
  <c r="FC156"/>
  <c r="FC153"/>
  <c r="EZ186"/>
  <c r="EZ177"/>
  <c r="EZ170"/>
  <c r="EZ131"/>
  <c r="E477"/>
  <c r="H478" s="1"/>
  <c r="Q372"/>
  <c r="Q382" s="1"/>
  <c r="EZ182"/>
  <c r="EZ154"/>
  <c r="EZ146"/>
  <c r="EZ120"/>
  <c r="R372"/>
  <c r="R379" s="1"/>
  <c r="FA174"/>
  <c r="FA181"/>
  <c r="FA162"/>
  <c r="FA156"/>
  <c r="EX157"/>
  <c r="EX150"/>
  <c r="EX143"/>
  <c r="EX120"/>
  <c r="E473"/>
  <c r="H474" s="1"/>
  <c r="EX178"/>
  <c r="EX165"/>
  <c r="EX159"/>
  <c r="EX137"/>
  <c r="EX114"/>
  <c r="EV165"/>
  <c r="EV163"/>
  <c r="EV152"/>
  <c r="EV156"/>
  <c r="EV154"/>
  <c r="EV146"/>
  <c r="EV138"/>
  <c r="EV137"/>
  <c r="EV112"/>
  <c r="FN90"/>
  <c r="ER90"/>
  <c r="FQ92"/>
  <c r="FN99"/>
  <c r="ER99"/>
  <c r="FQ101"/>
  <c r="FL102"/>
  <c r="FL104"/>
  <c r="FL131"/>
  <c r="FL135"/>
  <c r="FN136"/>
  <c r="FG143"/>
  <c r="FQ153"/>
  <c r="FN156"/>
  <c r="ER158"/>
  <c r="FG169"/>
  <c r="EP170"/>
  <c r="ER178"/>
  <c r="ER182"/>
  <c r="AE372"/>
  <c r="AE382" s="1"/>
  <c r="E511"/>
  <c r="H512" s="1"/>
  <c r="E501"/>
  <c r="H502" s="1"/>
  <c r="E461"/>
  <c r="H462" s="1"/>
  <c r="E457"/>
  <c r="FL88"/>
  <c r="FE89"/>
  <c r="FE90"/>
  <c r="ER92"/>
  <c r="FQ94"/>
  <c r="FL96"/>
  <c r="FC96"/>
  <c r="EZ96"/>
  <c r="FJ99"/>
  <c r="FG100"/>
  <c r="FG101"/>
  <c r="ER102"/>
  <c r="FQ103"/>
  <c r="FN104"/>
  <c r="ER104"/>
  <c r="FC105"/>
  <c r="FJ106"/>
  <c r="EZ108"/>
  <c r="EZ112"/>
  <c r="ER116"/>
  <c r="FC117"/>
  <c r="FC118"/>
  <c r="FQ119"/>
  <c r="FC124"/>
  <c r="EZ124"/>
  <c r="EZ125"/>
  <c r="FG131"/>
  <c r="FQ137"/>
  <c r="FG137"/>
  <c r="FE137"/>
  <c r="ER137"/>
  <c r="FG139"/>
  <c r="FG140"/>
  <c r="FE141"/>
  <c r="FG145"/>
  <c r="FJ152"/>
  <c r="FG153"/>
  <c r="EZ157"/>
  <c r="FC158"/>
  <c r="FN159"/>
  <c r="FL162"/>
  <c r="ER163"/>
  <c r="FL164"/>
  <c r="FG165"/>
  <c r="FG170"/>
  <c r="FJ173"/>
  <c r="FG173"/>
  <c r="ER173"/>
  <c r="FJ175"/>
  <c r="ER175"/>
  <c r="EZ179"/>
  <c r="FE181"/>
  <c r="FC185"/>
  <c r="FQ186"/>
  <c r="FN186"/>
  <c r="FJ186"/>
  <c r="FG186"/>
  <c r="O375"/>
  <c r="O377"/>
  <c r="V372"/>
  <c r="V376" s="1"/>
  <c r="G372"/>
  <c r="G382" s="1"/>
  <c r="H514"/>
  <c r="E497"/>
  <c r="H498" s="1"/>
  <c r="E483"/>
  <c r="H484" s="1"/>
  <c r="AJ372"/>
  <c r="AJ381" s="1"/>
  <c r="FS164"/>
  <c r="FS162"/>
  <c r="FS139"/>
  <c r="FS180"/>
  <c r="FS169"/>
  <c r="FS156"/>
  <c r="FS153"/>
  <c r="AG372"/>
  <c r="AG378" s="1"/>
  <c r="FP152"/>
  <c r="FP143"/>
  <c r="FP131"/>
  <c r="FP116"/>
  <c r="E509"/>
  <c r="H508" s="1"/>
  <c r="FP157"/>
  <c r="FP154"/>
  <c r="FP146"/>
  <c r="FP120"/>
  <c r="K372"/>
  <c r="K378" s="1"/>
  <c r="ET182"/>
  <c r="ET170"/>
  <c r="ET150"/>
  <c r="ET143"/>
  <c r="ET138"/>
  <c r="ET114"/>
  <c r="ET131"/>
  <c r="FL94"/>
  <c r="FQ99"/>
  <c r="FN101"/>
  <c r="EP102"/>
  <c r="FN106"/>
  <c r="FN116"/>
  <c r="FG119"/>
  <c r="ER132"/>
  <c r="ER138"/>
  <c r="FQ143"/>
  <c r="FL145"/>
  <c r="FL156"/>
  <c r="FQ162"/>
  <c r="FQ166"/>
  <c r="EP166"/>
  <c r="FQ173"/>
  <c r="FG178"/>
  <c r="FN88"/>
  <c r="EP88"/>
  <c r="FG89"/>
  <c r="FL90"/>
  <c r="FN94"/>
  <c r="ER94"/>
  <c r="FQ96"/>
  <c r="FG96"/>
  <c r="FN102"/>
  <c r="FG105"/>
  <c r="FL106"/>
  <c r="FL108"/>
  <c r="FN110"/>
  <c r="FG113"/>
  <c r="EP114"/>
  <c r="FL120"/>
  <c r="FL122"/>
  <c r="FL125"/>
  <c r="EP125"/>
  <c r="FN126"/>
  <c r="EP126"/>
  <c r="FL128"/>
  <c r="FN129"/>
  <c r="FE130"/>
  <c r="FQ131"/>
  <c r="FQ138"/>
  <c r="FN138"/>
  <c r="FJ138"/>
  <c r="FQ139"/>
  <c r="FL139"/>
  <c r="FC139"/>
  <c r="FQ140"/>
  <c r="FQ142"/>
  <c r="FN142"/>
  <c r="ER143"/>
  <c r="FC144"/>
  <c r="FQ145"/>
  <c r="FN146"/>
  <c r="EP146"/>
  <c r="FJ147"/>
  <c r="EP148"/>
  <c r="ER150"/>
  <c r="FN154"/>
  <c r="EP154"/>
  <c r="FG155"/>
  <c r="EP157"/>
  <c r="FQ158"/>
  <c r="FL159"/>
  <c r="FC159"/>
  <c r="EZ159"/>
  <c r="FC162"/>
  <c r="EZ162"/>
  <c r="FQ164"/>
  <c r="FN164"/>
  <c r="FQ170"/>
  <c r="FN170"/>
  <c r="FJ170"/>
  <c r="FE170"/>
  <c r="FE173"/>
  <c r="FN174"/>
  <c r="FC176"/>
  <c r="ER177"/>
  <c r="EZ180"/>
  <c r="ER180"/>
  <c r="FL182"/>
  <c r="FE182"/>
  <c r="FE186"/>
  <c r="ER187"/>
  <c r="O379"/>
  <c r="AH372"/>
  <c r="AH379" s="1"/>
  <c r="AC372"/>
  <c r="AC382" s="1"/>
  <c r="FG109"/>
  <c r="FL110"/>
  <c r="EV110"/>
  <c r="FE115"/>
  <c r="FJ116"/>
  <c r="ET116"/>
  <c r="FG117"/>
  <c r="FG118"/>
  <c r="FC119"/>
  <c r="FS120"/>
  <c r="EZ122"/>
  <c r="FQ124"/>
  <c r="FA124"/>
  <c r="FN125"/>
  <c r="EX125"/>
  <c r="FJ126"/>
  <c r="ET126"/>
  <c r="EP129"/>
  <c r="FE131"/>
  <c r="FJ132"/>
  <c r="ET132"/>
  <c r="FN135"/>
  <c r="EX135"/>
  <c r="FL136"/>
  <c r="EV136"/>
  <c r="FC138"/>
  <c r="EZ138"/>
  <c r="FN139"/>
  <c r="EZ139"/>
  <c r="FS140"/>
  <c r="FC140"/>
  <c r="FQ141"/>
  <c r="FA141"/>
  <c r="FG142"/>
  <c r="FE145"/>
  <c r="FN147"/>
  <c r="EX147"/>
  <c r="EP147"/>
  <c r="FN148"/>
  <c r="EX148"/>
  <c r="EZ158"/>
  <c r="ET158"/>
  <c r="FS159"/>
  <c r="FP159"/>
  <c r="FG159"/>
  <c r="FL160"/>
  <c r="EZ161"/>
  <c r="FP162"/>
  <c r="FJ162"/>
  <c r="FE163"/>
  <c r="FG164"/>
  <c r="FE165"/>
  <c r="EZ167"/>
  <c r="EZ168"/>
  <c r="FL171"/>
  <c r="EV171"/>
  <c r="FC173"/>
  <c r="EZ173"/>
  <c r="ET173"/>
  <c r="EV175"/>
  <c r="FS176"/>
  <c r="FE176"/>
  <c r="EP177"/>
  <c r="FQ178"/>
  <c r="FE178"/>
  <c r="FA178"/>
  <c r="ET178"/>
  <c r="FP179"/>
  <c r="FP180"/>
  <c r="FQ182"/>
  <c r="FC182"/>
  <c r="ER183"/>
  <c r="FG185"/>
  <c r="FC186"/>
  <c r="ET186"/>
  <c r="FJ187"/>
  <c r="ER110"/>
  <c r="FQ111"/>
  <c r="FA111"/>
  <c r="FN112"/>
  <c r="EX112"/>
  <c r="FS113"/>
  <c r="FC113"/>
  <c r="FE119"/>
  <c r="FQ120"/>
  <c r="FA120"/>
  <c r="ET122"/>
  <c r="FJ125"/>
  <c r="ET125"/>
  <c r="FL126"/>
  <c r="EV126"/>
  <c r="ER128"/>
  <c r="FJ129"/>
  <c r="ET129"/>
  <c r="FA130"/>
  <c r="FS131"/>
  <c r="FC131"/>
  <c r="FL132"/>
  <c r="EV132"/>
  <c r="FJ134"/>
  <c r="ET134"/>
  <c r="FJ135"/>
  <c r="ET135"/>
  <c r="ER136"/>
  <c r="FG138"/>
  <c r="FA138"/>
  <c r="FA139"/>
  <c r="EV139"/>
  <c r="ER139"/>
  <c r="FE140"/>
  <c r="FE142"/>
  <c r="FS145"/>
  <c r="FC145"/>
  <c r="FP147"/>
  <c r="EZ147"/>
  <c r="ER147"/>
  <c r="EX149"/>
  <c r="FG151"/>
  <c r="FE153"/>
  <c r="ET157"/>
  <c r="FS158"/>
  <c r="FP158"/>
  <c r="FG158"/>
  <c r="FA158"/>
  <c r="FQ159"/>
  <c r="FE159"/>
  <c r="FN160"/>
  <c r="FN162"/>
  <c r="FE162"/>
  <c r="EV162"/>
  <c r="EP162"/>
  <c r="FC163"/>
  <c r="EZ163"/>
  <c r="FP164"/>
  <c r="EZ164"/>
  <c r="ER164"/>
  <c r="FC165"/>
  <c r="EZ166"/>
  <c r="FE167"/>
  <c r="FJ167"/>
  <c r="FP168"/>
  <c r="FL170"/>
  <c r="FC170"/>
  <c r="FN171"/>
  <c r="EX171"/>
  <c r="EP171"/>
  <c r="FS173"/>
  <c r="FA173"/>
  <c r="FS174"/>
  <c r="FP174"/>
  <c r="FJ174"/>
  <c r="FP175"/>
  <c r="EZ175"/>
  <c r="FN177"/>
  <c r="FL178"/>
  <c r="FQ180"/>
  <c r="FC180"/>
  <c r="EX180"/>
  <c r="FN182"/>
  <c r="FG182"/>
  <c r="FA182"/>
  <c r="EX182"/>
  <c r="EV183"/>
  <c r="FS186"/>
  <c r="FN187"/>
  <c r="DF89"/>
  <c r="DH89"/>
  <c r="ER89" s="1"/>
  <c r="DJ89"/>
  <c r="ET89" s="1"/>
  <c r="DL89"/>
  <c r="DF93"/>
  <c r="DH93"/>
  <c r="ER93" s="1"/>
  <c r="DJ93"/>
  <c r="ET93" s="1"/>
  <c r="DL93"/>
  <c r="EV93" s="1"/>
  <c r="DN93"/>
  <c r="EX93" s="1"/>
  <c r="DP93"/>
  <c r="EZ93" s="1"/>
  <c r="DR93"/>
  <c r="FB93" s="1"/>
  <c r="DT93"/>
  <c r="FD93" s="1"/>
  <c r="DV93"/>
  <c r="FF93" s="1"/>
  <c r="DX93"/>
  <c r="FH93" s="1"/>
  <c r="DZ93"/>
  <c r="FJ93" s="1"/>
  <c r="EB93"/>
  <c r="FL93" s="1"/>
  <c r="ED93"/>
  <c r="FN93" s="1"/>
  <c r="EF93"/>
  <c r="FP93" s="1"/>
  <c r="EH93"/>
  <c r="FR93" s="1"/>
  <c r="EJ93"/>
  <c r="FT93" s="1"/>
  <c r="DF95"/>
  <c r="DH95"/>
  <c r="ER95" s="1"/>
  <c r="DJ95"/>
  <c r="ET95" s="1"/>
  <c r="DL95"/>
  <c r="EV95" s="1"/>
  <c r="DN95"/>
  <c r="EX95" s="1"/>
  <c r="DP95"/>
  <c r="EZ95" s="1"/>
  <c r="DR95"/>
  <c r="FB95" s="1"/>
  <c r="DT95"/>
  <c r="FD95" s="1"/>
  <c r="DV95"/>
  <c r="FF95" s="1"/>
  <c r="DX95"/>
  <c r="FH95" s="1"/>
  <c r="DZ95"/>
  <c r="FJ95" s="1"/>
  <c r="EB95"/>
  <c r="FL95" s="1"/>
  <c r="ED95"/>
  <c r="FN95" s="1"/>
  <c r="EF95"/>
  <c r="FP95" s="1"/>
  <c r="EH95"/>
  <c r="FR95" s="1"/>
  <c r="EJ95"/>
  <c r="FT95" s="1"/>
  <c r="DG121"/>
  <c r="EQ121" s="1"/>
  <c r="DI121"/>
  <c r="ES121" s="1"/>
  <c r="DK121"/>
  <c r="EU121" s="1"/>
  <c r="DM121"/>
  <c r="EW121" s="1"/>
  <c r="DO121"/>
  <c r="EY121" s="1"/>
  <c r="DQ121"/>
  <c r="FA121" s="1"/>
  <c r="DS121"/>
  <c r="FC121" s="1"/>
  <c r="DU121"/>
  <c r="FE121" s="1"/>
  <c r="DW121"/>
  <c r="FG121" s="1"/>
  <c r="DY121"/>
  <c r="FI121" s="1"/>
  <c r="EA121"/>
  <c r="FK121" s="1"/>
  <c r="EC121"/>
  <c r="FM121" s="1"/>
  <c r="EE121"/>
  <c r="FO121" s="1"/>
  <c r="EG121"/>
  <c r="FQ121" s="1"/>
  <c r="EI121"/>
  <c r="FS121" s="1"/>
  <c r="DN123"/>
  <c r="EX123" s="1"/>
  <c r="DP123"/>
  <c r="EZ123" s="1"/>
  <c r="DR123"/>
  <c r="FB123" s="1"/>
  <c r="DT123"/>
  <c r="FD123" s="1"/>
  <c r="DV123"/>
  <c r="FF123" s="1"/>
  <c r="DX123"/>
  <c r="FH123" s="1"/>
  <c r="DZ123"/>
  <c r="FJ123" s="1"/>
  <c r="EB123"/>
  <c r="FL123" s="1"/>
  <c r="ED123"/>
  <c r="FN123" s="1"/>
  <c r="EF123"/>
  <c r="FP123" s="1"/>
  <c r="EH123"/>
  <c r="FR123" s="1"/>
  <c r="EJ123"/>
  <c r="FT123" s="1"/>
  <c r="DN127"/>
  <c r="EX127" s="1"/>
  <c r="DP127"/>
  <c r="EZ127" s="1"/>
  <c r="DR127"/>
  <c r="FB127" s="1"/>
  <c r="DT127"/>
  <c r="FD127" s="1"/>
  <c r="DV127"/>
  <c r="FF127" s="1"/>
  <c r="DX127"/>
  <c r="FH127" s="1"/>
  <c r="DZ127"/>
  <c r="FJ127" s="1"/>
  <c r="EB127"/>
  <c r="FL127" s="1"/>
  <c r="ED127"/>
  <c r="FN127" s="1"/>
  <c r="EF127"/>
  <c r="FP127" s="1"/>
  <c r="EH127"/>
  <c r="FR127" s="1"/>
  <c r="EJ127"/>
  <c r="FT127" s="1"/>
  <c r="DC129"/>
  <c r="DE129"/>
  <c r="DG140"/>
  <c r="EQ140" s="1"/>
  <c r="DK140"/>
  <c r="EU140" s="1"/>
  <c r="DC149"/>
  <c r="DE149"/>
  <c r="EP149"/>
  <c r="DF172"/>
  <c r="DH172"/>
  <c r="ER172" s="1"/>
  <c r="DJ172"/>
  <c r="ET172" s="1"/>
  <c r="DL172"/>
  <c r="EV172" s="1"/>
  <c r="DN172"/>
  <c r="EX172" s="1"/>
  <c r="DP172"/>
  <c r="EZ172" s="1"/>
  <c r="DR172"/>
  <c r="FB172" s="1"/>
  <c r="DT172"/>
  <c r="FD172" s="1"/>
  <c r="DV172"/>
  <c r="FF172" s="1"/>
  <c r="DX172"/>
  <c r="FH172" s="1"/>
  <c r="DZ172"/>
  <c r="FJ172" s="1"/>
  <c r="EB172"/>
  <c r="FL172" s="1"/>
  <c r="ED172"/>
  <c r="FN172" s="1"/>
  <c r="EF172"/>
  <c r="FP172" s="1"/>
  <c r="EH172"/>
  <c r="FR172" s="1"/>
  <c r="EJ172"/>
  <c r="FT172" s="1"/>
  <c r="DG172"/>
  <c r="EQ172" s="1"/>
  <c r="DK172"/>
  <c r="EU172" s="1"/>
  <c r="DO172"/>
  <c r="EY172" s="1"/>
  <c r="DS172"/>
  <c r="FC172" s="1"/>
  <c r="DW172"/>
  <c r="FG172" s="1"/>
  <c r="EA172"/>
  <c r="FK172" s="1"/>
  <c r="EE172"/>
  <c r="FO172" s="1"/>
  <c r="EI172"/>
  <c r="FS172" s="1"/>
  <c r="DI172"/>
  <c r="ES172" s="1"/>
  <c r="DQ172"/>
  <c r="FA172" s="1"/>
  <c r="DY172"/>
  <c r="FI172" s="1"/>
  <c r="EG172"/>
  <c r="FQ172" s="1"/>
  <c r="EP192"/>
  <c r="FU192" s="1"/>
  <c r="EK192"/>
  <c r="DF98"/>
  <c r="DH98"/>
  <c r="DJ98"/>
  <c r="DL98"/>
  <c r="DN98"/>
  <c r="DP98"/>
  <c r="DR98"/>
  <c r="DT98"/>
  <c r="DV98"/>
  <c r="DX98"/>
  <c r="DZ98"/>
  <c r="EB98"/>
  <c r="ED98"/>
  <c r="EF98"/>
  <c r="EH98"/>
  <c r="EJ98"/>
  <c r="DF103"/>
  <c r="DH103"/>
  <c r="ER103" s="1"/>
  <c r="DJ103"/>
  <c r="ET103" s="1"/>
  <c r="DL103"/>
  <c r="EV103" s="1"/>
  <c r="DN103"/>
  <c r="EX103" s="1"/>
  <c r="DP103"/>
  <c r="EZ103" s="1"/>
  <c r="DR103"/>
  <c r="FB103" s="1"/>
  <c r="DT103"/>
  <c r="FD103" s="1"/>
  <c r="DV103"/>
  <c r="FF103" s="1"/>
  <c r="DX103"/>
  <c r="FH103" s="1"/>
  <c r="DZ103"/>
  <c r="FJ103" s="1"/>
  <c r="EB103"/>
  <c r="FL103" s="1"/>
  <c r="ED103"/>
  <c r="FN103" s="1"/>
  <c r="EF103"/>
  <c r="FP103" s="1"/>
  <c r="EH103"/>
  <c r="FR103" s="1"/>
  <c r="EJ103"/>
  <c r="FT103" s="1"/>
  <c r="DF111"/>
  <c r="DH111"/>
  <c r="ER111" s="1"/>
  <c r="DJ111"/>
  <c r="ET111" s="1"/>
  <c r="DL111"/>
  <c r="EV111" s="1"/>
  <c r="DN111"/>
  <c r="EX111" s="1"/>
  <c r="DP111"/>
  <c r="EZ111" s="1"/>
  <c r="DR111"/>
  <c r="FB111" s="1"/>
  <c r="DT111"/>
  <c r="FD111" s="1"/>
  <c r="DV111"/>
  <c r="FF111" s="1"/>
  <c r="DX111"/>
  <c r="FH111" s="1"/>
  <c r="DZ111"/>
  <c r="FJ111" s="1"/>
  <c r="EB111"/>
  <c r="FL111" s="1"/>
  <c r="ED111"/>
  <c r="FN111" s="1"/>
  <c r="EF111"/>
  <c r="FP111" s="1"/>
  <c r="EH111"/>
  <c r="FR111" s="1"/>
  <c r="EJ111"/>
  <c r="FT111" s="1"/>
  <c r="DF115"/>
  <c r="DH115"/>
  <c r="ER115" s="1"/>
  <c r="DJ115"/>
  <c r="ET115" s="1"/>
  <c r="DL115"/>
  <c r="EV115" s="1"/>
  <c r="DN115"/>
  <c r="EX115" s="1"/>
  <c r="DP115"/>
  <c r="EZ115" s="1"/>
  <c r="DR115"/>
  <c r="FB115" s="1"/>
  <c r="DT115"/>
  <c r="FD115" s="1"/>
  <c r="DV115"/>
  <c r="FF115" s="1"/>
  <c r="DX115"/>
  <c r="FH115" s="1"/>
  <c r="DZ115"/>
  <c r="FJ115" s="1"/>
  <c r="EB115"/>
  <c r="FL115" s="1"/>
  <c r="ED115"/>
  <c r="FN115" s="1"/>
  <c r="EF115"/>
  <c r="FP115" s="1"/>
  <c r="EH115"/>
  <c r="FR115" s="1"/>
  <c r="EJ115"/>
  <c r="FT115" s="1"/>
  <c r="DC121"/>
  <c r="DE121"/>
  <c r="DE228" s="1"/>
  <c r="DG128"/>
  <c r="DI128"/>
  <c r="DK128"/>
  <c r="DM128"/>
  <c r="DO128"/>
  <c r="DQ128"/>
  <c r="DS128"/>
  <c r="DU128"/>
  <c r="DW128"/>
  <c r="DY128"/>
  <c r="EA128"/>
  <c r="EC128"/>
  <c r="EE128"/>
  <c r="EG128"/>
  <c r="EI128"/>
  <c r="DN130"/>
  <c r="EX130" s="1"/>
  <c r="DP130"/>
  <c r="EZ130" s="1"/>
  <c r="DR130"/>
  <c r="FB130" s="1"/>
  <c r="DT130"/>
  <c r="FD130" s="1"/>
  <c r="DV130"/>
  <c r="FF130" s="1"/>
  <c r="DX130"/>
  <c r="FH130" s="1"/>
  <c r="DZ130"/>
  <c r="FJ130" s="1"/>
  <c r="EB130"/>
  <c r="FL130" s="1"/>
  <c r="ED130"/>
  <c r="FN130" s="1"/>
  <c r="EF130"/>
  <c r="FP130" s="1"/>
  <c r="EH130"/>
  <c r="FR130" s="1"/>
  <c r="EJ130"/>
  <c r="FT130" s="1"/>
  <c r="DG134"/>
  <c r="EQ134" s="1"/>
  <c r="DI134"/>
  <c r="ES134" s="1"/>
  <c r="DK134"/>
  <c r="EU134" s="1"/>
  <c r="DM134"/>
  <c r="EW134" s="1"/>
  <c r="DO134"/>
  <c r="EY134" s="1"/>
  <c r="DQ134"/>
  <c r="FA134" s="1"/>
  <c r="DS134"/>
  <c r="FC134" s="1"/>
  <c r="DU134"/>
  <c r="FE134" s="1"/>
  <c r="DW134"/>
  <c r="FG134" s="1"/>
  <c r="DY134"/>
  <c r="FI134" s="1"/>
  <c r="EA134"/>
  <c r="FK134" s="1"/>
  <c r="EC134"/>
  <c r="FM134" s="1"/>
  <c r="EE134"/>
  <c r="FO134" s="1"/>
  <c r="EG134"/>
  <c r="FQ134" s="1"/>
  <c r="EI134"/>
  <c r="FS134" s="1"/>
  <c r="DG160"/>
  <c r="EQ160" s="1"/>
  <c r="DI160"/>
  <c r="ES160" s="1"/>
  <c r="DK160"/>
  <c r="EU160" s="1"/>
  <c r="DM160"/>
  <c r="EW160" s="1"/>
  <c r="DO160"/>
  <c r="EY160" s="1"/>
  <c r="DQ160"/>
  <c r="FA160" s="1"/>
  <c r="DS160"/>
  <c r="FC160" s="1"/>
  <c r="DU160"/>
  <c r="FE160" s="1"/>
  <c r="DW160"/>
  <c r="FG160" s="1"/>
  <c r="DY160"/>
  <c r="FI160" s="1"/>
  <c r="EA160"/>
  <c r="FK160" s="1"/>
  <c r="EC160"/>
  <c r="FM160" s="1"/>
  <c r="EE160"/>
  <c r="FO160" s="1"/>
  <c r="EG160"/>
  <c r="FQ160" s="1"/>
  <c r="EI160"/>
  <c r="FS160" s="1"/>
  <c r="DH160"/>
  <c r="ER160" s="1"/>
  <c r="DP160"/>
  <c r="EZ160" s="1"/>
  <c r="DX160"/>
  <c r="FH160" s="1"/>
  <c r="EF160"/>
  <c r="FP160" s="1"/>
  <c r="DJ160"/>
  <c r="ET160" s="1"/>
  <c r="DR160"/>
  <c r="FB160" s="1"/>
  <c r="DZ160"/>
  <c r="FJ160" s="1"/>
  <c r="EH160"/>
  <c r="FR160" s="1"/>
  <c r="DF160"/>
  <c r="DV160"/>
  <c r="FF160" s="1"/>
  <c r="DT160"/>
  <c r="FD160" s="1"/>
  <c r="EJ160"/>
  <c r="FT160" s="1"/>
  <c r="DG161"/>
  <c r="EQ161" s="1"/>
  <c r="DI161"/>
  <c r="ES161" s="1"/>
  <c r="DK161"/>
  <c r="EU161" s="1"/>
  <c r="DM161"/>
  <c r="EW161" s="1"/>
  <c r="DO161"/>
  <c r="EY161" s="1"/>
  <c r="DQ161"/>
  <c r="FA161" s="1"/>
  <c r="DS161"/>
  <c r="FC161" s="1"/>
  <c r="DU161"/>
  <c r="FE161" s="1"/>
  <c r="DW161"/>
  <c r="FG161" s="1"/>
  <c r="DY161"/>
  <c r="FI161" s="1"/>
  <c r="EA161"/>
  <c r="FK161" s="1"/>
  <c r="EC161"/>
  <c r="FM161" s="1"/>
  <c r="EE161"/>
  <c r="FO161" s="1"/>
  <c r="EG161"/>
  <c r="FQ161" s="1"/>
  <c r="EI161"/>
  <c r="FS161" s="1"/>
  <c r="DJ161"/>
  <c r="ET161" s="1"/>
  <c r="DR161"/>
  <c r="FB161" s="1"/>
  <c r="DZ161"/>
  <c r="FJ161" s="1"/>
  <c r="EH161"/>
  <c r="FR161" s="1"/>
  <c r="DL161"/>
  <c r="EV161" s="1"/>
  <c r="DT161"/>
  <c r="FD161" s="1"/>
  <c r="EB161"/>
  <c r="FL161" s="1"/>
  <c r="EJ161"/>
  <c r="FT161" s="1"/>
  <c r="DN161"/>
  <c r="EX161" s="1"/>
  <c r="ED161"/>
  <c r="FN161" s="1"/>
  <c r="DH161"/>
  <c r="ER161" s="1"/>
  <c r="DX161"/>
  <c r="FH161" s="1"/>
  <c r="EK163"/>
  <c r="EP163"/>
  <c r="DC193"/>
  <c r="DE193"/>
  <c r="EP204"/>
  <c r="FU204" s="1"/>
  <c r="EK204"/>
  <c r="DG88"/>
  <c r="DI88"/>
  <c r="DK88"/>
  <c r="EU88" s="1"/>
  <c r="DM88"/>
  <c r="EW88" s="1"/>
  <c r="DO88"/>
  <c r="EY88" s="1"/>
  <c r="DQ88"/>
  <c r="FA88" s="1"/>
  <c r="DS88"/>
  <c r="DU88"/>
  <c r="DW88"/>
  <c r="DY88"/>
  <c r="EA88"/>
  <c r="EC88"/>
  <c r="EE88"/>
  <c r="EG88"/>
  <c r="EI88"/>
  <c r="DF100"/>
  <c r="DH100"/>
  <c r="ER100" s="1"/>
  <c r="DJ100"/>
  <c r="ET100" s="1"/>
  <c r="DL100"/>
  <c r="EV100" s="1"/>
  <c r="DF118"/>
  <c r="DH118"/>
  <c r="DJ118"/>
  <c r="DL118"/>
  <c r="EV118" s="1"/>
  <c r="DF119"/>
  <c r="DH119"/>
  <c r="ER119" s="1"/>
  <c r="DJ119"/>
  <c r="ET119" s="1"/>
  <c r="DL119"/>
  <c r="EV119" s="1"/>
  <c r="DN119"/>
  <c r="EX119" s="1"/>
  <c r="DP119"/>
  <c r="EZ119" s="1"/>
  <c r="DR119"/>
  <c r="FB119" s="1"/>
  <c r="DT119"/>
  <c r="FD119" s="1"/>
  <c r="DV119"/>
  <c r="FF119" s="1"/>
  <c r="DX119"/>
  <c r="FH119" s="1"/>
  <c r="DZ119"/>
  <c r="FJ119" s="1"/>
  <c r="EB119"/>
  <c r="FL119" s="1"/>
  <c r="ED119"/>
  <c r="FN119" s="1"/>
  <c r="EF119"/>
  <c r="FP119" s="1"/>
  <c r="EH119"/>
  <c r="FR119" s="1"/>
  <c r="EJ119"/>
  <c r="FT119" s="1"/>
  <c r="DG122"/>
  <c r="EQ122" s="1"/>
  <c r="DI122"/>
  <c r="ES122" s="1"/>
  <c r="DK122"/>
  <c r="EU122" s="1"/>
  <c r="DM122"/>
  <c r="EW122" s="1"/>
  <c r="DO122"/>
  <c r="EY122" s="1"/>
  <c r="DQ122"/>
  <c r="FA122" s="1"/>
  <c r="DS122"/>
  <c r="FC122" s="1"/>
  <c r="DU122"/>
  <c r="FE122" s="1"/>
  <c r="DW122"/>
  <c r="FG122" s="1"/>
  <c r="DY122"/>
  <c r="FI122" s="1"/>
  <c r="EA122"/>
  <c r="FK122" s="1"/>
  <c r="EC122"/>
  <c r="FM122" s="1"/>
  <c r="EE122"/>
  <c r="FO122" s="1"/>
  <c r="EG122"/>
  <c r="FQ122" s="1"/>
  <c r="EI122"/>
  <c r="FS122" s="1"/>
  <c r="DG126"/>
  <c r="EQ126" s="1"/>
  <c r="DI126"/>
  <c r="ES126" s="1"/>
  <c r="DK126"/>
  <c r="EU126" s="1"/>
  <c r="DM126"/>
  <c r="EW126" s="1"/>
  <c r="DO126"/>
  <c r="EY126" s="1"/>
  <c r="DQ126"/>
  <c r="FA126" s="1"/>
  <c r="DS126"/>
  <c r="FC126" s="1"/>
  <c r="DU126"/>
  <c r="FE126" s="1"/>
  <c r="DW126"/>
  <c r="FG126" s="1"/>
  <c r="DY126"/>
  <c r="FI126" s="1"/>
  <c r="EA126"/>
  <c r="FK126" s="1"/>
  <c r="EC126"/>
  <c r="FM126" s="1"/>
  <c r="EE126"/>
  <c r="FO126" s="1"/>
  <c r="EG126"/>
  <c r="FQ126" s="1"/>
  <c r="EI126"/>
  <c r="FS126" s="1"/>
  <c r="DC128"/>
  <c r="DE128"/>
  <c r="DE216" s="1"/>
  <c r="DG132"/>
  <c r="EQ132" s="1"/>
  <c r="DI132"/>
  <c r="ES132" s="1"/>
  <c r="DK132"/>
  <c r="EU132" s="1"/>
  <c r="DM132"/>
  <c r="EW132" s="1"/>
  <c r="DO132"/>
  <c r="EY132" s="1"/>
  <c r="DQ132"/>
  <c r="FA132" s="1"/>
  <c r="DS132"/>
  <c r="FC132" s="1"/>
  <c r="DU132"/>
  <c r="FE132" s="1"/>
  <c r="DW132"/>
  <c r="FG132" s="1"/>
  <c r="DY132"/>
  <c r="FI132" s="1"/>
  <c r="EA132"/>
  <c r="FK132" s="1"/>
  <c r="EC132"/>
  <c r="FM132" s="1"/>
  <c r="EE132"/>
  <c r="FO132" s="1"/>
  <c r="EG132"/>
  <c r="FQ132" s="1"/>
  <c r="EI132"/>
  <c r="FS132" s="1"/>
  <c r="DG135"/>
  <c r="EQ135" s="1"/>
  <c r="DI135"/>
  <c r="ES135" s="1"/>
  <c r="DK135"/>
  <c r="EU135" s="1"/>
  <c r="DM135"/>
  <c r="EW135" s="1"/>
  <c r="DO135"/>
  <c r="EY135" s="1"/>
  <c r="DQ135"/>
  <c r="FA135" s="1"/>
  <c r="DS135"/>
  <c r="FC135" s="1"/>
  <c r="DU135"/>
  <c r="FE135" s="1"/>
  <c r="DW135"/>
  <c r="FG135" s="1"/>
  <c r="DY135"/>
  <c r="FI135" s="1"/>
  <c r="EA135"/>
  <c r="FK135" s="1"/>
  <c r="EC135"/>
  <c r="FM135" s="1"/>
  <c r="EE135"/>
  <c r="FO135" s="1"/>
  <c r="EG135"/>
  <c r="FQ135" s="1"/>
  <c r="EI135"/>
  <c r="FS135" s="1"/>
  <c r="EP139"/>
  <c r="DG141"/>
  <c r="EQ141" s="1"/>
  <c r="DK141"/>
  <c r="EU141" s="1"/>
  <c r="DF142"/>
  <c r="DH142"/>
  <c r="ER142" s="1"/>
  <c r="DJ142"/>
  <c r="ET142" s="1"/>
  <c r="DL142"/>
  <c r="EV142" s="1"/>
  <c r="DG142"/>
  <c r="EQ142" s="1"/>
  <c r="DK142"/>
  <c r="EU142" s="1"/>
  <c r="DN144"/>
  <c r="EX144" s="1"/>
  <c r="DP144"/>
  <c r="EZ144" s="1"/>
  <c r="DR144"/>
  <c r="FB144" s="1"/>
  <c r="DT144"/>
  <c r="FD144" s="1"/>
  <c r="DV144"/>
  <c r="FF144" s="1"/>
  <c r="DX144"/>
  <c r="FH144" s="1"/>
  <c r="DZ144"/>
  <c r="FJ144" s="1"/>
  <c r="EB144"/>
  <c r="FL144" s="1"/>
  <c r="ED144"/>
  <c r="FN144" s="1"/>
  <c r="EF144"/>
  <c r="FP144" s="1"/>
  <c r="EH144"/>
  <c r="FR144" s="1"/>
  <c r="EJ144"/>
  <c r="FT144" s="1"/>
  <c r="DI144"/>
  <c r="ES144" s="1"/>
  <c r="DM144"/>
  <c r="EW144" s="1"/>
  <c r="DQ144"/>
  <c r="FA144" s="1"/>
  <c r="DU144"/>
  <c r="FE144" s="1"/>
  <c r="DY144"/>
  <c r="FI144" s="1"/>
  <c r="EC144"/>
  <c r="FM144" s="1"/>
  <c r="EG144"/>
  <c r="FQ144" s="1"/>
  <c r="DF145"/>
  <c r="DH145"/>
  <c r="ER145" s="1"/>
  <c r="DJ145"/>
  <c r="ET145" s="1"/>
  <c r="DL145"/>
  <c r="EV145" s="1"/>
  <c r="DG145"/>
  <c r="EQ145" s="1"/>
  <c r="DK145"/>
  <c r="EU145" s="1"/>
  <c r="EQ148"/>
  <c r="ES148"/>
  <c r="EU148"/>
  <c r="EW148"/>
  <c r="EV148"/>
  <c r="DC161"/>
  <c r="DE161"/>
  <c r="DJ166"/>
  <c r="ET166" s="1"/>
  <c r="DM166"/>
  <c r="EW166" s="1"/>
  <c r="DR166"/>
  <c r="FB166" s="1"/>
  <c r="DU166"/>
  <c r="FE166" s="1"/>
  <c r="DZ166"/>
  <c r="FJ166" s="1"/>
  <c r="EC166"/>
  <c r="FM166" s="1"/>
  <c r="EH166"/>
  <c r="FR166" s="1"/>
  <c r="DO166"/>
  <c r="EY166" s="1"/>
  <c r="DT166"/>
  <c r="FD166" s="1"/>
  <c r="DW166"/>
  <c r="FG166" s="1"/>
  <c r="EB166"/>
  <c r="FL166" s="1"/>
  <c r="EE166"/>
  <c r="FO166" s="1"/>
  <c r="EJ166"/>
  <c r="FT166" s="1"/>
  <c r="DI166"/>
  <c r="ES166" s="1"/>
  <c r="DN166"/>
  <c r="EX166" s="1"/>
  <c r="DY166"/>
  <c r="FI166" s="1"/>
  <c r="ED166"/>
  <c r="FN166" s="1"/>
  <c r="DH166"/>
  <c r="ER166" s="1"/>
  <c r="DS166"/>
  <c r="FC166" s="1"/>
  <c r="DX166"/>
  <c r="FH166" s="1"/>
  <c r="EI166"/>
  <c r="FS166" s="1"/>
  <c r="DG167"/>
  <c r="EQ167" s="1"/>
  <c r="DL167"/>
  <c r="EV167" s="1"/>
  <c r="DF167"/>
  <c r="DI167"/>
  <c r="ES167" s="1"/>
  <c r="DH167"/>
  <c r="ER167" s="1"/>
  <c r="DM167"/>
  <c r="EW167" s="1"/>
  <c r="DM89"/>
  <c r="DI89"/>
  <c r="ES89" s="1"/>
  <c r="DE90"/>
  <c r="EK90"/>
  <c r="EI91"/>
  <c r="FS91" s="1"/>
  <c r="EE91"/>
  <c r="FO91" s="1"/>
  <c r="EA91"/>
  <c r="FK91" s="1"/>
  <c r="DW91"/>
  <c r="FG91" s="1"/>
  <c r="DS91"/>
  <c r="FC91" s="1"/>
  <c r="DO91"/>
  <c r="EY91" s="1"/>
  <c r="DK91"/>
  <c r="DE92"/>
  <c r="EI93"/>
  <c r="FS93" s="1"/>
  <c r="EE93"/>
  <c r="FO93" s="1"/>
  <c r="EA93"/>
  <c r="FK93" s="1"/>
  <c r="DW93"/>
  <c r="FG93" s="1"/>
  <c r="DS93"/>
  <c r="FC93" s="1"/>
  <c r="DO93"/>
  <c r="EY93" s="1"/>
  <c r="DK93"/>
  <c r="EU93" s="1"/>
  <c r="DG93"/>
  <c r="EQ93" s="1"/>
  <c r="DE94"/>
  <c r="EI95"/>
  <c r="FS95" s="1"/>
  <c r="EE95"/>
  <c r="FO95" s="1"/>
  <c r="EA95"/>
  <c r="FK95" s="1"/>
  <c r="DW95"/>
  <c r="FG95" s="1"/>
  <c r="DS95"/>
  <c r="FC95" s="1"/>
  <c r="DO95"/>
  <c r="EY95" s="1"/>
  <c r="DK95"/>
  <c r="EU95" s="1"/>
  <c r="DG95"/>
  <c r="EQ95" s="1"/>
  <c r="DE96"/>
  <c r="EK96"/>
  <c r="EI97"/>
  <c r="FS97" s="1"/>
  <c r="EE97"/>
  <c r="FO97" s="1"/>
  <c r="EA97"/>
  <c r="FK97" s="1"/>
  <c r="DW97"/>
  <c r="FG97" s="1"/>
  <c r="DS97"/>
  <c r="FC97" s="1"/>
  <c r="DO97"/>
  <c r="EY97" s="1"/>
  <c r="DK97"/>
  <c r="EU97" s="1"/>
  <c r="EH121"/>
  <c r="FR121" s="1"/>
  <c r="ED121"/>
  <c r="FN121" s="1"/>
  <c r="DZ121"/>
  <c r="FJ121" s="1"/>
  <c r="DV121"/>
  <c r="FF121" s="1"/>
  <c r="DR121"/>
  <c r="FB121" s="1"/>
  <c r="DN121"/>
  <c r="EX121" s="1"/>
  <c r="DJ121"/>
  <c r="ET121" s="1"/>
  <c r="DF121"/>
  <c r="EI123"/>
  <c r="FS123" s="1"/>
  <c r="EE123"/>
  <c r="FO123" s="1"/>
  <c r="EA123"/>
  <c r="FK123" s="1"/>
  <c r="DW123"/>
  <c r="FG123" s="1"/>
  <c r="DS123"/>
  <c r="FC123" s="1"/>
  <c r="DO123"/>
  <c r="EY123" s="1"/>
  <c r="DK123"/>
  <c r="DG123"/>
  <c r="EQ123" s="1"/>
  <c r="DM124"/>
  <c r="EW124" s="1"/>
  <c r="DE125"/>
  <c r="EI127"/>
  <c r="FS127" s="1"/>
  <c r="EE127"/>
  <c r="FO127" s="1"/>
  <c r="EA127"/>
  <c r="FK127" s="1"/>
  <c r="DW127"/>
  <c r="FG127" s="1"/>
  <c r="DS127"/>
  <c r="FC127" s="1"/>
  <c r="DO127"/>
  <c r="EY127" s="1"/>
  <c r="DK127"/>
  <c r="EU127" s="1"/>
  <c r="DG127"/>
  <c r="EQ127" s="1"/>
  <c r="EI133"/>
  <c r="FS133" s="1"/>
  <c r="EE133"/>
  <c r="FO133" s="1"/>
  <c r="EA133"/>
  <c r="FK133" s="1"/>
  <c r="DW133"/>
  <c r="FG133" s="1"/>
  <c r="DS133"/>
  <c r="FC133" s="1"/>
  <c r="DO133"/>
  <c r="EY133" s="1"/>
  <c r="DK133"/>
  <c r="EU133" s="1"/>
  <c r="DE134"/>
  <c r="DM140"/>
  <c r="EW140" s="1"/>
  <c r="EC172"/>
  <c r="FM172" s="1"/>
  <c r="DM172"/>
  <c r="EW172" s="1"/>
  <c r="EP90"/>
  <c r="EP94"/>
  <c r="EP96"/>
  <c r="EI98"/>
  <c r="EE98"/>
  <c r="EA98"/>
  <c r="DW98"/>
  <c r="DS98"/>
  <c r="DO98"/>
  <c r="DK98"/>
  <c r="DG98"/>
  <c r="DE99"/>
  <c r="EP99"/>
  <c r="EG100"/>
  <c r="FQ100" s="1"/>
  <c r="EC100"/>
  <c r="FM100" s="1"/>
  <c r="DY100"/>
  <c r="FI100" s="1"/>
  <c r="DU100"/>
  <c r="FE100" s="1"/>
  <c r="DQ100"/>
  <c r="FA100" s="1"/>
  <c r="DM100"/>
  <c r="EW100" s="1"/>
  <c r="DK101"/>
  <c r="EU101" s="1"/>
  <c r="EI103"/>
  <c r="FS103" s="1"/>
  <c r="EE103"/>
  <c r="FO103" s="1"/>
  <c r="EA103"/>
  <c r="FK103" s="1"/>
  <c r="DW103"/>
  <c r="FG103" s="1"/>
  <c r="DS103"/>
  <c r="FC103" s="1"/>
  <c r="DO103"/>
  <c r="EY103" s="1"/>
  <c r="DK103"/>
  <c r="EU103" s="1"/>
  <c r="DG103"/>
  <c r="EQ103" s="1"/>
  <c r="DE104"/>
  <c r="EP104"/>
  <c r="EG105"/>
  <c r="FQ105" s="1"/>
  <c r="EC105"/>
  <c r="FM105" s="1"/>
  <c r="DY105"/>
  <c r="FI105" s="1"/>
  <c r="DU105"/>
  <c r="FE105" s="1"/>
  <c r="DQ105"/>
  <c r="FA105" s="1"/>
  <c r="DM105"/>
  <c r="EW105" s="1"/>
  <c r="EI107"/>
  <c r="FS107" s="1"/>
  <c r="EE107"/>
  <c r="FO107" s="1"/>
  <c r="EA107"/>
  <c r="FK107" s="1"/>
  <c r="DW107"/>
  <c r="FG107" s="1"/>
  <c r="DS107"/>
  <c r="FC107" s="1"/>
  <c r="DK107"/>
  <c r="EU107" s="1"/>
  <c r="DE108"/>
  <c r="DE214" s="1"/>
  <c r="EG109"/>
  <c r="FQ109" s="1"/>
  <c r="EC109"/>
  <c r="FM109" s="1"/>
  <c r="DY109"/>
  <c r="FI109" s="1"/>
  <c r="DU109"/>
  <c r="FE109" s="1"/>
  <c r="DQ109"/>
  <c r="FA109" s="1"/>
  <c r="DM109"/>
  <c r="EW109" s="1"/>
  <c r="EI111"/>
  <c r="FS111" s="1"/>
  <c r="EE111"/>
  <c r="FO111" s="1"/>
  <c r="EA111"/>
  <c r="FK111" s="1"/>
  <c r="DW111"/>
  <c r="FG111" s="1"/>
  <c r="DS111"/>
  <c r="FC111" s="1"/>
  <c r="DO111"/>
  <c r="EY111" s="1"/>
  <c r="DK111"/>
  <c r="EU111" s="1"/>
  <c r="DG111"/>
  <c r="EQ111" s="1"/>
  <c r="DE112"/>
  <c r="EP112"/>
  <c r="EG113"/>
  <c r="FQ113" s="1"/>
  <c r="EC113"/>
  <c r="FM113" s="1"/>
  <c r="DY113"/>
  <c r="FI113" s="1"/>
  <c r="DU113"/>
  <c r="FE113" s="1"/>
  <c r="DQ113"/>
  <c r="FA113" s="1"/>
  <c r="DM113"/>
  <c r="EW113" s="1"/>
  <c r="EI115"/>
  <c r="FS115" s="1"/>
  <c r="EE115"/>
  <c r="FO115" s="1"/>
  <c r="EA115"/>
  <c r="FK115" s="1"/>
  <c r="DW115"/>
  <c r="FG115" s="1"/>
  <c r="DS115"/>
  <c r="FC115" s="1"/>
  <c r="DO115"/>
  <c r="EY115" s="1"/>
  <c r="DK115"/>
  <c r="EU115" s="1"/>
  <c r="DG115"/>
  <c r="EQ115" s="1"/>
  <c r="DE116"/>
  <c r="EP116"/>
  <c r="EG117"/>
  <c r="FQ117" s="1"/>
  <c r="EC117"/>
  <c r="FM117" s="1"/>
  <c r="DY117"/>
  <c r="FI117" s="1"/>
  <c r="DU117"/>
  <c r="FE117" s="1"/>
  <c r="DQ117"/>
  <c r="FA117" s="1"/>
  <c r="DM117"/>
  <c r="EW117" s="1"/>
  <c r="EG118"/>
  <c r="EC118"/>
  <c r="DY118"/>
  <c r="DU118"/>
  <c r="DQ118"/>
  <c r="DM118"/>
  <c r="DK119"/>
  <c r="EU119" s="1"/>
  <c r="EH128"/>
  <c r="ED128"/>
  <c r="DZ128"/>
  <c r="DV128"/>
  <c r="DR128"/>
  <c r="DN128"/>
  <c r="DJ128"/>
  <c r="DF128"/>
  <c r="EJ129"/>
  <c r="FT129" s="1"/>
  <c r="EF129"/>
  <c r="FP129" s="1"/>
  <c r="EB129"/>
  <c r="FL129" s="1"/>
  <c r="DX129"/>
  <c r="FH129" s="1"/>
  <c r="DT129"/>
  <c r="FD129" s="1"/>
  <c r="DP129"/>
  <c r="EZ129" s="1"/>
  <c r="DL129"/>
  <c r="EV129" s="1"/>
  <c r="EI130"/>
  <c r="FS130" s="1"/>
  <c r="EE130"/>
  <c r="FO130" s="1"/>
  <c r="EA130"/>
  <c r="FK130" s="1"/>
  <c r="DW130"/>
  <c r="FG130" s="1"/>
  <c r="DS130"/>
  <c r="FC130" s="1"/>
  <c r="DO130"/>
  <c r="EY130" s="1"/>
  <c r="DK130"/>
  <c r="EU130" s="1"/>
  <c r="EJ134"/>
  <c r="FT134" s="1"/>
  <c r="EF134"/>
  <c r="FP134" s="1"/>
  <c r="EB134"/>
  <c r="FL134" s="1"/>
  <c r="DX134"/>
  <c r="FH134" s="1"/>
  <c r="DT134"/>
  <c r="FD134" s="1"/>
  <c r="DP134"/>
  <c r="EZ134" s="1"/>
  <c r="DL134"/>
  <c r="EV134" s="1"/>
  <c r="DH134"/>
  <c r="ER134" s="1"/>
  <c r="DE135"/>
  <c r="EP135"/>
  <c r="FS151"/>
  <c r="FK151"/>
  <c r="FC151"/>
  <c r="EI155"/>
  <c r="FS155" s="1"/>
  <c r="EA155"/>
  <c r="FK155" s="1"/>
  <c r="DS155"/>
  <c r="FC155" s="1"/>
  <c r="DL160"/>
  <c r="EV160" s="1"/>
  <c r="DF161"/>
  <c r="DF91"/>
  <c r="DH91"/>
  <c r="ER91" s="1"/>
  <c r="DJ91"/>
  <c r="ET91" s="1"/>
  <c r="DL91"/>
  <c r="EV91" s="1"/>
  <c r="DN91"/>
  <c r="EX91" s="1"/>
  <c r="DP91"/>
  <c r="EZ91" s="1"/>
  <c r="DR91"/>
  <c r="FB91" s="1"/>
  <c r="DT91"/>
  <c r="FD91" s="1"/>
  <c r="DV91"/>
  <c r="FF91" s="1"/>
  <c r="DX91"/>
  <c r="FH91" s="1"/>
  <c r="DZ91"/>
  <c r="FJ91" s="1"/>
  <c r="EB91"/>
  <c r="FL91" s="1"/>
  <c r="ED91"/>
  <c r="FN91" s="1"/>
  <c r="EF91"/>
  <c r="FP91" s="1"/>
  <c r="EH91"/>
  <c r="FR91" s="1"/>
  <c r="EJ91"/>
  <c r="FT91" s="1"/>
  <c r="DF97"/>
  <c r="DH97"/>
  <c r="ER97" s="1"/>
  <c r="DJ97"/>
  <c r="ET97" s="1"/>
  <c r="DL97"/>
  <c r="EV97" s="1"/>
  <c r="DN97"/>
  <c r="EX97" s="1"/>
  <c r="DP97"/>
  <c r="EZ97" s="1"/>
  <c r="DR97"/>
  <c r="FB97" s="1"/>
  <c r="DT97"/>
  <c r="FD97" s="1"/>
  <c r="DV97"/>
  <c r="FF97" s="1"/>
  <c r="DX97"/>
  <c r="FH97" s="1"/>
  <c r="DZ97"/>
  <c r="FJ97" s="1"/>
  <c r="EB97"/>
  <c r="FL97" s="1"/>
  <c r="ED97"/>
  <c r="FN97" s="1"/>
  <c r="EF97"/>
  <c r="FP97" s="1"/>
  <c r="EH97"/>
  <c r="FR97" s="1"/>
  <c r="EJ97"/>
  <c r="FT97" s="1"/>
  <c r="DF124"/>
  <c r="DH124"/>
  <c r="ER124" s="1"/>
  <c r="DJ124"/>
  <c r="ET124" s="1"/>
  <c r="DL124"/>
  <c r="EV124" s="1"/>
  <c r="DF130"/>
  <c r="DH130"/>
  <c r="ER130" s="1"/>
  <c r="DJ130"/>
  <c r="ET130" s="1"/>
  <c r="DL130"/>
  <c r="EV130" s="1"/>
  <c r="DF133"/>
  <c r="DH133"/>
  <c r="ER133" s="1"/>
  <c r="DJ133"/>
  <c r="ET133" s="1"/>
  <c r="DL133"/>
  <c r="EV133" s="1"/>
  <c r="DN133"/>
  <c r="EX133" s="1"/>
  <c r="DP133"/>
  <c r="EZ133" s="1"/>
  <c r="DR133"/>
  <c r="FB133" s="1"/>
  <c r="DT133"/>
  <c r="FD133" s="1"/>
  <c r="DV133"/>
  <c r="FF133" s="1"/>
  <c r="DX133"/>
  <c r="FH133" s="1"/>
  <c r="DZ133"/>
  <c r="FJ133" s="1"/>
  <c r="EB133"/>
  <c r="FL133" s="1"/>
  <c r="ED133"/>
  <c r="FN133" s="1"/>
  <c r="EF133"/>
  <c r="FP133" s="1"/>
  <c r="EH133"/>
  <c r="FR133" s="1"/>
  <c r="EJ133"/>
  <c r="FT133" s="1"/>
  <c r="DC88"/>
  <c r="DE88"/>
  <c r="DN100"/>
  <c r="EX100" s="1"/>
  <c r="DP100"/>
  <c r="EZ100" s="1"/>
  <c r="DR100"/>
  <c r="FB100" s="1"/>
  <c r="DT100"/>
  <c r="FD100" s="1"/>
  <c r="DV100"/>
  <c r="FF100" s="1"/>
  <c r="DX100"/>
  <c r="FH100" s="1"/>
  <c r="DZ100"/>
  <c r="FJ100" s="1"/>
  <c r="EB100"/>
  <c r="FL100" s="1"/>
  <c r="ED100"/>
  <c r="FN100" s="1"/>
  <c r="EF100"/>
  <c r="FP100" s="1"/>
  <c r="EH100"/>
  <c r="FR100" s="1"/>
  <c r="EJ100"/>
  <c r="FT100" s="1"/>
  <c r="DF101"/>
  <c r="DH101"/>
  <c r="ER101" s="1"/>
  <c r="DJ101"/>
  <c r="ET101" s="1"/>
  <c r="DL101"/>
  <c r="EV101" s="1"/>
  <c r="DF105"/>
  <c r="DH105"/>
  <c r="ER105" s="1"/>
  <c r="DJ105"/>
  <c r="ET105" s="1"/>
  <c r="DL105"/>
  <c r="EV105" s="1"/>
  <c r="DN105"/>
  <c r="EX105" s="1"/>
  <c r="DP105"/>
  <c r="EZ105" s="1"/>
  <c r="DR105"/>
  <c r="FB105" s="1"/>
  <c r="DT105"/>
  <c r="FD105" s="1"/>
  <c r="DV105"/>
  <c r="FF105" s="1"/>
  <c r="DX105"/>
  <c r="FH105" s="1"/>
  <c r="DZ105"/>
  <c r="FJ105" s="1"/>
  <c r="EB105"/>
  <c r="FL105" s="1"/>
  <c r="ED105"/>
  <c r="FN105" s="1"/>
  <c r="EF105"/>
  <c r="FP105" s="1"/>
  <c r="EH105"/>
  <c r="FR105" s="1"/>
  <c r="EJ105"/>
  <c r="FT105" s="1"/>
  <c r="DF109"/>
  <c r="DH109"/>
  <c r="ER109" s="1"/>
  <c r="DJ109"/>
  <c r="ET109" s="1"/>
  <c r="DL109"/>
  <c r="EV109" s="1"/>
  <c r="DN109"/>
  <c r="EX109" s="1"/>
  <c r="DP109"/>
  <c r="EZ109" s="1"/>
  <c r="DR109"/>
  <c r="FB109" s="1"/>
  <c r="DT109"/>
  <c r="FD109" s="1"/>
  <c r="DV109"/>
  <c r="FF109" s="1"/>
  <c r="DX109"/>
  <c r="FH109" s="1"/>
  <c r="DZ109"/>
  <c r="FJ109" s="1"/>
  <c r="EB109"/>
  <c r="FL109" s="1"/>
  <c r="ED109"/>
  <c r="FN109" s="1"/>
  <c r="EF109"/>
  <c r="FP109" s="1"/>
  <c r="EH109"/>
  <c r="FR109" s="1"/>
  <c r="EJ109"/>
  <c r="FT109" s="1"/>
  <c r="DF113"/>
  <c r="DH113"/>
  <c r="ER113" s="1"/>
  <c r="DJ113"/>
  <c r="ET113" s="1"/>
  <c r="DL113"/>
  <c r="EV113" s="1"/>
  <c r="DN113"/>
  <c r="EX113" s="1"/>
  <c r="DP113"/>
  <c r="EZ113" s="1"/>
  <c r="DR113"/>
  <c r="FB113" s="1"/>
  <c r="DT113"/>
  <c r="FD113" s="1"/>
  <c r="DV113"/>
  <c r="FF113" s="1"/>
  <c r="DX113"/>
  <c r="FH113" s="1"/>
  <c r="DZ113"/>
  <c r="FJ113" s="1"/>
  <c r="EB113"/>
  <c r="FL113" s="1"/>
  <c r="ED113"/>
  <c r="FN113" s="1"/>
  <c r="EF113"/>
  <c r="FP113" s="1"/>
  <c r="EH113"/>
  <c r="FR113" s="1"/>
  <c r="EJ113"/>
  <c r="FT113" s="1"/>
  <c r="DF117"/>
  <c r="DH117"/>
  <c r="ER117" s="1"/>
  <c r="DJ117"/>
  <c r="ET117" s="1"/>
  <c r="DL117"/>
  <c r="EV117" s="1"/>
  <c r="DN117"/>
  <c r="EX117" s="1"/>
  <c r="DP117"/>
  <c r="EZ117" s="1"/>
  <c r="DR117"/>
  <c r="FB117" s="1"/>
  <c r="DT117"/>
  <c r="FD117" s="1"/>
  <c r="DV117"/>
  <c r="FF117" s="1"/>
  <c r="DX117"/>
  <c r="FH117" s="1"/>
  <c r="DZ117"/>
  <c r="FJ117" s="1"/>
  <c r="EB117"/>
  <c r="FL117" s="1"/>
  <c r="ED117"/>
  <c r="FN117" s="1"/>
  <c r="EF117"/>
  <c r="FP117" s="1"/>
  <c r="EH117"/>
  <c r="FR117" s="1"/>
  <c r="EJ117"/>
  <c r="FT117" s="1"/>
  <c r="DN118"/>
  <c r="DP118"/>
  <c r="DR118"/>
  <c r="DT118"/>
  <c r="DV118"/>
  <c r="DX118"/>
  <c r="DZ118"/>
  <c r="EB118"/>
  <c r="ED118"/>
  <c r="EF118"/>
  <c r="EH118"/>
  <c r="EJ118"/>
  <c r="DC122"/>
  <c r="DE122"/>
  <c r="DF123"/>
  <c r="DH123"/>
  <c r="ER123" s="1"/>
  <c r="DJ123"/>
  <c r="ET123" s="1"/>
  <c r="DL123"/>
  <c r="DC126"/>
  <c r="DE126"/>
  <c r="DF127"/>
  <c r="DH127"/>
  <c r="ER127" s="1"/>
  <c r="DJ127"/>
  <c r="ET127" s="1"/>
  <c r="DL127"/>
  <c r="EV127" s="1"/>
  <c r="DG129"/>
  <c r="EQ129" s="1"/>
  <c r="DI129"/>
  <c r="ES129" s="1"/>
  <c r="DK129"/>
  <c r="EU129" s="1"/>
  <c r="DM129"/>
  <c r="EW129" s="1"/>
  <c r="DO129"/>
  <c r="EY129" s="1"/>
  <c r="DQ129"/>
  <c r="FA129" s="1"/>
  <c r="DS129"/>
  <c r="FC129" s="1"/>
  <c r="DU129"/>
  <c r="FE129" s="1"/>
  <c r="DW129"/>
  <c r="FG129" s="1"/>
  <c r="DY129"/>
  <c r="FI129" s="1"/>
  <c r="EA129"/>
  <c r="FK129" s="1"/>
  <c r="EC129"/>
  <c r="FM129" s="1"/>
  <c r="EE129"/>
  <c r="FO129" s="1"/>
  <c r="EG129"/>
  <c r="FQ129" s="1"/>
  <c r="EI129"/>
  <c r="FS129" s="1"/>
  <c r="DC132"/>
  <c r="DE132"/>
  <c r="DC138"/>
  <c r="DE138"/>
  <c r="DE217" s="1"/>
  <c r="EK138"/>
  <c r="EP138"/>
  <c r="DC148"/>
  <c r="DE148"/>
  <c r="ER151"/>
  <c r="ET151"/>
  <c r="EV151"/>
  <c r="EX151"/>
  <c r="EZ151"/>
  <c r="FB151"/>
  <c r="FD151"/>
  <c r="FF151"/>
  <c r="FH151"/>
  <c r="FJ151"/>
  <c r="FL151"/>
  <c r="FN151"/>
  <c r="FP151"/>
  <c r="FR151"/>
  <c r="FT151"/>
  <c r="ES151"/>
  <c r="EW151"/>
  <c r="FA151"/>
  <c r="FE151"/>
  <c r="FI151"/>
  <c r="FM151"/>
  <c r="FQ151"/>
  <c r="DF155"/>
  <c r="DH155"/>
  <c r="ER155" s="1"/>
  <c r="DJ155"/>
  <c r="DL155"/>
  <c r="EV155" s="1"/>
  <c r="DN155"/>
  <c r="EX155" s="1"/>
  <c r="DP155"/>
  <c r="EZ155" s="1"/>
  <c r="DR155"/>
  <c r="FB155" s="1"/>
  <c r="DT155"/>
  <c r="FD155" s="1"/>
  <c r="DV155"/>
  <c r="FF155" s="1"/>
  <c r="DX155"/>
  <c r="FH155" s="1"/>
  <c r="DZ155"/>
  <c r="FJ155" s="1"/>
  <c r="EB155"/>
  <c r="FL155" s="1"/>
  <c r="ED155"/>
  <c r="FN155" s="1"/>
  <c r="EF155"/>
  <c r="FP155" s="1"/>
  <c r="EH155"/>
  <c r="FR155" s="1"/>
  <c r="EJ155"/>
  <c r="FT155" s="1"/>
  <c r="DI155"/>
  <c r="DM155"/>
  <c r="EW155" s="1"/>
  <c r="DQ155"/>
  <c r="FA155" s="1"/>
  <c r="DU155"/>
  <c r="FE155" s="1"/>
  <c r="DY155"/>
  <c r="FI155" s="1"/>
  <c r="EC155"/>
  <c r="FM155" s="1"/>
  <c r="EG155"/>
  <c r="FQ155" s="1"/>
  <c r="DC163"/>
  <c r="DE163"/>
  <c r="DE166"/>
  <c r="DC166"/>
  <c r="DO167"/>
  <c r="EY167" s="1"/>
  <c r="DT167"/>
  <c r="FD167" s="1"/>
  <c r="DW167"/>
  <c r="FG167" s="1"/>
  <c r="EB167"/>
  <c r="FL167" s="1"/>
  <c r="EE167"/>
  <c r="FO167" s="1"/>
  <c r="EJ167"/>
  <c r="FT167" s="1"/>
  <c r="DN167"/>
  <c r="EX167" s="1"/>
  <c r="DQ167"/>
  <c r="FA167" s="1"/>
  <c r="DV167"/>
  <c r="FF167" s="1"/>
  <c r="DY167"/>
  <c r="FI167" s="1"/>
  <c r="ED167"/>
  <c r="FN167" s="1"/>
  <c r="EG167"/>
  <c r="FQ167" s="1"/>
  <c r="DS167"/>
  <c r="FC167" s="1"/>
  <c r="DX167"/>
  <c r="FH167" s="1"/>
  <c r="EI167"/>
  <c r="FS167" s="1"/>
  <c r="DR167"/>
  <c r="FB167" s="1"/>
  <c r="EC167"/>
  <c r="FM167" s="1"/>
  <c r="EH167"/>
  <c r="FR167" s="1"/>
  <c r="DG168"/>
  <c r="DI168"/>
  <c r="DK168"/>
  <c r="DM168"/>
  <c r="EW168" s="1"/>
  <c r="DO168"/>
  <c r="EY168" s="1"/>
  <c r="DQ168"/>
  <c r="DS168"/>
  <c r="DU168"/>
  <c r="DW168"/>
  <c r="DY168"/>
  <c r="EA168"/>
  <c r="EC168"/>
  <c r="EE168"/>
  <c r="EG168"/>
  <c r="EI168"/>
  <c r="DL168"/>
  <c r="EV168" s="1"/>
  <c r="DT168"/>
  <c r="EB168"/>
  <c r="EJ168"/>
  <c r="DF168"/>
  <c r="DN168"/>
  <c r="EX168" s="1"/>
  <c r="DV168"/>
  <c r="ED168"/>
  <c r="DH168"/>
  <c r="DX168"/>
  <c r="DR168"/>
  <c r="EH168"/>
  <c r="EP184"/>
  <c r="DH186"/>
  <c r="ER186" s="1"/>
  <c r="DM186"/>
  <c r="EW186" s="1"/>
  <c r="DF186"/>
  <c r="DI186"/>
  <c r="ES186" s="1"/>
  <c r="DL186"/>
  <c r="EV186" s="1"/>
  <c r="DK186"/>
  <c r="EU186" s="1"/>
  <c r="DG186"/>
  <c r="EQ186" s="1"/>
  <c r="DK89"/>
  <c r="DG89"/>
  <c r="EQ89" s="1"/>
  <c r="EG91"/>
  <c r="FQ91" s="1"/>
  <c r="EC91"/>
  <c r="FM91" s="1"/>
  <c r="DY91"/>
  <c r="FI91" s="1"/>
  <c r="DU91"/>
  <c r="FE91" s="1"/>
  <c r="DQ91"/>
  <c r="DM91"/>
  <c r="EW91" s="1"/>
  <c r="DI91"/>
  <c r="ES91" s="1"/>
  <c r="EG93"/>
  <c r="FQ93" s="1"/>
  <c r="EC93"/>
  <c r="FM93" s="1"/>
  <c r="DY93"/>
  <c r="FI93" s="1"/>
  <c r="DU93"/>
  <c r="FE93" s="1"/>
  <c r="DQ93"/>
  <c r="FA93" s="1"/>
  <c r="DM93"/>
  <c r="EW93" s="1"/>
  <c r="DI93"/>
  <c r="ES93" s="1"/>
  <c r="EG95"/>
  <c r="FQ95" s="1"/>
  <c r="EC95"/>
  <c r="FM95" s="1"/>
  <c r="DY95"/>
  <c r="FI95" s="1"/>
  <c r="DU95"/>
  <c r="FE95" s="1"/>
  <c r="DQ95"/>
  <c r="FA95" s="1"/>
  <c r="DM95"/>
  <c r="EW95" s="1"/>
  <c r="DI95"/>
  <c r="ES95" s="1"/>
  <c r="EG97"/>
  <c r="FQ97" s="1"/>
  <c r="EC97"/>
  <c r="FM97" s="1"/>
  <c r="DY97"/>
  <c r="FI97" s="1"/>
  <c r="DU97"/>
  <c r="FE97" s="1"/>
  <c r="DQ97"/>
  <c r="FA97" s="1"/>
  <c r="DM97"/>
  <c r="EW97" s="1"/>
  <c r="DI97"/>
  <c r="ES97" s="1"/>
  <c r="DF107"/>
  <c r="EJ121"/>
  <c r="FT121" s="1"/>
  <c r="EF121"/>
  <c r="FP121" s="1"/>
  <c r="EB121"/>
  <c r="FL121" s="1"/>
  <c r="DX121"/>
  <c r="FH121" s="1"/>
  <c r="DT121"/>
  <c r="FD121" s="1"/>
  <c r="DP121"/>
  <c r="EZ121" s="1"/>
  <c r="DL121"/>
  <c r="EV121" s="1"/>
  <c r="DH121"/>
  <c r="ER121" s="1"/>
  <c r="EG123"/>
  <c r="FQ123" s="1"/>
  <c r="EC123"/>
  <c r="FM123" s="1"/>
  <c r="DY123"/>
  <c r="FI123" s="1"/>
  <c r="DU123"/>
  <c r="FE123" s="1"/>
  <c r="DQ123"/>
  <c r="FA123" s="1"/>
  <c r="DM123"/>
  <c r="EW123" s="1"/>
  <c r="DI123"/>
  <c r="ES123" s="1"/>
  <c r="DK124"/>
  <c r="EU124" s="1"/>
  <c r="DG124"/>
  <c r="EQ124" s="1"/>
  <c r="EG127"/>
  <c r="FQ127" s="1"/>
  <c r="EC127"/>
  <c r="FM127" s="1"/>
  <c r="DY127"/>
  <c r="FI127" s="1"/>
  <c r="DU127"/>
  <c r="FE127" s="1"/>
  <c r="DQ127"/>
  <c r="FA127" s="1"/>
  <c r="DM127"/>
  <c r="EW127" s="1"/>
  <c r="DI127"/>
  <c r="ES127" s="1"/>
  <c r="EK131"/>
  <c r="EG133"/>
  <c r="FQ133" s="1"/>
  <c r="EC133"/>
  <c r="FM133" s="1"/>
  <c r="DY133"/>
  <c r="FI133" s="1"/>
  <c r="DU133"/>
  <c r="FE133" s="1"/>
  <c r="DQ133"/>
  <c r="FA133" s="1"/>
  <c r="DM133"/>
  <c r="EW133" s="1"/>
  <c r="DI133"/>
  <c r="ES133" s="1"/>
  <c r="DI140"/>
  <c r="ES140" s="1"/>
  <c r="DN160"/>
  <c r="EX160" s="1"/>
  <c r="EF161"/>
  <c r="FP161" s="1"/>
  <c r="EK170"/>
  <c r="DU172"/>
  <c r="FE172" s="1"/>
  <c r="DG147"/>
  <c r="EQ147" s="1"/>
  <c r="DI147"/>
  <c r="ES147" s="1"/>
  <c r="DK147"/>
  <c r="DM147"/>
  <c r="DO147"/>
  <c r="EY147" s="1"/>
  <c r="DQ147"/>
  <c r="FA147" s="1"/>
  <c r="DS147"/>
  <c r="FC147" s="1"/>
  <c r="DU147"/>
  <c r="FE147" s="1"/>
  <c r="DW147"/>
  <c r="FG147" s="1"/>
  <c r="DY147"/>
  <c r="FI147" s="1"/>
  <c r="EA147"/>
  <c r="FK147" s="1"/>
  <c r="EC147"/>
  <c r="FM147" s="1"/>
  <c r="EE147"/>
  <c r="FO147" s="1"/>
  <c r="EG147"/>
  <c r="FQ147" s="1"/>
  <c r="EI147"/>
  <c r="FS147" s="1"/>
  <c r="EQ149"/>
  <c r="ES149"/>
  <c r="EU149"/>
  <c r="EW149"/>
  <c r="EY149"/>
  <c r="FA149"/>
  <c r="FC149"/>
  <c r="FE149"/>
  <c r="FG149"/>
  <c r="FI149"/>
  <c r="FK149"/>
  <c r="FM149"/>
  <c r="FO149"/>
  <c r="FQ149"/>
  <c r="FS149"/>
  <c r="DF153"/>
  <c r="DH153"/>
  <c r="ER153" s="1"/>
  <c r="DJ153"/>
  <c r="ET153" s="1"/>
  <c r="DL153"/>
  <c r="DN153"/>
  <c r="EX153" s="1"/>
  <c r="DP153"/>
  <c r="EZ153" s="1"/>
  <c r="DR153"/>
  <c r="FB153" s="1"/>
  <c r="DT153"/>
  <c r="FD153" s="1"/>
  <c r="DV153"/>
  <c r="FF153" s="1"/>
  <c r="DX153"/>
  <c r="FH153" s="1"/>
  <c r="DZ153"/>
  <c r="FJ153" s="1"/>
  <c r="EB153"/>
  <c r="FL153" s="1"/>
  <c r="ED153"/>
  <c r="FN153" s="1"/>
  <c r="EF153"/>
  <c r="FP153" s="1"/>
  <c r="EH153"/>
  <c r="FR153" s="1"/>
  <c r="EJ153"/>
  <c r="FT153" s="1"/>
  <c r="EP156"/>
  <c r="DC173"/>
  <c r="DE173"/>
  <c r="DG179"/>
  <c r="EQ179" s="1"/>
  <c r="DI179"/>
  <c r="ES179" s="1"/>
  <c r="DK179"/>
  <c r="EU179" s="1"/>
  <c r="DM179"/>
  <c r="EW179" s="1"/>
  <c r="DO179"/>
  <c r="EY179" s="1"/>
  <c r="DQ179"/>
  <c r="FA179" s="1"/>
  <c r="DS179"/>
  <c r="FC179" s="1"/>
  <c r="DU179"/>
  <c r="FE179" s="1"/>
  <c r="DW179"/>
  <c r="FG179" s="1"/>
  <c r="DY179"/>
  <c r="FI179" s="1"/>
  <c r="EA179"/>
  <c r="FK179" s="1"/>
  <c r="EC179"/>
  <c r="FM179" s="1"/>
  <c r="EE179"/>
  <c r="FO179" s="1"/>
  <c r="EG179"/>
  <c r="FQ179" s="1"/>
  <c r="EI179"/>
  <c r="FS179" s="1"/>
  <c r="DL179"/>
  <c r="EV179" s="1"/>
  <c r="DT179"/>
  <c r="FD179" s="1"/>
  <c r="EB179"/>
  <c r="FL179" s="1"/>
  <c r="EJ179"/>
  <c r="FT179" s="1"/>
  <c r="DF179"/>
  <c r="DN179"/>
  <c r="EX179" s="1"/>
  <c r="DV179"/>
  <c r="FF179" s="1"/>
  <c r="ED179"/>
  <c r="FN179" s="1"/>
  <c r="DJ179"/>
  <c r="ET179" s="1"/>
  <c r="DZ179"/>
  <c r="FJ179" s="1"/>
  <c r="DH179"/>
  <c r="ER179" s="1"/>
  <c r="DX179"/>
  <c r="FH179" s="1"/>
  <c r="EP180"/>
  <c r="DF181"/>
  <c r="DH181"/>
  <c r="ER181" s="1"/>
  <c r="DJ181"/>
  <c r="ET181" s="1"/>
  <c r="DL181"/>
  <c r="EV181" s="1"/>
  <c r="DK181"/>
  <c r="EU181" s="1"/>
  <c r="DM181"/>
  <c r="EW181" s="1"/>
  <c r="DI181"/>
  <c r="ES181" s="1"/>
  <c r="DG181"/>
  <c r="EQ181" s="1"/>
  <c r="DF185"/>
  <c r="DH185"/>
  <c r="ER185" s="1"/>
  <c r="DJ185"/>
  <c r="ET185" s="1"/>
  <c r="DL185"/>
  <c r="EV185" s="1"/>
  <c r="DI185"/>
  <c r="ES185" s="1"/>
  <c r="DG185"/>
  <c r="EQ185" s="1"/>
  <c r="DM185"/>
  <c r="EW185" s="1"/>
  <c r="DC205"/>
  <c r="DE205"/>
  <c r="H494"/>
  <c r="H464"/>
  <c r="EE99"/>
  <c r="FO99" s="1"/>
  <c r="EC99"/>
  <c r="FM99" s="1"/>
  <c r="EA99"/>
  <c r="FK99" s="1"/>
  <c r="DY99"/>
  <c r="FI99" s="1"/>
  <c r="DW99"/>
  <c r="FG99" s="1"/>
  <c r="DU99"/>
  <c r="FE99" s="1"/>
  <c r="DS99"/>
  <c r="FC99" s="1"/>
  <c r="DQ99"/>
  <c r="FA99" s="1"/>
  <c r="DO99"/>
  <c r="EY99" s="1"/>
  <c r="DM99"/>
  <c r="EW99" s="1"/>
  <c r="DK99"/>
  <c r="EU99" s="1"/>
  <c r="DI99"/>
  <c r="ES99" s="1"/>
  <c r="EI102"/>
  <c r="FS102" s="1"/>
  <c r="EG102"/>
  <c r="FQ102" s="1"/>
  <c r="EE102"/>
  <c r="FO102" s="1"/>
  <c r="EC102"/>
  <c r="FM102" s="1"/>
  <c r="EA102"/>
  <c r="FK102" s="1"/>
  <c r="DY102"/>
  <c r="FI102" s="1"/>
  <c r="DW102"/>
  <c r="FG102" s="1"/>
  <c r="DU102"/>
  <c r="FE102" s="1"/>
  <c r="DS102"/>
  <c r="FC102" s="1"/>
  <c r="DQ102"/>
  <c r="FA102" s="1"/>
  <c r="DO102"/>
  <c r="EY102" s="1"/>
  <c r="DM102"/>
  <c r="EW102" s="1"/>
  <c r="DK102"/>
  <c r="EU102" s="1"/>
  <c r="DI102"/>
  <c r="ES102" s="1"/>
  <c r="EI104"/>
  <c r="FS104" s="1"/>
  <c r="EG104"/>
  <c r="FQ104" s="1"/>
  <c r="EE104"/>
  <c r="FO104" s="1"/>
  <c r="EC104"/>
  <c r="FM104" s="1"/>
  <c r="EA104"/>
  <c r="FK104" s="1"/>
  <c r="DY104"/>
  <c r="FI104" s="1"/>
  <c r="DW104"/>
  <c r="FG104" s="1"/>
  <c r="DU104"/>
  <c r="FE104" s="1"/>
  <c r="DS104"/>
  <c r="FC104" s="1"/>
  <c r="DQ104"/>
  <c r="FA104" s="1"/>
  <c r="DO104"/>
  <c r="EY104" s="1"/>
  <c r="DM104"/>
  <c r="EW104" s="1"/>
  <c r="DK104"/>
  <c r="EU104" s="1"/>
  <c r="DI104"/>
  <c r="ES104" s="1"/>
  <c r="EI106"/>
  <c r="FS106" s="1"/>
  <c r="EG106"/>
  <c r="FQ106" s="1"/>
  <c r="EE106"/>
  <c r="FO106" s="1"/>
  <c r="EC106"/>
  <c r="FM106" s="1"/>
  <c r="EA106"/>
  <c r="FK106" s="1"/>
  <c r="DY106"/>
  <c r="FI106" s="1"/>
  <c r="DW106"/>
  <c r="FG106" s="1"/>
  <c r="DU106"/>
  <c r="FE106" s="1"/>
  <c r="DS106"/>
  <c r="FC106" s="1"/>
  <c r="DQ106"/>
  <c r="FA106" s="1"/>
  <c r="DO106"/>
  <c r="EY106" s="1"/>
  <c r="DM106"/>
  <c r="EW106" s="1"/>
  <c r="DK106"/>
  <c r="EU106" s="1"/>
  <c r="DI106"/>
  <c r="ES106" s="1"/>
  <c r="EJ107"/>
  <c r="FT107" s="1"/>
  <c r="EH107"/>
  <c r="FR107" s="1"/>
  <c r="EF107"/>
  <c r="FP107" s="1"/>
  <c r="ED107"/>
  <c r="FN107" s="1"/>
  <c r="EB107"/>
  <c r="FL107" s="1"/>
  <c r="DZ107"/>
  <c r="FJ107" s="1"/>
  <c r="DX107"/>
  <c r="FH107" s="1"/>
  <c r="DV107"/>
  <c r="FF107" s="1"/>
  <c r="DT107"/>
  <c r="FD107" s="1"/>
  <c r="DR107"/>
  <c r="FB107" s="1"/>
  <c r="DP107"/>
  <c r="EZ107" s="1"/>
  <c r="DN107"/>
  <c r="EX107" s="1"/>
  <c r="DL107"/>
  <c r="EV107" s="1"/>
  <c r="DJ107"/>
  <c r="ET107" s="1"/>
  <c r="DH107"/>
  <c r="ER107" s="1"/>
  <c r="EI108"/>
  <c r="EG108"/>
  <c r="EE108"/>
  <c r="EC108"/>
  <c r="EA108"/>
  <c r="DY108"/>
  <c r="DW108"/>
  <c r="DU108"/>
  <c r="DS108"/>
  <c r="DQ108"/>
  <c r="DO108"/>
  <c r="DM108"/>
  <c r="EW108" s="1"/>
  <c r="DK108"/>
  <c r="EU108" s="1"/>
  <c r="DI108"/>
  <c r="ES108" s="1"/>
  <c r="EI110"/>
  <c r="FS110" s="1"/>
  <c r="EG110"/>
  <c r="FQ110" s="1"/>
  <c r="EE110"/>
  <c r="FO110" s="1"/>
  <c r="EC110"/>
  <c r="FM110" s="1"/>
  <c r="EA110"/>
  <c r="FK110" s="1"/>
  <c r="DY110"/>
  <c r="FI110" s="1"/>
  <c r="DW110"/>
  <c r="FG110" s="1"/>
  <c r="DU110"/>
  <c r="FE110" s="1"/>
  <c r="DS110"/>
  <c r="FC110" s="1"/>
  <c r="DQ110"/>
  <c r="FA110" s="1"/>
  <c r="DO110"/>
  <c r="EY110" s="1"/>
  <c r="DM110"/>
  <c r="EW110" s="1"/>
  <c r="DK110"/>
  <c r="EU110" s="1"/>
  <c r="DI110"/>
  <c r="ES110" s="1"/>
  <c r="EI112"/>
  <c r="FS112" s="1"/>
  <c r="EG112"/>
  <c r="FQ112" s="1"/>
  <c r="EE112"/>
  <c r="FO112" s="1"/>
  <c r="EC112"/>
  <c r="FM112" s="1"/>
  <c r="EA112"/>
  <c r="FK112" s="1"/>
  <c r="DY112"/>
  <c r="FI112" s="1"/>
  <c r="DW112"/>
  <c r="FG112" s="1"/>
  <c r="DU112"/>
  <c r="FE112" s="1"/>
  <c r="DS112"/>
  <c r="FC112" s="1"/>
  <c r="DQ112"/>
  <c r="FA112" s="1"/>
  <c r="DO112"/>
  <c r="EY112" s="1"/>
  <c r="DM112"/>
  <c r="EW112" s="1"/>
  <c r="DK112"/>
  <c r="EU112" s="1"/>
  <c r="DI112"/>
  <c r="ES112" s="1"/>
  <c r="EI114"/>
  <c r="FS114" s="1"/>
  <c r="EG114"/>
  <c r="FQ114" s="1"/>
  <c r="EE114"/>
  <c r="FO114" s="1"/>
  <c r="EC114"/>
  <c r="FM114" s="1"/>
  <c r="EA114"/>
  <c r="FK114" s="1"/>
  <c r="DY114"/>
  <c r="FI114" s="1"/>
  <c r="DW114"/>
  <c r="FG114" s="1"/>
  <c r="DU114"/>
  <c r="FE114" s="1"/>
  <c r="DS114"/>
  <c r="FC114" s="1"/>
  <c r="DQ114"/>
  <c r="FA114" s="1"/>
  <c r="DO114"/>
  <c r="EY114" s="1"/>
  <c r="DM114"/>
  <c r="EW114" s="1"/>
  <c r="DK114"/>
  <c r="EU114" s="1"/>
  <c r="DI114"/>
  <c r="ES114" s="1"/>
  <c r="EI116"/>
  <c r="FS116" s="1"/>
  <c r="EG116"/>
  <c r="FQ116" s="1"/>
  <c r="EE116"/>
  <c r="FO116" s="1"/>
  <c r="EC116"/>
  <c r="FM116" s="1"/>
  <c r="EA116"/>
  <c r="FK116" s="1"/>
  <c r="DY116"/>
  <c r="FI116" s="1"/>
  <c r="DW116"/>
  <c r="FG116" s="1"/>
  <c r="DU116"/>
  <c r="FE116" s="1"/>
  <c r="DS116"/>
  <c r="FC116" s="1"/>
  <c r="DQ116"/>
  <c r="FA116" s="1"/>
  <c r="DO116"/>
  <c r="EY116" s="1"/>
  <c r="DM116"/>
  <c r="DK116"/>
  <c r="DI116"/>
  <c r="EI125"/>
  <c r="FS125" s="1"/>
  <c r="EG125"/>
  <c r="FQ125" s="1"/>
  <c r="EE125"/>
  <c r="FO125" s="1"/>
  <c r="EC125"/>
  <c r="FM125" s="1"/>
  <c r="EA125"/>
  <c r="FK125" s="1"/>
  <c r="DY125"/>
  <c r="FI125" s="1"/>
  <c r="DW125"/>
  <c r="FG125" s="1"/>
  <c r="DU125"/>
  <c r="FE125" s="1"/>
  <c r="DS125"/>
  <c r="FC125" s="1"/>
  <c r="DQ125"/>
  <c r="FA125" s="1"/>
  <c r="DO125"/>
  <c r="EY125" s="1"/>
  <c r="DM125"/>
  <c r="EW125" s="1"/>
  <c r="DK125"/>
  <c r="EU125" s="1"/>
  <c r="DI125"/>
  <c r="ES125" s="1"/>
  <c r="EI136"/>
  <c r="FS136" s="1"/>
  <c r="EG136"/>
  <c r="FQ136" s="1"/>
  <c r="EE136"/>
  <c r="FO136" s="1"/>
  <c r="EC136"/>
  <c r="FM136" s="1"/>
  <c r="EA136"/>
  <c r="FK136" s="1"/>
  <c r="DY136"/>
  <c r="FI136" s="1"/>
  <c r="DW136"/>
  <c r="FG136" s="1"/>
  <c r="DU136"/>
  <c r="FE136" s="1"/>
  <c r="DS136"/>
  <c r="FC136" s="1"/>
  <c r="DQ136"/>
  <c r="FA136" s="1"/>
  <c r="DO136"/>
  <c r="EY136" s="1"/>
  <c r="DM136"/>
  <c r="EW136" s="1"/>
  <c r="DK136"/>
  <c r="EU136" s="1"/>
  <c r="DI136"/>
  <c r="ES136" s="1"/>
  <c r="EH139"/>
  <c r="FR139" s="1"/>
  <c r="EC139"/>
  <c r="FM139" s="1"/>
  <c r="DZ139"/>
  <c r="FJ139" s="1"/>
  <c r="DU139"/>
  <c r="FE139" s="1"/>
  <c r="DR139"/>
  <c r="FB139" s="1"/>
  <c r="DM139"/>
  <c r="EW139" s="1"/>
  <c r="DM159"/>
  <c r="EW159" s="1"/>
  <c r="DF140"/>
  <c r="DH140"/>
  <c r="ER140" s="1"/>
  <c r="DJ140"/>
  <c r="ET140" s="1"/>
  <c r="DL140"/>
  <c r="EV140" s="1"/>
  <c r="DN140"/>
  <c r="EX140" s="1"/>
  <c r="DP140"/>
  <c r="EZ140" s="1"/>
  <c r="DR140"/>
  <c r="FB140" s="1"/>
  <c r="DT140"/>
  <c r="FD140" s="1"/>
  <c r="DV140"/>
  <c r="FF140" s="1"/>
  <c r="DX140"/>
  <c r="FH140" s="1"/>
  <c r="DZ140"/>
  <c r="FJ140" s="1"/>
  <c r="EB140"/>
  <c r="FL140" s="1"/>
  <c r="ED140"/>
  <c r="FN140" s="1"/>
  <c r="EF140"/>
  <c r="FP140" s="1"/>
  <c r="EH140"/>
  <c r="FR140" s="1"/>
  <c r="EJ140"/>
  <c r="FT140" s="1"/>
  <c r="DF141"/>
  <c r="DH141"/>
  <c r="ER141" s="1"/>
  <c r="DJ141"/>
  <c r="ET141" s="1"/>
  <c r="DL141"/>
  <c r="EV141" s="1"/>
  <c r="DN141"/>
  <c r="EX141" s="1"/>
  <c r="DP141"/>
  <c r="EZ141" s="1"/>
  <c r="DR141"/>
  <c r="FB141" s="1"/>
  <c r="DT141"/>
  <c r="FD141" s="1"/>
  <c r="DV141"/>
  <c r="FF141" s="1"/>
  <c r="DX141"/>
  <c r="FH141" s="1"/>
  <c r="DZ141"/>
  <c r="FJ141" s="1"/>
  <c r="EB141"/>
  <c r="FL141" s="1"/>
  <c r="ED141"/>
  <c r="FN141" s="1"/>
  <c r="EF141"/>
  <c r="FP141" s="1"/>
  <c r="EH141"/>
  <c r="FR141" s="1"/>
  <c r="EJ141"/>
  <c r="FT141" s="1"/>
  <c r="DF144"/>
  <c r="DH144"/>
  <c r="ER144" s="1"/>
  <c r="DJ144"/>
  <c r="ET144" s="1"/>
  <c r="DL144"/>
  <c r="EV144" s="1"/>
  <c r="DC147"/>
  <c r="DE147"/>
  <c r="DI159"/>
  <c r="ES159" s="1"/>
  <c r="DL159"/>
  <c r="EV159" s="1"/>
  <c r="DF159"/>
  <c r="DK159"/>
  <c r="EU159" s="1"/>
  <c r="EP164"/>
  <c r="DJ184"/>
  <c r="ET184" s="1"/>
  <c r="DM184"/>
  <c r="EW184" s="1"/>
  <c r="DR184"/>
  <c r="FB184" s="1"/>
  <c r="DU184"/>
  <c r="FE184" s="1"/>
  <c r="DZ184"/>
  <c r="FJ184" s="1"/>
  <c r="EC184"/>
  <c r="FM184" s="1"/>
  <c r="EH184"/>
  <c r="FR184" s="1"/>
  <c r="DH184"/>
  <c r="ER184" s="1"/>
  <c r="DO184"/>
  <c r="EY184" s="1"/>
  <c r="DS184"/>
  <c r="FC184" s="1"/>
  <c r="DV184"/>
  <c r="FF184" s="1"/>
  <c r="EG184"/>
  <c r="FQ184" s="1"/>
  <c r="EJ184"/>
  <c r="FT184" s="1"/>
  <c r="DG184"/>
  <c r="EQ184" s="1"/>
  <c r="DK184"/>
  <c r="EU184" s="1"/>
  <c r="DN184"/>
  <c r="EX184" s="1"/>
  <c r="DY184"/>
  <c r="FI184" s="1"/>
  <c r="EB184"/>
  <c r="FL184" s="1"/>
  <c r="EF184"/>
  <c r="FP184" s="1"/>
  <c r="DQ184"/>
  <c r="FA184" s="1"/>
  <c r="DX184"/>
  <c r="FH184" s="1"/>
  <c r="EE184"/>
  <c r="FO184" s="1"/>
  <c r="DI184"/>
  <c r="ES184" s="1"/>
  <c r="DP184"/>
  <c r="EZ184" s="1"/>
  <c r="DW184"/>
  <c r="FG184" s="1"/>
  <c r="ED184"/>
  <c r="FN184" s="1"/>
  <c r="DC186"/>
  <c r="DE186"/>
  <c r="EJ89"/>
  <c r="FT89" s="1"/>
  <c r="EH89"/>
  <c r="FR89" s="1"/>
  <c r="EF89"/>
  <c r="FP89" s="1"/>
  <c r="ED89"/>
  <c r="FN89" s="1"/>
  <c r="EB89"/>
  <c r="FL89" s="1"/>
  <c r="DZ89"/>
  <c r="FJ89" s="1"/>
  <c r="DX89"/>
  <c r="FH89" s="1"/>
  <c r="DV89"/>
  <c r="FF89" s="1"/>
  <c r="DT89"/>
  <c r="FD89" s="1"/>
  <c r="DR89"/>
  <c r="FB89" s="1"/>
  <c r="DP89"/>
  <c r="DG166"/>
  <c r="EQ166" s="1"/>
  <c r="DG157"/>
  <c r="EQ157" s="1"/>
  <c r="DI157"/>
  <c r="ES157" s="1"/>
  <c r="DK157"/>
  <c r="EU157" s="1"/>
  <c r="DM157"/>
  <c r="EW157" s="1"/>
  <c r="DO157"/>
  <c r="EY157" s="1"/>
  <c r="DQ157"/>
  <c r="FA157" s="1"/>
  <c r="DS157"/>
  <c r="FC157" s="1"/>
  <c r="DU157"/>
  <c r="FE157" s="1"/>
  <c r="DW157"/>
  <c r="FG157" s="1"/>
  <c r="DY157"/>
  <c r="FI157" s="1"/>
  <c r="EA157"/>
  <c r="FK157" s="1"/>
  <c r="EC157"/>
  <c r="FM157" s="1"/>
  <c r="EE157"/>
  <c r="FO157" s="1"/>
  <c r="EG157"/>
  <c r="FQ157" s="1"/>
  <c r="EI157"/>
  <c r="FS157" s="1"/>
  <c r="DG171"/>
  <c r="EQ171" s="1"/>
  <c r="DI171"/>
  <c r="ES171" s="1"/>
  <c r="DK171"/>
  <c r="EU171" s="1"/>
  <c r="DM171"/>
  <c r="EW171" s="1"/>
  <c r="DO171"/>
  <c r="EY171" s="1"/>
  <c r="DQ171"/>
  <c r="FA171" s="1"/>
  <c r="DS171"/>
  <c r="FC171" s="1"/>
  <c r="DU171"/>
  <c r="FE171" s="1"/>
  <c r="DW171"/>
  <c r="FG171" s="1"/>
  <c r="DY171"/>
  <c r="FI171" s="1"/>
  <c r="EA171"/>
  <c r="FK171" s="1"/>
  <c r="EC171"/>
  <c r="FM171" s="1"/>
  <c r="EE171"/>
  <c r="FO171" s="1"/>
  <c r="EG171"/>
  <c r="FQ171" s="1"/>
  <c r="EI171"/>
  <c r="FS171" s="1"/>
  <c r="DF176"/>
  <c r="DH176"/>
  <c r="ER176" s="1"/>
  <c r="DJ176"/>
  <c r="ET176" s="1"/>
  <c r="DL176"/>
  <c r="EV176" s="1"/>
  <c r="DN176"/>
  <c r="EX176" s="1"/>
  <c r="DP176"/>
  <c r="EZ176" s="1"/>
  <c r="DR176"/>
  <c r="FB176" s="1"/>
  <c r="DT176"/>
  <c r="FD176" s="1"/>
  <c r="DV176"/>
  <c r="FF176" s="1"/>
  <c r="DX176"/>
  <c r="FH176" s="1"/>
  <c r="DZ176"/>
  <c r="FJ176" s="1"/>
  <c r="EB176"/>
  <c r="FL176" s="1"/>
  <c r="ED176"/>
  <c r="FN176" s="1"/>
  <c r="EF176"/>
  <c r="FP176" s="1"/>
  <c r="EH176"/>
  <c r="FR176" s="1"/>
  <c r="EJ176"/>
  <c r="FT176" s="1"/>
  <c r="DG176"/>
  <c r="EQ176" s="1"/>
  <c r="DO176"/>
  <c r="EY176" s="1"/>
  <c r="DW176"/>
  <c r="FG176" s="1"/>
  <c r="EE176"/>
  <c r="FO176" s="1"/>
  <c r="DI176"/>
  <c r="ES176" s="1"/>
  <c r="DQ176"/>
  <c r="FA176" s="1"/>
  <c r="DY176"/>
  <c r="FI176" s="1"/>
  <c r="EG176"/>
  <c r="FQ176" s="1"/>
  <c r="DG177"/>
  <c r="EQ177" s="1"/>
  <c r="DI177"/>
  <c r="ES177" s="1"/>
  <c r="DK177"/>
  <c r="EU177" s="1"/>
  <c r="DM177"/>
  <c r="EW177" s="1"/>
  <c r="DO177"/>
  <c r="EY177" s="1"/>
  <c r="DQ177"/>
  <c r="FA177" s="1"/>
  <c r="DS177"/>
  <c r="FC177" s="1"/>
  <c r="DU177"/>
  <c r="FE177" s="1"/>
  <c r="DW177"/>
  <c r="FG177" s="1"/>
  <c r="DY177"/>
  <c r="FI177" s="1"/>
  <c r="EA177"/>
  <c r="FK177" s="1"/>
  <c r="EC177"/>
  <c r="FM177" s="1"/>
  <c r="EE177"/>
  <c r="FO177" s="1"/>
  <c r="EG177"/>
  <c r="FQ177" s="1"/>
  <c r="EI177"/>
  <c r="FS177" s="1"/>
  <c r="DJ177"/>
  <c r="ET177" s="1"/>
  <c r="DR177"/>
  <c r="FB177" s="1"/>
  <c r="DZ177"/>
  <c r="FJ177" s="1"/>
  <c r="EH177"/>
  <c r="FR177" s="1"/>
  <c r="DL177"/>
  <c r="EV177" s="1"/>
  <c r="DT177"/>
  <c r="FD177" s="1"/>
  <c r="EB177"/>
  <c r="FL177" s="1"/>
  <c r="EJ177"/>
  <c r="FT177" s="1"/>
  <c r="DC182"/>
  <c r="DE182"/>
  <c r="EK182"/>
  <c r="EP182"/>
  <c r="EK193"/>
  <c r="EP193"/>
  <c r="FU193" s="1"/>
  <c r="DE196"/>
  <c r="DC196"/>
  <c r="EK207"/>
  <c r="EP207"/>
  <c r="FU207" s="1"/>
  <c r="CM88"/>
  <c r="AJ377"/>
  <c r="DU143"/>
  <c r="FE143" s="1"/>
  <c r="DS143"/>
  <c r="FC143" s="1"/>
  <c r="DQ143"/>
  <c r="FA143" s="1"/>
  <c r="DO143"/>
  <c r="EY143" s="1"/>
  <c r="DM143"/>
  <c r="EW143" s="1"/>
  <c r="DK143"/>
  <c r="EU143" s="1"/>
  <c r="DI143"/>
  <c r="ES143" s="1"/>
  <c r="EI146"/>
  <c r="FS146" s="1"/>
  <c r="EG146"/>
  <c r="FQ146" s="1"/>
  <c r="EE146"/>
  <c r="FO146" s="1"/>
  <c r="EC146"/>
  <c r="FM146" s="1"/>
  <c r="EA146"/>
  <c r="FK146" s="1"/>
  <c r="DY146"/>
  <c r="FI146" s="1"/>
  <c r="DW146"/>
  <c r="FG146" s="1"/>
  <c r="DU146"/>
  <c r="FE146" s="1"/>
  <c r="DS146"/>
  <c r="FC146" s="1"/>
  <c r="DQ146"/>
  <c r="FA146" s="1"/>
  <c r="DO146"/>
  <c r="EY146" s="1"/>
  <c r="DM146"/>
  <c r="EW146" s="1"/>
  <c r="DK146"/>
  <c r="EU146" s="1"/>
  <c r="DI146"/>
  <c r="ES146" s="1"/>
  <c r="FS150"/>
  <c r="FQ150"/>
  <c r="FO150"/>
  <c r="FM150"/>
  <c r="FK150"/>
  <c r="FI150"/>
  <c r="FG150"/>
  <c r="FE150"/>
  <c r="FC150"/>
  <c r="FA150"/>
  <c r="EY150"/>
  <c r="EW150"/>
  <c r="EU150"/>
  <c r="ES150"/>
  <c r="EI152"/>
  <c r="FS152" s="1"/>
  <c r="EG152"/>
  <c r="FQ152" s="1"/>
  <c r="EE152"/>
  <c r="FO152" s="1"/>
  <c r="EC152"/>
  <c r="FM152" s="1"/>
  <c r="EA152"/>
  <c r="FK152" s="1"/>
  <c r="DY152"/>
  <c r="FI152" s="1"/>
  <c r="DW152"/>
  <c r="FG152" s="1"/>
  <c r="DU152"/>
  <c r="FE152" s="1"/>
  <c r="DS152"/>
  <c r="FC152" s="1"/>
  <c r="DQ152"/>
  <c r="FA152" s="1"/>
  <c r="DO152"/>
  <c r="EY152" s="1"/>
  <c r="DM152"/>
  <c r="EW152" s="1"/>
  <c r="DK152"/>
  <c r="EU152" s="1"/>
  <c r="DI152"/>
  <c r="ES152" s="1"/>
  <c r="EI154"/>
  <c r="FS154" s="1"/>
  <c r="EG154"/>
  <c r="FQ154" s="1"/>
  <c r="EE154"/>
  <c r="FO154" s="1"/>
  <c r="EC154"/>
  <c r="FM154" s="1"/>
  <c r="EA154"/>
  <c r="FK154" s="1"/>
  <c r="DY154"/>
  <c r="FI154" s="1"/>
  <c r="DW154"/>
  <c r="FG154" s="1"/>
  <c r="DU154"/>
  <c r="FE154" s="1"/>
  <c r="DS154"/>
  <c r="FC154" s="1"/>
  <c r="DQ154"/>
  <c r="FA154" s="1"/>
  <c r="DO154"/>
  <c r="EY154" s="1"/>
  <c r="DM154"/>
  <c r="DK154"/>
  <c r="DI154"/>
  <c r="ES154" s="1"/>
  <c r="DM156"/>
  <c r="EW156" s="1"/>
  <c r="DK156"/>
  <c r="EU156" s="1"/>
  <c r="EK158"/>
  <c r="EK162"/>
  <c r="EH164"/>
  <c r="FR164" s="1"/>
  <c r="EC164"/>
  <c r="FM164" s="1"/>
  <c r="DZ164"/>
  <c r="FJ164" s="1"/>
  <c r="DU164"/>
  <c r="FE164" s="1"/>
  <c r="DR164"/>
  <c r="FB164" s="1"/>
  <c r="DM164"/>
  <c r="EW164" s="1"/>
  <c r="EK165"/>
  <c r="DL166"/>
  <c r="EV166" s="1"/>
  <c r="EG169"/>
  <c r="FQ169" s="1"/>
  <c r="EC169"/>
  <c r="FM169" s="1"/>
  <c r="DY169"/>
  <c r="FI169" s="1"/>
  <c r="DU169"/>
  <c r="FE169" s="1"/>
  <c r="DQ169"/>
  <c r="FA169" s="1"/>
  <c r="DM169"/>
  <c r="EW169" s="1"/>
  <c r="EK173"/>
  <c r="DF169"/>
  <c r="DH169"/>
  <c r="ER169" s="1"/>
  <c r="DJ169"/>
  <c r="ET169" s="1"/>
  <c r="DL169"/>
  <c r="EV169" s="1"/>
  <c r="DN169"/>
  <c r="EX169" s="1"/>
  <c r="DP169"/>
  <c r="EZ169" s="1"/>
  <c r="DR169"/>
  <c r="FB169" s="1"/>
  <c r="DT169"/>
  <c r="FD169" s="1"/>
  <c r="DV169"/>
  <c r="FF169" s="1"/>
  <c r="DX169"/>
  <c r="FH169" s="1"/>
  <c r="DZ169"/>
  <c r="FJ169" s="1"/>
  <c r="EB169"/>
  <c r="FL169" s="1"/>
  <c r="ED169"/>
  <c r="FN169" s="1"/>
  <c r="EF169"/>
  <c r="FP169" s="1"/>
  <c r="EH169"/>
  <c r="FR169" s="1"/>
  <c r="EJ169"/>
  <c r="FT169" s="1"/>
  <c r="DC171"/>
  <c r="DE171"/>
  <c r="DC177"/>
  <c r="DE177"/>
  <c r="DE184"/>
  <c r="DC184"/>
  <c r="DG187"/>
  <c r="EQ187" s="1"/>
  <c r="DI187"/>
  <c r="ES187" s="1"/>
  <c r="DK187"/>
  <c r="EU187" s="1"/>
  <c r="DM187"/>
  <c r="EW187" s="1"/>
  <c r="DO187"/>
  <c r="EY187" s="1"/>
  <c r="DQ187"/>
  <c r="FA187" s="1"/>
  <c r="DS187"/>
  <c r="FC187" s="1"/>
  <c r="DU187"/>
  <c r="FE187" s="1"/>
  <c r="DW187"/>
  <c r="FG187" s="1"/>
  <c r="DY187"/>
  <c r="FI187" s="1"/>
  <c r="EA187"/>
  <c r="FK187" s="1"/>
  <c r="EC187"/>
  <c r="FM187" s="1"/>
  <c r="EE187"/>
  <c r="FO187" s="1"/>
  <c r="EG187"/>
  <c r="FQ187" s="1"/>
  <c r="EI187"/>
  <c r="FS187" s="1"/>
  <c r="DL187"/>
  <c r="EV187" s="1"/>
  <c r="DT187"/>
  <c r="FD187" s="1"/>
  <c r="EB187"/>
  <c r="FL187" s="1"/>
  <c r="EJ187"/>
  <c r="FT187" s="1"/>
  <c r="DN187"/>
  <c r="EX187" s="1"/>
  <c r="DR187"/>
  <c r="FB187" s="1"/>
  <c r="EF187"/>
  <c r="FP187" s="1"/>
  <c r="DF187"/>
  <c r="DJ187"/>
  <c r="ET187" s="1"/>
  <c r="DX187"/>
  <c r="FH187" s="1"/>
  <c r="DC190"/>
  <c r="DE190"/>
  <c r="EK194"/>
  <c r="EP194"/>
  <c r="FU194" s="1"/>
  <c r="EP200"/>
  <c r="FU200" s="1"/>
  <c r="EK200"/>
  <c r="EK202"/>
  <c r="EP202"/>
  <c r="FU202" s="1"/>
  <c r="I382"/>
  <c r="I380"/>
  <c r="I376"/>
  <c r="I378"/>
  <c r="I373"/>
  <c r="I381"/>
  <c r="I379"/>
  <c r="I377"/>
  <c r="I375"/>
  <c r="I374"/>
  <c r="DG175"/>
  <c r="EQ175" s="1"/>
  <c r="DI175"/>
  <c r="ES175" s="1"/>
  <c r="DK175"/>
  <c r="DM175"/>
  <c r="DO175"/>
  <c r="EY175" s="1"/>
  <c r="DQ175"/>
  <c r="FA175" s="1"/>
  <c r="DS175"/>
  <c r="FC175" s="1"/>
  <c r="DU175"/>
  <c r="FE175" s="1"/>
  <c r="DW175"/>
  <c r="FG175" s="1"/>
  <c r="DY175"/>
  <c r="FI175" s="1"/>
  <c r="EA175"/>
  <c r="FK175" s="1"/>
  <c r="EC175"/>
  <c r="FM175" s="1"/>
  <c r="EE175"/>
  <c r="FO175" s="1"/>
  <c r="EG175"/>
  <c r="FQ175" s="1"/>
  <c r="EI175"/>
  <c r="FS175" s="1"/>
  <c r="DG180"/>
  <c r="EQ180" s="1"/>
  <c r="DL180"/>
  <c r="EV180" s="1"/>
  <c r="DG183"/>
  <c r="EQ183" s="1"/>
  <c r="DI183"/>
  <c r="ES183" s="1"/>
  <c r="DK183"/>
  <c r="EU183" s="1"/>
  <c r="DM183"/>
  <c r="EW183" s="1"/>
  <c r="DO183"/>
  <c r="EY183" s="1"/>
  <c r="DQ183"/>
  <c r="FA183" s="1"/>
  <c r="DS183"/>
  <c r="FC183" s="1"/>
  <c r="DU183"/>
  <c r="FE183" s="1"/>
  <c r="DW183"/>
  <c r="FG183" s="1"/>
  <c r="DY183"/>
  <c r="FI183" s="1"/>
  <c r="EA183"/>
  <c r="FK183" s="1"/>
  <c r="EC183"/>
  <c r="FM183" s="1"/>
  <c r="EE183"/>
  <c r="FO183" s="1"/>
  <c r="EG183"/>
  <c r="FQ183" s="1"/>
  <c r="EI183"/>
  <c r="FS183" s="1"/>
  <c r="DF183"/>
  <c r="DN183"/>
  <c r="EX183" s="1"/>
  <c r="DV183"/>
  <c r="FF183" s="1"/>
  <c r="ED183"/>
  <c r="FN183" s="1"/>
  <c r="DN185"/>
  <c r="EX185" s="1"/>
  <c r="DP185"/>
  <c r="EZ185" s="1"/>
  <c r="DR185"/>
  <c r="FB185" s="1"/>
  <c r="DT185"/>
  <c r="FD185" s="1"/>
  <c r="DV185"/>
  <c r="FF185" s="1"/>
  <c r="DX185"/>
  <c r="FH185" s="1"/>
  <c r="DZ185"/>
  <c r="FJ185" s="1"/>
  <c r="EB185"/>
  <c r="FL185" s="1"/>
  <c r="ED185"/>
  <c r="FN185" s="1"/>
  <c r="EF185"/>
  <c r="FP185" s="1"/>
  <c r="EH185"/>
  <c r="FR185" s="1"/>
  <c r="EJ185"/>
  <c r="FT185" s="1"/>
  <c r="DQ185"/>
  <c r="FA185" s="1"/>
  <c r="DY185"/>
  <c r="FI185" s="1"/>
  <c r="EG185"/>
  <c r="FQ185" s="1"/>
  <c r="DC187"/>
  <c r="DE187"/>
  <c r="EP188"/>
  <c r="FU188" s="1"/>
  <c r="EK188"/>
  <c r="DC201"/>
  <c r="DE201"/>
  <c r="EP206"/>
  <c r="FU206" s="1"/>
  <c r="EK206"/>
  <c r="G551"/>
  <c r="DF174"/>
  <c r="DH174"/>
  <c r="ER174" s="1"/>
  <c r="DJ174"/>
  <c r="ET174" s="1"/>
  <c r="DL174"/>
  <c r="EV174" s="1"/>
  <c r="DN174"/>
  <c r="EX174" s="1"/>
  <c r="DP174"/>
  <c r="EZ174" s="1"/>
  <c r="DO180"/>
  <c r="EY180" s="1"/>
  <c r="DT180"/>
  <c r="FD180" s="1"/>
  <c r="DW180"/>
  <c r="FG180" s="1"/>
  <c r="EB180"/>
  <c r="FL180" s="1"/>
  <c r="EE180"/>
  <c r="FO180" s="1"/>
  <c r="EJ180"/>
  <c r="FT180" s="1"/>
  <c r="ED175"/>
  <c r="FN175" s="1"/>
  <c r="DV175"/>
  <c r="FF175" s="1"/>
  <c r="DN175"/>
  <c r="DF175"/>
  <c r="DM178"/>
  <c r="DE179"/>
  <c r="DM180"/>
  <c r="EW180" s="1"/>
  <c r="DI180"/>
  <c r="ES180" s="1"/>
  <c r="EB183"/>
  <c r="FL183" s="1"/>
  <c r="DX183"/>
  <c r="FH183" s="1"/>
  <c r="DJ183"/>
  <c r="ET183" s="1"/>
  <c r="EI185"/>
  <c r="FS185" s="1"/>
  <c r="DU185"/>
  <c r="FE185" s="1"/>
  <c r="DE189"/>
  <c r="EP190"/>
  <c r="FU190" s="1"/>
  <c r="DE207"/>
  <c r="DN181"/>
  <c r="EX181" s="1"/>
  <c r="DP181"/>
  <c r="EZ181" s="1"/>
  <c r="DR181"/>
  <c r="FB181" s="1"/>
  <c r="DT181"/>
  <c r="FD181" s="1"/>
  <c r="DV181"/>
  <c r="FF181" s="1"/>
  <c r="DX181"/>
  <c r="FH181" s="1"/>
  <c r="DZ181"/>
  <c r="FJ181" s="1"/>
  <c r="EB181"/>
  <c r="FL181" s="1"/>
  <c r="ED181"/>
  <c r="FN181" s="1"/>
  <c r="EF181"/>
  <c r="FP181" s="1"/>
  <c r="EH181"/>
  <c r="FR181" s="1"/>
  <c r="EJ181"/>
  <c r="FT181" s="1"/>
  <c r="H381"/>
  <c r="H377"/>
  <c r="H373"/>
  <c r="H376"/>
  <c r="H374"/>
  <c r="AJ30"/>
  <c r="AJ46" s="1"/>
  <c r="AJ432" s="1"/>
  <c r="AJ21"/>
  <c r="AJ37" s="1"/>
  <c r="AF21"/>
  <c r="AF37" s="1"/>
  <c r="AF30"/>
  <c r="AF46" s="1"/>
  <c r="AF432" s="1"/>
  <c r="AB30"/>
  <c r="AB46" s="1"/>
  <c r="AB432" s="1"/>
  <c r="AB21"/>
  <c r="AB37" s="1"/>
  <c r="P21"/>
  <c r="P30"/>
  <c r="P46" s="1"/>
  <c r="P432" s="1"/>
  <c r="AH28"/>
  <c r="AH44" s="1"/>
  <c r="AD28"/>
  <c r="AD44" s="1"/>
  <c r="Z28"/>
  <c r="Z44" s="1"/>
  <c r="V28"/>
  <c r="V44" s="1"/>
  <c r="R28"/>
  <c r="R44" s="1"/>
  <c r="N28"/>
  <c r="N44" s="1"/>
  <c r="J28"/>
  <c r="CM128"/>
  <c r="H480"/>
  <c r="H470"/>
  <c r="O382"/>
  <c r="O378"/>
  <c r="O374"/>
  <c r="AH23"/>
  <c r="AH39" s="1"/>
  <c r="AH30"/>
  <c r="AH46" s="1"/>
  <c r="AH432" s="1"/>
  <c r="AD23"/>
  <c r="AD39" s="1"/>
  <c r="AD30"/>
  <c r="AD46" s="1"/>
  <c r="AD432" s="1"/>
  <c r="Z23"/>
  <c r="Z39" s="1"/>
  <c r="Z30"/>
  <c r="Z46" s="1"/>
  <c r="Z432" s="1"/>
  <c r="V23"/>
  <c r="V39" s="1"/>
  <c r="V30"/>
  <c r="V46" s="1"/>
  <c r="V432" s="1"/>
  <c r="R23"/>
  <c r="R39" s="1"/>
  <c r="R30"/>
  <c r="R46" s="1"/>
  <c r="R432" s="1"/>
  <c r="N23"/>
  <c r="N39" s="1"/>
  <c r="N30"/>
  <c r="N46" s="1"/>
  <c r="N432" s="1"/>
  <c r="J23"/>
  <c r="J30"/>
  <c r="D70"/>
  <c r="E459"/>
  <c r="G22"/>
  <c r="D71"/>
  <c r="AH26"/>
  <c r="AH42" s="1"/>
  <c r="AD26"/>
  <c r="AD42" s="1"/>
  <c r="Z26"/>
  <c r="Z42" s="1"/>
  <c r="V26"/>
  <c r="V42" s="1"/>
  <c r="R26"/>
  <c r="R42" s="1"/>
  <c r="N26"/>
  <c r="N42" s="1"/>
  <c r="J26"/>
  <c r="AH24"/>
  <c r="AH40" s="1"/>
  <c r="AD24"/>
  <c r="AD40" s="1"/>
  <c r="Z24"/>
  <c r="Z40" s="1"/>
  <c r="V24"/>
  <c r="V40" s="1"/>
  <c r="R24"/>
  <c r="R40" s="1"/>
  <c r="N24"/>
  <c r="N40" s="1"/>
  <c r="J24"/>
  <c r="J40" s="1"/>
  <c r="D459"/>
  <c r="D461"/>
  <c r="D463"/>
  <c r="D465"/>
  <c r="D467"/>
  <c r="D469"/>
  <c r="D471"/>
  <c r="D473"/>
  <c r="D475"/>
  <c r="D477"/>
  <c r="D479"/>
  <c r="D481"/>
  <c r="D483"/>
  <c r="D485"/>
  <c r="D487"/>
  <c r="D489"/>
  <c r="D491"/>
  <c r="D493"/>
  <c r="D495"/>
  <c r="D497"/>
  <c r="D499"/>
  <c r="D501"/>
  <c r="D503"/>
  <c r="D505"/>
  <c r="D507"/>
  <c r="D509"/>
  <c r="D511"/>
  <c r="D513"/>
  <c r="D515"/>
  <c r="D517"/>
  <c r="J552"/>
  <c r="K552" s="1"/>
  <c r="AI24"/>
  <c r="AI40" s="1"/>
  <c r="AE24"/>
  <c r="AE40" s="1"/>
  <c r="AA24"/>
  <c r="AA40" s="1"/>
  <c r="W24"/>
  <c r="W40" s="1"/>
  <c r="S24"/>
  <c r="S40" s="1"/>
  <c r="O24"/>
  <c r="O40" s="1"/>
  <c r="K24"/>
  <c r="K40" s="1"/>
  <c r="G24"/>
  <c r="D457"/>
  <c r="G553"/>
  <c r="AH22"/>
  <c r="AH38" s="1"/>
  <c r="AD22"/>
  <c r="AD38" s="1"/>
  <c r="Z22"/>
  <c r="Z38" s="1"/>
  <c r="V22"/>
  <c r="V38" s="1"/>
  <c r="R22"/>
  <c r="R38" s="1"/>
  <c r="N22"/>
  <c r="N38" s="1"/>
  <c r="J22"/>
  <c r="J38" s="1"/>
  <c r="N426" l="1"/>
  <c r="N444" s="1"/>
  <c r="R428"/>
  <c r="R446" s="1"/>
  <c r="V425"/>
  <c r="V443" s="1"/>
  <c r="H423"/>
  <c r="H441" s="1"/>
  <c r="AH429"/>
  <c r="AH447" s="1"/>
  <c r="W423"/>
  <c r="W441" s="1"/>
  <c r="T423"/>
  <c r="T441" s="1"/>
  <c r="J427"/>
  <c r="J445" s="1"/>
  <c r="S61"/>
  <c r="S432"/>
  <c r="S450" s="1"/>
  <c r="AD423"/>
  <c r="AD441" s="1"/>
  <c r="AC432"/>
  <c r="AC450" s="1"/>
  <c r="AA432"/>
  <c r="AA450" s="1"/>
  <c r="AC424"/>
  <c r="AC442" s="1"/>
  <c r="AE425"/>
  <c r="AE443" s="1"/>
  <c r="AG426"/>
  <c r="AG444" s="1"/>
  <c r="Q427"/>
  <c r="Q445" s="1"/>
  <c r="AK427"/>
  <c r="AK445" s="1"/>
  <c r="AI427"/>
  <c r="AI445" s="1"/>
  <c r="AC428"/>
  <c r="AC446" s="1"/>
  <c r="P428"/>
  <c r="P446" s="1"/>
  <c r="AA428"/>
  <c r="AA446" s="1"/>
  <c r="S429"/>
  <c r="S447" s="1"/>
  <c r="O430"/>
  <c r="O448" s="1"/>
  <c r="AK430"/>
  <c r="AK448" s="1"/>
  <c r="P431"/>
  <c r="P449" s="1"/>
  <c r="H431"/>
  <c r="H449" s="1"/>
  <c r="K431"/>
  <c r="K449" s="1"/>
  <c r="AI431"/>
  <c r="AI449" s="1"/>
  <c r="L424"/>
  <c r="L442" s="1"/>
  <c r="K425"/>
  <c r="K443" s="1"/>
  <c r="AK425"/>
  <c r="AK443" s="1"/>
  <c r="AJ427"/>
  <c r="AJ445" s="1"/>
  <c r="AF425"/>
  <c r="AF443" s="1"/>
  <c r="X426"/>
  <c r="X444" s="1"/>
  <c r="J424"/>
  <c r="J442" s="1"/>
  <c r="Z424"/>
  <c r="Z442" s="1"/>
  <c r="J426"/>
  <c r="J444" s="1"/>
  <c r="N428"/>
  <c r="N446" s="1"/>
  <c r="AD428"/>
  <c r="AD446" s="1"/>
  <c r="AH430"/>
  <c r="AH448" s="1"/>
  <c r="S424"/>
  <c r="S442" s="1"/>
  <c r="N427"/>
  <c r="N445" s="1"/>
  <c r="Z431"/>
  <c r="Z449" s="1"/>
  <c r="AI423"/>
  <c r="AI441" s="1"/>
  <c r="AK424"/>
  <c r="AK442" s="1"/>
  <c r="N431"/>
  <c r="N449" s="1"/>
  <c r="AG432"/>
  <c r="AG450" s="1"/>
  <c r="I423"/>
  <c r="I441" s="1"/>
  <c r="H432"/>
  <c r="H450" s="1"/>
  <c r="P425"/>
  <c r="P443" s="1"/>
  <c r="M426"/>
  <c r="M444" s="1"/>
  <c r="AG427"/>
  <c r="AG445" s="1"/>
  <c r="AE427"/>
  <c r="AE445" s="1"/>
  <c r="Y428"/>
  <c r="Y446" s="1"/>
  <c r="AJ429"/>
  <c r="AJ447" s="1"/>
  <c r="W428"/>
  <c r="W446" s="1"/>
  <c r="O429"/>
  <c r="O447" s="1"/>
  <c r="AK429"/>
  <c r="AK447" s="1"/>
  <c r="K430"/>
  <c r="K448" s="1"/>
  <c r="AA430"/>
  <c r="AA448" s="1"/>
  <c r="X431"/>
  <c r="X449" s="1"/>
  <c r="M431"/>
  <c r="M449" s="1"/>
  <c r="AB431"/>
  <c r="AB449" s="1"/>
  <c r="AA431"/>
  <c r="AA449" s="1"/>
  <c r="X424"/>
  <c r="X442" s="1"/>
  <c r="M425"/>
  <c r="M443" s="1"/>
  <c r="T426"/>
  <c r="T444" s="1"/>
  <c r="U427"/>
  <c r="U445" s="1"/>
  <c r="Q423"/>
  <c r="Q441" s="1"/>
  <c r="L430"/>
  <c r="L448" s="1"/>
  <c r="Z428"/>
  <c r="Z446" s="1"/>
  <c r="R425"/>
  <c r="R443" s="1"/>
  <c r="AH425"/>
  <c r="AH443" s="1"/>
  <c r="AD430"/>
  <c r="AD448" s="1"/>
  <c r="AJ423"/>
  <c r="AJ441" s="1"/>
  <c r="O424"/>
  <c r="O442" s="1"/>
  <c r="AE424"/>
  <c r="AE442" s="1"/>
  <c r="I61"/>
  <c r="I432"/>
  <c r="I450" s="1"/>
  <c r="R429"/>
  <c r="R447" s="1"/>
  <c r="R431"/>
  <c r="R449" s="1"/>
  <c r="O423"/>
  <c r="O441" s="1"/>
  <c r="AE423"/>
  <c r="AE441" s="1"/>
  <c r="W425"/>
  <c r="W443" s="1"/>
  <c r="Y423"/>
  <c r="Y441" s="1"/>
  <c r="Z427"/>
  <c r="Z445" s="1"/>
  <c r="AD429"/>
  <c r="AD447" s="1"/>
  <c r="G432"/>
  <c r="G450" s="1"/>
  <c r="X423"/>
  <c r="X441" s="1"/>
  <c r="V423"/>
  <c r="V441" s="1"/>
  <c r="L432"/>
  <c r="L450" s="1"/>
  <c r="U423"/>
  <c r="U441" s="1"/>
  <c r="AK61"/>
  <c r="AK432"/>
  <c r="AK450" s="1"/>
  <c r="Y424"/>
  <c r="Y442" s="1"/>
  <c r="M424"/>
  <c r="M442" s="1"/>
  <c r="H425"/>
  <c r="H443" s="1"/>
  <c r="S425"/>
  <c r="S443" s="1"/>
  <c r="I426"/>
  <c r="I444" s="1"/>
  <c r="Y426"/>
  <c r="Y444" s="1"/>
  <c r="X427"/>
  <c r="X445" s="1"/>
  <c r="I427"/>
  <c r="I445" s="1"/>
  <c r="AC427"/>
  <c r="AC445" s="1"/>
  <c r="O427"/>
  <c r="O445" s="1"/>
  <c r="AA427"/>
  <c r="AA445" s="1"/>
  <c r="Q428"/>
  <c r="Q446" s="1"/>
  <c r="L429"/>
  <c r="L447" s="1"/>
  <c r="T429"/>
  <c r="T447" s="1"/>
  <c r="S428"/>
  <c r="S446" s="1"/>
  <c r="AI428"/>
  <c r="AI446" s="1"/>
  <c r="K429"/>
  <c r="K447" s="1"/>
  <c r="AA429"/>
  <c r="AA447" s="1"/>
  <c r="Q429"/>
  <c r="Q447" s="1"/>
  <c r="AG429"/>
  <c r="AG447" s="1"/>
  <c r="AF429"/>
  <c r="AF447" s="1"/>
  <c r="W430"/>
  <c r="W448" s="1"/>
  <c r="AC430"/>
  <c r="AC448" s="1"/>
  <c r="AB430"/>
  <c r="AB448" s="1"/>
  <c r="U430"/>
  <c r="U448" s="1"/>
  <c r="I431"/>
  <c r="I449" s="1"/>
  <c r="AC431"/>
  <c r="AC449" s="1"/>
  <c r="AF431"/>
  <c r="AF449" s="1"/>
  <c r="W431"/>
  <c r="W449" s="1"/>
  <c r="S431"/>
  <c r="S449" s="1"/>
  <c r="L428"/>
  <c r="L446" s="1"/>
  <c r="AJ428"/>
  <c r="AJ446" s="1"/>
  <c r="T424"/>
  <c r="T442" s="1"/>
  <c r="AJ424"/>
  <c r="AJ442" s="1"/>
  <c r="I425"/>
  <c r="I443" s="1"/>
  <c r="AC425"/>
  <c r="AC443" s="1"/>
  <c r="L426"/>
  <c r="L444" s="1"/>
  <c r="AB427"/>
  <c r="AB445" s="1"/>
  <c r="Y431"/>
  <c r="Y449" s="1"/>
  <c r="AH423"/>
  <c r="AH441" s="1"/>
  <c r="L425"/>
  <c r="L443" s="1"/>
  <c r="H426"/>
  <c r="H444" s="1"/>
  <c r="AE429"/>
  <c r="AE447" s="1"/>
  <c r="AJ430"/>
  <c r="AJ448" s="1"/>
  <c r="N424"/>
  <c r="N442" s="1"/>
  <c r="AD424"/>
  <c r="AD442" s="1"/>
  <c r="W426"/>
  <c r="W444" s="1"/>
  <c r="AD426"/>
  <c r="AD444" s="1"/>
  <c r="AH428"/>
  <c r="AH446" s="1"/>
  <c r="N425"/>
  <c r="N443" s="1"/>
  <c r="AD425"/>
  <c r="AD443" s="1"/>
  <c r="V430"/>
  <c r="V448" s="1"/>
  <c r="W424"/>
  <c r="W442" s="1"/>
  <c r="V427"/>
  <c r="V445" s="1"/>
  <c r="AH431"/>
  <c r="AH449" s="1"/>
  <c r="N429"/>
  <c r="N447" s="1"/>
  <c r="V431"/>
  <c r="V449" s="1"/>
  <c r="N423"/>
  <c r="N441" s="1"/>
  <c r="M423"/>
  <c r="M441" s="1"/>
  <c r="T432"/>
  <c r="T450" s="1"/>
  <c r="Q425"/>
  <c r="Q443" s="1"/>
  <c r="AB425"/>
  <c r="AB443" s="1"/>
  <c r="Q426"/>
  <c r="Q444" s="1"/>
  <c r="H427"/>
  <c r="H445" s="1"/>
  <c r="S427"/>
  <c r="S445" s="1"/>
  <c r="X429"/>
  <c r="X447" s="1"/>
  <c r="AF428"/>
  <c r="AF446" s="1"/>
  <c r="K428"/>
  <c r="K446" s="1"/>
  <c r="U428"/>
  <c r="U446" s="1"/>
  <c r="I429"/>
  <c r="I447" s="1"/>
  <c r="Y429"/>
  <c r="Y447" s="1"/>
  <c r="H430"/>
  <c r="H448" s="1"/>
  <c r="AI430"/>
  <c r="AI448" s="1"/>
  <c r="M430"/>
  <c r="M448" s="1"/>
  <c r="Q431"/>
  <c r="Q449" s="1"/>
  <c r="X428"/>
  <c r="X446" s="1"/>
  <c r="AB424"/>
  <c r="AB442" s="1"/>
  <c r="U425"/>
  <c r="U443" s="1"/>
  <c r="AB426"/>
  <c r="AB444" s="1"/>
  <c r="AF430"/>
  <c r="AF448" s="1"/>
  <c r="AK423"/>
  <c r="AK441" s="1"/>
  <c r="P430"/>
  <c r="P448" s="1"/>
  <c r="S426"/>
  <c r="S444" s="1"/>
  <c r="AI426"/>
  <c r="AI444" s="1"/>
  <c r="Z426"/>
  <c r="Z444" s="1"/>
  <c r="R430"/>
  <c r="R448" s="1"/>
  <c r="AI424"/>
  <c r="AI442" s="1"/>
  <c r="Z429"/>
  <c r="Z447" s="1"/>
  <c r="S423"/>
  <c r="S441" s="1"/>
  <c r="M61"/>
  <c r="M432"/>
  <c r="M450" s="1"/>
  <c r="AH427"/>
  <c r="AH445" s="1"/>
  <c r="K432"/>
  <c r="K450" s="1"/>
  <c r="Z423"/>
  <c r="Z441" s="1"/>
  <c r="Y432"/>
  <c r="Y450" s="1"/>
  <c r="O432"/>
  <c r="O450" s="1"/>
  <c r="U61"/>
  <c r="U432"/>
  <c r="U450" s="1"/>
  <c r="AA425"/>
  <c r="AA443" s="1"/>
  <c r="AC426"/>
  <c r="AC444" s="1"/>
  <c r="M427"/>
  <c r="M445" s="1"/>
  <c r="K427"/>
  <c r="K445" s="1"/>
  <c r="H428"/>
  <c r="H446" s="1"/>
  <c r="AG428"/>
  <c r="AG446" s="1"/>
  <c r="M428"/>
  <c r="M446" s="1"/>
  <c r="AI429"/>
  <c r="AI447" s="1"/>
  <c r="U429"/>
  <c r="U447" s="1"/>
  <c r="AE430"/>
  <c r="AE448" s="1"/>
  <c r="AG430"/>
  <c r="AG448" s="1"/>
  <c r="L431"/>
  <c r="L449" s="1"/>
  <c r="AG431"/>
  <c r="AG449" s="1"/>
  <c r="AE431"/>
  <c r="AE449" s="1"/>
  <c r="T428"/>
  <c r="T446" s="1"/>
  <c r="P427"/>
  <c r="P445" s="1"/>
  <c r="T425"/>
  <c r="T443" s="1"/>
  <c r="AG425"/>
  <c r="AG443" s="1"/>
  <c r="L427"/>
  <c r="L445" s="1"/>
  <c r="X425"/>
  <c r="X443" s="1"/>
  <c r="P426"/>
  <c r="P444" s="1"/>
  <c r="AK431"/>
  <c r="AK449" s="1"/>
  <c r="V424"/>
  <c r="V442" s="1"/>
  <c r="O426"/>
  <c r="O444" s="1"/>
  <c r="AE426"/>
  <c r="AE444" s="1"/>
  <c r="V426"/>
  <c r="V444" s="1"/>
  <c r="Z425"/>
  <c r="Z443" s="1"/>
  <c r="N430"/>
  <c r="N448" s="1"/>
  <c r="AB423"/>
  <c r="AB441" s="1"/>
  <c r="R424"/>
  <c r="R442" s="1"/>
  <c r="AH424"/>
  <c r="AH442" s="1"/>
  <c r="K426"/>
  <c r="K444" s="1"/>
  <c r="AA426"/>
  <c r="AA444" s="1"/>
  <c r="R426"/>
  <c r="R444" s="1"/>
  <c r="AH426"/>
  <c r="AH444" s="1"/>
  <c r="V428"/>
  <c r="V446" s="1"/>
  <c r="Z430"/>
  <c r="Z448" s="1"/>
  <c r="AF423"/>
  <c r="AF441" s="1"/>
  <c r="K424"/>
  <c r="K442" s="1"/>
  <c r="AA424"/>
  <c r="AA442" s="1"/>
  <c r="AC423"/>
  <c r="AC441" s="1"/>
  <c r="K423"/>
  <c r="K441" s="1"/>
  <c r="AA423"/>
  <c r="AA441" s="1"/>
  <c r="U424"/>
  <c r="U442" s="1"/>
  <c r="L423"/>
  <c r="L441" s="1"/>
  <c r="R427"/>
  <c r="R445" s="1"/>
  <c r="V429"/>
  <c r="V447" s="1"/>
  <c r="AD431"/>
  <c r="AD449" s="1"/>
  <c r="W61"/>
  <c r="W432"/>
  <c r="W450" s="1"/>
  <c r="R423"/>
  <c r="R441" s="1"/>
  <c r="J423"/>
  <c r="J441" s="1"/>
  <c r="Q432"/>
  <c r="Q450" s="1"/>
  <c r="AG423"/>
  <c r="AG441" s="1"/>
  <c r="X432"/>
  <c r="X450" s="1"/>
  <c r="AI61"/>
  <c r="AI432"/>
  <c r="AI450" s="1"/>
  <c r="I424"/>
  <c r="I442" s="1"/>
  <c r="AG424"/>
  <c r="AG442" s="1"/>
  <c r="G425"/>
  <c r="G443" s="1"/>
  <c r="AI425"/>
  <c r="AI443" s="1"/>
  <c r="U426"/>
  <c r="U444" s="1"/>
  <c r="AK426"/>
  <c r="AK444" s="1"/>
  <c r="AF427"/>
  <c r="AF445" s="1"/>
  <c r="Y427"/>
  <c r="Y445" s="1"/>
  <c r="T427"/>
  <c r="T445" s="1"/>
  <c r="W427"/>
  <c r="W445" s="1"/>
  <c r="I428"/>
  <c r="I446" s="1"/>
  <c r="AK428"/>
  <c r="AK446" s="1"/>
  <c r="H429"/>
  <c r="H447" s="1"/>
  <c r="AB429"/>
  <c r="AB447" s="1"/>
  <c r="O428"/>
  <c r="O446" s="1"/>
  <c r="AE428"/>
  <c r="AE446" s="1"/>
  <c r="G429"/>
  <c r="G447" s="1"/>
  <c r="W429"/>
  <c r="W447" s="1"/>
  <c r="M429"/>
  <c r="M447" s="1"/>
  <c r="AC429"/>
  <c r="AC447" s="1"/>
  <c r="P429"/>
  <c r="P447" s="1"/>
  <c r="T430"/>
  <c r="T448" s="1"/>
  <c r="S430"/>
  <c r="S448" s="1"/>
  <c r="Y430"/>
  <c r="Y448" s="1"/>
  <c r="Q430"/>
  <c r="Q448" s="1"/>
  <c r="AJ431"/>
  <c r="AJ449" s="1"/>
  <c r="U431"/>
  <c r="U449" s="1"/>
  <c r="T431"/>
  <c r="T449" s="1"/>
  <c r="O431"/>
  <c r="O449" s="1"/>
  <c r="G431"/>
  <c r="G449" s="1"/>
  <c r="Q424"/>
  <c r="Q442" s="1"/>
  <c r="AB428"/>
  <c r="AB446" s="1"/>
  <c r="P424"/>
  <c r="P442" s="1"/>
  <c r="AF424"/>
  <c r="AF442" s="1"/>
  <c r="Y425"/>
  <c r="Y443" s="1"/>
  <c r="AJ426"/>
  <c r="AJ444" s="1"/>
  <c r="AD427"/>
  <c r="AD445" s="1"/>
  <c r="I430"/>
  <c r="I448" s="1"/>
  <c r="H424"/>
  <c r="H442" s="1"/>
  <c r="AJ425"/>
  <c r="AJ443" s="1"/>
  <c r="O425"/>
  <c r="O443" s="1"/>
  <c r="AF426"/>
  <c r="AF444" s="1"/>
  <c r="X430"/>
  <c r="X448" s="1"/>
  <c r="EU168"/>
  <c r="DK220"/>
  <c r="ES168"/>
  <c r="DI220"/>
  <c r="EK120"/>
  <c r="DQ212"/>
  <c r="DI219"/>
  <c r="EK137"/>
  <c r="EK92"/>
  <c r="DH217"/>
  <c r="EZ89"/>
  <c r="DP212"/>
  <c r="EY98"/>
  <c r="DO213"/>
  <c r="EW89"/>
  <c r="DM212"/>
  <c r="EV98"/>
  <c r="DL213"/>
  <c r="EV89"/>
  <c r="DL212"/>
  <c r="DO212"/>
  <c r="EK94"/>
  <c r="EP92"/>
  <c r="FU92" s="1"/>
  <c r="EP137"/>
  <c r="FU137" s="1"/>
  <c r="DQ213"/>
  <c r="EU89"/>
  <c r="DK212"/>
  <c r="EU98"/>
  <c r="DK213"/>
  <c r="ER118"/>
  <c r="DH215"/>
  <c r="EX98"/>
  <c r="DN213"/>
  <c r="EZ98"/>
  <c r="DP213"/>
  <c r="EQ128"/>
  <c r="DG216"/>
  <c r="DM213"/>
  <c r="DG215"/>
  <c r="EW98"/>
  <c r="DH216"/>
  <c r="DN212"/>
  <c r="DG217"/>
  <c r="DG218"/>
  <c r="DH218"/>
  <c r="AF374"/>
  <c r="N378"/>
  <c r="X381"/>
  <c r="N374"/>
  <c r="N381"/>
  <c r="N373"/>
  <c r="N375"/>
  <c r="AF377"/>
  <c r="S378"/>
  <c r="P381"/>
  <c r="P380"/>
  <c r="S379"/>
  <c r="S377"/>
  <c r="Y382"/>
  <c r="N379"/>
  <c r="AF376"/>
  <c r="N380"/>
  <c r="J378"/>
  <c r="J373"/>
  <c r="J374"/>
  <c r="J375"/>
  <c r="N376"/>
  <c r="P376"/>
  <c r="L381"/>
  <c r="J382"/>
  <c r="N377"/>
  <c r="J381"/>
  <c r="J379"/>
  <c r="M381"/>
  <c r="J380"/>
  <c r="J377"/>
  <c r="AE374"/>
  <c r="AD374"/>
  <c r="H476"/>
  <c r="AB373"/>
  <c r="U373"/>
  <c r="U382"/>
  <c r="AB378"/>
  <c r="AI373"/>
  <c r="M377"/>
  <c r="U374"/>
  <c r="AB379"/>
  <c r="U380"/>
  <c r="W378"/>
  <c r="AI382"/>
  <c r="L379"/>
  <c r="U377"/>
  <c r="U376"/>
  <c r="AJ379"/>
  <c r="Z380"/>
  <c r="U378"/>
  <c r="Z379"/>
  <c r="L373"/>
  <c r="U381"/>
  <c r="AB375"/>
  <c r="AB381"/>
  <c r="AI374"/>
  <c r="L374"/>
  <c r="U375"/>
  <c r="AG380"/>
  <c r="W376"/>
  <c r="Z382"/>
  <c r="AF373"/>
  <c r="P382"/>
  <c r="T378"/>
  <c r="AF381"/>
  <c r="S382"/>
  <c r="AD376"/>
  <c r="P378"/>
  <c r="P375"/>
  <c r="S380"/>
  <c r="Y374"/>
  <c r="AF380"/>
  <c r="AF378"/>
  <c r="P377"/>
  <c r="AF382"/>
  <c r="AH375"/>
  <c r="AF375"/>
  <c r="Q374"/>
  <c r="Y380"/>
  <c r="AD375"/>
  <c r="P379"/>
  <c r="P373"/>
  <c r="S381"/>
  <c r="Y373"/>
  <c r="AK379"/>
  <c r="W382"/>
  <c r="AB377"/>
  <c r="AD373"/>
  <c r="AD378"/>
  <c r="AI376"/>
  <c r="L380"/>
  <c r="L382"/>
  <c r="AA376"/>
  <c r="H482"/>
  <c r="AB374"/>
  <c r="W379"/>
  <c r="W380"/>
  <c r="W381"/>
  <c r="W374"/>
  <c r="H472"/>
  <c r="T380"/>
  <c r="AB382"/>
  <c r="AK376"/>
  <c r="AD377"/>
  <c r="L375"/>
  <c r="L377"/>
  <c r="W373"/>
  <c r="L378"/>
  <c r="AB376"/>
  <c r="W375"/>
  <c r="AE378"/>
  <c r="Q379"/>
  <c r="T377"/>
  <c r="S376"/>
  <c r="Y378"/>
  <c r="AK380"/>
  <c r="V374"/>
  <c r="AK378"/>
  <c r="Z374"/>
  <c r="Z381"/>
  <c r="S373"/>
  <c r="Y379"/>
  <c r="AK375"/>
  <c r="X374"/>
  <c r="AK377"/>
  <c r="Z375"/>
  <c r="Q376"/>
  <c r="S374"/>
  <c r="Y376"/>
  <c r="AK373"/>
  <c r="AK382"/>
  <c r="V381"/>
  <c r="H496"/>
  <c r="Z373"/>
  <c r="AK374"/>
  <c r="Y375"/>
  <c r="Y377"/>
  <c r="G459"/>
  <c r="AC380"/>
  <c r="M373"/>
  <c r="AG377"/>
  <c r="AJ373"/>
  <c r="M379"/>
  <c r="M375"/>
  <c r="AI381"/>
  <c r="AI380"/>
  <c r="AI377"/>
  <c r="AI379"/>
  <c r="AI375"/>
  <c r="M374"/>
  <c r="M382"/>
  <c r="M376"/>
  <c r="AA382"/>
  <c r="AJ378"/>
  <c r="M378"/>
  <c r="Z377"/>
  <c r="Z376"/>
  <c r="AC376"/>
  <c r="AA377"/>
  <c r="AC381"/>
  <c r="AC378"/>
  <c r="AA375"/>
  <c r="AG375"/>
  <c r="AJ374"/>
  <c r="AJ382"/>
  <c r="H490"/>
  <c r="AD382"/>
  <c r="AD380"/>
  <c r="AD381"/>
  <c r="H500"/>
  <c r="H460"/>
  <c r="AC374"/>
  <c r="AA379"/>
  <c r="AG373"/>
  <c r="AG382"/>
  <c r="AJ380"/>
  <c r="H510"/>
  <c r="DW217"/>
  <c r="DX212"/>
  <c r="DK219"/>
  <c r="DF216"/>
  <c r="EH221"/>
  <c r="DO217"/>
  <c r="EH214"/>
  <c r="DP219"/>
  <c r="DT217"/>
  <c r="DR212"/>
  <c r="DS221"/>
  <c r="DV217"/>
  <c r="FU131"/>
  <c r="EG213"/>
  <c r="EA221"/>
  <c r="EH212"/>
  <c r="EA215"/>
  <c r="EI219"/>
  <c r="DF214"/>
  <c r="DF212"/>
  <c r="DF218"/>
  <c r="DF219"/>
  <c r="DF217"/>
  <c r="DF221"/>
  <c r="FR168"/>
  <c r="EH220"/>
  <c r="FT168"/>
  <c r="EJ220"/>
  <c r="FS168"/>
  <c r="EI220"/>
  <c r="FC168"/>
  <c r="DS220"/>
  <c r="FH118"/>
  <c r="DX215"/>
  <c r="FO98"/>
  <c r="EE213"/>
  <c r="FG148"/>
  <c r="DW218"/>
  <c r="EY148"/>
  <c r="DO218"/>
  <c r="FM88"/>
  <c r="EC212"/>
  <c r="FE88"/>
  <c r="DU212"/>
  <c r="FQ128"/>
  <c r="EG216"/>
  <c r="ES128"/>
  <c r="DI216"/>
  <c r="FT98"/>
  <c r="EJ213"/>
  <c r="FD98"/>
  <c r="DT213"/>
  <c r="FK108"/>
  <c r="EA214"/>
  <c r="ER168"/>
  <c r="DH220"/>
  <c r="FR118"/>
  <c r="EH215"/>
  <c r="FB118"/>
  <c r="DR215"/>
  <c r="FB128"/>
  <c r="DR216"/>
  <c r="FK98"/>
  <c r="EA213"/>
  <c r="EZ148"/>
  <c r="DP218"/>
  <c r="FI148"/>
  <c r="DY218"/>
  <c r="FK128"/>
  <c r="EA216"/>
  <c r="EU128"/>
  <c r="DK216"/>
  <c r="FF98"/>
  <c r="DV213"/>
  <c r="FA108"/>
  <c r="DQ214"/>
  <c r="FI108"/>
  <c r="DY214"/>
  <c r="FQ108"/>
  <c r="EG214"/>
  <c r="FH168"/>
  <c r="DX220"/>
  <c r="FD168"/>
  <c r="DT220"/>
  <c r="FO168"/>
  <c r="EE220"/>
  <c r="FG168"/>
  <c r="DW220"/>
  <c r="EQ168"/>
  <c r="DG220"/>
  <c r="FT118"/>
  <c r="EJ215"/>
  <c r="FL118"/>
  <c r="EB215"/>
  <c r="FD118"/>
  <c r="DT215"/>
  <c r="EX128"/>
  <c r="DN216"/>
  <c r="FN128"/>
  <c r="ED216"/>
  <c r="FA118"/>
  <c r="DQ215"/>
  <c r="FQ118"/>
  <c r="EG215"/>
  <c r="EQ98"/>
  <c r="DG213"/>
  <c r="FG98"/>
  <c r="DW213"/>
  <c r="FT148"/>
  <c r="EJ218"/>
  <c r="FD148"/>
  <c r="DT218"/>
  <c r="FS148"/>
  <c r="EI218"/>
  <c r="FK148"/>
  <c r="EA218"/>
  <c r="FC148"/>
  <c r="DS218"/>
  <c r="FQ88"/>
  <c r="EG212"/>
  <c r="FI88"/>
  <c r="DY212"/>
  <c r="ES88"/>
  <c r="DI212"/>
  <c r="FM128"/>
  <c r="EC216"/>
  <c r="FE128"/>
  <c r="DU216"/>
  <c r="EW128"/>
  <c r="DM216"/>
  <c r="FP98"/>
  <c r="EF213"/>
  <c r="FH98"/>
  <c r="DX213"/>
  <c r="ER98"/>
  <c r="DH213"/>
  <c r="DF215"/>
  <c r="DU221"/>
  <c r="EF221"/>
  <c r="DU219"/>
  <c r="EE219"/>
  <c r="DY213"/>
  <c r="DU213"/>
  <c r="EJ221"/>
  <c r="DO215"/>
  <c r="DT212"/>
  <c r="DX214"/>
  <c r="FU102"/>
  <c r="DG214"/>
  <c r="DL217"/>
  <c r="DN219"/>
  <c r="DP214"/>
  <c r="DN218"/>
  <c r="DW219"/>
  <c r="DS215"/>
  <c r="DJ219"/>
  <c r="EB214"/>
  <c r="DS217"/>
  <c r="EA217"/>
  <c r="DI215"/>
  <c r="DY221"/>
  <c r="DR218"/>
  <c r="EE215"/>
  <c r="DO221"/>
  <c r="EI221"/>
  <c r="DO219"/>
  <c r="EC217"/>
  <c r="DZ214"/>
  <c r="FU162"/>
  <c r="DM219"/>
  <c r="DN221"/>
  <c r="EF220"/>
  <c r="EF217"/>
  <c r="EG219"/>
  <c r="EG217"/>
  <c r="DJ221"/>
  <c r="EF219"/>
  <c r="DI221"/>
  <c r="EE221"/>
  <c r="DR219"/>
  <c r="DX219"/>
  <c r="DZ218"/>
  <c r="DU217"/>
  <c r="DI213"/>
  <c r="DJ212"/>
  <c r="DZ212"/>
  <c r="ED214"/>
  <c r="EF212"/>
  <c r="EC221"/>
  <c r="EH218"/>
  <c r="EF216"/>
  <c r="DV214"/>
  <c r="DY219"/>
  <c r="DY217"/>
  <c r="EC213"/>
  <c r="EJ212"/>
  <c r="ED221"/>
  <c r="DP221"/>
  <c r="ED219"/>
  <c r="EJ217"/>
  <c r="DL220"/>
  <c r="FE108"/>
  <c r="DU214"/>
  <c r="FM108"/>
  <c r="EC214"/>
  <c r="FN168"/>
  <c r="ED220"/>
  <c r="FK168"/>
  <c r="EA220"/>
  <c r="FP118"/>
  <c r="EF215"/>
  <c r="EZ118"/>
  <c r="DP215"/>
  <c r="FF128"/>
  <c r="DV216"/>
  <c r="FI118"/>
  <c r="DY215"/>
  <c r="FL148"/>
  <c r="EB218"/>
  <c r="FO148"/>
  <c r="EE218"/>
  <c r="FI128"/>
  <c r="DY216"/>
  <c r="FA128"/>
  <c r="DQ216"/>
  <c r="FL98"/>
  <c r="EB213"/>
  <c r="EW178"/>
  <c r="FU178" s="1"/>
  <c r="DM221"/>
  <c r="FC108"/>
  <c r="DS214"/>
  <c r="FS108"/>
  <c r="EI214"/>
  <c r="FM168"/>
  <c r="EC220"/>
  <c r="FE168"/>
  <c r="DU220"/>
  <c r="FJ118"/>
  <c r="DZ215"/>
  <c r="FR128"/>
  <c r="EH216"/>
  <c r="FE118"/>
  <c r="DU215"/>
  <c r="FP148"/>
  <c r="EF218"/>
  <c r="FQ148"/>
  <c r="EG218"/>
  <c r="FA148"/>
  <c r="DQ218"/>
  <c r="FO88"/>
  <c r="EE212"/>
  <c r="FG88"/>
  <c r="DW212"/>
  <c r="EQ88"/>
  <c r="DG212"/>
  <c r="FS128"/>
  <c r="EI216"/>
  <c r="FC128"/>
  <c r="DS216"/>
  <c r="FN98"/>
  <c r="ED213"/>
  <c r="EY108"/>
  <c r="DO214"/>
  <c r="FG108"/>
  <c r="DW214"/>
  <c r="FO108"/>
  <c r="EE214"/>
  <c r="FB168"/>
  <c r="DR220"/>
  <c r="FF168"/>
  <c r="DV220"/>
  <c r="FL168"/>
  <c r="EB220"/>
  <c r="FQ168"/>
  <c r="EG220"/>
  <c r="FI168"/>
  <c r="DY220"/>
  <c r="FA168"/>
  <c r="DQ220"/>
  <c r="FN118"/>
  <c r="ED215"/>
  <c r="FF118"/>
  <c r="DV215"/>
  <c r="EX118"/>
  <c r="DN215"/>
  <c r="ET128"/>
  <c r="DJ216"/>
  <c r="FJ128"/>
  <c r="DZ216"/>
  <c r="FM118"/>
  <c r="EC215"/>
  <c r="FC98"/>
  <c r="DS213"/>
  <c r="FS98"/>
  <c r="EI213"/>
  <c r="FH148"/>
  <c r="DX218"/>
  <c r="FM148"/>
  <c r="EC218"/>
  <c r="FE148"/>
  <c r="DU218"/>
  <c r="FS88"/>
  <c r="EI212"/>
  <c r="FK88"/>
  <c r="EA212"/>
  <c r="FC88"/>
  <c r="DS212"/>
  <c r="FO128"/>
  <c r="EE216"/>
  <c r="FG128"/>
  <c r="DW216"/>
  <c r="EY128"/>
  <c r="DO216"/>
  <c r="FR98"/>
  <c r="EH213"/>
  <c r="FJ98"/>
  <c r="DZ213"/>
  <c r="FB98"/>
  <c r="DR213"/>
  <c r="ET98"/>
  <c r="DJ213"/>
  <c r="FU170"/>
  <c r="FU173"/>
  <c r="DH219"/>
  <c r="DW215"/>
  <c r="DP217"/>
  <c r="DX216"/>
  <c r="DI217"/>
  <c r="DP220"/>
  <c r="DX217"/>
  <c r="EB212"/>
  <c r="FU125"/>
  <c r="FU106"/>
  <c r="DF220"/>
  <c r="DF213"/>
  <c r="FU129"/>
  <c r="FU158"/>
  <c r="DL219"/>
  <c r="DQ221"/>
  <c r="EF214"/>
  <c r="DQ217"/>
  <c r="DV221"/>
  <c r="EG221"/>
  <c r="DR217"/>
  <c r="EJ219"/>
  <c r="DV219"/>
  <c r="DL221"/>
  <c r="DZ221"/>
  <c r="DV218"/>
  <c r="DT216"/>
  <c r="DR214"/>
  <c r="DL216"/>
  <c r="EK171"/>
  <c r="EK156"/>
  <c r="DJ217"/>
  <c r="DH221"/>
  <c r="DX221"/>
  <c r="EB219"/>
  <c r="EB217"/>
  <c r="DT214"/>
  <c r="DZ219"/>
  <c r="DZ217"/>
  <c r="ED212"/>
  <c r="DS219"/>
  <c r="EB216"/>
  <c r="DW221"/>
  <c r="DQ219"/>
  <c r="EH219"/>
  <c r="EH217"/>
  <c r="EJ214"/>
  <c r="DT219"/>
  <c r="ED217"/>
  <c r="EB221"/>
  <c r="ED218"/>
  <c r="DG221"/>
  <c r="DT221"/>
  <c r="DG219"/>
  <c r="EA219"/>
  <c r="DN217"/>
  <c r="EE217"/>
  <c r="EJ216"/>
  <c r="EI215"/>
  <c r="DH212"/>
  <c r="DK221"/>
  <c r="DJ220"/>
  <c r="DP216"/>
  <c r="DV212"/>
  <c r="DR221"/>
  <c r="DZ220"/>
  <c r="EC219"/>
  <c r="EI217"/>
  <c r="DN214"/>
  <c r="EW147"/>
  <c r="DM217"/>
  <c r="EU147"/>
  <c r="DK217"/>
  <c r="DH214"/>
  <c r="DL214"/>
  <c r="DJ214"/>
  <c r="EW118"/>
  <c r="DM215"/>
  <c r="ET118"/>
  <c r="DJ215"/>
  <c r="FA91"/>
  <c r="EU91"/>
  <c r="EV123"/>
  <c r="DL215"/>
  <c r="EU123"/>
  <c r="DK215"/>
  <c r="ET155"/>
  <c r="DJ218"/>
  <c r="ES155"/>
  <c r="DI218"/>
  <c r="ER148"/>
  <c r="EW116"/>
  <c r="DM214"/>
  <c r="EU116"/>
  <c r="DK214"/>
  <c r="ES116"/>
  <c r="DI214"/>
  <c r="C375"/>
  <c r="D407" s="1"/>
  <c r="C377"/>
  <c r="D409" s="1"/>
  <c r="C376"/>
  <c r="D408" s="1"/>
  <c r="C382"/>
  <c r="D414" s="1"/>
  <c r="D29"/>
  <c r="C381"/>
  <c r="D413" s="1"/>
  <c r="D27"/>
  <c r="D545"/>
  <c r="I544" s="1"/>
  <c r="J43"/>
  <c r="C379"/>
  <c r="D411" s="1"/>
  <c r="C378"/>
  <c r="D410" s="1"/>
  <c r="H61"/>
  <c r="Y61"/>
  <c r="AC61"/>
  <c r="AG61"/>
  <c r="O61"/>
  <c r="AA61"/>
  <c r="K61"/>
  <c r="J45"/>
  <c r="D25"/>
  <c r="G61"/>
  <c r="EX175"/>
  <c r="DN220"/>
  <c r="EW175"/>
  <c r="DM220"/>
  <c r="EU175"/>
  <c r="FU165"/>
  <c r="EV153"/>
  <c r="DL218"/>
  <c r="EW154"/>
  <c r="DM218"/>
  <c r="EU154"/>
  <c r="DK218"/>
  <c r="K381"/>
  <c r="K379"/>
  <c r="K373"/>
  <c r="K380"/>
  <c r="K376"/>
  <c r="AE450"/>
  <c r="AE61"/>
  <c r="G376"/>
  <c r="G373"/>
  <c r="G375"/>
  <c r="G381"/>
  <c r="G380"/>
  <c r="G377"/>
  <c r="G379"/>
  <c r="T379"/>
  <c r="T375"/>
  <c r="T374"/>
  <c r="T376"/>
  <c r="AC379"/>
  <c r="AC375"/>
  <c r="AC377"/>
  <c r="AC373"/>
  <c r="AJ375"/>
  <c r="AJ376"/>
  <c r="AE379"/>
  <c r="AE377"/>
  <c r="AE373"/>
  <c r="AE380"/>
  <c r="AE376"/>
  <c r="AE381"/>
  <c r="AE375"/>
  <c r="K374"/>
  <c r="FU152"/>
  <c r="FU150"/>
  <c r="FU146"/>
  <c r="FU143"/>
  <c r="H486"/>
  <c r="G378"/>
  <c r="H504"/>
  <c r="K377"/>
  <c r="Q377"/>
  <c r="T373"/>
  <c r="X378"/>
  <c r="V380"/>
  <c r="V375"/>
  <c r="AA373"/>
  <c r="AA381"/>
  <c r="AA378"/>
  <c r="AG381"/>
  <c r="AG376"/>
  <c r="FU166"/>
  <c r="FU96"/>
  <c r="FU132"/>
  <c r="FU122"/>
  <c r="FU163"/>
  <c r="T61"/>
  <c r="X61"/>
  <c r="D41"/>
  <c r="X382"/>
  <c r="X380"/>
  <c r="AH380"/>
  <c r="AH381"/>
  <c r="AH378"/>
  <c r="AH377"/>
  <c r="AH376"/>
  <c r="AH382"/>
  <c r="AH374"/>
  <c r="AH373"/>
  <c r="R381"/>
  <c r="R380"/>
  <c r="R374"/>
  <c r="R382"/>
  <c r="R378"/>
  <c r="R377"/>
  <c r="R376"/>
  <c r="R373"/>
  <c r="Q375"/>
  <c r="Q378"/>
  <c r="Q381"/>
  <c r="Q373"/>
  <c r="X379"/>
  <c r="X377"/>
  <c r="V373"/>
  <c r="V382"/>
  <c r="V379"/>
  <c r="FU136"/>
  <c r="FU94"/>
  <c r="FU126"/>
  <c r="FU120"/>
  <c r="G374"/>
  <c r="R375"/>
  <c r="K375"/>
  <c r="K382"/>
  <c r="Q380"/>
  <c r="T382"/>
  <c r="X375"/>
  <c r="X376"/>
  <c r="V378"/>
  <c r="V377"/>
  <c r="AA380"/>
  <c r="AG374"/>
  <c r="AG379"/>
  <c r="FU182"/>
  <c r="FU177"/>
  <c r="FU171"/>
  <c r="FU157"/>
  <c r="FU114"/>
  <c r="FU110"/>
  <c r="FU138"/>
  <c r="FU90"/>
  <c r="L61"/>
  <c r="Q61"/>
  <c r="F515"/>
  <c r="I516" s="1"/>
  <c r="J516" s="1"/>
  <c r="G515"/>
  <c r="F499"/>
  <c r="G499"/>
  <c r="F483"/>
  <c r="I484" s="1"/>
  <c r="J484" s="1"/>
  <c r="G483"/>
  <c r="F467"/>
  <c r="I468" s="1"/>
  <c r="J468" s="1"/>
  <c r="G467"/>
  <c r="J42"/>
  <c r="J428" s="1"/>
  <c r="D26"/>
  <c r="C374"/>
  <c r="D533"/>
  <c r="G446"/>
  <c r="I540"/>
  <c r="P450"/>
  <c r="P61"/>
  <c r="EK174"/>
  <c r="EP174"/>
  <c r="FU174" s="1"/>
  <c r="EP179"/>
  <c r="FU179" s="1"/>
  <c r="EK179"/>
  <c r="EK186"/>
  <c r="EP186"/>
  <c r="FU186" s="1"/>
  <c r="EP168"/>
  <c r="EK168"/>
  <c r="EP133"/>
  <c r="FU133" s="1"/>
  <c r="EK133"/>
  <c r="EK124"/>
  <c r="EP124"/>
  <c r="FU124" s="1"/>
  <c r="EP97"/>
  <c r="FU97" s="1"/>
  <c r="EK97"/>
  <c r="EP91"/>
  <c r="EK91"/>
  <c r="EK145"/>
  <c r="EP145"/>
  <c r="FU145" s="1"/>
  <c r="EP172"/>
  <c r="FU172" s="1"/>
  <c r="EK172"/>
  <c r="F509"/>
  <c r="I510" s="1"/>
  <c r="J510" s="1"/>
  <c r="G509"/>
  <c r="F493"/>
  <c r="I494" s="1"/>
  <c r="J494" s="1"/>
  <c r="G493"/>
  <c r="F477"/>
  <c r="I478" s="1"/>
  <c r="J478" s="1"/>
  <c r="G477"/>
  <c r="F461"/>
  <c r="I462" s="1"/>
  <c r="J462" s="1"/>
  <c r="G461"/>
  <c r="D412"/>
  <c r="D30"/>
  <c r="J46"/>
  <c r="J432" s="1"/>
  <c r="Z450"/>
  <c r="Z61"/>
  <c r="AB450"/>
  <c r="AB61"/>
  <c r="EP151"/>
  <c r="FU151" s="1"/>
  <c r="EP121"/>
  <c r="FU121" s="1"/>
  <c r="EK121"/>
  <c r="EK119"/>
  <c r="EP119"/>
  <c r="FU119" s="1"/>
  <c r="EP118"/>
  <c r="EK118"/>
  <c r="EP100"/>
  <c r="FU100" s="1"/>
  <c r="EK100"/>
  <c r="EK160"/>
  <c r="EP160"/>
  <c r="FU160" s="1"/>
  <c r="EP95"/>
  <c r="FU95" s="1"/>
  <c r="EK95"/>
  <c r="EP93"/>
  <c r="FU93" s="1"/>
  <c r="EK93"/>
  <c r="G40"/>
  <c r="G426" s="1"/>
  <c r="D24"/>
  <c r="F511"/>
  <c r="I512" s="1"/>
  <c r="J512" s="1"/>
  <c r="G511"/>
  <c r="F503"/>
  <c r="G503"/>
  <c r="F495"/>
  <c r="G495"/>
  <c r="F487"/>
  <c r="I488" s="1"/>
  <c r="J488" s="1"/>
  <c r="G487"/>
  <c r="F479"/>
  <c r="I480" s="1"/>
  <c r="J480" s="1"/>
  <c r="G479"/>
  <c r="F471"/>
  <c r="I472" s="1"/>
  <c r="J472" s="1"/>
  <c r="G471"/>
  <c r="F463"/>
  <c r="I464" s="1"/>
  <c r="J464" s="1"/>
  <c r="G463"/>
  <c r="I538"/>
  <c r="I548"/>
  <c r="EK175"/>
  <c r="EP175"/>
  <c r="EP176"/>
  <c r="FU176" s="1"/>
  <c r="EK176"/>
  <c r="EK159"/>
  <c r="EP159"/>
  <c r="FU159" s="1"/>
  <c r="EP144"/>
  <c r="FU144" s="1"/>
  <c r="EK144"/>
  <c r="EK141"/>
  <c r="EP141"/>
  <c r="FU141" s="1"/>
  <c r="EK140"/>
  <c r="EP140"/>
  <c r="FU140" s="1"/>
  <c r="EP185"/>
  <c r="FU185" s="1"/>
  <c r="EK185"/>
  <c r="EK181"/>
  <c r="EP181"/>
  <c r="FU181" s="1"/>
  <c r="EP127"/>
  <c r="FU127" s="1"/>
  <c r="EK127"/>
  <c r="EP117"/>
  <c r="FU117" s="1"/>
  <c r="EK117"/>
  <c r="EP113"/>
  <c r="FU113" s="1"/>
  <c r="EK113"/>
  <c r="EP109"/>
  <c r="FU109" s="1"/>
  <c r="EK109"/>
  <c r="EP105"/>
  <c r="FU105" s="1"/>
  <c r="EK105"/>
  <c r="EK101"/>
  <c r="EP101"/>
  <c r="FU101" s="1"/>
  <c r="EP161"/>
  <c r="FU161" s="1"/>
  <c r="EK161"/>
  <c r="EP128"/>
  <c r="EK128"/>
  <c r="EP167"/>
  <c r="FU167" s="1"/>
  <c r="EK167"/>
  <c r="EP115"/>
  <c r="FU115" s="1"/>
  <c r="EK115"/>
  <c r="EP111"/>
  <c r="FU111" s="1"/>
  <c r="EK111"/>
  <c r="EP103"/>
  <c r="FU103" s="1"/>
  <c r="EK103"/>
  <c r="EP98"/>
  <c r="EK98"/>
  <c r="FU164"/>
  <c r="FU180"/>
  <c r="EK136"/>
  <c r="FU99"/>
  <c r="EK116"/>
  <c r="H458"/>
  <c r="EK164"/>
  <c r="EK147"/>
  <c r="EK180"/>
  <c r="EK110"/>
  <c r="EK132"/>
  <c r="FU104"/>
  <c r="EK104"/>
  <c r="EK177"/>
  <c r="FU156"/>
  <c r="EK114"/>
  <c r="EK102"/>
  <c r="EK126"/>
  <c r="EK88"/>
  <c r="EK108"/>
  <c r="F507"/>
  <c r="I508" s="1"/>
  <c r="J508" s="1"/>
  <c r="G507"/>
  <c r="F491"/>
  <c r="I492" s="1"/>
  <c r="J492" s="1"/>
  <c r="G491"/>
  <c r="F475"/>
  <c r="G475"/>
  <c r="F459"/>
  <c r="I542"/>
  <c r="I550"/>
  <c r="J39"/>
  <c r="J425" s="1"/>
  <c r="D23"/>
  <c r="G448"/>
  <c r="AF450"/>
  <c r="AF61"/>
  <c r="EP107"/>
  <c r="FU107" s="1"/>
  <c r="EK107"/>
  <c r="EP155"/>
  <c r="EK155"/>
  <c r="EP123"/>
  <c r="EK123"/>
  <c r="EP130"/>
  <c r="FU130" s="1"/>
  <c r="EK130"/>
  <c r="G441"/>
  <c r="F517"/>
  <c r="I518" s="1"/>
  <c r="J518" s="1"/>
  <c r="G517"/>
  <c r="F501"/>
  <c r="I502" s="1"/>
  <c r="J502" s="1"/>
  <c r="G501"/>
  <c r="F485"/>
  <c r="G485"/>
  <c r="F469"/>
  <c r="I470" s="1"/>
  <c r="J470" s="1"/>
  <c r="G469"/>
  <c r="R450"/>
  <c r="R61"/>
  <c r="AH450"/>
  <c r="AH61"/>
  <c r="AJ450"/>
  <c r="AJ61"/>
  <c r="EP153"/>
  <c r="EK153"/>
  <c r="EK89"/>
  <c r="EP89"/>
  <c r="G457"/>
  <c r="F457"/>
  <c r="G513"/>
  <c r="F513"/>
  <c r="I514" s="1"/>
  <c r="J514" s="1"/>
  <c r="G505"/>
  <c r="F505"/>
  <c r="I506" s="1"/>
  <c r="J506" s="1"/>
  <c r="G497"/>
  <c r="F497"/>
  <c r="I498" s="1"/>
  <c r="J498" s="1"/>
  <c r="G489"/>
  <c r="F489"/>
  <c r="G481"/>
  <c r="F481"/>
  <c r="G473"/>
  <c r="F473"/>
  <c r="I474" s="1"/>
  <c r="J474" s="1"/>
  <c r="G465"/>
  <c r="F465"/>
  <c r="I466" s="1"/>
  <c r="J466" s="1"/>
  <c r="G38"/>
  <c r="G424" s="1"/>
  <c r="D22"/>
  <c r="C373"/>
  <c r="D531"/>
  <c r="N450"/>
  <c r="N61"/>
  <c r="V450"/>
  <c r="V61"/>
  <c r="AD450"/>
  <c r="AD61"/>
  <c r="I536"/>
  <c r="J44"/>
  <c r="J430" s="1"/>
  <c r="D28"/>
  <c r="P37"/>
  <c r="P423" s="1"/>
  <c r="D21"/>
  <c r="EP183"/>
  <c r="FU183" s="1"/>
  <c r="EK183"/>
  <c r="EP187"/>
  <c r="FU187" s="1"/>
  <c r="EK187"/>
  <c r="EP169"/>
  <c r="FU169" s="1"/>
  <c r="EK169"/>
  <c r="EK142"/>
  <c r="EP142"/>
  <c r="FU142" s="1"/>
  <c r="EK143"/>
  <c r="FU184"/>
  <c r="FU134"/>
  <c r="EK99"/>
  <c r="EK134"/>
  <c r="EK139"/>
  <c r="EK129"/>
  <c r="EK184"/>
  <c r="EK146"/>
  <c r="EK122"/>
  <c r="EK135"/>
  <c r="EK178"/>
  <c r="EK154"/>
  <c r="EK152"/>
  <c r="EK106"/>
  <c r="EK125"/>
  <c r="EK166"/>
  <c r="FU135"/>
  <c r="FU112"/>
  <c r="EK157"/>
  <c r="EK112"/>
  <c r="FU139"/>
  <c r="FU149"/>
  <c r="J431" l="1"/>
  <c r="J449" s="1"/>
  <c r="C449" s="1"/>
  <c r="J429"/>
  <c r="J447" s="1"/>
  <c r="C447" s="1"/>
  <c r="FU89"/>
  <c r="I476"/>
  <c r="J476" s="1"/>
  <c r="K478" s="1"/>
  <c r="I504"/>
  <c r="J504" s="1"/>
  <c r="K504" s="1"/>
  <c r="I482"/>
  <c r="J482" s="1"/>
  <c r="K484" s="1"/>
  <c r="I500"/>
  <c r="J500" s="1"/>
  <c r="K502" s="1"/>
  <c r="I490"/>
  <c r="J490" s="1"/>
  <c r="K492" s="1"/>
  <c r="I496"/>
  <c r="J496" s="1"/>
  <c r="K496" s="1"/>
  <c r="I460"/>
  <c r="J460" s="1"/>
  <c r="K462" s="1"/>
  <c r="FU108"/>
  <c r="FU168"/>
  <c r="FU153"/>
  <c r="FU154"/>
  <c r="FU88"/>
  <c r="Y11"/>
  <c r="DG233"/>
  <c r="FU116"/>
  <c r="DG234"/>
  <c r="FU128"/>
  <c r="AC8" s="1"/>
  <c r="FU148"/>
  <c r="DG232"/>
  <c r="DG226"/>
  <c r="FU98"/>
  <c r="AE5" s="1"/>
  <c r="AD13"/>
  <c r="X11"/>
  <c r="DG229"/>
  <c r="FU147"/>
  <c r="AD9" s="1"/>
  <c r="DG230"/>
  <c r="Z9"/>
  <c r="FU118"/>
  <c r="DG228"/>
  <c r="FU91"/>
  <c r="DG225"/>
  <c r="FU123"/>
  <c r="FU155"/>
  <c r="DG231"/>
  <c r="DG227"/>
  <c r="I546"/>
  <c r="D43"/>
  <c r="E43" s="1"/>
  <c r="E41"/>
  <c r="D377"/>
  <c r="E377" s="1"/>
  <c r="K470"/>
  <c r="I458"/>
  <c r="J458" s="1"/>
  <c r="K458" s="1"/>
  <c r="D376"/>
  <c r="E376" s="1"/>
  <c r="D380"/>
  <c r="E380" s="1"/>
  <c r="D378"/>
  <c r="E378" s="1"/>
  <c r="D373"/>
  <c r="E373" s="1"/>
  <c r="D381"/>
  <c r="E381" s="1"/>
  <c r="D382"/>
  <c r="E382" s="1"/>
  <c r="D379"/>
  <c r="E379" s="1"/>
  <c r="F393" s="1"/>
  <c r="F379" s="1"/>
  <c r="K514"/>
  <c r="D375"/>
  <c r="E375" s="1"/>
  <c r="D32"/>
  <c r="AN15" s="1"/>
  <c r="K510"/>
  <c r="D45"/>
  <c r="E45" s="1"/>
  <c r="FU175"/>
  <c r="AD11"/>
  <c r="AC11"/>
  <c r="K472"/>
  <c r="C427"/>
  <c r="G445"/>
  <c r="C445" s="1"/>
  <c r="K494"/>
  <c r="I486"/>
  <c r="J486" s="1"/>
  <c r="K486" s="1"/>
  <c r="K518"/>
  <c r="AE13"/>
  <c r="D374"/>
  <c r="E374" s="1"/>
  <c r="D37"/>
  <c r="E414"/>
  <c r="G414"/>
  <c r="Z5"/>
  <c r="Y5"/>
  <c r="X5"/>
  <c r="D40"/>
  <c r="E40" s="1"/>
  <c r="G411"/>
  <c r="E411"/>
  <c r="G413"/>
  <c r="E413"/>
  <c r="Z10"/>
  <c r="X10"/>
  <c r="Y10"/>
  <c r="Z12"/>
  <c r="X12"/>
  <c r="Y12"/>
  <c r="D42"/>
  <c r="E42" s="1"/>
  <c r="D44"/>
  <c r="E44" s="1"/>
  <c r="E409"/>
  <c r="G409"/>
  <c r="D38"/>
  <c r="E38" s="1"/>
  <c r="D39"/>
  <c r="E39" s="1"/>
  <c r="Z8"/>
  <c r="Y8"/>
  <c r="X8"/>
  <c r="E412"/>
  <c r="G412"/>
  <c r="G408"/>
  <c r="E408"/>
  <c r="AE11"/>
  <c r="K516"/>
  <c r="K512"/>
  <c r="G520"/>
  <c r="AR15" s="1"/>
  <c r="X9"/>
  <c r="Z11"/>
  <c r="K508"/>
  <c r="AC13"/>
  <c r="Y13"/>
  <c r="X13"/>
  <c r="Z13"/>
  <c r="D405"/>
  <c r="E405" s="1"/>
  <c r="E531" s="1"/>
  <c r="G531" s="1"/>
  <c r="E410"/>
  <c r="G410"/>
  <c r="X6"/>
  <c r="Y6"/>
  <c r="Z6"/>
  <c r="G407"/>
  <c r="E407"/>
  <c r="I534"/>
  <c r="I532"/>
  <c r="Y4"/>
  <c r="Z4"/>
  <c r="X4"/>
  <c r="Z7"/>
  <c r="X7"/>
  <c r="Y7"/>
  <c r="J61"/>
  <c r="D61" s="1"/>
  <c r="D46"/>
  <c r="E46" s="1"/>
  <c r="D406"/>
  <c r="K464"/>
  <c r="K466"/>
  <c r="Y9"/>
  <c r="K474"/>
  <c r="K480"/>
  <c r="K468"/>
  <c r="C429" l="1"/>
  <c r="C431"/>
  <c r="K482"/>
  <c r="AE7"/>
  <c r="K476"/>
  <c r="DH227"/>
  <c r="K490"/>
  <c r="DH234"/>
  <c r="DH228"/>
  <c r="DH230"/>
  <c r="DH233"/>
  <c r="DH229"/>
  <c r="K506"/>
  <c r="K498"/>
  <c r="K500"/>
  <c r="AC6"/>
  <c r="AE6"/>
  <c r="AC4"/>
  <c r="AD5"/>
  <c r="AF5" s="1"/>
  <c r="AD6"/>
  <c r="DH226"/>
  <c r="AC12"/>
  <c r="AC5"/>
  <c r="AA11"/>
  <c r="AD8"/>
  <c r="AE8"/>
  <c r="AA13"/>
  <c r="AF13"/>
  <c r="AE10"/>
  <c r="AE9"/>
  <c r="AF9" s="1"/>
  <c r="AC9"/>
  <c r="AA9"/>
  <c r="F395"/>
  <c r="F381" s="1"/>
  <c r="F390"/>
  <c r="F376" s="1"/>
  <c r="F394"/>
  <c r="F380" s="1"/>
  <c r="U58" s="1"/>
  <c r="AC7"/>
  <c r="AD4"/>
  <c r="AE4"/>
  <c r="AD7"/>
  <c r="AD10"/>
  <c r="AC10"/>
  <c r="AA6"/>
  <c r="F396"/>
  <c r="F382" s="1"/>
  <c r="K60" s="1"/>
  <c r="F392"/>
  <c r="F378" s="1"/>
  <c r="K56" s="1"/>
  <c r="F389"/>
  <c r="F375" s="1"/>
  <c r="J53" s="1"/>
  <c r="K58"/>
  <c r="Z58"/>
  <c r="H58"/>
  <c r="I58"/>
  <c r="S58"/>
  <c r="M58"/>
  <c r="W58"/>
  <c r="N58"/>
  <c r="X58"/>
  <c r="Y58"/>
  <c r="K460"/>
  <c r="AH58"/>
  <c r="L58"/>
  <c r="AE58"/>
  <c r="V58"/>
  <c r="AB58"/>
  <c r="AC58"/>
  <c r="M54"/>
  <c r="AG54"/>
  <c r="AF54"/>
  <c r="N54"/>
  <c r="Z54"/>
  <c r="Q54"/>
  <c r="W54"/>
  <c r="U54"/>
  <c r="T54"/>
  <c r="AE54"/>
  <c r="AA54"/>
  <c r="P54"/>
  <c r="S54"/>
  <c r="AK54"/>
  <c r="AJ54"/>
  <c r="V54"/>
  <c r="AD58"/>
  <c r="G58"/>
  <c r="J58"/>
  <c r="AA58"/>
  <c r="AF58"/>
  <c r="P58"/>
  <c r="AG58"/>
  <c r="Q58"/>
  <c r="F391"/>
  <c r="F377" s="1"/>
  <c r="O58"/>
  <c r="R58"/>
  <c r="AI58"/>
  <c r="AJ58"/>
  <c r="T58"/>
  <c r="AK58"/>
  <c r="K488"/>
  <c r="AD12"/>
  <c r="AA12"/>
  <c r="AE12"/>
  <c r="AF11"/>
  <c r="AI54"/>
  <c r="AD54"/>
  <c r="R54"/>
  <c r="G54"/>
  <c r="X54"/>
  <c r="H54"/>
  <c r="Y54"/>
  <c r="I54"/>
  <c r="J54"/>
  <c r="K54"/>
  <c r="AH54"/>
  <c r="O54"/>
  <c r="AB54"/>
  <c r="L54"/>
  <c r="AC54"/>
  <c r="E406"/>
  <c r="F407" s="1"/>
  <c r="G406"/>
  <c r="H392"/>
  <c r="H410"/>
  <c r="E545"/>
  <c r="F412"/>
  <c r="E539"/>
  <c r="F409"/>
  <c r="E543"/>
  <c r="F411"/>
  <c r="E549"/>
  <c r="F414"/>
  <c r="H412"/>
  <c r="H394"/>
  <c r="J443"/>
  <c r="C443" s="1"/>
  <c r="C425"/>
  <c r="H409"/>
  <c r="H391"/>
  <c r="E547"/>
  <c r="F413"/>
  <c r="H396"/>
  <c r="H414"/>
  <c r="H408"/>
  <c r="H390"/>
  <c r="G444"/>
  <c r="C444" s="1"/>
  <c r="C426"/>
  <c r="D48"/>
  <c r="AO15" s="1"/>
  <c r="E37"/>
  <c r="H59"/>
  <c r="L59"/>
  <c r="P59"/>
  <c r="T59"/>
  <c r="X59"/>
  <c r="AB59"/>
  <c r="AF59"/>
  <c r="AJ59"/>
  <c r="G59"/>
  <c r="K59"/>
  <c r="O59"/>
  <c r="S59"/>
  <c r="W59"/>
  <c r="AA59"/>
  <c r="AE59"/>
  <c r="AI59"/>
  <c r="J59"/>
  <c r="R59"/>
  <c r="Z59"/>
  <c r="AH59"/>
  <c r="AC59"/>
  <c r="I59"/>
  <c r="Q59"/>
  <c r="Y59"/>
  <c r="AG59"/>
  <c r="N59"/>
  <c r="V59"/>
  <c r="AD59"/>
  <c r="M59"/>
  <c r="U59"/>
  <c r="AK59"/>
  <c r="F388"/>
  <c r="F374" s="1"/>
  <c r="AA7"/>
  <c r="AA8"/>
  <c r="AA10"/>
  <c r="AA5"/>
  <c r="H407"/>
  <c r="H389"/>
  <c r="J446"/>
  <c r="C446" s="1"/>
  <c r="C428"/>
  <c r="H413"/>
  <c r="H395"/>
  <c r="J450"/>
  <c r="C450" s="1"/>
  <c r="C432"/>
  <c r="E535"/>
  <c r="E541"/>
  <c r="F410"/>
  <c r="E537"/>
  <c r="F408"/>
  <c r="C424"/>
  <c r="G442"/>
  <c r="C442" s="1"/>
  <c r="J448"/>
  <c r="C448" s="1"/>
  <c r="C430"/>
  <c r="H411"/>
  <c r="H393"/>
  <c r="P441"/>
  <c r="C441" s="1"/>
  <c r="C423"/>
  <c r="J57"/>
  <c r="N57"/>
  <c r="R57"/>
  <c r="V57"/>
  <c r="Z57"/>
  <c r="AD57"/>
  <c r="AH57"/>
  <c r="I57"/>
  <c r="M57"/>
  <c r="Q57"/>
  <c r="U57"/>
  <c r="Y57"/>
  <c r="AC57"/>
  <c r="AG57"/>
  <c r="AK57"/>
  <c r="L57"/>
  <c r="T57"/>
  <c r="AB57"/>
  <c r="AJ57"/>
  <c r="O57"/>
  <c r="AE57"/>
  <c r="K57"/>
  <c r="S57"/>
  <c r="AA57"/>
  <c r="AI57"/>
  <c r="H57"/>
  <c r="P57"/>
  <c r="X57"/>
  <c r="AF57"/>
  <c r="G57"/>
  <c r="W57"/>
  <c r="AA4"/>
  <c r="AF7" l="1"/>
  <c r="AF6"/>
  <c r="AF10"/>
  <c r="AF8"/>
  <c r="AF4"/>
  <c r="P60"/>
  <c r="AE60"/>
  <c r="R60"/>
  <c r="AH60"/>
  <c r="U60"/>
  <c r="AJ60"/>
  <c r="AG60"/>
  <c r="O60"/>
  <c r="V56"/>
  <c r="J56"/>
  <c r="AF56"/>
  <c r="L56"/>
  <c r="AI56"/>
  <c r="AC56"/>
  <c r="AA56"/>
  <c r="W56"/>
  <c r="AH56"/>
  <c r="Q56"/>
  <c r="M56"/>
  <c r="AJ56"/>
  <c r="AK56"/>
  <c r="AE56"/>
  <c r="O56"/>
  <c r="AC60"/>
  <c r="X60"/>
  <c r="L60"/>
  <c r="I60"/>
  <c r="V60"/>
  <c r="AI60"/>
  <c r="S60"/>
  <c r="AK60"/>
  <c r="AF60"/>
  <c r="AB60"/>
  <c r="Q60"/>
  <c r="Z60"/>
  <c r="J60"/>
  <c r="W60"/>
  <c r="G60"/>
  <c r="AD56"/>
  <c r="H56"/>
  <c r="S56"/>
  <c r="G56"/>
  <c r="U56"/>
  <c r="Y56"/>
  <c r="T56"/>
  <c r="R56"/>
  <c r="T60"/>
  <c r="M60"/>
  <c r="H60"/>
  <c r="Y60"/>
  <c r="AD60"/>
  <c r="N60"/>
  <c r="AA60"/>
  <c r="N56"/>
  <c r="I56"/>
  <c r="P56"/>
  <c r="Z56"/>
  <c r="AG56"/>
  <c r="AB56"/>
  <c r="X56"/>
  <c r="G53"/>
  <c r="AD53"/>
  <c r="Q53"/>
  <c r="K53"/>
  <c r="AG53"/>
  <c r="L53"/>
  <c r="X53"/>
  <c r="N53"/>
  <c r="T53"/>
  <c r="AF53"/>
  <c r="U53"/>
  <c r="R53"/>
  <c r="AB53"/>
  <c r="W53"/>
  <c r="S53"/>
  <c r="H53"/>
  <c r="Y53"/>
  <c r="I53"/>
  <c r="V53"/>
  <c r="AA53"/>
  <c r="O53"/>
  <c r="AK53"/>
  <c r="AH53"/>
  <c r="AJ53"/>
  <c r="AE53"/>
  <c r="AI53"/>
  <c r="P53"/>
  <c r="AC53"/>
  <c r="M53"/>
  <c r="Z53"/>
  <c r="D58"/>
  <c r="I520"/>
  <c r="F522" s="1"/>
  <c r="D54"/>
  <c r="P55"/>
  <c r="AF55"/>
  <c r="O55"/>
  <c r="AE55"/>
  <c r="AD55"/>
  <c r="U55"/>
  <c r="R55"/>
  <c r="Y55"/>
  <c r="W55"/>
  <c r="AK55"/>
  <c r="T55"/>
  <c r="S55"/>
  <c r="Q55"/>
  <c r="Z55"/>
  <c r="L55"/>
  <c r="AB55"/>
  <c r="K55"/>
  <c r="AA55"/>
  <c r="V55"/>
  <c r="M55"/>
  <c r="J55"/>
  <c r="I55"/>
  <c r="H55"/>
  <c r="X55"/>
  <c r="G55"/>
  <c r="N55"/>
  <c r="AG55"/>
  <c r="AH55"/>
  <c r="AJ55"/>
  <c r="AI55"/>
  <c r="AC55"/>
  <c r="AF12"/>
  <c r="D57"/>
  <c r="H542"/>
  <c r="J542" s="1"/>
  <c r="K542" s="1"/>
  <c r="G543"/>
  <c r="H544"/>
  <c r="J544" s="1"/>
  <c r="K544" s="1"/>
  <c r="G545"/>
  <c r="G535"/>
  <c r="H546"/>
  <c r="J546" s="1"/>
  <c r="K546" s="1"/>
  <c r="G547"/>
  <c r="H406"/>
  <c r="H388"/>
  <c r="H548"/>
  <c r="J548" s="1"/>
  <c r="K548" s="1"/>
  <c r="H550"/>
  <c r="J550" s="1"/>
  <c r="K550" s="1"/>
  <c r="G549"/>
  <c r="H538"/>
  <c r="J538" s="1"/>
  <c r="K538" s="1"/>
  <c r="G539"/>
  <c r="C435"/>
  <c r="E533"/>
  <c r="F406"/>
  <c r="H536"/>
  <c r="J536" s="1"/>
  <c r="K536" s="1"/>
  <c r="G537"/>
  <c r="G52"/>
  <c r="K52"/>
  <c r="O52"/>
  <c r="S52"/>
  <c r="W52"/>
  <c r="AA52"/>
  <c r="AE52"/>
  <c r="AI52"/>
  <c r="J52"/>
  <c r="N52"/>
  <c r="R52"/>
  <c r="V52"/>
  <c r="Z52"/>
  <c r="AD52"/>
  <c r="AH52"/>
  <c r="I52"/>
  <c r="Q52"/>
  <c r="Y52"/>
  <c r="AG52"/>
  <c r="T52"/>
  <c r="AJ52"/>
  <c r="H52"/>
  <c r="P52"/>
  <c r="X52"/>
  <c r="AF52"/>
  <c r="M52"/>
  <c r="U52"/>
  <c r="AC52"/>
  <c r="AK52"/>
  <c r="L52"/>
  <c r="AB52"/>
  <c r="H540"/>
  <c r="J540" s="1"/>
  <c r="K540" s="1"/>
  <c r="G541"/>
  <c r="C453"/>
  <c r="AQ15" s="1"/>
  <c r="D59"/>
  <c r="D56" l="1"/>
  <c r="D60"/>
  <c r="D53"/>
  <c r="I523"/>
  <c r="F523" s="1"/>
  <c r="D55"/>
  <c r="H532"/>
  <c r="J532" s="1"/>
  <c r="G533"/>
  <c r="G556" s="1"/>
  <c r="AT15" s="1"/>
  <c r="D52"/>
  <c r="H534"/>
  <c r="J534" s="1"/>
  <c r="K534" s="1"/>
  <c r="AS15" l="1"/>
  <c r="D63"/>
  <c r="AP15" s="1"/>
  <c r="K532"/>
  <c r="I556"/>
  <c r="F559" l="1"/>
  <c r="AU15"/>
  <c r="DH231"/>
  <c r="DH232"/>
</calcChain>
</file>

<file path=xl/sharedStrings.xml><?xml version="1.0" encoding="utf-8"?>
<sst xmlns="http://schemas.openxmlformats.org/spreadsheetml/2006/main" count="1094" uniqueCount="150">
  <si>
    <t>Mean N</t>
  </si>
  <si>
    <t>Interval P</t>
  </si>
  <si>
    <t>Daily P</t>
  </si>
  <si>
    <t>IS  B</t>
  </si>
  <si>
    <t>IS P</t>
  </si>
  <si>
    <t>IS B</t>
  </si>
  <si>
    <t>AVG N</t>
  </si>
  <si>
    <t>STDEV</t>
  </si>
  <si>
    <t>STERR</t>
  </si>
  <si>
    <t>AVG B</t>
  </si>
  <si>
    <t>SAMPLE MONTHLY AVERAGES</t>
  </si>
  <si>
    <t>BIOMASS/m2</t>
  </si>
  <si>
    <t>Growth rate regression</t>
  </si>
  <si>
    <t>IGR Growth P</t>
  </si>
  <si>
    <t>cohort</t>
  </si>
  <si>
    <t>non-cohort</t>
  </si>
  <si>
    <t>non cohort</t>
  </si>
  <si>
    <t>production a full year</t>
  </si>
  <si>
    <t>I did this to make</t>
  </si>
  <si>
    <t>MONTH</t>
  </si>
  <si>
    <t>BOOT</t>
  </si>
  <si>
    <t>DATE</t>
  </si>
  <si>
    <t>COUNTER</t>
  </si>
  <si>
    <t>N</t>
  </si>
  <si>
    <t>B</t>
  </si>
  <si>
    <t>IGR P</t>
  </si>
  <si>
    <t>SF B</t>
  </si>
  <si>
    <t>SF P</t>
  </si>
  <si>
    <t>Sample</t>
  </si>
  <si>
    <t>Avg Boot</t>
  </si>
  <si>
    <t>P</t>
  </si>
  <si>
    <t>boot</t>
  </si>
  <si>
    <t xml:space="preserve">AVG INTERVAL N/m2 </t>
  </si>
  <si>
    <t>LENGTH--&gt;</t>
  </si>
  <si>
    <t>INTERVAL</t>
  </si>
  <si>
    <t>Nt</t>
  </si>
  <si>
    <t>t (d)</t>
  </si>
  <si>
    <t>&lt;1</t>
  </si>
  <si>
    <t>1st</t>
  </si>
  <si>
    <t>2nd</t>
  </si>
  <si>
    <t>3rd</t>
  </si>
  <si>
    <t>4th</t>
  </si>
  <si>
    <t>5th</t>
  </si>
  <si>
    <t>AVG N =</t>
  </si>
  <si>
    <t>AVG INTERVAL B (mg AFDM)/m2 for each 1 MM SC</t>
  </si>
  <si>
    <t>B average</t>
  </si>
  <si>
    <t>Length-mass realtionship</t>
  </si>
  <si>
    <t>a</t>
  </si>
  <si>
    <t>b</t>
  </si>
  <si>
    <t>% ASH</t>
  </si>
  <si>
    <t>AVG B =</t>
  </si>
  <si>
    <t xml:space="preserve">AVG INTERVAL P (mg AFDM)/m2 </t>
  </si>
  <si>
    <t>IGR</t>
  </si>
  <si>
    <t>P =</t>
  </si>
  <si>
    <t>Size classes</t>
  </si>
  <si>
    <t>PLACE RAW DATA IN</t>
  </si>
  <si>
    <t>Size Classes</t>
  </si>
  <si>
    <t>THIS BLOCK</t>
  </si>
  <si>
    <t>RAND</t>
  </si>
  <si>
    <t>SAMPLE</t>
  </si>
  <si>
    <t>THIS IS BOOT SPACE</t>
  </si>
  <si>
    <t>Do not place anything</t>
  </si>
  <si>
    <t xml:space="preserve"> in this space</t>
  </si>
  <si>
    <t>This block is used to</t>
  </si>
  <si>
    <t>AVG B (mg AFDM)/m2 for each sample date</t>
  </si>
  <si>
    <t>calculate growth rates</t>
  </si>
  <si>
    <t>mg/m2, N/m2</t>
  </si>
  <si>
    <t>Bt</t>
  </si>
  <si>
    <t>Bavg</t>
  </si>
  <si>
    <t>IGR (NO"-")</t>
  </si>
  <si>
    <t>IGR (d-1)</t>
  </si>
  <si>
    <t>IGR_TEMP</t>
  </si>
  <si>
    <t>t</t>
  </si>
  <si>
    <t>avg mm</t>
  </si>
  <si>
    <t>avg mass</t>
  </si>
  <si>
    <t>temp</t>
  </si>
  <si>
    <t>AVG INTERVAL P (mg AFDM)/m2 for each 1 MM SC by TEMP</t>
  </si>
  <si>
    <t># OF SAMPLES</t>
  </si>
  <si>
    <t># of SIZE CLASSES:</t>
  </si>
  <si>
    <t>Length (mm)</t>
  </si>
  <si>
    <t>W</t>
  </si>
  <si>
    <t>No. Lost</t>
  </si>
  <si>
    <t>Biomass</t>
  </si>
  <si>
    <t>&gt;1</t>
  </si>
  <si>
    <t>Can't have empty cells</t>
    <phoneticPr fontId="42" type="noConversion"/>
  </si>
  <si>
    <t>removed growth equation - none for this taxon</t>
    <phoneticPr fontId="42" type="noConversion"/>
  </si>
  <si>
    <t>checked CPI looks good</t>
    <phoneticPr fontId="42" type="noConversion"/>
  </si>
  <si>
    <t>removed last dates in monthly summary data</t>
    <phoneticPr fontId="42" type="noConversion"/>
  </si>
  <si>
    <t>removed 11th interval</t>
    <phoneticPr fontId="42" type="noConversion"/>
  </si>
  <si>
    <t>changed last interval to 24 days (to make a year)</t>
    <phoneticPr fontId="42" type="noConversion"/>
  </si>
  <si>
    <t>is the length-weight regression correct?</t>
    <phoneticPr fontId="42" type="noConversion"/>
  </si>
  <si>
    <t>temperatures need to be changed</t>
    <phoneticPr fontId="42" type="noConversion"/>
  </si>
  <si>
    <t>Note that the 10th interval</t>
    <phoneticPr fontId="2" type="noConversion"/>
  </si>
  <si>
    <t xml:space="preserve">is the wrap-around interval to make a year </t>
    <phoneticPr fontId="2" type="noConversion"/>
  </si>
  <si>
    <t>uses the remaining days in the year (24)</t>
    <phoneticPr fontId="2" type="noConversion"/>
  </si>
  <si>
    <t>It averages the abundance of the 1st and last date and</t>
    <phoneticPr fontId="2" type="noConversion"/>
  </si>
  <si>
    <t>Mass at Loss</t>
  </si>
  <si>
    <t>CPI  MAX:</t>
  </si>
  <si>
    <t>CPI MIN:</t>
  </si>
  <si>
    <t xml:space="preserve"> </t>
  </si>
  <si>
    <t>C P/B</t>
  </si>
  <si>
    <t>CPI</t>
  </si>
  <si>
    <t>A P/B</t>
  </si>
  <si>
    <t>Annual P</t>
  </si>
  <si>
    <t/>
  </si>
  <si>
    <t>Numbers per sq meter</t>
  </si>
  <si>
    <t>Biomass (mg/m2)</t>
  </si>
  <si>
    <t>Leave this blank until you run macro</t>
  </si>
  <si>
    <t>Abundance (no./m2)</t>
  </si>
  <si>
    <t>Data area</t>
  </si>
  <si>
    <t>do not enter raw here</t>
  </si>
  <si>
    <t>Large Fraction (&gt;1 mm)</t>
  </si>
  <si>
    <t>Small Fraction (&lt;1 mm&gt;250 um)</t>
  </si>
  <si>
    <t>AREA OF SAMPLE</t>
  </si>
  <si>
    <t>m2</t>
  </si>
  <si>
    <t>temperature</t>
  </si>
  <si>
    <t>c</t>
  </si>
  <si>
    <t>XXXXXX</t>
  </si>
  <si>
    <t>6th</t>
  </si>
  <si>
    <t>7th</t>
  </si>
  <si>
    <t>8th</t>
  </si>
  <si>
    <t>9th</t>
  </si>
  <si>
    <t>10th</t>
  </si>
  <si>
    <t>SUBSAMPLE MULTIPLIERS</t>
  </si>
  <si>
    <t>&gt;1 FRACTION</t>
  </si>
  <si>
    <t>&lt;1&gt;250 FRACTION</t>
  </si>
  <si>
    <t>AREA OF SAMPLER (m2)</t>
  </si>
  <si>
    <t>Upper 95%CI boot</t>
  </si>
  <si>
    <t>Lower 95%CI boot</t>
  </si>
  <si>
    <t>gotta figure out the 0.0001 thingy</t>
  </si>
  <si>
    <t xml:space="preserve">SAMPLES </t>
  </si>
  <si>
    <t>PER DATE</t>
  </si>
  <si>
    <t>(no negatives)</t>
  </si>
  <si>
    <t xml:space="preserve">IGR_TEMP </t>
  </si>
  <si>
    <t>Biomass Lost</t>
  </si>
  <si>
    <t>X No. Size Classes</t>
  </si>
  <si>
    <t>Negatives Corrected</t>
  </si>
  <si>
    <t>SIZE FREQUENCY METHOD</t>
  </si>
  <si>
    <t>INCREMENT SUMMATION METHOD</t>
  </si>
  <si>
    <t>Date</t>
  </si>
  <si>
    <t>Individual Growth</t>
  </si>
  <si>
    <t>chiromids</t>
  </si>
  <si>
    <t>g (-1)</t>
  </si>
  <si>
    <t>Boot</t>
  </si>
  <si>
    <t>Upper 95% CI</t>
  </si>
  <si>
    <t>Lower 95% CI</t>
  </si>
  <si>
    <t>Interval Growth Variation</t>
  </si>
  <si>
    <t>Avg. Boot Prod</t>
  </si>
  <si>
    <t>Inerval Growth Prod - Boot</t>
  </si>
  <si>
    <t>Simulidae</t>
  </si>
</sst>
</file>

<file path=xl/styles.xml><?xml version="1.0" encoding="utf-8"?>
<styleSheet xmlns="http://schemas.openxmlformats.org/spreadsheetml/2006/main">
  <numFmts count="8">
    <numFmt numFmtId="164" formatCode="[$-409]d\-mmm\-yy;@"/>
    <numFmt numFmtId="165" formatCode="0.0000"/>
    <numFmt numFmtId="166" formatCode="0.0"/>
    <numFmt numFmtId="167" formatCode="0.000"/>
    <numFmt numFmtId="168" formatCode="0.000000"/>
    <numFmt numFmtId="169" formatCode="General_)"/>
    <numFmt numFmtId="170" formatCode="[$-409]d\-mmm;@"/>
    <numFmt numFmtId="171" formatCode="#,##0.000"/>
  </numFmts>
  <fonts count="4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Geneva"/>
    </font>
    <font>
      <b/>
      <sz val="10"/>
      <name val="Geneva"/>
      <family val="2"/>
    </font>
    <font>
      <sz val="10"/>
      <color indexed="10"/>
      <name val="Arial"/>
      <family val="2"/>
    </font>
    <font>
      <b/>
      <sz val="10"/>
      <name val="Albertus Medium"/>
      <family val="2"/>
    </font>
    <font>
      <sz val="10"/>
      <name val="Arial"/>
      <family val="2"/>
    </font>
    <font>
      <sz val="10"/>
      <color indexed="10"/>
      <name val="Geneva"/>
    </font>
    <font>
      <b/>
      <sz val="10"/>
      <name val="Arial"/>
      <family val="2"/>
    </font>
    <font>
      <b/>
      <i/>
      <sz val="10"/>
      <color indexed="57"/>
      <name val="Geneva"/>
    </font>
    <font>
      <b/>
      <sz val="10"/>
      <color indexed="10"/>
      <name val="Geneva"/>
    </font>
    <font>
      <b/>
      <sz val="10"/>
      <color indexed="10"/>
      <name val="Arial"/>
      <family val="2"/>
    </font>
    <font>
      <sz val="10"/>
      <color indexed="57"/>
      <name val="Geneva"/>
    </font>
    <font>
      <b/>
      <sz val="10"/>
      <color indexed="13"/>
      <name val="Geneva"/>
    </font>
    <font>
      <b/>
      <sz val="10"/>
      <name val="Arial"/>
      <family val="2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57"/>
      <name val="Arial"/>
      <family val="2"/>
    </font>
    <font>
      <sz val="9"/>
      <name val="Helv"/>
    </font>
    <font>
      <sz val="10"/>
      <name val="Arial"/>
      <family val="2"/>
    </font>
    <font>
      <b/>
      <sz val="10"/>
      <name val="Geneva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Verdana"/>
      <family val="2"/>
    </font>
    <font>
      <b/>
      <sz val="10"/>
      <name val="Geneva"/>
    </font>
  </fonts>
  <fills count="34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19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66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5">
    <xf numFmtId="0" fontId="0" fillId="0" borderId="0"/>
    <xf numFmtId="0" fontId="25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5" borderId="0" applyNumberFormat="0" applyBorder="0" applyAlignment="0" applyProtection="0"/>
    <xf numFmtId="0" fontId="24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7" borderId="0" applyNumberFormat="0" applyBorder="0" applyAlignment="0" applyProtection="0"/>
    <xf numFmtId="0" fontId="25" fillId="5" borderId="0" applyNumberFormat="0" applyBorder="0" applyAlignment="0" applyProtection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4" fillId="11" borderId="0" applyNumberFormat="0" applyBorder="0" applyAlignment="0" applyProtection="0"/>
    <xf numFmtId="0" fontId="24" fillId="12" borderId="0" applyNumberFormat="0" applyBorder="0" applyAlignment="0" applyProtection="0"/>
    <xf numFmtId="0" fontId="25" fillId="2" borderId="0" applyNumberFormat="0" applyBorder="0" applyAlignment="0" applyProtection="0"/>
    <xf numFmtId="0" fontId="25" fillId="13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5" fillId="6" borderId="0" applyNumberFormat="0" applyBorder="0" applyAlignment="0" applyProtection="0"/>
    <xf numFmtId="0" fontId="26" fillId="14" borderId="0" applyNumberFormat="0" applyBorder="0" applyAlignment="0" applyProtection="0"/>
    <xf numFmtId="0" fontId="27" fillId="3" borderId="1" applyNumberFormat="0" applyAlignment="0" applyProtection="0"/>
    <xf numFmtId="0" fontId="28" fillId="15" borderId="2" applyNumberFormat="0" applyAlignment="0" applyProtection="0"/>
    <xf numFmtId="0" fontId="29" fillId="0" borderId="0" applyNumberFormat="0" applyFill="0" applyBorder="0" applyAlignment="0" applyProtection="0"/>
    <xf numFmtId="0" fontId="30" fillId="16" borderId="0" applyNumberFormat="0" applyBorder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3" fillId="0" borderId="5" applyNumberFormat="0" applyFill="0" applyAlignment="0" applyProtection="0"/>
    <xf numFmtId="0" fontId="33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34" fillId="6" borderId="1" applyNumberFormat="0" applyAlignment="0" applyProtection="0"/>
    <xf numFmtId="0" fontId="35" fillId="0" borderId="6" applyNumberFormat="0" applyFill="0" applyAlignment="0" applyProtection="0"/>
    <xf numFmtId="0" fontId="36" fillId="9" borderId="0" applyNumberFormat="0" applyBorder="0" applyAlignment="0" applyProtection="0"/>
    <xf numFmtId="169" fontId="20" fillId="0" borderId="0"/>
    <xf numFmtId="169" fontId="20" fillId="0" borderId="0"/>
    <xf numFmtId="0" fontId="1" fillId="8" borderId="7" applyNumberFormat="0" applyFont="0" applyAlignment="0" applyProtection="0"/>
    <xf numFmtId="0" fontId="37" fillId="3" borderId="8" applyNumberForma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0" borderId="0" applyNumberFormat="0" applyFill="0" applyBorder="0" applyAlignment="0" applyProtection="0"/>
  </cellStyleXfs>
  <cellXfs count="234">
    <xf numFmtId="0" fontId="0" fillId="0" borderId="0" xfId="0"/>
    <xf numFmtId="0" fontId="3" fillId="17" borderId="0" xfId="0" applyFont="1" applyFill="1" applyBorder="1"/>
    <xf numFmtId="1" fontId="3" fillId="17" borderId="0" xfId="0" applyNumberFormat="1" applyFont="1" applyFill="1" applyBorder="1"/>
    <xf numFmtId="2" fontId="3" fillId="17" borderId="0" xfId="0" applyNumberFormat="1" applyFont="1" applyFill="1" applyBorder="1"/>
    <xf numFmtId="0" fontId="3" fillId="18" borderId="0" xfId="0" applyFont="1" applyFill="1" applyBorder="1"/>
    <xf numFmtId="0" fontId="3" fillId="19" borderId="0" xfId="0" applyFont="1" applyFill="1" applyBorder="1"/>
    <xf numFmtId="1" fontId="3" fillId="19" borderId="0" xfId="0" applyNumberFormat="1" applyFont="1" applyFill="1" applyBorder="1"/>
    <xf numFmtId="0" fontId="1" fillId="18" borderId="0" xfId="0" applyFont="1" applyFill="1"/>
    <xf numFmtId="0" fontId="1" fillId="0" borderId="0" xfId="0" applyFont="1"/>
    <xf numFmtId="0" fontId="4" fillId="20" borderId="0" xfId="0" applyFont="1" applyFill="1" applyBorder="1" applyAlignment="1">
      <alignment horizontal="center"/>
    </xf>
    <xf numFmtId="0" fontId="4" fillId="20" borderId="0" xfId="0" applyFont="1" applyFill="1" applyBorder="1"/>
    <xf numFmtId="1" fontId="4" fillId="20" borderId="0" xfId="0" applyNumberFormat="1" applyFont="1" applyFill="1" applyBorder="1"/>
    <xf numFmtId="1" fontId="4" fillId="20" borderId="0" xfId="0" applyNumberFormat="1" applyFont="1" applyFill="1" applyBorder="1" applyAlignment="1">
      <alignment horizontal="center"/>
    </xf>
    <xf numFmtId="0" fontId="3" fillId="20" borderId="0" xfId="0" applyFont="1" applyFill="1" applyBorder="1"/>
    <xf numFmtId="1" fontId="3" fillId="20" borderId="0" xfId="0" applyNumberFormat="1" applyFont="1" applyFill="1" applyBorder="1"/>
    <xf numFmtId="2" fontId="4" fillId="20" borderId="0" xfId="0" applyNumberFormat="1" applyFont="1" applyFill="1" applyBorder="1" applyAlignment="1">
      <alignment horizontal="center"/>
    </xf>
    <xf numFmtId="0" fontId="4" fillId="18" borderId="0" xfId="0" applyFont="1" applyFill="1" applyBorder="1"/>
    <xf numFmtId="164" fontId="5" fillId="20" borderId="0" xfId="0" applyNumberFormat="1" applyFont="1" applyFill="1" applyBorder="1"/>
    <xf numFmtId="1" fontId="3" fillId="0" borderId="0" xfId="0" applyNumberFormat="1" applyFont="1" applyBorder="1"/>
    <xf numFmtId="0" fontId="3" fillId="0" borderId="0" xfId="0" applyFont="1" applyBorder="1"/>
    <xf numFmtId="0" fontId="4" fillId="20" borderId="0" xfId="0" applyFont="1" applyFill="1" applyBorder="1" applyAlignment="1">
      <alignment horizontal="left"/>
    </xf>
    <xf numFmtId="2" fontId="3" fillId="20" borderId="0" xfId="0" applyNumberFormat="1" applyFont="1" applyFill="1" applyBorder="1"/>
    <xf numFmtId="0" fontId="3" fillId="20" borderId="0" xfId="0" applyNumberFormat="1" applyFont="1" applyFill="1" applyBorder="1"/>
    <xf numFmtId="0" fontId="1" fillId="19" borderId="0" xfId="0" applyFont="1" applyFill="1"/>
    <xf numFmtId="0" fontId="4" fillId="19" borderId="0" xfId="0" applyFont="1" applyFill="1" applyBorder="1"/>
    <xf numFmtId="1" fontId="6" fillId="19" borderId="0" xfId="0" applyNumberFormat="1" applyFont="1" applyFill="1" applyBorder="1"/>
    <xf numFmtId="1" fontId="4" fillId="19" borderId="0" xfId="0" applyNumberFormat="1" applyFont="1" applyFill="1" applyBorder="1"/>
    <xf numFmtId="0" fontId="4" fillId="20" borderId="0" xfId="0" applyFont="1" applyFill="1" applyBorder="1" applyAlignment="1">
      <alignment horizontal="right"/>
    </xf>
    <xf numFmtId="1" fontId="3" fillId="18" borderId="0" xfId="0" applyNumberFormat="1" applyFont="1" applyFill="1" applyBorder="1"/>
    <xf numFmtId="1" fontId="6" fillId="18" borderId="0" xfId="0" applyNumberFormat="1" applyFont="1" applyFill="1" applyBorder="1"/>
    <xf numFmtId="1" fontId="4" fillId="18" borderId="0" xfId="0" applyNumberFormat="1" applyFont="1" applyFill="1" applyBorder="1"/>
    <xf numFmtId="16" fontId="1" fillId="17" borderId="0" xfId="0" applyNumberFormat="1" applyFont="1" applyFill="1" applyBorder="1"/>
    <xf numFmtId="16" fontId="3" fillId="17" borderId="0" xfId="0" applyNumberFormat="1" applyFont="1" applyFill="1" applyBorder="1"/>
    <xf numFmtId="16" fontId="1" fillId="18" borderId="0" xfId="0" applyNumberFormat="1" applyFont="1" applyFill="1" applyBorder="1"/>
    <xf numFmtId="16" fontId="3" fillId="18" borderId="0" xfId="0" applyNumberFormat="1" applyFont="1" applyFill="1" applyBorder="1"/>
    <xf numFmtId="0" fontId="4" fillId="21" borderId="0" xfId="0" applyFont="1" applyFill="1" applyBorder="1"/>
    <xf numFmtId="0" fontId="4" fillId="17" borderId="0" xfId="0" applyFont="1" applyFill="1" applyBorder="1"/>
    <xf numFmtId="16" fontId="7" fillId="17" borderId="0" xfId="0" applyNumberFormat="1" applyFont="1" applyFill="1" applyBorder="1"/>
    <xf numFmtId="1" fontId="6" fillId="17" borderId="0" xfId="0" applyNumberFormat="1" applyFont="1" applyFill="1" applyBorder="1"/>
    <xf numFmtId="1" fontId="4" fillId="17" borderId="0" xfId="0" applyNumberFormat="1" applyFont="1" applyFill="1" applyBorder="1"/>
    <xf numFmtId="2" fontId="4" fillId="20" borderId="0" xfId="0" applyNumberFormat="1" applyFont="1" applyFill="1" applyBorder="1"/>
    <xf numFmtId="16" fontId="4" fillId="20" borderId="0" xfId="0" applyNumberFormat="1" applyFont="1" applyFill="1" applyBorder="1"/>
    <xf numFmtId="1" fontId="8" fillId="17" borderId="0" xfId="0" applyNumberFormat="1" applyFont="1" applyFill="1" applyBorder="1"/>
    <xf numFmtId="0" fontId="1" fillId="21" borderId="0" xfId="0" applyFont="1" applyFill="1" applyBorder="1"/>
    <xf numFmtId="0" fontId="9" fillId="20" borderId="0" xfId="0" applyFont="1" applyFill="1" applyBorder="1" applyAlignment="1">
      <alignment horizontal="right"/>
    </xf>
    <xf numFmtId="1" fontId="9" fillId="20" borderId="0" xfId="0" applyNumberFormat="1" applyFont="1" applyFill="1" applyBorder="1"/>
    <xf numFmtId="1" fontId="9" fillId="20" borderId="0" xfId="0" applyNumberFormat="1" applyFont="1" applyFill="1" applyBorder="1" applyAlignment="1">
      <alignment horizontal="right"/>
    </xf>
    <xf numFmtId="1" fontId="4" fillId="20" borderId="0" xfId="0" applyNumberFormat="1" applyFont="1" applyFill="1" applyBorder="1" applyAlignment="1">
      <alignment horizontal="right"/>
    </xf>
    <xf numFmtId="49" fontId="8" fillId="20" borderId="0" xfId="0" applyNumberFormat="1" applyFont="1" applyFill="1" applyBorder="1" applyAlignment="1">
      <alignment horizontal="center"/>
    </xf>
    <xf numFmtId="165" fontId="3" fillId="0" borderId="0" xfId="0" applyNumberFormat="1" applyFont="1" applyBorder="1"/>
    <xf numFmtId="166" fontId="3" fillId="0" borderId="0" xfId="0" applyNumberFormat="1" applyFont="1" applyBorder="1"/>
    <xf numFmtId="0" fontId="4" fillId="18" borderId="0" xfId="0" applyFont="1" applyFill="1" applyBorder="1" applyAlignment="1">
      <alignment horizontal="center"/>
    </xf>
    <xf numFmtId="0" fontId="10" fillId="0" borderId="0" xfId="0" applyFont="1" applyBorder="1"/>
    <xf numFmtId="165" fontId="10" fillId="0" borderId="0" xfId="0" applyNumberFormat="1" applyFont="1" applyBorder="1"/>
    <xf numFmtId="1" fontId="4" fillId="0" borderId="0" xfId="0" applyNumberFormat="1" applyFont="1" applyBorder="1"/>
    <xf numFmtId="0" fontId="4" fillId="0" borderId="0" xfId="0" applyFont="1" applyBorder="1"/>
    <xf numFmtId="2" fontId="4" fillId="0" borderId="0" xfId="0" applyNumberFormat="1" applyFont="1" applyBorder="1"/>
    <xf numFmtId="0" fontId="11" fillId="17" borderId="0" xfId="0" applyFont="1" applyFill="1" applyBorder="1"/>
    <xf numFmtId="0" fontId="11" fillId="20" borderId="0" xfId="0" applyFont="1" applyFill="1" applyBorder="1"/>
    <xf numFmtId="0" fontId="12" fillId="20" borderId="0" xfId="0" applyFont="1" applyFill="1" applyBorder="1"/>
    <xf numFmtId="1" fontId="10" fillId="0" borderId="0" xfId="0" applyNumberFormat="1" applyFont="1" applyBorder="1"/>
    <xf numFmtId="2" fontId="3" fillId="0" borderId="0" xfId="0" applyNumberFormat="1" applyFont="1" applyBorder="1"/>
    <xf numFmtId="2" fontId="3" fillId="0" borderId="0" xfId="0" applyNumberFormat="1" applyFont="1" applyFill="1" applyBorder="1"/>
    <xf numFmtId="0" fontId="1" fillId="0" borderId="0" xfId="0" applyFont="1" applyBorder="1"/>
    <xf numFmtId="0" fontId="3" fillId="0" borderId="0" xfId="0" applyFont="1" applyFill="1" applyBorder="1"/>
    <xf numFmtId="1" fontId="3" fillId="0" borderId="0" xfId="0" applyNumberFormat="1" applyFont="1" applyFill="1" applyBorder="1"/>
    <xf numFmtId="0" fontId="8" fillId="17" borderId="0" xfId="0" applyFont="1" applyFill="1" applyBorder="1"/>
    <xf numFmtId="2" fontId="8" fillId="17" borderId="0" xfId="0" applyNumberFormat="1" applyFont="1" applyFill="1" applyBorder="1"/>
    <xf numFmtId="0" fontId="8" fillId="18" borderId="0" xfId="0" applyFont="1" applyFill="1" applyBorder="1"/>
    <xf numFmtId="2" fontId="8" fillId="18" borderId="0" xfId="0" applyNumberFormat="1" applyFont="1" applyFill="1" applyBorder="1"/>
    <xf numFmtId="1" fontId="8" fillId="18" borderId="0" xfId="0" applyNumberFormat="1" applyFont="1" applyFill="1" applyBorder="1"/>
    <xf numFmtId="16" fontId="1" fillId="20" borderId="0" xfId="0" applyNumberFormat="1" applyFont="1" applyFill="1" applyBorder="1"/>
    <xf numFmtId="1" fontId="13" fillId="0" borderId="0" xfId="0" applyNumberFormat="1" applyFont="1" applyBorder="1"/>
    <xf numFmtId="16" fontId="1" fillId="0" borderId="0" xfId="0" applyNumberFormat="1" applyFont="1" applyBorder="1"/>
    <xf numFmtId="1" fontId="7" fillId="18" borderId="0" xfId="0" applyNumberFormat="1" applyFont="1" applyFill="1" applyBorder="1"/>
    <xf numFmtId="0" fontId="9" fillId="20" borderId="0" xfId="0" applyFont="1" applyFill="1" applyBorder="1" applyAlignment="1">
      <alignment horizontal="center"/>
    </xf>
    <xf numFmtId="0" fontId="9" fillId="20" borderId="0" xfId="0" applyFont="1" applyFill="1" applyBorder="1"/>
    <xf numFmtId="0" fontId="14" fillId="17" borderId="0" xfId="0" applyFont="1" applyFill="1" applyBorder="1" applyAlignment="1">
      <alignment horizontal="center"/>
    </xf>
    <xf numFmtId="0" fontId="1" fillId="17" borderId="0" xfId="0" applyFont="1" applyFill="1" applyBorder="1"/>
    <xf numFmtId="15" fontId="1" fillId="17" borderId="0" xfId="0" applyNumberFormat="1" applyFont="1" applyFill="1" applyBorder="1"/>
    <xf numFmtId="1" fontId="7" fillId="17" borderId="0" xfId="0" applyNumberFormat="1" applyFont="1" applyFill="1" applyBorder="1"/>
    <xf numFmtId="0" fontId="1" fillId="18" borderId="0" xfId="0" applyFont="1" applyFill="1" applyBorder="1"/>
    <xf numFmtId="15" fontId="1" fillId="18" borderId="0" xfId="0" applyNumberFormat="1" applyFont="1" applyFill="1" applyBorder="1"/>
    <xf numFmtId="2" fontId="3" fillId="18" borderId="0" xfId="0" applyNumberFormat="1" applyFont="1" applyFill="1" applyBorder="1"/>
    <xf numFmtId="0" fontId="7" fillId="18" borderId="0" xfId="0" applyFont="1" applyFill="1" applyBorder="1"/>
    <xf numFmtId="16" fontId="7" fillId="18" borderId="0" xfId="0" applyNumberFormat="1" applyFont="1" applyFill="1" applyBorder="1"/>
    <xf numFmtId="1" fontId="9" fillId="18" borderId="0" xfId="0" applyNumberFormat="1" applyFont="1" applyFill="1" applyBorder="1"/>
    <xf numFmtId="0" fontId="4" fillId="18" borderId="0" xfId="0" applyFont="1" applyFill="1" applyBorder="1" applyAlignment="1">
      <alignment horizontal="right"/>
    </xf>
    <xf numFmtId="2" fontId="4" fillId="18" borderId="0" xfId="0" applyNumberFormat="1" applyFont="1" applyFill="1" applyBorder="1" applyAlignment="1">
      <alignment horizontal="right"/>
    </xf>
    <xf numFmtId="0" fontId="4" fillId="17" borderId="0" xfId="0" applyFont="1" applyFill="1" applyBorder="1" applyAlignment="1">
      <alignment horizontal="right"/>
    </xf>
    <xf numFmtId="0" fontId="4" fillId="17" borderId="0" xfId="0" applyFont="1" applyFill="1" applyBorder="1" applyAlignment="1">
      <alignment horizontal="center"/>
    </xf>
    <xf numFmtId="16" fontId="8" fillId="17" borderId="0" xfId="0" applyNumberFormat="1" applyFont="1" applyFill="1" applyBorder="1"/>
    <xf numFmtId="1" fontId="11" fillId="17" borderId="0" xfId="0" applyNumberFormat="1" applyFont="1" applyFill="1" applyBorder="1"/>
    <xf numFmtId="0" fontId="5" fillId="17" borderId="0" xfId="0" applyFont="1" applyFill="1" applyBorder="1"/>
    <xf numFmtId="0" fontId="1" fillId="20" borderId="0" xfId="0" applyFont="1" applyFill="1" applyBorder="1"/>
    <xf numFmtId="0" fontId="3" fillId="17" borderId="0" xfId="0" applyFont="1" applyFill="1" applyBorder="1" applyAlignment="1">
      <alignment horizontal="center"/>
    </xf>
    <xf numFmtId="0" fontId="1" fillId="20" borderId="0" xfId="0" applyFont="1" applyFill="1"/>
    <xf numFmtId="0" fontId="15" fillId="20" borderId="0" xfId="0" applyFont="1" applyFill="1" applyBorder="1"/>
    <xf numFmtId="1" fontId="1" fillId="18" borderId="0" xfId="0" applyNumberFormat="1" applyFont="1" applyFill="1" applyBorder="1"/>
    <xf numFmtId="0" fontId="15" fillId="0" borderId="0" xfId="0" applyFont="1" applyBorder="1"/>
    <xf numFmtId="0" fontId="1" fillId="0" borderId="0" xfId="0" applyFont="1" applyBorder="1" applyAlignment="1">
      <alignment horizontal="right"/>
    </xf>
    <xf numFmtId="2" fontId="1" fillId="0" borderId="0" xfId="0" applyNumberFormat="1" applyFont="1" applyBorder="1"/>
    <xf numFmtId="1" fontId="1" fillId="0" borderId="0" xfId="0" applyNumberFormat="1" applyFont="1" applyBorder="1"/>
    <xf numFmtId="1" fontId="1" fillId="20" borderId="0" xfId="0" applyNumberFormat="1" applyFont="1" applyFill="1" applyBorder="1"/>
    <xf numFmtId="0" fontId="1" fillId="0" borderId="0" xfId="0" applyFont="1" applyFill="1" applyBorder="1"/>
    <xf numFmtId="15" fontId="3" fillId="18" borderId="0" xfId="0" applyNumberFormat="1" applyFont="1" applyFill="1" applyBorder="1"/>
    <xf numFmtId="0" fontId="15" fillId="0" borderId="0" xfId="0" applyFont="1" applyFill="1" applyBorder="1"/>
    <xf numFmtId="167" fontId="3" fillId="0" borderId="0" xfId="0" applyNumberFormat="1" applyFont="1" applyBorder="1"/>
    <xf numFmtId="165" fontId="15" fillId="20" borderId="0" xfId="0" applyNumberFormat="1" applyFont="1" applyFill="1" applyBorder="1"/>
    <xf numFmtId="0" fontId="3" fillId="0" borderId="0" xfId="0" applyFont="1" applyFill="1" applyBorder="1" applyAlignment="1">
      <alignment horizontal="right"/>
    </xf>
    <xf numFmtId="0" fontId="0" fillId="18" borderId="0" xfId="0" applyFill="1"/>
    <xf numFmtId="0" fontId="0" fillId="17" borderId="0" xfId="0" applyFill="1"/>
    <xf numFmtId="0" fontId="3" fillId="0" borderId="0" xfId="0" applyNumberFormat="1" applyFont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168" fontId="4" fillId="17" borderId="0" xfId="0" applyNumberFormat="1" applyFont="1" applyFill="1" applyBorder="1" applyAlignment="1">
      <alignment horizontal="center"/>
    </xf>
    <xf numFmtId="0" fontId="1" fillId="17" borderId="0" xfId="0" applyFont="1" applyFill="1"/>
    <xf numFmtId="164" fontId="1" fillId="0" borderId="0" xfId="0" applyNumberFormat="1" applyFont="1" applyBorder="1" applyAlignment="1">
      <alignment horizontal="right"/>
    </xf>
    <xf numFmtId="164" fontId="1" fillId="0" borderId="0" xfId="0" applyNumberFormat="1" applyFont="1" applyBorder="1"/>
    <xf numFmtId="0" fontId="5" fillId="18" borderId="0" xfId="0" applyFont="1" applyFill="1"/>
    <xf numFmtId="2" fontId="0" fillId="0" borderId="0" xfId="0" applyNumberFormat="1"/>
    <xf numFmtId="0" fontId="15" fillId="20" borderId="0" xfId="0" applyFont="1" applyFill="1" applyAlignment="1">
      <alignment horizontal="center"/>
    </xf>
    <xf numFmtId="0" fontId="1" fillId="21" borderId="0" xfId="0" applyFont="1" applyFill="1"/>
    <xf numFmtId="2" fontId="1" fillId="20" borderId="0" xfId="0" applyNumberFormat="1" applyFont="1" applyFill="1"/>
    <xf numFmtId="2" fontId="19" fillId="0" borderId="0" xfId="0" applyNumberFormat="1" applyFont="1" applyBorder="1"/>
    <xf numFmtId="0" fontId="1" fillId="0" borderId="0" xfId="0" applyFont="1" applyFill="1"/>
    <xf numFmtId="0" fontId="18" fillId="22" borderId="0" xfId="0" applyFont="1" applyFill="1" applyBorder="1"/>
    <xf numFmtId="0" fontId="15" fillId="22" borderId="0" xfId="0" applyFont="1" applyFill="1" applyBorder="1"/>
    <xf numFmtId="164" fontId="3" fillId="20" borderId="0" xfId="0" applyNumberFormat="1" applyFont="1" applyFill="1" applyBorder="1"/>
    <xf numFmtId="0" fontId="3" fillId="23" borderId="0" xfId="0" applyFont="1" applyFill="1" applyBorder="1"/>
    <xf numFmtId="16" fontId="9" fillId="20" borderId="0" xfId="0" applyNumberFormat="1" applyFont="1" applyFill="1" applyBorder="1"/>
    <xf numFmtId="2" fontId="3" fillId="24" borderId="0" xfId="0" applyNumberFormat="1" applyFont="1" applyFill="1" applyBorder="1"/>
    <xf numFmtId="0" fontId="3" fillId="24" borderId="0" xfId="0" applyFont="1" applyFill="1" applyBorder="1"/>
    <xf numFmtId="1" fontId="3" fillId="24" borderId="0" xfId="0" applyNumberFormat="1" applyFont="1" applyFill="1" applyBorder="1"/>
    <xf numFmtId="1" fontId="4" fillId="18" borderId="0" xfId="0" applyNumberFormat="1" applyFont="1" applyFill="1" applyBorder="1" applyAlignment="1">
      <alignment horizontal="center"/>
    </xf>
    <xf numFmtId="0" fontId="21" fillId="20" borderId="0" xfId="0" applyFont="1" applyFill="1"/>
    <xf numFmtId="0" fontId="3" fillId="17" borderId="0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center"/>
    </xf>
    <xf numFmtId="1" fontId="3" fillId="20" borderId="0" xfId="0" applyNumberFormat="1" applyFont="1" applyFill="1" applyBorder="1" applyAlignment="1">
      <alignment horizontal="center"/>
    </xf>
    <xf numFmtId="0" fontId="1" fillId="23" borderId="0" xfId="0" applyFont="1" applyFill="1"/>
    <xf numFmtId="2" fontId="8" fillId="0" borderId="0" xfId="0" applyNumberFormat="1" applyFont="1" applyBorder="1"/>
    <xf numFmtId="1" fontId="22" fillId="20" borderId="0" xfId="0" applyNumberFormat="1" applyFont="1" applyFill="1" applyBorder="1"/>
    <xf numFmtId="0" fontId="23" fillId="20" borderId="0" xfId="0" applyFont="1" applyFill="1" applyAlignment="1">
      <alignment horizontal="center"/>
    </xf>
    <xf numFmtId="0" fontId="8" fillId="18" borderId="0" xfId="0" applyFont="1" applyFill="1" applyBorder="1" applyAlignment="1">
      <alignment horizontal="center"/>
    </xf>
    <xf numFmtId="0" fontId="3" fillId="18" borderId="0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7" fillId="18" borderId="0" xfId="34" applyFont="1" applyFill="1" applyBorder="1" applyAlignment="1" applyProtection="1">
      <alignment horizontal="center"/>
    </xf>
    <xf numFmtId="0" fontId="3" fillId="25" borderId="0" xfId="0" applyFont="1" applyFill="1" applyBorder="1"/>
    <xf numFmtId="1" fontId="3" fillId="25" borderId="0" xfId="0" applyNumberFormat="1" applyFont="1" applyFill="1" applyBorder="1"/>
    <xf numFmtId="2" fontId="3" fillId="25" borderId="0" xfId="0" applyNumberFormat="1" applyFont="1" applyFill="1" applyBorder="1"/>
    <xf numFmtId="1" fontId="7" fillId="25" borderId="0" xfId="0" applyNumberFormat="1" applyFont="1" applyFill="1" applyBorder="1"/>
    <xf numFmtId="0" fontId="1" fillId="25" borderId="0" xfId="0" applyFont="1" applyFill="1"/>
    <xf numFmtId="0" fontId="14" fillId="25" borderId="0" xfId="0" applyFont="1" applyFill="1" applyBorder="1" applyAlignment="1">
      <alignment horizontal="center"/>
    </xf>
    <xf numFmtId="0" fontId="1" fillId="25" borderId="0" xfId="0" applyFont="1" applyFill="1" applyBorder="1"/>
    <xf numFmtId="15" fontId="1" fillId="25" borderId="0" xfId="0" applyNumberFormat="1" applyFont="1" applyFill="1" applyBorder="1"/>
    <xf numFmtId="1" fontId="7" fillId="20" borderId="0" xfId="0" applyNumberFormat="1" applyFont="1" applyFill="1" applyBorder="1"/>
    <xf numFmtId="2" fontId="7" fillId="20" borderId="0" xfId="0" applyNumberFormat="1" applyFont="1" applyFill="1" applyBorder="1"/>
    <xf numFmtId="0" fontId="1" fillId="20" borderId="0" xfId="0" applyFont="1" applyFill="1" applyAlignment="1">
      <alignment horizontal="center"/>
    </xf>
    <xf numFmtId="0" fontId="23" fillId="25" borderId="0" xfId="0" applyFont="1" applyFill="1"/>
    <xf numFmtId="1" fontId="1" fillId="18" borderId="0" xfId="0" applyNumberFormat="1" applyFont="1" applyFill="1" applyAlignment="1">
      <alignment horizontal="center"/>
    </xf>
    <xf numFmtId="1" fontId="20" fillId="18" borderId="0" xfId="39" applyNumberFormat="1" applyFill="1" applyAlignment="1" applyProtection="1">
      <alignment horizontal="center"/>
    </xf>
    <xf numFmtId="166" fontId="1" fillId="18" borderId="0" xfId="0" applyNumberFormat="1" applyFont="1" applyFill="1" applyAlignment="1">
      <alignment horizontal="center"/>
    </xf>
    <xf numFmtId="166" fontId="20" fillId="0" borderId="0" xfId="39" applyNumberFormat="1" applyAlignment="1" applyProtection="1">
      <alignment horizontal="center"/>
    </xf>
    <xf numFmtId="167" fontId="1" fillId="18" borderId="0" xfId="0" applyNumberFormat="1" applyFont="1" applyFill="1"/>
    <xf numFmtId="2" fontId="0" fillId="20" borderId="0" xfId="0" applyNumberFormat="1" applyFill="1"/>
    <xf numFmtId="2" fontId="20" fillId="18" borderId="0" xfId="38" applyNumberFormat="1" applyFill="1" applyAlignment="1" applyProtection="1">
      <alignment horizontal="left"/>
    </xf>
    <xf numFmtId="2" fontId="20" fillId="18" borderId="0" xfId="38" applyNumberFormat="1" applyFill="1" applyAlignment="1">
      <alignment horizontal="left"/>
    </xf>
    <xf numFmtId="166" fontId="20" fillId="18" borderId="0" xfId="39" applyNumberFormat="1" applyFill="1" applyAlignment="1" applyProtection="1">
      <alignment horizontal="center"/>
    </xf>
    <xf numFmtId="166" fontId="20" fillId="18" borderId="0" xfId="38" applyNumberFormat="1" applyFill="1" applyAlignment="1" applyProtection="1">
      <alignment horizontal="center"/>
    </xf>
    <xf numFmtId="0" fontId="9" fillId="18" borderId="0" xfId="0" applyFont="1" applyFill="1" applyBorder="1"/>
    <xf numFmtId="1" fontId="9" fillId="18" borderId="0" xfId="0" applyNumberFormat="1" applyFont="1" applyFill="1" applyBorder="1" applyAlignment="1">
      <alignment horizontal="right"/>
    </xf>
    <xf numFmtId="1" fontId="4" fillId="18" borderId="0" xfId="0" applyNumberFormat="1" applyFont="1" applyFill="1" applyBorder="1" applyAlignment="1">
      <alignment horizontal="right"/>
    </xf>
    <xf numFmtId="16" fontId="1" fillId="18" borderId="0" xfId="0" applyNumberFormat="1" applyFont="1" applyFill="1"/>
    <xf numFmtId="171" fontId="1" fillId="18" borderId="0" xfId="0" applyNumberFormat="1" applyFont="1" applyFill="1"/>
    <xf numFmtId="167" fontId="3" fillId="0" borderId="0" xfId="0" applyNumberFormat="1" applyFont="1" applyBorder="1" applyAlignment="1">
      <alignment horizontal="right"/>
    </xf>
    <xf numFmtId="165" fontId="1" fillId="0" borderId="0" xfId="0" applyNumberFormat="1" applyFont="1" applyFill="1"/>
    <xf numFmtId="165" fontId="3" fillId="20" borderId="0" xfId="0" applyNumberFormat="1" applyFont="1" applyFill="1" applyBorder="1"/>
    <xf numFmtId="1" fontId="1" fillId="25" borderId="0" xfId="0" applyNumberFormat="1" applyFont="1" applyFill="1" applyBorder="1"/>
    <xf numFmtId="0" fontId="41" fillId="26" borderId="10" xfId="0" applyFont="1" applyFill="1" applyBorder="1" applyAlignment="1">
      <alignment horizontal="center"/>
    </xf>
    <xf numFmtId="0" fontId="41" fillId="0" borderId="0" xfId="0" applyFont="1"/>
    <xf numFmtId="0" fontId="9" fillId="26" borderId="0" xfId="0" applyFont="1" applyFill="1" applyBorder="1"/>
    <xf numFmtId="170" fontId="9" fillId="27" borderId="0" xfId="0" applyNumberFormat="1" applyFont="1" applyFill="1" applyBorder="1"/>
    <xf numFmtId="0" fontId="4" fillId="23" borderId="0" xfId="0" applyFont="1" applyFill="1" applyBorder="1"/>
    <xf numFmtId="0" fontId="1" fillId="26" borderId="10" xfId="0" applyFont="1" applyFill="1" applyBorder="1"/>
    <xf numFmtId="0" fontId="0" fillId="26" borderId="10" xfId="0" applyFill="1" applyBorder="1"/>
    <xf numFmtId="0" fontId="0" fillId="27" borderId="10" xfId="0" applyFill="1" applyBorder="1"/>
    <xf numFmtId="0" fontId="9" fillId="26" borderId="10" xfId="0" applyFont="1" applyFill="1" applyBorder="1"/>
    <xf numFmtId="171" fontId="1" fillId="26" borderId="10" xfId="0" applyNumberFormat="1" applyFont="1" applyFill="1" applyBorder="1"/>
    <xf numFmtId="16" fontId="1" fillId="27" borderId="10" xfId="0" applyNumberFormat="1" applyFont="1" applyFill="1" applyBorder="1"/>
    <xf numFmtId="16" fontId="0" fillId="0" borderId="0" xfId="0" applyNumberFormat="1"/>
    <xf numFmtId="0" fontId="1" fillId="28" borderId="0" xfId="0" applyFont="1" applyFill="1" applyBorder="1" applyAlignment="1">
      <alignment horizontal="center"/>
    </xf>
    <xf numFmtId="0" fontId="3" fillId="28" borderId="0" xfId="0" applyFont="1" applyFill="1" applyBorder="1" applyAlignment="1">
      <alignment horizontal="center"/>
    </xf>
    <xf numFmtId="0" fontId="3" fillId="28" borderId="0" xfId="0" applyFont="1" applyFill="1" applyBorder="1"/>
    <xf numFmtId="0" fontId="0" fillId="29" borderId="10" xfId="0" applyFill="1" applyBorder="1"/>
    <xf numFmtId="0" fontId="1" fillId="29" borderId="10" xfId="0" applyFont="1" applyFill="1" applyBorder="1"/>
    <xf numFmtId="0" fontId="1" fillId="29" borderId="0" xfId="0" applyFont="1" applyFill="1"/>
    <xf numFmtId="16" fontId="1" fillId="29" borderId="10" xfId="0" applyNumberFormat="1" applyFont="1" applyFill="1" applyBorder="1"/>
    <xf numFmtId="0" fontId="9" fillId="29" borderId="10" xfId="0" applyFont="1" applyFill="1" applyBorder="1"/>
    <xf numFmtId="170" fontId="1" fillId="29" borderId="10" xfId="0" applyNumberFormat="1" applyFont="1" applyFill="1" applyBorder="1"/>
    <xf numFmtId="171" fontId="1" fillId="29" borderId="10" xfId="0" applyNumberFormat="1" applyFont="1" applyFill="1" applyBorder="1"/>
    <xf numFmtId="16" fontId="1" fillId="29" borderId="0" xfId="0" applyNumberFormat="1" applyFont="1" applyFill="1"/>
    <xf numFmtId="171" fontId="1" fillId="29" borderId="0" xfId="0" applyNumberFormat="1" applyFont="1" applyFill="1"/>
    <xf numFmtId="0" fontId="1" fillId="29" borderId="0" xfId="0" applyFont="1" applyFill="1" applyBorder="1"/>
    <xf numFmtId="1" fontId="1" fillId="29" borderId="0" xfId="0" applyNumberFormat="1" applyFont="1" applyFill="1" applyBorder="1"/>
    <xf numFmtId="0" fontId="9" fillId="0" borderId="0" xfId="0" applyFont="1" applyFill="1" applyBorder="1"/>
    <xf numFmtId="0" fontId="0" fillId="31" borderId="0" xfId="0" applyFill="1"/>
    <xf numFmtId="0" fontId="1" fillId="31" borderId="10" xfId="0" applyFont="1" applyFill="1" applyBorder="1"/>
    <xf numFmtId="2" fontId="3" fillId="29" borderId="0" xfId="0" applyNumberFormat="1" applyFont="1" applyFill="1" applyBorder="1"/>
    <xf numFmtId="0" fontId="1" fillId="30" borderId="13" xfId="0" applyFont="1" applyFill="1" applyBorder="1" applyAlignment="1"/>
    <xf numFmtId="0" fontId="1" fillId="30" borderId="14" xfId="0" applyFont="1" applyFill="1" applyBorder="1" applyAlignment="1"/>
    <xf numFmtId="0" fontId="1" fillId="32" borderId="0" xfId="0" applyFont="1" applyFill="1"/>
    <xf numFmtId="0" fontId="1" fillId="33" borderId="10" xfId="0" applyFont="1" applyFill="1" applyBorder="1"/>
    <xf numFmtId="0" fontId="1" fillId="30" borderId="14" xfId="0" applyFont="1" applyFill="1" applyBorder="1" applyAlignment="1">
      <alignment horizontal="center"/>
    </xf>
    <xf numFmtId="164" fontId="1" fillId="30" borderId="14" xfId="0" applyNumberFormat="1" applyFont="1" applyFill="1" applyBorder="1" applyAlignment="1"/>
    <xf numFmtId="164" fontId="3" fillId="20" borderId="11" xfId="0" applyNumberFormat="1" applyFont="1" applyFill="1" applyBorder="1"/>
    <xf numFmtId="0" fontId="3" fillId="20" borderId="11" xfId="0" applyFont="1" applyFill="1" applyBorder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3" fillId="20" borderId="0" xfId="0" applyFont="1" applyFill="1" applyBorder="1" applyAlignment="1">
      <alignment horizontal="center"/>
    </xf>
    <xf numFmtId="0" fontId="1" fillId="20" borderId="0" xfId="0" applyFont="1" applyFill="1" applyAlignment="1">
      <alignment horizontal="center"/>
    </xf>
    <xf numFmtId="0" fontId="18" fillId="29" borderId="0" xfId="0" applyFont="1" applyFill="1" applyBorder="1" applyAlignment="1">
      <alignment horizontal="center"/>
    </xf>
    <xf numFmtId="0" fontId="1" fillId="32" borderId="12" xfId="0" applyFont="1" applyFill="1" applyBorder="1" applyAlignment="1">
      <alignment horizontal="center"/>
    </xf>
    <xf numFmtId="0" fontId="43" fillId="20" borderId="12" xfId="0" applyFont="1" applyFill="1" applyBorder="1" applyAlignment="1">
      <alignment horizontal="center"/>
    </xf>
    <xf numFmtId="0" fontId="4" fillId="20" borderId="12" xfId="0" applyFont="1" applyFill="1" applyBorder="1" applyAlignment="1">
      <alignment horizontal="center"/>
    </xf>
    <xf numFmtId="0" fontId="43" fillId="19" borderId="0" xfId="0" applyFont="1" applyFill="1" applyBorder="1" applyAlignment="1">
      <alignment horizontal="center"/>
    </xf>
  </cellXfs>
  <cellStyles count="4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Cobble Gravel" xfId="38"/>
    <cellStyle name="Normal_template_12dates" xfId="39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66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N1338"/>
  <sheetViews>
    <sheetView tabSelected="1" topLeftCell="FB2" zoomScale="85" zoomScaleNormal="85" workbookViewId="0">
      <selection activeCell="FH6" sqref="FH6:FN16"/>
    </sheetView>
  </sheetViews>
  <sheetFormatPr defaultColWidth="8.85546875" defaultRowHeight="12.75"/>
  <cols>
    <col min="1" max="1" width="41.42578125" style="8" customWidth="1"/>
    <col min="2" max="2" width="9.28515625" style="8" bestFit="1" customWidth="1"/>
    <col min="3" max="3" width="17.7109375" style="8" customWidth="1"/>
    <col min="4" max="4" width="20.28515625" style="8" customWidth="1"/>
    <col min="5" max="5" width="14" style="8" customWidth="1"/>
    <col min="6" max="6" width="14.28515625" style="8" customWidth="1"/>
    <col min="7" max="7" width="26.140625" style="8" customWidth="1"/>
    <col min="8" max="8" width="17.85546875" style="8" customWidth="1"/>
    <col min="9" max="9" width="15.42578125" style="8" customWidth="1"/>
    <col min="10" max="10" width="19.42578125" style="8" customWidth="1"/>
    <col min="11" max="11" width="21.28515625" style="8" customWidth="1"/>
    <col min="12" max="12" width="11" style="8" bestFit="1" customWidth="1"/>
    <col min="13" max="13" width="13.42578125" style="8" customWidth="1"/>
    <col min="14" max="14" width="9.42578125" style="8" bestFit="1" customWidth="1"/>
    <col min="15" max="15" width="9.85546875" style="8" bestFit="1" customWidth="1"/>
    <col min="16" max="16" width="15" style="8" customWidth="1"/>
    <col min="17" max="18" width="11.42578125" style="8" customWidth="1"/>
    <col min="19" max="19" width="9.42578125" style="8" bestFit="1" customWidth="1"/>
    <col min="20" max="20" width="14.140625" style="8" customWidth="1"/>
    <col min="21" max="21" width="14.5703125" style="8" customWidth="1"/>
    <col min="22" max="22" width="17.28515625" style="8" customWidth="1"/>
    <col min="23" max="23" width="20.28515625" style="8" customWidth="1"/>
    <col min="24" max="35" width="9.42578125" style="8" bestFit="1" customWidth="1"/>
    <col min="36" max="39" width="8.85546875" style="8"/>
    <col min="40" max="40" width="12.28515625" style="8" customWidth="1"/>
    <col min="41" max="41" width="9.7109375" style="8" customWidth="1"/>
    <col min="42" max="42" width="10.140625" style="8" customWidth="1"/>
    <col min="43" max="43" width="13.7109375" style="8" customWidth="1"/>
    <col min="44" max="49" width="8.85546875" style="8"/>
    <col min="50" max="50" width="22.85546875" style="8" customWidth="1"/>
    <col min="51" max="52" width="8.85546875" style="8"/>
    <col min="53" max="53" width="12.85546875" style="8" customWidth="1"/>
    <col min="54" max="84" width="8.85546875" style="8"/>
    <col min="85" max="85" width="15.28515625" style="8" customWidth="1"/>
    <col min="86" max="87" width="8.85546875" style="8"/>
    <col min="88" max="88" width="29.7109375" style="8" customWidth="1"/>
    <col min="89" max="91" width="8.85546875" style="8"/>
    <col min="92" max="92" width="7.42578125" style="8" customWidth="1"/>
    <col min="93" max="93" width="5.42578125" style="8" customWidth="1"/>
    <col min="94" max="94" width="6.140625" style="8" customWidth="1"/>
    <col min="95" max="95" width="5.28515625" style="8" customWidth="1"/>
    <col min="96" max="96" width="4" style="8" customWidth="1"/>
    <col min="97" max="97" width="6" style="8" customWidth="1"/>
    <col min="98" max="98" width="6.140625" style="8" customWidth="1"/>
    <col min="99" max="99" width="5.42578125" style="8" customWidth="1"/>
    <col min="100" max="100" width="8.85546875" style="8"/>
    <col min="101" max="101" width="17.140625" style="8" customWidth="1"/>
    <col min="102" max="104" width="18.140625" style="8" customWidth="1"/>
    <col min="105" max="105" width="17.42578125" style="8" customWidth="1"/>
    <col min="106" max="106" width="24.42578125" style="8" customWidth="1"/>
    <col min="107" max="137" width="8.85546875" style="8"/>
    <col min="138" max="138" width="7.140625" style="8" customWidth="1"/>
    <col min="139" max="140" width="8.85546875" style="8"/>
    <col min="141" max="141" width="19" style="8" customWidth="1"/>
    <col min="142" max="144" width="8.85546875" style="8"/>
    <col min="145" max="145" width="20.85546875" style="8" customWidth="1"/>
    <col min="146" max="151" width="8.85546875" style="8"/>
    <col min="152" max="152" width="15.140625" style="8" customWidth="1"/>
    <col min="153" max="153" width="17.28515625" style="8" customWidth="1"/>
    <col min="154" max="154" width="8.85546875" style="8"/>
    <col min="155" max="155" width="11.28515625" style="8" customWidth="1"/>
    <col min="156" max="163" width="8.85546875" style="8"/>
    <col min="164" max="164" width="9.85546875" style="8" bestFit="1" customWidth="1"/>
    <col min="165" max="165" width="9.7109375" style="8" customWidth="1"/>
    <col min="166" max="176" width="8.85546875" style="8"/>
    <col min="177" max="177" width="15.140625" style="8" customWidth="1"/>
    <col min="178" max="182" width="8.85546875" style="8"/>
    <col min="183" max="183" width="9.85546875" style="8" bestFit="1" customWidth="1"/>
    <col min="184" max="184" width="9.7109375" style="8" bestFit="1" customWidth="1"/>
    <col min="185" max="185" width="9.42578125" style="8" bestFit="1" customWidth="1"/>
    <col min="186" max="187" width="9.7109375" style="8" bestFit="1" customWidth="1"/>
    <col min="188" max="189" width="8.85546875" style="8"/>
    <col min="190" max="190" width="9.85546875" style="8" bestFit="1" customWidth="1"/>
    <col min="191" max="191" width="9.42578125" style="8" bestFit="1" customWidth="1"/>
    <col min="192" max="16384" width="8.85546875" style="8"/>
  </cols>
  <sheetData>
    <row r="1" spans="1:196" s="7" customFormat="1">
      <c r="A1" s="181" t="s">
        <v>149</v>
      </c>
      <c r="B1" s="1"/>
      <c r="C1" s="1"/>
      <c r="D1" s="1"/>
      <c r="E1" s="1"/>
      <c r="F1" s="2"/>
      <c r="G1" s="2"/>
      <c r="H1" s="3"/>
      <c r="I1" s="4"/>
      <c r="J1" s="5"/>
      <c r="K1" s="5"/>
      <c r="L1" s="5"/>
      <c r="M1" s="5"/>
      <c r="N1" s="6"/>
      <c r="O1" s="5"/>
      <c r="P1" s="5"/>
      <c r="Q1" s="5"/>
      <c r="R1" s="5"/>
      <c r="S1" s="5"/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</row>
    <row r="2" spans="1:196" s="7" customFormat="1">
      <c r="A2" s="142"/>
      <c r="B2" s="1"/>
      <c r="C2" s="9"/>
      <c r="D2" s="9" t="s">
        <v>19</v>
      </c>
      <c r="E2" s="9" t="s">
        <v>130</v>
      </c>
      <c r="F2" s="11"/>
      <c r="G2" s="12" t="s">
        <v>20</v>
      </c>
      <c r="H2" s="3"/>
      <c r="I2" s="4"/>
      <c r="J2" s="5"/>
      <c r="K2" s="13"/>
      <c r="L2" s="13"/>
      <c r="M2" s="136"/>
      <c r="N2" s="137"/>
      <c r="O2" s="136" t="s">
        <v>14</v>
      </c>
      <c r="P2" s="136" t="s">
        <v>15</v>
      </c>
      <c r="Q2" s="136" t="s">
        <v>15</v>
      </c>
      <c r="R2" s="136" t="s">
        <v>16</v>
      </c>
      <c r="S2" s="136" t="s">
        <v>14</v>
      </c>
      <c r="T2" s="136" t="s">
        <v>14</v>
      </c>
      <c r="U2" s="5"/>
      <c r="V2" s="4"/>
      <c r="W2" s="10" t="s">
        <v>10</v>
      </c>
      <c r="X2" s="13"/>
      <c r="Y2" s="13"/>
      <c r="Z2" s="13"/>
      <c r="AA2" s="13"/>
      <c r="AB2" s="13"/>
      <c r="AC2" s="14"/>
      <c r="AD2" s="13"/>
      <c r="AE2" s="13"/>
      <c r="AF2" s="13"/>
      <c r="AG2" s="13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FX2" s="209"/>
      <c r="FY2" s="209"/>
      <c r="FZ2" s="209"/>
      <c r="GA2" s="209"/>
      <c r="GB2" s="209"/>
      <c r="GC2" s="230" t="s">
        <v>148</v>
      </c>
      <c r="GD2" s="230"/>
      <c r="GE2" s="230"/>
      <c r="GF2" s="230"/>
      <c r="GG2" s="230"/>
      <c r="GH2" s="230"/>
      <c r="GI2" s="230"/>
      <c r="GJ2" s="209"/>
      <c r="GK2" s="209"/>
      <c r="GL2" s="209"/>
      <c r="GM2" s="209"/>
      <c r="GN2" s="209"/>
    </row>
    <row r="3" spans="1:196" s="7" customFormat="1">
      <c r="A3" s="142"/>
      <c r="B3" s="1"/>
      <c r="C3" s="15" t="s">
        <v>21</v>
      </c>
      <c r="D3" s="9" t="s">
        <v>22</v>
      </c>
      <c r="E3" s="9" t="s">
        <v>131</v>
      </c>
      <c r="F3" s="10"/>
      <c r="G3" s="9" t="s">
        <v>22</v>
      </c>
      <c r="H3" s="1"/>
      <c r="I3" s="4"/>
      <c r="J3" s="5"/>
      <c r="K3" s="13"/>
      <c r="L3" s="13"/>
      <c r="M3" s="9" t="s">
        <v>23</v>
      </c>
      <c r="N3" s="9" t="s">
        <v>24</v>
      </c>
      <c r="O3" s="9" t="s">
        <v>25</v>
      </c>
      <c r="P3" s="9" t="s">
        <v>13</v>
      </c>
      <c r="Q3" s="9" t="s">
        <v>26</v>
      </c>
      <c r="R3" s="9" t="s">
        <v>27</v>
      </c>
      <c r="S3" s="9" t="s">
        <v>5</v>
      </c>
      <c r="T3" s="9" t="s">
        <v>4</v>
      </c>
      <c r="U3" s="5"/>
      <c r="V3" s="4"/>
      <c r="W3" s="13" t="s">
        <v>139</v>
      </c>
      <c r="X3" s="9" t="s">
        <v>6</v>
      </c>
      <c r="Y3" s="9" t="s">
        <v>23</v>
      </c>
      <c r="Z3" s="9" t="s">
        <v>7</v>
      </c>
      <c r="AA3" s="9" t="s">
        <v>8</v>
      </c>
      <c r="AB3" s="9"/>
      <c r="AC3" s="9" t="s">
        <v>9</v>
      </c>
      <c r="AD3" s="9" t="s">
        <v>23</v>
      </c>
      <c r="AE3" s="9" t="s">
        <v>7</v>
      </c>
      <c r="AF3" s="9" t="s">
        <v>8</v>
      </c>
      <c r="AG3" s="13"/>
      <c r="AH3" s="4"/>
      <c r="AI3" s="4"/>
      <c r="AJ3" s="4"/>
      <c r="AK3" s="4"/>
      <c r="AL3" s="4"/>
      <c r="AM3" s="4"/>
      <c r="AN3" s="4"/>
      <c r="AO3" s="4"/>
      <c r="AP3" s="16"/>
      <c r="AQ3" s="16"/>
      <c r="AR3" s="16"/>
      <c r="AS3" s="16"/>
      <c r="FX3" s="209"/>
      <c r="FY3" s="207"/>
      <c r="FZ3" s="207"/>
      <c r="GA3" s="207"/>
      <c r="GB3" s="207"/>
      <c r="GC3" s="207"/>
      <c r="GD3" s="207"/>
      <c r="GE3" s="207"/>
      <c r="GF3" s="207"/>
      <c r="GG3" s="207"/>
      <c r="GH3" s="207"/>
      <c r="GI3" s="207"/>
      <c r="GJ3" s="207"/>
      <c r="GK3" s="207"/>
      <c r="GL3" s="207"/>
      <c r="GM3" s="207"/>
      <c r="GN3" s="209"/>
    </row>
    <row r="4" spans="1:196" s="7" customFormat="1">
      <c r="A4" s="142"/>
      <c r="B4" s="1"/>
      <c r="C4" s="17">
        <v>39646</v>
      </c>
      <c r="D4" s="18">
        <f>COUNTA(C228:C237)</f>
        <v>10</v>
      </c>
      <c r="E4" s="109">
        <v>10</v>
      </c>
      <c r="F4" s="13"/>
      <c r="G4" s="112">
        <f>COUNTA(AN17:AN1016)</f>
        <v>1000</v>
      </c>
      <c r="H4" s="1"/>
      <c r="I4" s="4"/>
      <c r="J4" s="5"/>
      <c r="K4" s="20" t="s">
        <v>28</v>
      </c>
      <c r="L4" s="13"/>
      <c r="M4" s="130">
        <v>115.15859821922329</v>
      </c>
      <c r="N4" s="130">
        <v>10.63516106858815</v>
      </c>
      <c r="O4" s="130">
        <v>107.57478894303382</v>
      </c>
      <c r="P4" s="130">
        <v>91.470852171556643</v>
      </c>
      <c r="Q4" s="130">
        <v>10.265987051944609</v>
      </c>
      <c r="R4" s="130">
        <v>180.75100891705551</v>
      </c>
      <c r="S4" s="131">
        <v>6.104119083226518</v>
      </c>
      <c r="T4" s="131">
        <v>19.036595748544023</v>
      </c>
      <c r="U4" s="5"/>
      <c r="V4" s="4"/>
      <c r="W4" s="127">
        <f t="shared" ref="W4:W13" si="0">C4</f>
        <v>39646</v>
      </c>
      <c r="X4" s="132">
        <f>AVERAGE(EK88:EK97)</f>
        <v>29.166666666666668</v>
      </c>
      <c r="Y4" s="131">
        <f>COUNT(EK88:EK97)</f>
        <v>10</v>
      </c>
      <c r="Z4" s="130">
        <f>STDEV(EK88:EK97)</f>
        <v>48.561482602908576</v>
      </c>
      <c r="AA4" s="130">
        <f>Z4/SQRT(Y4)</f>
        <v>15.356489157983319</v>
      </c>
      <c r="AB4" s="131"/>
      <c r="AC4" s="130">
        <f>AVERAGE($FU88:$FU97)</f>
        <v>3.9225469564979156</v>
      </c>
      <c r="AD4" s="132">
        <f>COUNT($FU88:$FU97)</f>
        <v>10</v>
      </c>
      <c r="AE4" s="130">
        <f>STDEV($FU88:$FU97)</f>
        <v>10.286026001974536</v>
      </c>
      <c r="AF4" s="130">
        <f>AE4/SQRT(AD4)</f>
        <v>3.2527270237955141</v>
      </c>
      <c r="AG4" s="13"/>
      <c r="AH4" s="4"/>
      <c r="AI4" s="4"/>
      <c r="AJ4" s="4"/>
      <c r="AK4" s="4"/>
      <c r="AL4" s="4"/>
      <c r="AM4" s="4"/>
      <c r="AN4" s="4"/>
      <c r="AO4" s="4"/>
      <c r="AP4" s="16"/>
      <c r="AQ4" s="16"/>
      <c r="AR4" s="16"/>
      <c r="AS4" s="16"/>
      <c r="FG4" s="5"/>
      <c r="FH4" s="5"/>
      <c r="FI4" s="5"/>
      <c r="FJ4" s="233" t="s">
        <v>146</v>
      </c>
      <c r="FK4" s="233"/>
      <c r="FL4" s="233"/>
      <c r="FM4" s="233"/>
      <c r="FN4" s="5"/>
      <c r="FO4" s="5"/>
      <c r="FX4" s="209"/>
      <c r="FY4" s="211" t="s">
        <v>143</v>
      </c>
      <c r="FZ4" s="212">
        <f>C4</f>
        <v>39646</v>
      </c>
      <c r="GA4" s="212">
        <f>C5</f>
        <v>39673</v>
      </c>
      <c r="GB4" s="212">
        <f>C6</f>
        <v>39714</v>
      </c>
      <c r="GC4" s="212">
        <f>C7</f>
        <v>39747</v>
      </c>
      <c r="GD4" s="212">
        <f>C8</f>
        <v>39775</v>
      </c>
      <c r="GE4" s="212">
        <f>C9</f>
        <v>39799</v>
      </c>
      <c r="GF4" s="212">
        <f>C10</f>
        <v>39847</v>
      </c>
      <c r="GG4" s="212">
        <f>C11</f>
        <v>39910</v>
      </c>
      <c r="GH4" s="212">
        <f>C12</f>
        <v>39949</v>
      </c>
      <c r="GI4" s="212">
        <f>C13</f>
        <v>39987</v>
      </c>
      <c r="GJ4" s="208"/>
      <c r="GK4" s="208"/>
      <c r="GL4" s="208"/>
      <c r="GM4" s="208"/>
      <c r="GN4" s="209"/>
    </row>
    <row r="5" spans="1:196" s="7" customFormat="1">
      <c r="A5" s="142"/>
      <c r="B5" s="1"/>
      <c r="C5" s="17">
        <v>39673</v>
      </c>
      <c r="D5" s="18">
        <f>COUNTA(C238:C247)</f>
        <v>10</v>
      </c>
      <c r="E5" s="109">
        <v>10</v>
      </c>
      <c r="F5" s="10"/>
      <c r="G5" s="9"/>
      <c r="H5" s="1"/>
      <c r="I5" s="4"/>
      <c r="J5" s="5"/>
      <c r="K5" s="20" t="s">
        <v>29</v>
      </c>
      <c r="L5" s="13"/>
      <c r="M5" s="130">
        <f t="shared" ref="M5:T5" si="1">AVERAGE(AN17:AN1016)</f>
        <v>115.17122440141497</v>
      </c>
      <c r="N5" s="130">
        <f t="shared" si="1"/>
        <v>10.599287781238923</v>
      </c>
      <c r="O5" s="130">
        <f t="shared" si="1"/>
        <v>107.09607496744245</v>
      </c>
      <c r="P5" s="130">
        <f t="shared" si="1"/>
        <v>91.059864936111239</v>
      </c>
      <c r="Q5" s="130">
        <f t="shared" si="1"/>
        <v>10.230254668049502</v>
      </c>
      <c r="R5" s="130">
        <f t="shared" si="1"/>
        <v>166.09413726687481</v>
      </c>
      <c r="S5" s="131" t="e">
        <f t="shared" si="1"/>
        <v>#DIV/0!</v>
      </c>
      <c r="T5" s="131" t="e">
        <f t="shared" si="1"/>
        <v>#DIV/0!</v>
      </c>
      <c r="U5" s="5"/>
      <c r="V5" s="4"/>
      <c r="W5" s="127">
        <f t="shared" si="0"/>
        <v>39673</v>
      </c>
      <c r="X5" s="132">
        <f>AVERAGE(EK98:EK107)</f>
        <v>163.54166666666669</v>
      </c>
      <c r="Y5" s="131">
        <f>COUNT(EK98:EK107)</f>
        <v>10</v>
      </c>
      <c r="Z5" s="130">
        <f>STDEV(EK98:EK107)</f>
        <v>344.74987857991215</v>
      </c>
      <c r="AA5" s="130">
        <f t="shared" ref="AA5:AA13" si="2">Z5/SQRT(Y5)</f>
        <v>109.01948393790174</v>
      </c>
      <c r="AB5" s="131"/>
      <c r="AC5" s="130">
        <f>AVERAGE($FU98:$FU107)</f>
        <v>44.270796988205923</v>
      </c>
      <c r="AD5" s="132">
        <f>COUNT($FU98:$FU107)</f>
        <v>10</v>
      </c>
      <c r="AE5" s="130">
        <f>STDEV($FU98:$FU107)</f>
        <v>91.139012715094722</v>
      </c>
      <c r="AF5" s="130">
        <f t="shared" ref="AF5:AF13" si="3">AE5/SQRT(AD5)</f>
        <v>28.820686387874588</v>
      </c>
      <c r="AG5" s="13"/>
      <c r="AH5" s="4"/>
      <c r="AI5" s="4"/>
      <c r="AJ5" s="4"/>
      <c r="AK5" s="4"/>
      <c r="AL5" s="4"/>
      <c r="AM5" s="4"/>
      <c r="AN5" s="4"/>
      <c r="AO5" s="4"/>
      <c r="AP5" s="16"/>
      <c r="AQ5" s="16"/>
      <c r="AR5" s="16"/>
      <c r="AS5" s="16"/>
      <c r="FG5" s="5"/>
      <c r="FH5" s="13"/>
      <c r="FI5" s="13"/>
      <c r="FJ5" s="136"/>
      <c r="FK5" s="137"/>
      <c r="FL5" s="136"/>
      <c r="FM5" s="136"/>
      <c r="FN5" s="136"/>
      <c r="FO5" s="5"/>
      <c r="FX5" s="209"/>
      <c r="FY5" s="209"/>
      <c r="FZ5" s="209"/>
      <c r="GA5" s="209"/>
      <c r="GB5" s="209"/>
      <c r="GC5" s="209"/>
      <c r="GD5" s="209"/>
      <c r="GE5" s="209"/>
      <c r="GF5" s="209"/>
      <c r="GG5" s="209"/>
      <c r="GH5" s="209"/>
      <c r="GI5" s="209"/>
      <c r="GJ5" s="209"/>
      <c r="GK5" s="209"/>
      <c r="GL5" s="209"/>
      <c r="GM5" s="209"/>
      <c r="GN5" s="209"/>
    </row>
    <row r="6" spans="1:196" s="7" customFormat="1">
      <c r="A6" s="144"/>
      <c r="B6" s="1"/>
      <c r="C6" s="17">
        <v>39714</v>
      </c>
      <c r="D6" s="18">
        <f>COUNTA(C248:C257)</f>
        <v>10</v>
      </c>
      <c r="E6" s="109">
        <v>10</v>
      </c>
      <c r="F6" s="10"/>
      <c r="G6" s="9"/>
      <c r="H6" s="1"/>
      <c r="I6" s="4"/>
      <c r="J6" s="5"/>
      <c r="K6" s="20" t="s">
        <v>127</v>
      </c>
      <c r="L6" s="13"/>
      <c r="M6" s="130">
        <f t="shared" ref="M6:T6" si="4">PERCENTILE(AN17:AN1016, 0.975)</f>
        <v>171.54701210011132</v>
      </c>
      <c r="N6" s="130">
        <f t="shared" si="4"/>
        <v>17.747846412107194</v>
      </c>
      <c r="O6" s="130">
        <f t="shared" si="4"/>
        <v>190.19947767828123</v>
      </c>
      <c r="P6" s="130">
        <f t="shared" si="4"/>
        <v>163.7808037849762</v>
      </c>
      <c r="Q6" s="130">
        <f t="shared" si="4"/>
        <v>16.693626518489889</v>
      </c>
      <c r="R6" s="130">
        <f t="shared" si="4"/>
        <v>263.36695360700372</v>
      </c>
      <c r="S6" s="130" t="e">
        <f t="shared" si="4"/>
        <v>#DIV/0!</v>
      </c>
      <c r="T6" s="130" t="e">
        <f t="shared" si="4"/>
        <v>#DIV/0!</v>
      </c>
      <c r="U6" s="5"/>
      <c r="V6" s="4"/>
      <c r="W6" s="127">
        <f t="shared" si="0"/>
        <v>39714</v>
      </c>
      <c r="X6" s="132">
        <f>AVERAGE(EK108:EK117)</f>
        <v>15.178571428571427</v>
      </c>
      <c r="Y6" s="131">
        <f>COUNT(EK108:EK117)</f>
        <v>10</v>
      </c>
      <c r="Z6" s="130">
        <f>STDEV(EK108:EK117)</f>
        <v>27.829105073487934</v>
      </c>
      <c r="AA6" s="130">
        <f t="shared" si="2"/>
        <v>8.8003357276369396</v>
      </c>
      <c r="AB6" s="131"/>
      <c r="AC6" s="130">
        <f>AVERAGE($FU108:$FU117)</f>
        <v>4.1497985486473077</v>
      </c>
      <c r="AD6" s="132">
        <f>COUNT($FU108:$FU117)</f>
        <v>10</v>
      </c>
      <c r="AE6" s="130">
        <f>STDEV($FU108:$FU117)</f>
        <v>6.609070969634411</v>
      </c>
      <c r="AF6" s="130">
        <f t="shared" si="3"/>
        <v>2.0899717481742264</v>
      </c>
      <c r="AG6" s="13"/>
      <c r="AH6" s="4"/>
      <c r="AI6" s="4"/>
      <c r="AJ6" s="4"/>
      <c r="AK6" s="4"/>
      <c r="AL6" s="4"/>
      <c r="AM6" s="4"/>
      <c r="AN6" s="4"/>
      <c r="AO6" s="4"/>
      <c r="AP6" s="16"/>
      <c r="AQ6" s="16"/>
      <c r="AR6" s="16"/>
      <c r="AS6" s="16"/>
      <c r="FG6" s="5"/>
      <c r="FH6" s="13"/>
      <c r="FI6" s="231" t="s">
        <v>147</v>
      </c>
      <c r="FJ6" s="231"/>
      <c r="FK6" s="232" t="s">
        <v>144</v>
      </c>
      <c r="FL6" s="232"/>
      <c r="FM6" s="232" t="s">
        <v>145</v>
      </c>
      <c r="FN6" s="232"/>
      <c r="FO6" s="5"/>
      <c r="FY6" s="210">
        <v>1</v>
      </c>
      <c r="FZ6">
        <v>32.33253885264299</v>
      </c>
      <c r="GA6">
        <v>39.613261600801991</v>
      </c>
      <c r="GB6">
        <v>2.2590683608059576</v>
      </c>
      <c r="GC6">
        <v>1.0650350547327185</v>
      </c>
      <c r="GD6">
        <v>0.50278744454555446</v>
      </c>
      <c r="GE6">
        <v>2.0283304188905311</v>
      </c>
      <c r="GF6">
        <v>8.8533291260289495</v>
      </c>
      <c r="GG6">
        <v>6.9608243866062729</v>
      </c>
      <c r="GH6">
        <v>5.5598021772627257</v>
      </c>
      <c r="GI6">
        <v>8.1045605955073654</v>
      </c>
      <c r="GJ6"/>
      <c r="GK6"/>
      <c r="GL6"/>
      <c r="GM6"/>
    </row>
    <row r="7" spans="1:196" s="7" customFormat="1">
      <c r="A7" s="143"/>
      <c r="B7" s="1"/>
      <c r="C7" s="17">
        <v>39747</v>
      </c>
      <c r="D7" s="18">
        <f>COUNTA(C258:C267)</f>
        <v>10</v>
      </c>
      <c r="E7" s="109">
        <v>10</v>
      </c>
      <c r="F7" s="10"/>
      <c r="G7" s="9"/>
      <c r="H7" s="1"/>
      <c r="I7" s="4"/>
      <c r="J7" s="5"/>
      <c r="K7" s="10" t="s">
        <v>128</v>
      </c>
      <c r="L7" s="13"/>
      <c r="M7" s="130">
        <f t="shared" ref="M7:T7" si="5">PERCENTILE(AN17:AN1016, 0.025)</f>
        <v>62.214035776422186</v>
      </c>
      <c r="N7" s="130">
        <f t="shared" si="5"/>
        <v>4.7798128930372528</v>
      </c>
      <c r="O7" s="130">
        <f t="shared" si="5"/>
        <v>41.883670628516114</v>
      </c>
      <c r="P7" s="130">
        <f t="shared" si="5"/>
        <v>34.187854898378362</v>
      </c>
      <c r="Q7" s="130">
        <f t="shared" si="5"/>
        <v>4.7860108007394535</v>
      </c>
      <c r="R7" s="130">
        <f t="shared" si="5"/>
        <v>86.623007819258873</v>
      </c>
      <c r="S7" s="130" t="e">
        <f t="shared" si="5"/>
        <v>#DIV/0!</v>
      </c>
      <c r="T7" s="130" t="e">
        <f t="shared" si="5"/>
        <v>#DIV/0!</v>
      </c>
      <c r="U7" s="5"/>
      <c r="V7" s="4"/>
      <c r="W7" s="127">
        <f t="shared" si="0"/>
        <v>39747</v>
      </c>
      <c r="X7" s="132">
        <f>AVERAGE(EK118:EK127)</f>
        <v>99.692729561579426</v>
      </c>
      <c r="Y7" s="131">
        <f>COUNT(EK118:EK127)</f>
        <v>10</v>
      </c>
      <c r="Z7" s="130">
        <f>STDEV(EK118:EK127)</f>
        <v>157.41581181230762</v>
      </c>
      <c r="AA7" s="130">
        <f t="shared" si="2"/>
        <v>49.779250505133007</v>
      </c>
      <c r="AB7" s="131"/>
      <c r="AC7" s="130">
        <f>AVERAGE($FU118:$FU127)</f>
        <v>5.1341347244528608</v>
      </c>
      <c r="AD7" s="132">
        <f>COUNT($FU118:$FU127)</f>
        <v>10</v>
      </c>
      <c r="AE7" s="130">
        <f>STDEV($FU118:$FU127)</f>
        <v>7.6315915397988761</v>
      </c>
      <c r="AF7" s="130">
        <f t="shared" si="3"/>
        <v>2.4133211437835986</v>
      </c>
      <c r="AG7" s="13"/>
      <c r="AH7" s="4"/>
      <c r="AI7" s="4"/>
      <c r="AJ7" s="4"/>
      <c r="AK7" s="4"/>
      <c r="AL7" s="4"/>
      <c r="AM7" s="4"/>
      <c r="AN7" s="4"/>
      <c r="AO7" s="4"/>
      <c r="AP7" s="16"/>
      <c r="AQ7" s="16"/>
      <c r="AR7" s="16"/>
      <c r="AS7" s="16"/>
      <c r="FG7" s="5"/>
      <c r="FH7" s="213">
        <f t="shared" ref="FH7:FH16" si="6">C4</f>
        <v>39646</v>
      </c>
      <c r="FI7" s="227">
        <f>AVERAGE(FZ6:FZ1005)</f>
        <v>23.486345097925831</v>
      </c>
      <c r="FJ7" s="227"/>
      <c r="FK7" s="227">
        <f>PERCENTILE($FZ$6:$FZ$1005,0.975)</f>
        <v>54.68531092459294</v>
      </c>
      <c r="FL7" s="227"/>
      <c r="FM7" s="227">
        <f>PERCENTILE($FZ$6:$FZ$1005,0.025)</f>
        <v>0.94279558948512665</v>
      </c>
      <c r="FN7" s="227"/>
      <c r="FO7" s="5"/>
      <c r="FY7" s="210">
        <v>2</v>
      </c>
      <c r="FZ7">
        <v>25.480138411742377</v>
      </c>
      <c r="GA7">
        <v>27.59012617371237</v>
      </c>
      <c r="GB7">
        <v>3.7921526043571561</v>
      </c>
      <c r="GC7">
        <v>1.8547927580263088</v>
      </c>
      <c r="GD7">
        <v>0.67928218075375568</v>
      </c>
      <c r="GE7">
        <v>2.4099402925482298</v>
      </c>
      <c r="GF7">
        <v>5.1165021424217212</v>
      </c>
      <c r="GG7">
        <v>6.9753979750238546</v>
      </c>
      <c r="GH7">
        <v>8.6695128170540698</v>
      </c>
      <c r="GI7">
        <v>7.3861047318501161</v>
      </c>
      <c r="GJ7"/>
      <c r="GK7"/>
      <c r="GL7"/>
      <c r="GM7"/>
    </row>
    <row r="8" spans="1:196" s="7" customFormat="1">
      <c r="A8" s="143"/>
      <c r="B8" s="1"/>
      <c r="C8" s="17">
        <v>39775</v>
      </c>
      <c r="D8" s="18">
        <f>COUNTA(C268:C277)</f>
        <v>10</v>
      </c>
      <c r="E8" s="109">
        <v>10</v>
      </c>
      <c r="F8" s="10"/>
      <c r="G8" s="9"/>
      <c r="H8" s="1"/>
      <c r="I8" s="4"/>
      <c r="J8" s="5"/>
      <c r="K8" s="5"/>
      <c r="L8" s="5"/>
      <c r="M8" s="5"/>
      <c r="N8" s="6"/>
      <c r="O8" s="24"/>
      <c r="P8" s="25"/>
      <c r="Q8" s="26"/>
      <c r="R8" s="26"/>
      <c r="S8" s="5"/>
      <c r="T8" s="5"/>
      <c r="U8" s="5"/>
      <c r="V8" s="4"/>
      <c r="W8" s="127">
        <f t="shared" si="0"/>
        <v>39775</v>
      </c>
      <c r="X8" s="132">
        <f>AVERAGE(EK128:EK137)</f>
        <v>68.221801346801357</v>
      </c>
      <c r="Y8" s="131">
        <f>COUNT(EK128:EK137)</f>
        <v>10</v>
      </c>
      <c r="Z8" s="130">
        <f>STDEV(EK128:EK137)</f>
        <v>96.764344093424242</v>
      </c>
      <c r="AA8" s="130">
        <f t="shared" si="2"/>
        <v>30.599572362748152</v>
      </c>
      <c r="AB8" s="131"/>
      <c r="AC8" s="130">
        <f>AVERAGE($FU128:$FU137)</f>
        <v>2.0557217169619362</v>
      </c>
      <c r="AD8" s="132">
        <f>COUNT($FU128:$FU137)</f>
        <v>10</v>
      </c>
      <c r="AE8" s="130">
        <f>STDEV($FU128:$FU137)</f>
        <v>2.6092636667566067</v>
      </c>
      <c r="AF8" s="130">
        <f t="shared" si="3"/>
        <v>0.82512162028734481</v>
      </c>
      <c r="AG8" s="13"/>
      <c r="AH8" s="4"/>
      <c r="AI8" s="4"/>
      <c r="AJ8" s="4"/>
      <c r="AK8" s="4"/>
      <c r="AL8" s="4"/>
      <c r="AM8" s="4"/>
      <c r="AN8" s="4"/>
      <c r="AO8" s="4"/>
      <c r="AP8" s="16"/>
      <c r="AQ8" s="16"/>
      <c r="AR8" s="16"/>
      <c r="AS8" s="16"/>
      <c r="FG8" s="5"/>
      <c r="FH8" s="213">
        <f t="shared" si="6"/>
        <v>39673</v>
      </c>
      <c r="FI8" s="227">
        <f>AVERAGE(GA6:GA1005)</f>
        <v>27.669357949937378</v>
      </c>
      <c r="FJ8" s="227"/>
      <c r="FK8" s="227">
        <f>PERCENTILE($GA$6:$GA$1005,0.975)</f>
        <v>64.953753733657109</v>
      </c>
      <c r="FL8" s="227"/>
      <c r="FM8" s="227">
        <f>PERCENTILE($GA$6:$GA$1005,0.025)</f>
        <v>1.99750816606565</v>
      </c>
      <c r="FN8" s="227"/>
      <c r="FO8" s="5"/>
      <c r="FY8" s="210">
        <v>3</v>
      </c>
      <c r="FZ8">
        <v>16.539757323543114</v>
      </c>
      <c r="GA8">
        <v>16.124516852332444</v>
      </c>
      <c r="GB8">
        <v>1.8341237492224933</v>
      </c>
      <c r="GC8">
        <v>0.3936977484461438</v>
      </c>
      <c r="GD8">
        <v>1.9671008998236292</v>
      </c>
      <c r="GE8">
        <v>4.415681735349251</v>
      </c>
      <c r="GF8">
        <v>5.4111994082303392</v>
      </c>
      <c r="GG8">
        <v>8.567740911332594</v>
      </c>
      <c r="GH8">
        <v>10.204522779584423</v>
      </c>
      <c r="GI8">
        <v>6.6685369269910524</v>
      </c>
      <c r="GJ8"/>
      <c r="GK8"/>
      <c r="GL8"/>
      <c r="GM8"/>
    </row>
    <row r="9" spans="1:196" s="7" customFormat="1">
      <c r="A9" s="143"/>
      <c r="B9" s="1"/>
      <c r="C9" s="17">
        <v>39799</v>
      </c>
      <c r="D9" s="18">
        <f>COUNTA(C278:C287)</f>
        <v>10</v>
      </c>
      <c r="E9" s="109">
        <v>10</v>
      </c>
      <c r="F9" s="10"/>
      <c r="G9" s="9"/>
      <c r="H9" s="1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27">
        <f t="shared" si="0"/>
        <v>39799</v>
      </c>
      <c r="X9" s="132">
        <f>AVERAGE(EK138:EK147)</f>
        <v>73.689096850861546</v>
      </c>
      <c r="Y9" s="131">
        <f>COUNT(EK138:EK147)</f>
        <v>10</v>
      </c>
      <c r="Z9" s="130">
        <f>STDEV(EK138:EK147)</f>
        <v>113.44868810886609</v>
      </c>
      <c r="AA9" s="130">
        <f t="shared" si="2"/>
        <v>35.875625198207729</v>
      </c>
      <c r="AB9" s="131"/>
      <c r="AC9" s="130">
        <f>AVERAGE($FU138:$FU147)</f>
        <v>5.0745106193512246</v>
      </c>
      <c r="AD9" s="132">
        <f>COUNT($FU138:$FU147)</f>
        <v>10</v>
      </c>
      <c r="AE9" s="130">
        <f>STDEV($FU138:$FU147)</f>
        <v>8.6858612443337986</v>
      </c>
      <c r="AF9" s="130">
        <f t="shared" si="3"/>
        <v>2.7467104972279093</v>
      </c>
      <c r="AG9" s="13"/>
      <c r="AH9" s="4"/>
      <c r="AI9" s="4"/>
      <c r="AJ9" s="4"/>
      <c r="AK9" s="4"/>
      <c r="AL9" s="4"/>
      <c r="AM9" s="4"/>
      <c r="AN9" s="4"/>
      <c r="AO9" s="4"/>
      <c r="AP9" s="16"/>
      <c r="AQ9" s="16"/>
      <c r="AR9" s="16"/>
      <c r="AS9" s="16"/>
      <c r="FG9" s="5"/>
      <c r="FH9" s="213">
        <f t="shared" si="6"/>
        <v>39714</v>
      </c>
      <c r="FI9" s="227">
        <f>AVERAGE(GB6:GB1005)</f>
        <v>2.7462513892857952</v>
      </c>
      <c r="FJ9" s="227"/>
      <c r="FK9" s="227">
        <f>PERCENTILE($GB$6:$GB$1005,0.975)</f>
        <v>4.5411247709130036</v>
      </c>
      <c r="FL9" s="227"/>
      <c r="FM9" s="227">
        <f>PERCENTILE($GB$6:$GB$1005,0.025)</f>
        <v>1.164060547771923</v>
      </c>
      <c r="FN9" s="227"/>
      <c r="FO9" s="5"/>
      <c r="FY9" s="210">
        <v>4</v>
      </c>
      <c r="FZ9">
        <v>23.270301288975677</v>
      </c>
      <c r="GA9">
        <v>26.514672790489787</v>
      </c>
      <c r="GB9">
        <v>3.1115516356861415</v>
      </c>
      <c r="GC9">
        <v>1.8956157954219219</v>
      </c>
      <c r="GD9">
        <v>1.3168323219929579</v>
      </c>
      <c r="GE9">
        <v>2.5844525363189095</v>
      </c>
      <c r="GF9">
        <v>7.2461679458523927</v>
      </c>
      <c r="GG9">
        <v>10.766249059525538</v>
      </c>
      <c r="GH9">
        <v>10.472829158720351</v>
      </c>
      <c r="GI9">
        <v>7.9329741202882849</v>
      </c>
      <c r="GJ9"/>
      <c r="GK9"/>
      <c r="GL9"/>
      <c r="GM9"/>
    </row>
    <row r="10" spans="1:196" s="7" customFormat="1">
      <c r="A10" s="143"/>
      <c r="B10" s="2"/>
      <c r="C10" s="17">
        <v>39847</v>
      </c>
      <c r="D10" s="18">
        <f>COUNTA(C288:C297)</f>
        <v>8</v>
      </c>
      <c r="E10" s="109">
        <v>8</v>
      </c>
      <c r="F10" s="10"/>
      <c r="G10" s="10"/>
      <c r="H10" s="1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27">
        <f t="shared" si="0"/>
        <v>39847</v>
      </c>
      <c r="X10" s="132">
        <f>AVERAGE(EK148:EK157)</f>
        <v>154.1069878472222</v>
      </c>
      <c r="Y10" s="131">
        <f>COUNT(EK148:EK157)</f>
        <v>8</v>
      </c>
      <c r="Z10" s="130">
        <f>STDEV(EK148:EK157)</f>
        <v>353.50921020498254</v>
      </c>
      <c r="AA10" s="130">
        <f t="shared" si="2"/>
        <v>124.9843798739219</v>
      </c>
      <c r="AB10" s="131"/>
      <c r="AC10" s="130">
        <f>AVERAGE($FU148:$FU157)</f>
        <v>5.1786719338337157</v>
      </c>
      <c r="AD10" s="132">
        <f>COUNT($FU148:$FU157)</f>
        <v>8</v>
      </c>
      <c r="AE10" s="130">
        <f>STDEV($FU148:$FU157)</f>
        <v>8.7136885327355529</v>
      </c>
      <c r="AF10" s="130">
        <f t="shared" si="3"/>
        <v>3.0807541253223834</v>
      </c>
      <c r="AG10" s="13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FG10" s="5"/>
      <c r="FH10" s="213">
        <f t="shared" si="6"/>
        <v>39747</v>
      </c>
      <c r="FI10" s="227">
        <f>AVERAGE(GC6:GC1005)</f>
        <v>1.2148510426055239</v>
      </c>
      <c r="FJ10" s="227"/>
      <c r="FK10" s="227">
        <f>PERCENTILE($GC$6:$GC$1005,0.975)</f>
        <v>2.0619685940914581</v>
      </c>
      <c r="FL10" s="227"/>
      <c r="FM10" s="227">
        <f>PERCENTILE($GC$6:$GC$1005,0.025)</f>
        <v>0.4426001090679213</v>
      </c>
      <c r="FN10" s="227"/>
      <c r="FO10" s="5"/>
      <c r="FY10" s="210">
        <v>5</v>
      </c>
      <c r="FZ10">
        <v>44.625113360565599</v>
      </c>
      <c r="GA10">
        <v>53.286204540944333</v>
      </c>
      <c r="GB10">
        <v>3.1767799959938401</v>
      </c>
      <c r="GC10">
        <v>1.3076401877542316</v>
      </c>
      <c r="GD10">
        <v>1.3581721899799177</v>
      </c>
      <c r="GE10">
        <v>2.5352309385355696</v>
      </c>
      <c r="GF10">
        <v>11.846305767932918</v>
      </c>
      <c r="GG10">
        <v>13.561975991056476</v>
      </c>
      <c r="GH10">
        <v>7.0769629618720664</v>
      </c>
      <c r="GI10">
        <v>11.441022334300341</v>
      </c>
      <c r="GJ10"/>
      <c r="GK10"/>
      <c r="GL10"/>
      <c r="GM10"/>
    </row>
    <row r="11" spans="1:196" s="7" customFormat="1">
      <c r="A11" s="143"/>
      <c r="B11" s="2"/>
      <c r="C11" s="17">
        <v>39910</v>
      </c>
      <c r="D11" s="19">
        <f>COUNTA(C298:C307)</f>
        <v>10</v>
      </c>
      <c r="E11" s="109">
        <v>10</v>
      </c>
      <c r="F11" s="13"/>
      <c r="G11" s="13"/>
      <c r="H11" s="1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27">
        <f t="shared" si="0"/>
        <v>39910</v>
      </c>
      <c r="X11" s="132">
        <f>AVERAGE(EK158:EK167)</f>
        <v>217.01388888888886</v>
      </c>
      <c r="Y11" s="131">
        <f>COUNT(EK158:EK167)</f>
        <v>10</v>
      </c>
      <c r="Z11" s="130">
        <f>STDEV(EK158:EK167)</f>
        <v>404.03715018900567</v>
      </c>
      <c r="AA11" s="130">
        <f t="shared" si="2"/>
        <v>127.76776539207889</v>
      </c>
      <c r="AB11" s="131"/>
      <c r="AC11" s="130">
        <f>AVERAGE($FU158:$FU167)</f>
        <v>11.427175456472606</v>
      </c>
      <c r="AD11" s="132">
        <f>COUNT($FU158:$FU167)</f>
        <v>10</v>
      </c>
      <c r="AE11" s="130">
        <f>STDEV($FU158:$FU167)</f>
        <v>20.965789190209911</v>
      </c>
      <c r="AF11" s="130">
        <f t="shared" si="3"/>
        <v>6.6299646784000492</v>
      </c>
      <c r="AG11" s="13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FG11" s="5"/>
      <c r="FH11" s="213">
        <f t="shared" si="6"/>
        <v>39775</v>
      </c>
      <c r="FI11" s="227">
        <f>AVERAGE(GD5:GD1005)</f>
        <v>0.90810477585520566</v>
      </c>
      <c r="FJ11" s="227"/>
      <c r="FK11" s="227">
        <f>PERCENTILE($GD$6:$GD$1005,0.975)</f>
        <v>1.6446278333025683</v>
      </c>
      <c r="FL11" s="227"/>
      <c r="FM11" s="227">
        <f>PERCENTILE($GD$6:$GD$1005,0.025)</f>
        <v>0.30717924442038447</v>
      </c>
      <c r="FN11" s="227"/>
      <c r="FO11" s="5"/>
      <c r="FY11" s="210">
        <v>6</v>
      </c>
      <c r="FZ11">
        <v>21.608699739194989</v>
      </c>
      <c r="GA11">
        <v>26.319902214403079</v>
      </c>
      <c r="GB11">
        <v>1.6991772059391115</v>
      </c>
      <c r="GC11">
        <v>1.0386479669465296</v>
      </c>
      <c r="GD11">
        <v>0.46366309752375184</v>
      </c>
      <c r="GE11">
        <v>1.2919114753986172</v>
      </c>
      <c r="GF11">
        <v>6.5457196379311515</v>
      </c>
      <c r="GG11">
        <v>6.4720923567380453</v>
      </c>
      <c r="GH11">
        <v>4.4702599489962687</v>
      </c>
      <c r="GI11">
        <v>5.7647857210163949</v>
      </c>
      <c r="GJ11"/>
      <c r="GK11"/>
      <c r="GL11"/>
      <c r="GM11"/>
    </row>
    <row r="12" spans="1:196" s="7" customFormat="1">
      <c r="A12" s="143"/>
      <c r="B12" s="2"/>
      <c r="C12" s="17">
        <v>39949</v>
      </c>
      <c r="D12" s="19">
        <f>COUNTA(C308:C317)</f>
        <v>10</v>
      </c>
      <c r="E12" s="109">
        <v>10</v>
      </c>
      <c r="F12" s="13"/>
      <c r="G12" s="13"/>
      <c r="H12" s="1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27">
        <f t="shared" si="0"/>
        <v>39949</v>
      </c>
      <c r="X12" s="132">
        <f>AVERAGE(EK168:EK177)</f>
        <v>223.77289230927803</v>
      </c>
      <c r="Y12" s="131">
        <f>COUNT(EK168:EK177)</f>
        <v>10</v>
      </c>
      <c r="Z12" s="130">
        <f>STDEV(EK168:EK177)</f>
        <v>496.77472933064502</v>
      </c>
      <c r="AA12" s="130">
        <f t="shared" si="2"/>
        <v>157.09396286984921</v>
      </c>
      <c r="AB12" s="131"/>
      <c r="AC12" s="130">
        <f>AVERAGE($FU168:$FU177)</f>
        <v>13.441522388848773</v>
      </c>
      <c r="AD12" s="132">
        <f>COUNT($FU168:$FU177)</f>
        <v>10</v>
      </c>
      <c r="AE12" s="130">
        <f>STDEV($FU168:$FU177)</f>
        <v>23.762325703958922</v>
      </c>
      <c r="AF12" s="130">
        <f t="shared" si="3"/>
        <v>7.5143071727274151</v>
      </c>
      <c r="AG12" s="13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FG12" s="5"/>
      <c r="FH12" s="213">
        <f t="shared" si="6"/>
        <v>39799</v>
      </c>
      <c r="FI12" s="227">
        <f>AVERAGE(GE6:GE1005)</f>
        <v>2.6515267798400037</v>
      </c>
      <c r="FJ12" s="227"/>
      <c r="FK12" s="227">
        <f>PERCENTILE($GE$6:$GE$1005,0.975)</f>
        <v>4.7879315567095766</v>
      </c>
      <c r="FL12" s="227"/>
      <c r="FM12" s="227">
        <f>PERCENTILE($GE$6:$GE$1005,0.025)</f>
        <v>0.911699606809942</v>
      </c>
      <c r="FN12" s="227"/>
      <c r="FO12" s="5"/>
      <c r="FY12" s="210">
        <v>7</v>
      </c>
      <c r="FZ12">
        <v>35.416312516848592</v>
      </c>
      <c r="GA12">
        <v>38.551249171823265</v>
      </c>
      <c r="GB12">
        <v>3.2154228280032529</v>
      </c>
      <c r="GC12">
        <v>1.7620495463470316</v>
      </c>
      <c r="GD12">
        <v>0.56670847616590603</v>
      </c>
      <c r="GE12">
        <v>2.0868720220621908</v>
      </c>
      <c r="GF12">
        <v>4.7879213347943175</v>
      </c>
      <c r="GG12">
        <v>12.365381247525708</v>
      </c>
      <c r="GH12">
        <v>16.998086630611226</v>
      </c>
      <c r="GI12">
        <v>9.898257254151293</v>
      </c>
      <c r="GJ12"/>
      <c r="GK12"/>
      <c r="GL12"/>
      <c r="GM12"/>
    </row>
    <row r="13" spans="1:196" s="7" customFormat="1">
      <c r="A13" s="143"/>
      <c r="B13" s="2"/>
      <c r="C13" s="17">
        <v>39987</v>
      </c>
      <c r="D13" s="19">
        <f>COUNTA(C318:C327)</f>
        <v>10</v>
      </c>
      <c r="E13" s="109">
        <v>10</v>
      </c>
      <c r="F13" s="13"/>
      <c r="G13" s="22"/>
      <c r="H13" s="1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27">
        <f t="shared" si="0"/>
        <v>39987</v>
      </c>
      <c r="X13" s="132">
        <f>AVERAGE(EK178:EK187)</f>
        <v>28.910973003960805</v>
      </c>
      <c r="Y13" s="131">
        <f>COUNT(EK178:EK187)</f>
        <v>10</v>
      </c>
      <c r="Z13" s="130">
        <f>STDEV(EK178:EK187)</f>
        <v>36.394410579798347</v>
      </c>
      <c r="AA13" s="130">
        <f t="shared" si="2"/>
        <v>11.508923153149201</v>
      </c>
      <c r="AB13" s="131"/>
      <c r="AC13" s="130">
        <f>AVERAGE($FU178:$FU187)</f>
        <v>6.9875281625516408</v>
      </c>
      <c r="AD13" s="132">
        <f>COUNT($FU178:$FU187)</f>
        <v>10</v>
      </c>
      <c r="AE13" s="130">
        <f>STDEV($FU178:$FU187)</f>
        <v>6.1438303890107218</v>
      </c>
      <c r="AF13" s="130">
        <f t="shared" si="3"/>
        <v>1.9428497587032207</v>
      </c>
      <c r="AG13" s="13"/>
      <c r="AH13" s="4"/>
      <c r="AI13" s="4"/>
      <c r="AJ13" s="4"/>
      <c r="AK13" s="4"/>
      <c r="AL13" s="5"/>
      <c r="AM13" s="5"/>
      <c r="AN13" s="5"/>
      <c r="AO13" s="5"/>
      <c r="AP13" s="5"/>
      <c r="AQ13" s="5"/>
      <c r="AR13" s="5"/>
      <c r="AS13" s="5"/>
      <c r="AT13" s="23"/>
      <c r="AU13" s="23"/>
      <c r="AV13" s="23"/>
      <c r="AW13" s="23"/>
      <c r="FG13" s="5"/>
      <c r="FH13" s="213">
        <f t="shared" si="6"/>
        <v>39847</v>
      </c>
      <c r="FI13" s="227">
        <f>AVERAGE(GF6:GF1005)</f>
        <v>6.7925124299870596</v>
      </c>
      <c r="FJ13" s="227"/>
      <c r="FK13" s="227">
        <f>PERCENTILE($GF$6:$GF$1005,0.975)</f>
        <v>12.354418069997761</v>
      </c>
      <c r="FL13" s="227"/>
      <c r="FM13" s="227">
        <f>PERCENTILE($GF$6:$GF$1005,0.025)</f>
        <v>1.7735211392272268</v>
      </c>
      <c r="FN13" s="227"/>
      <c r="FO13" s="5"/>
      <c r="FY13" s="210">
        <v>8</v>
      </c>
      <c r="FZ13">
        <v>22.023423874033679</v>
      </c>
      <c r="GA13">
        <v>27.003140540843891</v>
      </c>
      <c r="GB13">
        <v>2.8451670518523904</v>
      </c>
      <c r="GC13">
        <v>1.5717343827124637</v>
      </c>
      <c r="GD13">
        <v>0.27977834502567117</v>
      </c>
      <c r="GE13">
        <v>1.2338332827086522</v>
      </c>
      <c r="GF13">
        <v>12.870189912237123</v>
      </c>
      <c r="GG13">
        <v>14.416859881145886</v>
      </c>
      <c r="GH13">
        <v>10.882265817237419</v>
      </c>
      <c r="GI13">
        <v>8.1695971647372332</v>
      </c>
      <c r="GJ13"/>
      <c r="GK13"/>
      <c r="GL13"/>
      <c r="GM13"/>
    </row>
    <row r="14" spans="1:196" s="7" customFormat="1">
      <c r="A14" s="142"/>
      <c r="B14" s="2"/>
      <c r="C14" s="17"/>
      <c r="D14" s="19"/>
      <c r="E14" s="109"/>
      <c r="F14" s="13"/>
      <c r="G14" s="41" t="s">
        <v>126</v>
      </c>
      <c r="H14" s="1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27"/>
      <c r="X14" s="132"/>
      <c r="Y14" s="131"/>
      <c r="Z14" s="130"/>
      <c r="AA14" s="130"/>
      <c r="AB14" s="131"/>
      <c r="AC14" s="130"/>
      <c r="AD14" s="132"/>
      <c r="AE14" s="130"/>
      <c r="AF14" s="130"/>
      <c r="AG14" s="13"/>
      <c r="AH14" s="4"/>
      <c r="AI14" s="4"/>
      <c r="AJ14" s="4"/>
      <c r="AK14" s="4"/>
      <c r="AL14" s="5"/>
      <c r="AM14" s="13"/>
      <c r="AN14" s="9" t="s">
        <v>23</v>
      </c>
      <c r="AO14" s="9" t="s">
        <v>24</v>
      </c>
      <c r="AP14" s="9" t="s">
        <v>25</v>
      </c>
      <c r="AQ14" s="9" t="s">
        <v>13</v>
      </c>
      <c r="AR14" s="9" t="s">
        <v>26</v>
      </c>
      <c r="AS14" s="9" t="s">
        <v>27</v>
      </c>
      <c r="AT14" s="120" t="s">
        <v>3</v>
      </c>
      <c r="AU14" s="120" t="s">
        <v>4</v>
      </c>
      <c r="AV14" s="23"/>
      <c r="AW14" s="23"/>
      <c r="FG14" s="5"/>
      <c r="FH14" s="213">
        <f t="shared" si="6"/>
        <v>39910</v>
      </c>
      <c r="FI14" s="227">
        <f>AVERAGE(GG6:GG1005)</f>
        <v>8.803068841931978</v>
      </c>
      <c r="FJ14" s="227"/>
      <c r="FK14" s="227">
        <f>PERCENTILE($GG$6:$GG$1005,0.975)</f>
        <v>16.333452071867882</v>
      </c>
      <c r="FL14" s="227"/>
      <c r="FM14" s="227">
        <f>PERCENTILE($GG$6:$GG$1005,0.025)</f>
        <v>3.0719333648900875</v>
      </c>
      <c r="FN14" s="227"/>
      <c r="FO14" s="5"/>
      <c r="FY14" s="210">
        <v>9</v>
      </c>
      <c r="FZ14">
        <v>33.453129901302255</v>
      </c>
      <c r="GA14">
        <v>38.458978346719114</v>
      </c>
      <c r="GB14">
        <v>2.1447705079119546</v>
      </c>
      <c r="GC14">
        <v>1.242297586873339</v>
      </c>
      <c r="GD14">
        <v>0.77315627611184157</v>
      </c>
      <c r="GE14">
        <v>1.7672492237065591</v>
      </c>
      <c r="GF14">
        <v>6.3238519998363145</v>
      </c>
      <c r="GG14">
        <v>9.5007644183619178</v>
      </c>
      <c r="GH14">
        <v>12.074440550758524</v>
      </c>
      <c r="GI14">
        <v>8.9716830009393664</v>
      </c>
      <c r="GJ14"/>
      <c r="GK14"/>
      <c r="GL14"/>
      <c r="GM14"/>
    </row>
    <row r="15" spans="1:196" s="7" customFormat="1">
      <c r="A15" s="142"/>
      <c r="B15" s="2"/>
      <c r="C15" s="17"/>
      <c r="D15" s="19"/>
      <c r="E15" s="109"/>
      <c r="F15" s="13"/>
      <c r="G15" s="113">
        <v>9.6000000000000002E-2</v>
      </c>
      <c r="H15" s="1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27"/>
      <c r="X15" s="132"/>
      <c r="Y15" s="131"/>
      <c r="Z15" s="130"/>
      <c r="AA15" s="130"/>
      <c r="AB15" s="131"/>
      <c r="AC15" s="130"/>
      <c r="AD15" s="132"/>
      <c r="AE15" s="130"/>
      <c r="AF15" s="130"/>
      <c r="AG15" s="13"/>
      <c r="AH15" s="4"/>
      <c r="AI15" s="4"/>
      <c r="AJ15" s="4"/>
      <c r="AK15" s="4"/>
      <c r="AL15" s="5"/>
      <c r="AM15" s="27" t="s">
        <v>31</v>
      </c>
      <c r="AN15" s="163">
        <f>D32</f>
        <v>152.45150520560841</v>
      </c>
      <c r="AO15" s="163">
        <f>D48</f>
        <v>12.80080734531867</v>
      </c>
      <c r="AP15" s="163">
        <f>D63</f>
        <v>128.16190982943868</v>
      </c>
      <c r="AQ15" s="163">
        <f>C453</f>
        <v>107.72190756014805</v>
      </c>
      <c r="AR15" s="163">
        <f>G520</f>
        <v>12.409903974327344</v>
      </c>
      <c r="AS15" s="163">
        <f>I523</f>
        <v>228.58907415778927</v>
      </c>
      <c r="AT15" s="122">
        <f>G556</f>
        <v>7.3969227362887073</v>
      </c>
      <c r="AU15" s="122">
        <f>I556</f>
        <v>39.551236817950972</v>
      </c>
      <c r="AV15" s="23"/>
      <c r="AW15" s="23"/>
      <c r="FG15" s="5"/>
      <c r="FH15" s="213">
        <f t="shared" si="6"/>
        <v>39949</v>
      </c>
      <c r="FI15" s="227">
        <f>AVERAGE(GH6:GH1005)</f>
        <v>9.3953658554550579</v>
      </c>
      <c r="FJ15" s="227"/>
      <c r="FK15" s="227">
        <f>PERCENTILE($GH$6:$GH$1005,0.975)</f>
        <v>17.242509618219529</v>
      </c>
      <c r="FL15" s="227"/>
      <c r="FM15" s="227">
        <f>PERCENTILE($GH$6:$GH$1005,0.025)</f>
        <v>4.333812413760235</v>
      </c>
      <c r="FN15" s="227"/>
      <c r="FO15" s="5"/>
      <c r="FY15" s="210">
        <v>10</v>
      </c>
      <c r="FZ15">
        <v>45.045873038333596</v>
      </c>
      <c r="GA15">
        <v>52.587510247101498</v>
      </c>
      <c r="GB15">
        <v>3.0532115247869589</v>
      </c>
      <c r="GC15">
        <v>1.6682646785479025</v>
      </c>
      <c r="GD15">
        <v>1.180766944278631</v>
      </c>
      <c r="GE15">
        <v>3.0697548520189821</v>
      </c>
      <c r="GF15">
        <v>4.6001141524961069</v>
      </c>
      <c r="GG15">
        <v>9.4032996105059112</v>
      </c>
      <c r="GH15">
        <v>12.169168138821899</v>
      </c>
      <c r="GI15">
        <v>10.8521516772488</v>
      </c>
      <c r="GJ15"/>
      <c r="GK15"/>
      <c r="GL15"/>
      <c r="GM15"/>
    </row>
    <row r="16" spans="1:196" s="7" customFormat="1">
      <c r="A16" s="143"/>
      <c r="B16" s="2"/>
      <c r="C16" s="31"/>
      <c r="D16" s="1"/>
      <c r="E16" s="1"/>
      <c r="F16" s="1"/>
      <c r="G16" s="32"/>
      <c r="H16" s="1"/>
      <c r="I16" s="4"/>
      <c r="J16" s="4"/>
      <c r="K16" s="4"/>
      <c r="L16" s="4"/>
      <c r="M16" s="4"/>
      <c r="N16" s="28"/>
      <c r="O16" s="16"/>
      <c r="P16" s="29"/>
      <c r="Q16" s="30"/>
      <c r="R16" s="30"/>
      <c r="S16" s="4"/>
      <c r="T16" s="4"/>
      <c r="U16" s="4"/>
      <c r="V16" s="4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4"/>
      <c r="AI16" s="4"/>
      <c r="AJ16" s="4"/>
      <c r="AK16" s="4"/>
      <c r="AL16" s="5"/>
      <c r="AM16" s="5"/>
      <c r="AN16" s="5"/>
      <c r="AO16" s="5"/>
      <c r="AP16" s="5"/>
      <c r="AQ16" s="5"/>
      <c r="AR16" s="5"/>
      <c r="AS16" s="5"/>
      <c r="AT16" s="23"/>
      <c r="AU16" s="23"/>
      <c r="AV16" s="23"/>
      <c r="AW16" s="23"/>
      <c r="FG16" s="5"/>
      <c r="FH16" s="213">
        <f t="shared" si="6"/>
        <v>39987</v>
      </c>
      <c r="FI16" s="227">
        <f>AVERAGE(GI6:GI1005)</f>
        <v>7.3924807732873941</v>
      </c>
      <c r="FJ16" s="227"/>
      <c r="FK16" s="227">
        <f>PERCENTILE($GI$6:$GI$1005,0.975)</f>
        <v>12.008612206114686</v>
      </c>
      <c r="FL16" s="227"/>
      <c r="FM16" s="227">
        <f>PERCENTILE($GI$6:$GI$1005,0.025)</f>
        <v>3.518903183668936</v>
      </c>
      <c r="FN16" s="227"/>
      <c r="FO16" s="5"/>
      <c r="FY16" s="210">
        <v>11</v>
      </c>
      <c r="FZ16">
        <v>22.166353598492531</v>
      </c>
      <c r="GA16">
        <v>27.260774795871306</v>
      </c>
      <c r="GB16">
        <v>1.8239626693742472</v>
      </c>
      <c r="GC16">
        <v>0.83083691474185284</v>
      </c>
      <c r="GD16">
        <v>0.93497212452368395</v>
      </c>
      <c r="GE16">
        <v>4.9788902377912185</v>
      </c>
      <c r="GF16">
        <v>15.580806904308565</v>
      </c>
      <c r="GG16">
        <v>11.146544970330877</v>
      </c>
      <c r="GH16">
        <v>7.4412541839562554</v>
      </c>
      <c r="GI16">
        <v>8.2606701509005074</v>
      </c>
      <c r="GJ16"/>
      <c r="GK16"/>
      <c r="GL16"/>
      <c r="GM16"/>
    </row>
    <row r="17" spans="1:195" s="7" customFormat="1">
      <c r="A17" s="145"/>
      <c r="B17" s="28"/>
      <c r="C17" s="4"/>
      <c r="D17" s="4"/>
      <c r="E17" s="4"/>
      <c r="F17" s="16"/>
      <c r="G17" s="28"/>
      <c r="H17" s="33"/>
      <c r="I17" s="4"/>
      <c r="J17" s="4"/>
      <c r="K17" s="4"/>
      <c r="L17" s="34"/>
      <c r="M17" s="4"/>
      <c r="N17" s="28"/>
      <c r="O17" s="16"/>
      <c r="P17" s="29"/>
      <c r="Q17" s="30"/>
      <c r="R17" s="30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3">
        <v>1</v>
      </c>
      <c r="AN17">
        <v>119.96750126164264</v>
      </c>
      <c r="AO17">
        <v>11.79821086989303</v>
      </c>
      <c r="AP17">
        <v>126.06476592658527</v>
      </c>
      <c r="AQ17">
        <v>107.27953801782506</v>
      </c>
      <c r="AR17">
        <v>11.229300000132509</v>
      </c>
      <c r="AS17">
        <v>173.51604847063822</v>
      </c>
      <c r="AT17">
        <v>7.2601390280844731</v>
      </c>
      <c r="AU17">
        <v>14.962290450091226</v>
      </c>
      <c r="AV17"/>
      <c r="AW17"/>
      <c r="FG17" s="5"/>
      <c r="FH17" s="214"/>
      <c r="FI17" s="13"/>
      <c r="FJ17" s="13"/>
      <c r="FK17" s="13"/>
      <c r="FL17" s="13"/>
      <c r="FM17" s="13"/>
      <c r="FN17" s="13"/>
      <c r="FO17" s="5"/>
      <c r="FY17" s="210">
        <v>12</v>
      </c>
      <c r="FZ17">
        <v>39.095125227218929</v>
      </c>
      <c r="GA17">
        <v>40.506844676448104</v>
      </c>
      <c r="GB17">
        <v>2.7615518469926617</v>
      </c>
      <c r="GC17">
        <v>1.2556393064704587</v>
      </c>
      <c r="GD17">
        <v>1.3513799927450552</v>
      </c>
      <c r="GE17">
        <v>3.9990317100904775</v>
      </c>
      <c r="GF17">
        <v>7.5166055561743734</v>
      </c>
      <c r="GG17">
        <v>6.1768725242927252</v>
      </c>
      <c r="GH17">
        <v>5.0885162950639558</v>
      </c>
      <c r="GI17">
        <v>9.4220310435273049</v>
      </c>
      <c r="GJ17"/>
      <c r="GK17"/>
      <c r="GL17"/>
      <c r="GM17"/>
    </row>
    <row r="18" spans="1:195" s="7" customFormat="1">
      <c r="A18" s="143"/>
      <c r="B18" s="1"/>
      <c r="C18" s="2"/>
      <c r="D18" s="1"/>
      <c r="E18" s="1"/>
      <c r="F18" s="1"/>
      <c r="G18" s="36"/>
      <c r="H18" s="2"/>
      <c r="I18" s="37"/>
      <c r="J18" s="1"/>
      <c r="K18" s="37"/>
      <c r="L18" s="1"/>
      <c r="M18" s="32"/>
      <c r="N18" s="1"/>
      <c r="O18" s="2"/>
      <c r="P18" s="36"/>
      <c r="Q18" s="38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43">
        <v>2</v>
      </c>
      <c r="AN18">
        <v>110.45744740618542</v>
      </c>
      <c r="AO18">
        <v>10.463866307021018</v>
      </c>
      <c r="AP18">
        <v>105.62865596934337</v>
      </c>
      <c r="AQ18">
        <v>89.953950087489957</v>
      </c>
      <c r="AR18">
        <v>10.202917261342655</v>
      </c>
      <c r="AS18">
        <v>154.91986606200805</v>
      </c>
      <c r="AT18">
        <v>6.1642667015261212</v>
      </c>
      <c r="AU18">
        <v>29.886046156549074</v>
      </c>
      <c r="AV18"/>
      <c r="AW18"/>
      <c r="FG18" s="5"/>
      <c r="FH18" s="214"/>
      <c r="FI18" s="13"/>
      <c r="FJ18" s="13"/>
      <c r="FK18" s="13"/>
      <c r="FL18" s="13"/>
      <c r="FM18" s="13"/>
      <c r="FN18" s="13"/>
      <c r="FO18" s="5"/>
      <c r="FY18" s="210">
        <v>13</v>
      </c>
      <c r="FZ18">
        <v>13.50324395892026</v>
      </c>
      <c r="GA18">
        <v>16.783009088936051</v>
      </c>
      <c r="GB18">
        <v>4.1597076010960663</v>
      </c>
      <c r="GC18">
        <v>1.7448533036732154</v>
      </c>
      <c r="GD18">
        <v>1.2117239886988986</v>
      </c>
      <c r="GE18">
        <v>3.381738290797768</v>
      </c>
      <c r="GF18">
        <v>4.4498900597512039</v>
      </c>
      <c r="GG18">
        <v>9.3196938852671209</v>
      </c>
      <c r="GH18">
        <v>13.875572446562607</v>
      </c>
      <c r="GI18">
        <v>6.7248875745414942</v>
      </c>
      <c r="GJ18"/>
      <c r="GK18"/>
      <c r="GL18"/>
      <c r="GM18"/>
    </row>
    <row r="19" spans="1:195" s="7" customFormat="1">
      <c r="A19" s="16"/>
      <c r="B19" s="36"/>
      <c r="C19" s="10" t="s">
        <v>32</v>
      </c>
      <c r="D19" s="10"/>
      <c r="E19" s="10"/>
      <c r="F19" s="10"/>
      <c r="G19" s="11" t="s">
        <v>33</v>
      </c>
      <c r="H19" s="10"/>
      <c r="I19" s="11"/>
      <c r="J19" s="40"/>
      <c r="K19" s="13"/>
      <c r="L19" s="11"/>
      <c r="M19" s="10"/>
      <c r="N19" s="41"/>
      <c r="O19" s="10"/>
      <c r="P19" s="11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42"/>
      <c r="AM19" s="43">
        <v>3</v>
      </c>
      <c r="AN19">
        <v>91.01850513665137</v>
      </c>
      <c r="AO19">
        <v>9.1081551251921606</v>
      </c>
      <c r="AP19">
        <v>83.061065556762998</v>
      </c>
      <c r="AQ19">
        <v>72.126878334855476</v>
      </c>
      <c r="AR19">
        <v>9.2920190163677532</v>
      </c>
      <c r="AS19">
        <v>140.20516796940009</v>
      </c>
      <c r="AT19">
        <v>5.1659029075934209</v>
      </c>
      <c r="AU19">
        <v>11.380977301989184</v>
      </c>
      <c r="AV19"/>
      <c r="AW19"/>
      <c r="FG19" s="5"/>
      <c r="FH19" s="214"/>
      <c r="FI19" s="13"/>
      <c r="FJ19" s="13"/>
      <c r="FK19" s="13"/>
      <c r="FL19" s="13"/>
      <c r="FM19" s="13"/>
      <c r="FN19" s="13"/>
      <c r="FO19" s="5"/>
      <c r="FY19" s="210">
        <v>14</v>
      </c>
      <c r="FZ19">
        <v>12.044370568414617</v>
      </c>
      <c r="GA19">
        <v>15.50901627942465</v>
      </c>
      <c r="GB19">
        <v>2.059246606222592</v>
      </c>
      <c r="GC19">
        <v>1.175647579431141</v>
      </c>
      <c r="GD19">
        <v>0.64714242525244203</v>
      </c>
      <c r="GE19">
        <v>1.2708676581533158</v>
      </c>
      <c r="GF19">
        <v>6.150014530535862</v>
      </c>
      <c r="GG19">
        <v>7.7434044812619094</v>
      </c>
      <c r="GH19">
        <v>8.3179117764970734</v>
      </c>
      <c r="GI19">
        <v>5.097711833254353</v>
      </c>
      <c r="GJ19"/>
      <c r="GK19"/>
      <c r="GL19"/>
      <c r="GM19"/>
    </row>
    <row r="20" spans="1:195" s="7" customFormat="1">
      <c r="A20" s="51"/>
      <c r="B20" s="36"/>
      <c r="C20" s="12" t="s">
        <v>34</v>
      </c>
      <c r="D20" s="10" t="s">
        <v>35</v>
      </c>
      <c r="E20" s="10" t="s">
        <v>36</v>
      </c>
      <c r="F20" s="10"/>
      <c r="G20" s="44" t="s">
        <v>37</v>
      </c>
      <c r="H20" s="45">
        <v>1</v>
      </c>
      <c r="I20" s="45">
        <v>2</v>
      </c>
      <c r="J20" s="45">
        <v>3</v>
      </c>
      <c r="K20" s="45">
        <v>4</v>
      </c>
      <c r="L20" s="45">
        <v>5</v>
      </c>
      <c r="M20" s="45">
        <v>6</v>
      </c>
      <c r="N20" s="45">
        <v>7</v>
      </c>
      <c r="O20" s="46">
        <v>8</v>
      </c>
      <c r="P20" s="46">
        <v>9</v>
      </c>
      <c r="Q20" s="47">
        <v>10</v>
      </c>
      <c r="R20" s="46">
        <v>11</v>
      </c>
      <c r="S20" s="47">
        <v>12</v>
      </c>
      <c r="T20" s="46">
        <v>13</v>
      </c>
      <c r="U20" s="47">
        <v>14</v>
      </c>
      <c r="V20" s="46">
        <v>15</v>
      </c>
      <c r="W20" s="47">
        <v>16</v>
      </c>
      <c r="X20" s="46">
        <v>17</v>
      </c>
      <c r="Y20" s="47">
        <v>18</v>
      </c>
      <c r="Z20" s="46">
        <v>19</v>
      </c>
      <c r="AA20" s="47">
        <v>20</v>
      </c>
      <c r="AB20" s="46">
        <v>21</v>
      </c>
      <c r="AC20" s="47">
        <v>22</v>
      </c>
      <c r="AD20" s="46">
        <v>23</v>
      </c>
      <c r="AE20" s="47">
        <v>24</v>
      </c>
      <c r="AF20" s="46">
        <v>25</v>
      </c>
      <c r="AG20" s="47">
        <v>26</v>
      </c>
      <c r="AH20" s="46">
        <v>27</v>
      </c>
      <c r="AI20" s="47">
        <v>28</v>
      </c>
      <c r="AJ20" s="46">
        <v>29</v>
      </c>
      <c r="AK20" s="47">
        <v>30</v>
      </c>
      <c r="AL20" s="42"/>
      <c r="AM20" s="43">
        <v>4</v>
      </c>
      <c r="AN20">
        <v>129.97607768252732</v>
      </c>
      <c r="AO20">
        <v>11.400721029354781</v>
      </c>
      <c r="AP20">
        <v>111.45178504528815</v>
      </c>
      <c r="AQ20">
        <v>95.111646653271961</v>
      </c>
      <c r="AR20">
        <v>11.022085029311704</v>
      </c>
      <c r="AS20">
        <v>185.20062927194547</v>
      </c>
      <c r="AT20">
        <v>6.6111521356204115</v>
      </c>
      <c r="AU20">
        <v>7.4121077617571594</v>
      </c>
      <c r="AV20"/>
      <c r="AW20"/>
      <c r="FG20" s="5"/>
      <c r="FH20" s="5"/>
      <c r="FI20" s="5"/>
      <c r="FJ20" s="5"/>
      <c r="FK20" s="5"/>
      <c r="FL20" s="5"/>
      <c r="FM20" s="5"/>
      <c r="FN20" s="5"/>
      <c r="FO20" s="5"/>
      <c r="FY20" s="210">
        <v>15</v>
      </c>
      <c r="FZ20">
        <v>34.733606394456061</v>
      </c>
      <c r="GA20">
        <v>40.072111600934754</v>
      </c>
      <c r="GB20">
        <v>3.412055583118474</v>
      </c>
      <c r="GC20">
        <v>1.811905569523018</v>
      </c>
      <c r="GD20">
        <v>1.064263266868819</v>
      </c>
      <c r="GE20">
        <v>2.793431107454714</v>
      </c>
      <c r="GF20">
        <v>7.2664209175228107</v>
      </c>
      <c r="GG20">
        <v>7.9969042422425112</v>
      </c>
      <c r="GH20">
        <v>6.8974533561691906</v>
      </c>
      <c r="GI20">
        <v>8.9996526744638956</v>
      </c>
      <c r="GJ20"/>
      <c r="GK20"/>
      <c r="GL20"/>
      <c r="GM20"/>
    </row>
    <row r="21" spans="1:195" s="7" customFormat="1">
      <c r="A21" s="4"/>
      <c r="B21" s="36"/>
      <c r="C21" s="48" t="s">
        <v>38</v>
      </c>
      <c r="D21" s="49">
        <f t="shared" ref="D21:D26" si="7">SUM(G21:AK21)</f>
        <v>101.04166666666667</v>
      </c>
      <c r="E21" s="18">
        <f t="shared" ref="E21:E26" si="8">C5-C4</f>
        <v>27</v>
      </c>
      <c r="F21" s="50"/>
      <c r="G21" s="18">
        <f t="shared" ref="G21:AK21" si="9">AVERAGE(G70:G71)</f>
        <v>0</v>
      </c>
      <c r="H21" s="18">
        <f t="shared" si="9"/>
        <v>1.0416666666666665</v>
      </c>
      <c r="I21" s="18">
        <f t="shared" si="9"/>
        <v>20.572916666666664</v>
      </c>
      <c r="J21" s="18">
        <f t="shared" si="9"/>
        <v>20.804398148148149</v>
      </c>
      <c r="K21" s="18">
        <f t="shared" si="9"/>
        <v>23.234953703703706</v>
      </c>
      <c r="L21" s="18">
        <f t="shared" si="9"/>
        <v>17.216435185185187</v>
      </c>
      <c r="M21" s="18">
        <f t="shared" si="9"/>
        <v>12.789351851851851</v>
      </c>
      <c r="N21" s="18">
        <f t="shared" si="9"/>
        <v>5.3819444444444446</v>
      </c>
      <c r="O21" s="18">
        <f t="shared" si="9"/>
        <v>0</v>
      </c>
      <c r="P21" s="18">
        <f t="shared" si="9"/>
        <v>0</v>
      </c>
      <c r="Q21" s="18">
        <f t="shared" si="9"/>
        <v>0</v>
      </c>
      <c r="R21" s="18">
        <f t="shared" si="9"/>
        <v>0</v>
      </c>
      <c r="S21" s="18">
        <f t="shared" si="9"/>
        <v>0</v>
      </c>
      <c r="T21" s="18">
        <f t="shared" si="9"/>
        <v>0</v>
      </c>
      <c r="U21" s="18">
        <f t="shared" si="9"/>
        <v>0</v>
      </c>
      <c r="V21" s="18">
        <f t="shared" si="9"/>
        <v>0</v>
      </c>
      <c r="W21" s="18">
        <f t="shared" si="9"/>
        <v>0</v>
      </c>
      <c r="X21" s="18">
        <f t="shared" si="9"/>
        <v>0</v>
      </c>
      <c r="Y21" s="18">
        <f t="shared" si="9"/>
        <v>0</v>
      </c>
      <c r="Z21" s="18">
        <f t="shared" si="9"/>
        <v>0</v>
      </c>
      <c r="AA21" s="18">
        <f t="shared" si="9"/>
        <v>0</v>
      </c>
      <c r="AB21" s="18">
        <f t="shared" si="9"/>
        <v>0</v>
      </c>
      <c r="AC21" s="18">
        <f t="shared" si="9"/>
        <v>0</v>
      </c>
      <c r="AD21" s="18">
        <f t="shared" si="9"/>
        <v>0</v>
      </c>
      <c r="AE21" s="18">
        <f t="shared" si="9"/>
        <v>0</v>
      </c>
      <c r="AF21" s="18">
        <f t="shared" si="9"/>
        <v>0</v>
      </c>
      <c r="AG21" s="18">
        <f t="shared" si="9"/>
        <v>0</v>
      </c>
      <c r="AH21" s="18">
        <f t="shared" si="9"/>
        <v>0</v>
      </c>
      <c r="AI21" s="18">
        <f t="shared" si="9"/>
        <v>0</v>
      </c>
      <c r="AJ21" s="18">
        <f t="shared" si="9"/>
        <v>0</v>
      </c>
      <c r="AK21" s="18">
        <f t="shared" si="9"/>
        <v>0</v>
      </c>
      <c r="AL21" s="42"/>
      <c r="AM21" s="43">
        <v>5</v>
      </c>
      <c r="AN21">
        <v>141.94722956390507</v>
      </c>
      <c r="AO21">
        <v>16.850093892564832</v>
      </c>
      <c r="AP21">
        <v>175.75068350586042</v>
      </c>
      <c r="AQ21">
        <v>150.21540826893528</v>
      </c>
      <c r="AR21">
        <v>15.995746163993552</v>
      </c>
      <c r="AS21">
        <v>263.36641592560642</v>
      </c>
      <c r="AT21">
        <v>9.9589979127810846</v>
      </c>
      <c r="AU21">
        <v>40.849510615494147</v>
      </c>
      <c r="AV21"/>
      <c r="AW21"/>
      <c r="FY21" s="210">
        <v>16</v>
      </c>
      <c r="FZ21">
        <v>37.346790648551043</v>
      </c>
      <c r="GA21">
        <v>39.774267032651316</v>
      </c>
      <c r="GB21">
        <v>4.1482611947041725</v>
      </c>
      <c r="GC21">
        <v>2.1344017710725742</v>
      </c>
      <c r="GD21">
        <v>0.52534700729631867</v>
      </c>
      <c r="GE21">
        <v>0.79248443893631004</v>
      </c>
      <c r="GF21">
        <v>3.4447084318902106</v>
      </c>
      <c r="GG21">
        <v>6.6516914262119498</v>
      </c>
      <c r="GH21">
        <v>8.8153071331319559</v>
      </c>
      <c r="GI21">
        <v>8.8586356967471271</v>
      </c>
      <c r="GJ21"/>
      <c r="GK21"/>
      <c r="GL21"/>
      <c r="GM21"/>
    </row>
    <row r="22" spans="1:195" s="7" customFormat="1">
      <c r="B22" s="36"/>
      <c r="C22" s="48" t="s">
        <v>39</v>
      </c>
      <c r="D22" s="49">
        <f t="shared" si="7"/>
        <v>83.333333333333343</v>
      </c>
      <c r="E22" s="18">
        <f t="shared" si="8"/>
        <v>41</v>
      </c>
      <c r="F22" s="50"/>
      <c r="G22" s="18">
        <f t="shared" ref="G22:AK22" si="10">AVERAGE(G71:G72)</f>
        <v>0</v>
      </c>
      <c r="H22" s="18">
        <f t="shared" si="10"/>
        <v>1.0416666666666665</v>
      </c>
      <c r="I22" s="18">
        <f t="shared" si="10"/>
        <v>7.03125</v>
      </c>
      <c r="J22" s="18">
        <f t="shared" si="10"/>
        <v>17.158564814814817</v>
      </c>
      <c r="K22" s="18">
        <f t="shared" si="10"/>
        <v>22.193287037037038</v>
      </c>
      <c r="L22" s="18">
        <f t="shared" si="10"/>
        <v>17.216435185185187</v>
      </c>
      <c r="M22" s="18">
        <f t="shared" si="10"/>
        <v>11.747685185185185</v>
      </c>
      <c r="N22" s="18">
        <f t="shared" si="10"/>
        <v>6.9444444444444446</v>
      </c>
      <c r="O22" s="18">
        <f t="shared" si="10"/>
        <v>0</v>
      </c>
      <c r="P22" s="18">
        <f t="shared" si="10"/>
        <v>0</v>
      </c>
      <c r="Q22" s="18">
        <f t="shared" si="10"/>
        <v>0</v>
      </c>
      <c r="R22" s="18">
        <f t="shared" si="10"/>
        <v>0</v>
      </c>
      <c r="S22" s="18">
        <f t="shared" si="10"/>
        <v>0</v>
      </c>
      <c r="T22" s="18">
        <f t="shared" si="10"/>
        <v>0</v>
      </c>
      <c r="U22" s="18">
        <f t="shared" si="10"/>
        <v>0</v>
      </c>
      <c r="V22" s="18">
        <f t="shared" si="10"/>
        <v>0</v>
      </c>
      <c r="W22" s="18">
        <f t="shared" si="10"/>
        <v>0</v>
      </c>
      <c r="X22" s="18">
        <f t="shared" si="10"/>
        <v>0</v>
      </c>
      <c r="Y22" s="18">
        <f t="shared" si="10"/>
        <v>0</v>
      </c>
      <c r="Z22" s="18">
        <f t="shared" si="10"/>
        <v>0</v>
      </c>
      <c r="AA22" s="18">
        <f t="shared" si="10"/>
        <v>0</v>
      </c>
      <c r="AB22" s="18">
        <f t="shared" si="10"/>
        <v>0</v>
      </c>
      <c r="AC22" s="18">
        <f t="shared" si="10"/>
        <v>0</v>
      </c>
      <c r="AD22" s="18">
        <f t="shared" si="10"/>
        <v>0</v>
      </c>
      <c r="AE22" s="18">
        <f t="shared" si="10"/>
        <v>0</v>
      </c>
      <c r="AF22" s="18">
        <f t="shared" si="10"/>
        <v>0</v>
      </c>
      <c r="AG22" s="18">
        <f t="shared" si="10"/>
        <v>0</v>
      </c>
      <c r="AH22" s="18">
        <f t="shared" si="10"/>
        <v>0</v>
      </c>
      <c r="AI22" s="18">
        <f t="shared" si="10"/>
        <v>0</v>
      </c>
      <c r="AJ22" s="18">
        <f t="shared" si="10"/>
        <v>0</v>
      </c>
      <c r="AK22" s="18">
        <f t="shared" si="10"/>
        <v>0</v>
      </c>
      <c r="AL22" s="42"/>
      <c r="AM22" s="43">
        <v>6</v>
      </c>
      <c r="AN22">
        <v>87.586332721824945</v>
      </c>
      <c r="AO22">
        <v>8.4939011295457902</v>
      </c>
      <c r="AP22">
        <v>88.913602160739444</v>
      </c>
      <c r="AQ22">
        <v>75.674859364087936</v>
      </c>
      <c r="AR22">
        <v>7.9919939655186685</v>
      </c>
      <c r="AS22">
        <v>124.94796820198761</v>
      </c>
      <c r="AT22">
        <v>5.441346248985603</v>
      </c>
      <c r="AU22">
        <v>8.0435703663199583</v>
      </c>
      <c r="AV22"/>
      <c r="AW22"/>
      <c r="FY22" s="210">
        <v>17</v>
      </c>
      <c r="FZ22">
        <v>22.172280710716013</v>
      </c>
      <c r="GA22">
        <v>28.028802054666457</v>
      </c>
      <c r="GB22">
        <v>1.8031778013742896</v>
      </c>
      <c r="GC22">
        <v>0.64046281415595341</v>
      </c>
      <c r="GD22">
        <v>1.0923812398195341</v>
      </c>
      <c r="GE22">
        <v>2.9006219277203646</v>
      </c>
      <c r="GF22">
        <v>8.3919808783025172</v>
      </c>
      <c r="GG22">
        <v>12.045890368239865</v>
      </c>
      <c r="GH22">
        <v>11.521856030358702</v>
      </c>
      <c r="GI22">
        <v>7.7073142081842159</v>
      </c>
      <c r="GJ22"/>
      <c r="GK22"/>
      <c r="GL22"/>
      <c r="GM22"/>
    </row>
    <row r="23" spans="1:195" s="7" customFormat="1">
      <c r="B23" s="36"/>
      <c r="C23" s="48" t="s">
        <v>40</v>
      </c>
      <c r="D23" s="49">
        <f t="shared" si="7"/>
        <v>61.045258620689644</v>
      </c>
      <c r="E23" s="18">
        <f t="shared" si="8"/>
        <v>33</v>
      </c>
      <c r="F23" s="50"/>
      <c r="G23" s="18">
        <f t="shared" ref="G23:AK23" si="11">AVERAGE(G72:G73)</f>
        <v>0</v>
      </c>
      <c r="H23" s="18">
        <f t="shared" si="11"/>
        <v>0</v>
      </c>
      <c r="I23" s="18">
        <f t="shared" si="11"/>
        <v>45.123922413793096</v>
      </c>
      <c r="J23" s="18">
        <f t="shared" si="11"/>
        <v>6.2859195402298846</v>
      </c>
      <c r="K23" s="18">
        <f t="shared" si="11"/>
        <v>6.510416666666667</v>
      </c>
      <c r="L23" s="18">
        <f t="shared" si="11"/>
        <v>0.52083333333333326</v>
      </c>
      <c r="M23" s="18">
        <f t="shared" si="11"/>
        <v>1.0416666666666665</v>
      </c>
      <c r="N23" s="18">
        <f t="shared" si="11"/>
        <v>1.5625</v>
      </c>
      <c r="O23" s="18">
        <f t="shared" si="11"/>
        <v>0</v>
      </c>
      <c r="P23" s="18">
        <f t="shared" si="11"/>
        <v>0</v>
      </c>
      <c r="Q23" s="18">
        <f t="shared" si="11"/>
        <v>0</v>
      </c>
      <c r="R23" s="18">
        <f t="shared" si="11"/>
        <v>0</v>
      </c>
      <c r="S23" s="18">
        <f t="shared" si="11"/>
        <v>0</v>
      </c>
      <c r="T23" s="18">
        <f t="shared" si="11"/>
        <v>0</v>
      </c>
      <c r="U23" s="18">
        <f t="shared" si="11"/>
        <v>0</v>
      </c>
      <c r="V23" s="18">
        <f t="shared" si="11"/>
        <v>0</v>
      </c>
      <c r="W23" s="18">
        <f t="shared" si="11"/>
        <v>0</v>
      </c>
      <c r="X23" s="18">
        <f t="shared" si="11"/>
        <v>0</v>
      </c>
      <c r="Y23" s="18">
        <f t="shared" si="11"/>
        <v>0</v>
      </c>
      <c r="Z23" s="18">
        <f t="shared" si="11"/>
        <v>0</v>
      </c>
      <c r="AA23" s="18">
        <f t="shared" si="11"/>
        <v>0</v>
      </c>
      <c r="AB23" s="18">
        <f t="shared" si="11"/>
        <v>0</v>
      </c>
      <c r="AC23" s="18">
        <f t="shared" si="11"/>
        <v>0</v>
      </c>
      <c r="AD23" s="18">
        <f t="shared" si="11"/>
        <v>0</v>
      </c>
      <c r="AE23" s="18">
        <f t="shared" si="11"/>
        <v>0</v>
      </c>
      <c r="AF23" s="18">
        <f t="shared" si="11"/>
        <v>0</v>
      </c>
      <c r="AG23" s="18">
        <f t="shared" si="11"/>
        <v>0</v>
      </c>
      <c r="AH23" s="18">
        <f t="shared" si="11"/>
        <v>0</v>
      </c>
      <c r="AI23" s="18">
        <f t="shared" si="11"/>
        <v>0</v>
      </c>
      <c r="AJ23" s="18">
        <f t="shared" si="11"/>
        <v>0</v>
      </c>
      <c r="AK23" s="18">
        <f t="shared" si="11"/>
        <v>0</v>
      </c>
      <c r="AL23" s="42"/>
      <c r="AM23" s="43">
        <v>7</v>
      </c>
      <c r="AN23">
        <v>146.95179389928609</v>
      </c>
      <c r="AO23">
        <v>14.156604850239706</v>
      </c>
      <c r="AP23">
        <v>147.46132390227436</v>
      </c>
      <c r="AQ23">
        <v>125.64826102833277</v>
      </c>
      <c r="AR23">
        <v>13.745438346035579</v>
      </c>
      <c r="AS23">
        <v>233.5567791543258</v>
      </c>
      <c r="AT23">
        <v>8.4833463823311686</v>
      </c>
      <c r="AU23">
        <v>28.357817302275635</v>
      </c>
      <c r="AV23"/>
      <c r="AW23"/>
      <c r="FY23" s="210">
        <v>18</v>
      </c>
      <c r="FZ23">
        <v>14.94633209988536</v>
      </c>
      <c r="GA23">
        <v>14.822337923508471</v>
      </c>
      <c r="GB23">
        <v>1.9279125447651684</v>
      </c>
      <c r="GC23">
        <v>1.0390245298580276</v>
      </c>
      <c r="GD23">
        <v>0.60874256826599804</v>
      </c>
      <c r="GE23">
        <v>1.6741489066413413</v>
      </c>
      <c r="GF23">
        <v>9.6157735812392495</v>
      </c>
      <c r="GG23">
        <v>12.482406205115579</v>
      </c>
      <c r="GH23">
        <v>12.322802050700409</v>
      </c>
      <c r="GI23">
        <v>6.7285906377304423</v>
      </c>
      <c r="GJ23"/>
      <c r="GK23"/>
      <c r="GL23"/>
      <c r="GM23"/>
    </row>
    <row r="24" spans="1:195" s="7" customFormat="1">
      <c r="A24" s="4"/>
      <c r="B24" s="36"/>
      <c r="C24" s="48" t="s">
        <v>41</v>
      </c>
      <c r="D24" s="49">
        <f t="shared" si="7"/>
        <v>80.667522930453956</v>
      </c>
      <c r="E24" s="18">
        <f t="shared" si="8"/>
        <v>28</v>
      </c>
      <c r="F24" s="50"/>
      <c r="G24" s="18">
        <f t="shared" ref="G24:AK24" si="12">AVERAGE(G73:G74)</f>
        <v>0</v>
      </c>
      <c r="H24" s="18">
        <f t="shared" si="12"/>
        <v>2.083333333333333</v>
      </c>
      <c r="I24" s="18">
        <f t="shared" si="12"/>
        <v>59.82720524207592</v>
      </c>
      <c r="J24" s="18">
        <f t="shared" si="12"/>
        <v>12.246567688378033</v>
      </c>
      <c r="K24" s="18">
        <f t="shared" si="12"/>
        <v>6.510416666666667</v>
      </c>
      <c r="L24" s="18">
        <f t="shared" si="12"/>
        <v>0</v>
      </c>
      <c r="M24" s="18">
        <f t="shared" si="12"/>
        <v>0</v>
      </c>
      <c r="N24" s="18">
        <f t="shared" si="12"/>
        <v>0</v>
      </c>
      <c r="O24" s="18">
        <f t="shared" si="12"/>
        <v>0</v>
      </c>
      <c r="P24" s="18">
        <f t="shared" si="12"/>
        <v>0</v>
      </c>
      <c r="Q24" s="18">
        <f t="shared" si="12"/>
        <v>0</v>
      </c>
      <c r="R24" s="18">
        <f t="shared" si="12"/>
        <v>0</v>
      </c>
      <c r="S24" s="18">
        <f t="shared" si="12"/>
        <v>0</v>
      </c>
      <c r="T24" s="18">
        <f t="shared" si="12"/>
        <v>0</v>
      </c>
      <c r="U24" s="18">
        <f t="shared" si="12"/>
        <v>0</v>
      </c>
      <c r="V24" s="18">
        <f t="shared" si="12"/>
        <v>0</v>
      </c>
      <c r="W24" s="18">
        <f t="shared" si="12"/>
        <v>0</v>
      </c>
      <c r="X24" s="18">
        <f t="shared" si="12"/>
        <v>0</v>
      </c>
      <c r="Y24" s="18">
        <f t="shared" si="12"/>
        <v>0</v>
      </c>
      <c r="Z24" s="18">
        <f t="shared" si="12"/>
        <v>0</v>
      </c>
      <c r="AA24" s="18">
        <f t="shared" si="12"/>
        <v>0</v>
      </c>
      <c r="AB24" s="18">
        <f t="shared" si="12"/>
        <v>0</v>
      </c>
      <c r="AC24" s="18">
        <f t="shared" si="12"/>
        <v>0</v>
      </c>
      <c r="AD24" s="18">
        <f t="shared" si="12"/>
        <v>0</v>
      </c>
      <c r="AE24" s="18">
        <f t="shared" si="12"/>
        <v>0</v>
      </c>
      <c r="AF24" s="18">
        <f t="shared" si="12"/>
        <v>0</v>
      </c>
      <c r="AG24" s="18">
        <f t="shared" si="12"/>
        <v>0</v>
      </c>
      <c r="AH24" s="18">
        <f t="shared" si="12"/>
        <v>0</v>
      </c>
      <c r="AI24" s="18">
        <f t="shared" si="12"/>
        <v>0</v>
      </c>
      <c r="AJ24" s="18">
        <f t="shared" si="12"/>
        <v>0</v>
      </c>
      <c r="AK24" s="18">
        <f t="shared" si="12"/>
        <v>0</v>
      </c>
      <c r="AL24" s="42"/>
      <c r="AM24" s="43">
        <v>8</v>
      </c>
      <c r="AN24">
        <v>132.34385784805198</v>
      </c>
      <c r="AO24">
        <v>11.784228868049034</v>
      </c>
      <c r="AP24">
        <v>122.3294854822616</v>
      </c>
      <c r="AQ24">
        <v>101.29599025253441</v>
      </c>
      <c r="AR24">
        <v>11.294196292794346</v>
      </c>
      <c r="AS24">
        <v>205.9059233283642</v>
      </c>
      <c r="AT24">
        <v>6.9611340464392839</v>
      </c>
      <c r="AU24">
        <v>2.5232779546355228</v>
      </c>
      <c r="AV24"/>
      <c r="AW24"/>
      <c r="FY24" s="210">
        <v>19</v>
      </c>
      <c r="FZ24">
        <v>36.059219159023016</v>
      </c>
      <c r="GA24">
        <v>41.982457509746126</v>
      </c>
      <c r="GB24">
        <v>3.6979586332277634</v>
      </c>
      <c r="GC24">
        <v>1.5049463737193869</v>
      </c>
      <c r="GD24">
        <v>0.78171515896073496</v>
      </c>
      <c r="GE24">
        <v>1.2591432764309025</v>
      </c>
      <c r="GF24">
        <v>3.6783730567404005</v>
      </c>
      <c r="GG24">
        <v>4.2479553122543807</v>
      </c>
      <c r="GH24">
        <v>6.8065212312815486</v>
      </c>
      <c r="GI24">
        <v>8.4364487936511772</v>
      </c>
      <c r="GJ24"/>
      <c r="GK24"/>
      <c r="GL24"/>
      <c r="GM24"/>
    </row>
    <row r="25" spans="1:195" s="7" customFormat="1">
      <c r="A25" s="4"/>
      <c r="B25" s="36"/>
      <c r="C25" s="48" t="s">
        <v>42</v>
      </c>
      <c r="D25" s="49">
        <f t="shared" si="7"/>
        <v>64.105701624083977</v>
      </c>
      <c r="E25" s="18">
        <f t="shared" si="8"/>
        <v>24</v>
      </c>
      <c r="F25" s="50"/>
      <c r="G25" s="18">
        <f t="shared" ref="G25:AK25" si="13">AVERAGE(G74:G75)</f>
        <v>0</v>
      </c>
      <c r="H25" s="18">
        <f t="shared" si="13"/>
        <v>16.705659536541887</v>
      </c>
      <c r="I25" s="18">
        <f t="shared" si="13"/>
        <v>18.869949494949495</v>
      </c>
      <c r="J25" s="18">
        <f t="shared" si="13"/>
        <v>26.44675925925926</v>
      </c>
      <c r="K25" s="18">
        <f t="shared" si="13"/>
        <v>0</v>
      </c>
      <c r="L25" s="18">
        <f t="shared" si="13"/>
        <v>0</v>
      </c>
      <c r="M25" s="18">
        <f t="shared" si="13"/>
        <v>1.0416666666666665</v>
      </c>
      <c r="N25" s="18">
        <f t="shared" si="13"/>
        <v>1.0416666666666665</v>
      </c>
      <c r="O25" s="18">
        <f t="shared" si="13"/>
        <v>0</v>
      </c>
      <c r="P25" s="18">
        <f t="shared" si="13"/>
        <v>0</v>
      </c>
      <c r="Q25" s="18">
        <f t="shared" si="13"/>
        <v>0</v>
      </c>
      <c r="R25" s="18">
        <f t="shared" si="13"/>
        <v>0</v>
      </c>
      <c r="S25" s="18">
        <f t="shared" si="13"/>
        <v>0</v>
      </c>
      <c r="T25" s="18">
        <f t="shared" si="13"/>
        <v>0</v>
      </c>
      <c r="U25" s="18">
        <f t="shared" si="13"/>
        <v>0</v>
      </c>
      <c r="V25" s="18">
        <f t="shared" si="13"/>
        <v>0</v>
      </c>
      <c r="W25" s="18">
        <f t="shared" si="13"/>
        <v>0</v>
      </c>
      <c r="X25" s="18">
        <f t="shared" si="13"/>
        <v>0</v>
      </c>
      <c r="Y25" s="18">
        <f t="shared" si="13"/>
        <v>0</v>
      </c>
      <c r="Z25" s="18">
        <f t="shared" si="13"/>
        <v>0</v>
      </c>
      <c r="AA25" s="18">
        <f t="shared" si="13"/>
        <v>0</v>
      </c>
      <c r="AB25" s="18">
        <f t="shared" si="13"/>
        <v>0</v>
      </c>
      <c r="AC25" s="18">
        <f t="shared" si="13"/>
        <v>0</v>
      </c>
      <c r="AD25" s="18">
        <f t="shared" si="13"/>
        <v>0</v>
      </c>
      <c r="AE25" s="18">
        <f t="shared" si="13"/>
        <v>0</v>
      </c>
      <c r="AF25" s="18">
        <f t="shared" si="13"/>
        <v>0</v>
      </c>
      <c r="AG25" s="18">
        <f t="shared" si="13"/>
        <v>0</v>
      </c>
      <c r="AH25" s="18">
        <f t="shared" si="13"/>
        <v>0</v>
      </c>
      <c r="AI25" s="18">
        <f t="shared" si="13"/>
        <v>0</v>
      </c>
      <c r="AJ25" s="18">
        <f t="shared" si="13"/>
        <v>0</v>
      </c>
      <c r="AK25" s="18">
        <f t="shared" si="13"/>
        <v>0</v>
      </c>
      <c r="AL25" s="42"/>
      <c r="AM25" s="43">
        <v>9</v>
      </c>
      <c r="AN25">
        <v>101.84826204568988</v>
      </c>
      <c r="AO25">
        <v>12.788271437463822</v>
      </c>
      <c r="AP25">
        <v>134.65088811142877</v>
      </c>
      <c r="AQ25">
        <v>114.71032181252119</v>
      </c>
      <c r="AR25">
        <v>12.500579770435161</v>
      </c>
      <c r="AS25">
        <v>196.53407221077114</v>
      </c>
      <c r="AT25">
        <v>8.3241385889677257</v>
      </c>
      <c r="AU25">
        <v>27.369517577904983</v>
      </c>
      <c r="AV25"/>
      <c r="AW25"/>
      <c r="FY25" s="210">
        <v>20</v>
      </c>
      <c r="FZ25">
        <v>2.1026211659171543</v>
      </c>
      <c r="GA25">
        <v>2.9145055791296333</v>
      </c>
      <c r="GB25">
        <v>4.8731204886783743</v>
      </c>
      <c r="GC25">
        <v>2.3174132921252046</v>
      </c>
      <c r="GD25">
        <v>0.68519378014830212</v>
      </c>
      <c r="GE25">
        <v>3.8830465269823358</v>
      </c>
      <c r="GF25">
        <v>10.90475216273289</v>
      </c>
      <c r="GG25">
        <v>13.105498918230648</v>
      </c>
      <c r="GH25">
        <v>14.206413027542034</v>
      </c>
      <c r="GI25">
        <v>6.1237211346366935</v>
      </c>
      <c r="GJ25"/>
      <c r="GK25"/>
      <c r="GL25"/>
      <c r="GM25"/>
    </row>
    <row r="26" spans="1:195" s="7" customFormat="1">
      <c r="A26" s="4"/>
      <c r="B26" s="36"/>
      <c r="C26" s="48" t="s">
        <v>118</v>
      </c>
      <c r="D26" s="49">
        <f t="shared" si="7"/>
        <v>114.72269512681966</v>
      </c>
      <c r="E26" s="18">
        <f t="shared" si="8"/>
        <v>48</v>
      </c>
      <c r="F26" s="50"/>
      <c r="G26" s="18">
        <f t="shared" ref="G26:AK26" si="14">AVERAGE(G75:G76)</f>
        <v>0</v>
      </c>
      <c r="H26" s="18">
        <f t="shared" si="14"/>
        <v>40.704682974041887</v>
      </c>
      <c r="I26" s="18">
        <f t="shared" si="14"/>
        <v>40.421549479166664</v>
      </c>
      <c r="J26" s="18">
        <f t="shared" si="14"/>
        <v>28.257921006944443</v>
      </c>
      <c r="K26" s="18">
        <f t="shared" si="14"/>
        <v>1.3020833333333333</v>
      </c>
      <c r="L26" s="18">
        <f t="shared" si="14"/>
        <v>1.3020833333333333</v>
      </c>
      <c r="M26" s="18">
        <f t="shared" si="14"/>
        <v>1.692708333333333</v>
      </c>
      <c r="N26" s="18">
        <f t="shared" si="14"/>
        <v>1.0416666666666665</v>
      </c>
      <c r="O26" s="18">
        <f t="shared" si="14"/>
        <v>0</v>
      </c>
      <c r="P26" s="18">
        <f t="shared" si="14"/>
        <v>0</v>
      </c>
      <c r="Q26" s="18">
        <f t="shared" si="14"/>
        <v>0</v>
      </c>
      <c r="R26" s="18">
        <f t="shared" si="14"/>
        <v>0</v>
      </c>
      <c r="S26" s="18">
        <f t="shared" si="14"/>
        <v>0</v>
      </c>
      <c r="T26" s="18">
        <f t="shared" si="14"/>
        <v>0</v>
      </c>
      <c r="U26" s="18">
        <f t="shared" si="14"/>
        <v>0</v>
      </c>
      <c r="V26" s="18">
        <f t="shared" si="14"/>
        <v>0</v>
      </c>
      <c r="W26" s="18">
        <f t="shared" si="14"/>
        <v>0</v>
      </c>
      <c r="X26" s="18">
        <f t="shared" si="14"/>
        <v>0</v>
      </c>
      <c r="Y26" s="18">
        <f t="shared" si="14"/>
        <v>0</v>
      </c>
      <c r="Z26" s="18">
        <f t="shared" si="14"/>
        <v>0</v>
      </c>
      <c r="AA26" s="18">
        <f t="shared" si="14"/>
        <v>0</v>
      </c>
      <c r="AB26" s="18">
        <f t="shared" si="14"/>
        <v>0</v>
      </c>
      <c r="AC26" s="18">
        <f t="shared" si="14"/>
        <v>0</v>
      </c>
      <c r="AD26" s="18">
        <f t="shared" si="14"/>
        <v>0</v>
      </c>
      <c r="AE26" s="18">
        <f t="shared" si="14"/>
        <v>0</v>
      </c>
      <c r="AF26" s="18">
        <f t="shared" si="14"/>
        <v>0</v>
      </c>
      <c r="AG26" s="18">
        <f t="shared" si="14"/>
        <v>0</v>
      </c>
      <c r="AH26" s="18">
        <f t="shared" si="14"/>
        <v>0</v>
      </c>
      <c r="AI26" s="18">
        <f t="shared" si="14"/>
        <v>0</v>
      </c>
      <c r="AJ26" s="18">
        <f t="shared" si="14"/>
        <v>0</v>
      </c>
      <c r="AK26" s="18">
        <f t="shared" si="14"/>
        <v>0</v>
      </c>
      <c r="AL26" s="42"/>
      <c r="AM26" s="43">
        <v>10</v>
      </c>
      <c r="AN26">
        <v>151.4179808279001</v>
      </c>
      <c r="AO26">
        <v>15.930724447844597</v>
      </c>
      <c r="AP26">
        <v>165.98578022974655</v>
      </c>
      <c r="AQ26">
        <v>143.63011486414027</v>
      </c>
      <c r="AR26">
        <v>15.095894572878301</v>
      </c>
      <c r="AS26">
        <v>230.87306963841507</v>
      </c>
      <c r="AT26">
        <v>9.0356640114199891</v>
      </c>
      <c r="AU26">
        <v>22.338604698918726</v>
      </c>
      <c r="AV26"/>
      <c r="AW26"/>
      <c r="FY26" s="210">
        <v>21</v>
      </c>
      <c r="FZ26">
        <v>23.738321266326423</v>
      </c>
      <c r="GA26">
        <v>28.714776222840879</v>
      </c>
      <c r="GB26">
        <v>4.8093545368782742</v>
      </c>
      <c r="GC26">
        <v>2.070800525923302</v>
      </c>
      <c r="GD26">
        <v>0.48405931240261024</v>
      </c>
      <c r="GE26">
        <v>1.073091903997315</v>
      </c>
      <c r="GF26">
        <v>5.1428082235324855</v>
      </c>
      <c r="GG26">
        <v>7.5078349793734542</v>
      </c>
      <c r="GH26">
        <v>9.076659609191795</v>
      </c>
      <c r="GI26">
        <v>7.3392243722181325</v>
      </c>
      <c r="GJ26"/>
      <c r="GK26"/>
      <c r="GL26"/>
      <c r="GM26"/>
    </row>
    <row r="27" spans="1:195" s="7" customFormat="1">
      <c r="A27" s="4"/>
      <c r="B27" s="1"/>
      <c r="C27" s="48" t="s">
        <v>119</v>
      </c>
      <c r="D27" s="49">
        <f>SUM(G27:AK27)</f>
        <v>273.88509114583331</v>
      </c>
      <c r="E27" s="18">
        <f>C11-C10</f>
        <v>63</v>
      </c>
      <c r="F27" s="50"/>
      <c r="G27" s="18">
        <f t="shared" ref="G27:AK29" si="15">AVERAGE(G76:G77)</f>
        <v>0</v>
      </c>
      <c r="H27" s="18">
        <f t="shared" si="15"/>
        <v>26.082356770833336</v>
      </c>
      <c r="I27" s="18">
        <f t="shared" si="15"/>
        <v>191.0581235532407</v>
      </c>
      <c r="J27" s="18">
        <f t="shared" si="15"/>
        <v>22.528754340277779</v>
      </c>
      <c r="K27" s="18">
        <f t="shared" si="15"/>
        <v>32.262731481481481</v>
      </c>
      <c r="L27" s="18">
        <f t="shared" si="15"/>
        <v>1.3020833333333333</v>
      </c>
      <c r="M27" s="18">
        <f t="shared" si="15"/>
        <v>0.65104166666666663</v>
      </c>
      <c r="N27" s="18">
        <f t="shared" si="15"/>
        <v>0</v>
      </c>
      <c r="O27" s="18">
        <f t="shared" si="15"/>
        <v>0</v>
      </c>
      <c r="P27" s="18">
        <f t="shared" si="15"/>
        <v>0</v>
      </c>
      <c r="Q27" s="18">
        <f t="shared" si="15"/>
        <v>0</v>
      </c>
      <c r="R27" s="18">
        <f t="shared" si="15"/>
        <v>0</v>
      </c>
      <c r="S27" s="18">
        <f t="shared" si="15"/>
        <v>0</v>
      </c>
      <c r="T27" s="18">
        <f t="shared" si="15"/>
        <v>0</v>
      </c>
      <c r="U27" s="18">
        <f t="shared" si="15"/>
        <v>0</v>
      </c>
      <c r="V27" s="18">
        <f t="shared" si="15"/>
        <v>0</v>
      </c>
      <c r="W27" s="18">
        <f t="shared" si="15"/>
        <v>0</v>
      </c>
      <c r="X27" s="18">
        <f t="shared" si="15"/>
        <v>0</v>
      </c>
      <c r="Y27" s="18">
        <f t="shared" si="15"/>
        <v>0</v>
      </c>
      <c r="Z27" s="18">
        <f t="shared" si="15"/>
        <v>0</v>
      </c>
      <c r="AA27" s="18">
        <f t="shared" si="15"/>
        <v>0</v>
      </c>
      <c r="AB27" s="18">
        <f t="shared" si="15"/>
        <v>0</v>
      </c>
      <c r="AC27" s="18">
        <f t="shared" si="15"/>
        <v>0</v>
      </c>
      <c r="AD27" s="18">
        <f t="shared" si="15"/>
        <v>0</v>
      </c>
      <c r="AE27" s="18">
        <f t="shared" si="15"/>
        <v>0</v>
      </c>
      <c r="AF27" s="18">
        <f t="shared" si="15"/>
        <v>0</v>
      </c>
      <c r="AG27" s="18">
        <f t="shared" si="15"/>
        <v>0</v>
      </c>
      <c r="AH27" s="18">
        <f t="shared" si="15"/>
        <v>0</v>
      </c>
      <c r="AI27" s="18">
        <f t="shared" si="15"/>
        <v>0</v>
      </c>
      <c r="AJ27" s="18">
        <f t="shared" si="15"/>
        <v>0</v>
      </c>
      <c r="AK27" s="18">
        <f t="shared" si="15"/>
        <v>0</v>
      </c>
      <c r="AL27" s="42"/>
      <c r="AM27" s="43">
        <v>11</v>
      </c>
      <c r="AN27">
        <v>167.49063365314731</v>
      </c>
      <c r="AO27">
        <v>11.900689016700042</v>
      </c>
      <c r="AP27">
        <v>118.36722940247263</v>
      </c>
      <c r="AQ27">
        <v>100.42506655029105</v>
      </c>
      <c r="AR27">
        <v>11.24645673464342</v>
      </c>
      <c r="AS27">
        <v>192.8127281532883</v>
      </c>
      <c r="AT27">
        <v>7.0178500619952962</v>
      </c>
      <c r="AU27">
        <v>14.261630006293863</v>
      </c>
      <c r="AV27"/>
      <c r="AW27"/>
      <c r="FY27" s="210">
        <v>22</v>
      </c>
      <c r="FZ27">
        <v>13.084746021438608</v>
      </c>
      <c r="GA27">
        <v>15.27352116170087</v>
      </c>
      <c r="GB27">
        <v>2.6392862406205588</v>
      </c>
      <c r="GC27">
        <v>1.2501406109575579</v>
      </c>
      <c r="GD27">
        <v>1.0933342110815705</v>
      </c>
      <c r="GE27">
        <v>3.5079299168053617</v>
      </c>
      <c r="GF27">
        <v>7.2087815953968724</v>
      </c>
      <c r="GG27">
        <v>8.3854406498026695</v>
      </c>
      <c r="GH27">
        <v>7.480527080981858</v>
      </c>
      <c r="GI27">
        <v>5.7057102418592898</v>
      </c>
      <c r="GJ27"/>
      <c r="GK27"/>
      <c r="GL27"/>
      <c r="GM27"/>
    </row>
    <row r="28" spans="1:195" s="7" customFormat="1">
      <c r="A28" s="51"/>
      <c r="B28" s="1"/>
      <c r="C28" s="48" t="s">
        <v>120</v>
      </c>
      <c r="D28" s="49">
        <f>SUM(G28:AK28)</f>
        <v>391.01629119216585</v>
      </c>
      <c r="E28" s="18">
        <f>C12-C11</f>
        <v>39</v>
      </c>
      <c r="F28" s="50"/>
      <c r="G28" s="18">
        <f t="shared" si="15"/>
        <v>0</v>
      </c>
      <c r="H28" s="18">
        <f t="shared" si="15"/>
        <v>49.641679350583459</v>
      </c>
      <c r="I28" s="18">
        <f t="shared" si="15"/>
        <v>258.22043883295737</v>
      </c>
      <c r="J28" s="18">
        <f t="shared" si="15"/>
        <v>32.002314814814824</v>
      </c>
      <c r="K28" s="18">
        <f t="shared" si="15"/>
        <v>42.818524860476913</v>
      </c>
      <c r="L28" s="18">
        <f t="shared" si="15"/>
        <v>5.2083333333333339</v>
      </c>
      <c r="M28" s="18">
        <f t="shared" si="15"/>
        <v>3.125</v>
      </c>
      <c r="N28" s="18">
        <f t="shared" si="15"/>
        <v>0</v>
      </c>
      <c r="O28" s="18">
        <f t="shared" si="15"/>
        <v>0</v>
      </c>
      <c r="P28" s="18">
        <f t="shared" si="15"/>
        <v>0</v>
      </c>
      <c r="Q28" s="18">
        <f t="shared" si="15"/>
        <v>0</v>
      </c>
      <c r="R28" s="18">
        <f t="shared" si="15"/>
        <v>0</v>
      </c>
      <c r="S28" s="18">
        <f t="shared" si="15"/>
        <v>0</v>
      </c>
      <c r="T28" s="18">
        <f t="shared" si="15"/>
        <v>0</v>
      </c>
      <c r="U28" s="18">
        <f t="shared" si="15"/>
        <v>0</v>
      </c>
      <c r="V28" s="18">
        <f t="shared" si="15"/>
        <v>0</v>
      </c>
      <c r="W28" s="18">
        <f t="shared" si="15"/>
        <v>0</v>
      </c>
      <c r="X28" s="18">
        <f t="shared" si="15"/>
        <v>0</v>
      </c>
      <c r="Y28" s="18">
        <f t="shared" si="15"/>
        <v>0</v>
      </c>
      <c r="Z28" s="18">
        <f t="shared" si="15"/>
        <v>0</v>
      </c>
      <c r="AA28" s="18">
        <f t="shared" si="15"/>
        <v>0</v>
      </c>
      <c r="AB28" s="18">
        <f t="shared" si="15"/>
        <v>0</v>
      </c>
      <c r="AC28" s="18">
        <f t="shared" si="15"/>
        <v>0</v>
      </c>
      <c r="AD28" s="18">
        <f t="shared" si="15"/>
        <v>0</v>
      </c>
      <c r="AE28" s="18">
        <f t="shared" si="15"/>
        <v>0</v>
      </c>
      <c r="AF28" s="18">
        <f t="shared" si="15"/>
        <v>0</v>
      </c>
      <c r="AG28" s="18">
        <f t="shared" si="15"/>
        <v>0</v>
      </c>
      <c r="AH28" s="18">
        <f t="shared" si="15"/>
        <v>0</v>
      </c>
      <c r="AI28" s="18">
        <f t="shared" si="15"/>
        <v>0</v>
      </c>
      <c r="AJ28" s="18">
        <f t="shared" si="15"/>
        <v>0</v>
      </c>
      <c r="AK28" s="18">
        <f t="shared" si="15"/>
        <v>0</v>
      </c>
      <c r="AL28" s="42"/>
      <c r="AM28" s="43">
        <v>12</v>
      </c>
      <c r="AN28">
        <v>112.84023719770047</v>
      </c>
      <c r="AO28">
        <v>13.309841734762973</v>
      </c>
      <c r="AP28">
        <v>134.72381391375751</v>
      </c>
      <c r="AQ28">
        <v>117.17359817902403</v>
      </c>
      <c r="AR28">
        <v>13.062250363051415</v>
      </c>
      <c r="AS28">
        <v>168.17775466789536</v>
      </c>
      <c r="AT28">
        <v>8.1616496801315215</v>
      </c>
      <c r="AU28">
        <v>43.373468376475287</v>
      </c>
      <c r="AV28"/>
      <c r="AW28"/>
      <c r="FY28" s="210">
        <v>23</v>
      </c>
      <c r="FZ28">
        <v>33.350599316862088</v>
      </c>
      <c r="GA28">
        <v>40.905993945151295</v>
      </c>
      <c r="GB28">
        <v>3.5114492560993815</v>
      </c>
      <c r="GC28">
        <v>1.7943587053282455</v>
      </c>
      <c r="GD28">
        <v>0.78296834438651697</v>
      </c>
      <c r="GE28">
        <v>3.0149316935441091</v>
      </c>
      <c r="GF28">
        <v>11.273234248976802</v>
      </c>
      <c r="GG28">
        <v>10.922329441990897</v>
      </c>
      <c r="GH28">
        <v>7.894925034676513</v>
      </c>
      <c r="GI28">
        <v>9.5340705002049475</v>
      </c>
      <c r="GJ28"/>
      <c r="GK28"/>
      <c r="GL28"/>
      <c r="GM28"/>
    </row>
    <row r="29" spans="1:195" s="7" customFormat="1">
      <c r="A29" s="51"/>
      <c r="B29" s="1"/>
      <c r="C29" s="48" t="s">
        <v>121</v>
      </c>
      <c r="D29" s="49">
        <f>SUM(G29:AK29)</f>
        <v>212.23495650381906</v>
      </c>
      <c r="E29" s="18">
        <f>C13-C12</f>
        <v>38</v>
      </c>
      <c r="F29" s="50"/>
      <c r="G29" s="18">
        <f t="shared" si="15"/>
        <v>0</v>
      </c>
      <c r="H29" s="18">
        <f t="shared" si="15"/>
        <v>49.641679350583459</v>
      </c>
      <c r="I29" s="18">
        <f t="shared" si="15"/>
        <v>109.49358698110554</v>
      </c>
      <c r="J29" s="18">
        <f t="shared" si="15"/>
        <v>17.245370370370374</v>
      </c>
      <c r="K29" s="18">
        <f t="shared" si="15"/>
        <v>23.875153135092994</v>
      </c>
      <c r="L29" s="18">
        <f t="shared" si="15"/>
        <v>6.25</v>
      </c>
      <c r="M29" s="18">
        <f t="shared" si="15"/>
        <v>3.645833333333333</v>
      </c>
      <c r="N29" s="18">
        <f t="shared" si="15"/>
        <v>2.083333333333333</v>
      </c>
      <c r="O29" s="18">
        <f t="shared" si="15"/>
        <v>0</v>
      </c>
      <c r="P29" s="18">
        <f t="shared" si="15"/>
        <v>0</v>
      </c>
      <c r="Q29" s="18">
        <f t="shared" si="15"/>
        <v>0</v>
      </c>
      <c r="R29" s="18">
        <f t="shared" si="15"/>
        <v>0</v>
      </c>
      <c r="S29" s="18">
        <f t="shared" si="15"/>
        <v>0</v>
      </c>
      <c r="T29" s="18">
        <f t="shared" si="15"/>
        <v>0</v>
      </c>
      <c r="U29" s="18">
        <f t="shared" si="15"/>
        <v>0</v>
      </c>
      <c r="V29" s="18">
        <f t="shared" si="15"/>
        <v>0</v>
      </c>
      <c r="W29" s="18">
        <f t="shared" si="15"/>
        <v>0</v>
      </c>
      <c r="X29" s="18">
        <f t="shared" si="15"/>
        <v>0</v>
      </c>
      <c r="Y29" s="18">
        <f t="shared" si="15"/>
        <v>0</v>
      </c>
      <c r="Z29" s="18">
        <f t="shared" si="15"/>
        <v>0</v>
      </c>
      <c r="AA29" s="18">
        <f t="shared" si="15"/>
        <v>0</v>
      </c>
      <c r="AB29" s="18">
        <f t="shared" si="15"/>
        <v>0</v>
      </c>
      <c r="AC29" s="18">
        <f t="shared" si="15"/>
        <v>0</v>
      </c>
      <c r="AD29" s="18">
        <f t="shared" si="15"/>
        <v>0</v>
      </c>
      <c r="AE29" s="18">
        <f t="shared" si="15"/>
        <v>0</v>
      </c>
      <c r="AF29" s="18">
        <f t="shared" si="15"/>
        <v>0</v>
      </c>
      <c r="AG29" s="18">
        <f t="shared" si="15"/>
        <v>0</v>
      </c>
      <c r="AH29" s="18">
        <f t="shared" si="15"/>
        <v>0</v>
      </c>
      <c r="AI29" s="18">
        <f t="shared" si="15"/>
        <v>0</v>
      </c>
      <c r="AJ29" s="18">
        <f t="shared" si="15"/>
        <v>0</v>
      </c>
      <c r="AK29" s="18">
        <f t="shared" si="15"/>
        <v>0</v>
      </c>
      <c r="AL29" s="42"/>
      <c r="AM29" s="43">
        <v>13</v>
      </c>
      <c r="AN29">
        <v>133.31092554260431</v>
      </c>
      <c r="AO29">
        <v>9.4644921749949003</v>
      </c>
      <c r="AP29">
        <v>89.24648057101281</v>
      </c>
      <c r="AQ29">
        <v>75.154320198244704</v>
      </c>
      <c r="AR29">
        <v>9.2621271141050361</v>
      </c>
      <c r="AS29">
        <v>165.63334329344542</v>
      </c>
      <c r="AT29">
        <v>5.2895771712529172</v>
      </c>
      <c r="AU29">
        <v>27.287523060948736</v>
      </c>
      <c r="AV29"/>
      <c r="AW29"/>
      <c r="FY29" s="210">
        <v>24</v>
      </c>
      <c r="FZ29">
        <v>47.023454247168189</v>
      </c>
      <c r="GA29">
        <v>53.714374085315285</v>
      </c>
      <c r="GB29">
        <v>2.7170120128786341</v>
      </c>
      <c r="GC29">
        <v>1.359364317127518</v>
      </c>
      <c r="GD29">
        <v>1.2336913979616244</v>
      </c>
      <c r="GE29">
        <v>4.3213136911909134</v>
      </c>
      <c r="GF29">
        <v>4.6662382111095848</v>
      </c>
      <c r="GG29">
        <v>5.6326046661905842</v>
      </c>
      <c r="GH29">
        <v>9.2213225722543939</v>
      </c>
      <c r="GI29">
        <v>10.640738956142918</v>
      </c>
      <c r="GJ29"/>
      <c r="GK29"/>
      <c r="GL29"/>
      <c r="GM29"/>
    </row>
    <row r="30" spans="1:195" s="7" customFormat="1">
      <c r="A30" s="51"/>
      <c r="B30" s="1"/>
      <c r="C30" s="48" t="s">
        <v>122</v>
      </c>
      <c r="D30" s="49">
        <f>SUM(G30:AK30)</f>
        <v>142.46253491221853</v>
      </c>
      <c r="E30" s="18">
        <v>24</v>
      </c>
      <c r="F30" s="50"/>
      <c r="G30" s="18">
        <f>AVERAGE(G70:G79)</f>
        <v>0</v>
      </c>
      <c r="H30" s="18">
        <f t="shared" ref="H30:AK30" si="16">AVERAGE(H70:H79)</f>
        <v>18.694272464925071</v>
      </c>
      <c r="I30" s="18">
        <f t="shared" si="16"/>
        <v>77.023699821951112</v>
      </c>
      <c r="J30" s="18">
        <f t="shared" si="16"/>
        <v>18.662240331657092</v>
      </c>
      <c r="K30" s="18">
        <f t="shared" si="16"/>
        <v>17.176650997388968</v>
      </c>
      <c r="L30" s="18">
        <f t="shared" si="16"/>
        <v>5.0578703703703702</v>
      </c>
      <c r="M30" s="18">
        <f t="shared" si="16"/>
        <v>3.8339120370370359</v>
      </c>
      <c r="N30" s="18">
        <f t="shared" si="16"/>
        <v>2.0138888888888884</v>
      </c>
      <c r="O30" s="18">
        <f t="shared" si="16"/>
        <v>0</v>
      </c>
      <c r="P30" s="18">
        <f t="shared" si="16"/>
        <v>0</v>
      </c>
      <c r="Q30" s="18">
        <f t="shared" si="16"/>
        <v>0</v>
      </c>
      <c r="R30" s="18">
        <f t="shared" si="16"/>
        <v>0</v>
      </c>
      <c r="S30" s="18">
        <f t="shared" si="16"/>
        <v>0</v>
      </c>
      <c r="T30" s="18">
        <f t="shared" si="16"/>
        <v>0</v>
      </c>
      <c r="U30" s="18">
        <f t="shared" si="16"/>
        <v>0</v>
      </c>
      <c r="V30" s="18">
        <f t="shared" si="16"/>
        <v>0</v>
      </c>
      <c r="W30" s="18">
        <f t="shared" si="16"/>
        <v>0</v>
      </c>
      <c r="X30" s="18">
        <f t="shared" si="16"/>
        <v>0</v>
      </c>
      <c r="Y30" s="18">
        <f t="shared" si="16"/>
        <v>0</v>
      </c>
      <c r="Z30" s="18">
        <f t="shared" si="16"/>
        <v>0</v>
      </c>
      <c r="AA30" s="18">
        <f t="shared" si="16"/>
        <v>0</v>
      </c>
      <c r="AB30" s="18">
        <f t="shared" si="16"/>
        <v>0</v>
      </c>
      <c r="AC30" s="18">
        <f t="shared" si="16"/>
        <v>0</v>
      </c>
      <c r="AD30" s="18">
        <f t="shared" si="16"/>
        <v>0</v>
      </c>
      <c r="AE30" s="18">
        <f t="shared" si="16"/>
        <v>0</v>
      </c>
      <c r="AF30" s="18">
        <f t="shared" si="16"/>
        <v>0</v>
      </c>
      <c r="AG30" s="18">
        <f t="shared" si="16"/>
        <v>0</v>
      </c>
      <c r="AH30" s="18">
        <f t="shared" si="16"/>
        <v>0</v>
      </c>
      <c r="AI30" s="18">
        <f t="shared" si="16"/>
        <v>0</v>
      </c>
      <c r="AJ30" s="18">
        <f t="shared" si="16"/>
        <v>0</v>
      </c>
      <c r="AK30" s="18">
        <f t="shared" si="16"/>
        <v>0</v>
      </c>
      <c r="AL30" s="42"/>
      <c r="AM30" s="43">
        <v>14</v>
      </c>
      <c r="AN30">
        <v>85.14637256112205</v>
      </c>
      <c r="AO30">
        <v>7.2206669797757801</v>
      </c>
      <c r="AP30">
        <v>71.903900454918784</v>
      </c>
      <c r="AQ30">
        <v>60.015333738447964</v>
      </c>
      <c r="AR30">
        <v>7.0636489531070623</v>
      </c>
      <c r="AS30">
        <v>122.91088888504241</v>
      </c>
      <c r="AT30">
        <v>4.1139125611076457</v>
      </c>
      <c r="AU30">
        <v>8.085112939277856</v>
      </c>
      <c r="AV30"/>
      <c r="AW30"/>
      <c r="FY30" s="210">
        <v>25</v>
      </c>
      <c r="FZ30">
        <v>34.345243508058431</v>
      </c>
      <c r="GA30">
        <v>41.132521043541871</v>
      </c>
      <c r="GB30">
        <v>1.9274358033586663</v>
      </c>
      <c r="GC30">
        <v>0.34465168240584021</v>
      </c>
      <c r="GD30">
        <v>0.74210848452764555</v>
      </c>
      <c r="GE30">
        <v>3.0823201773913924</v>
      </c>
      <c r="GF30">
        <v>6.9260027579999583</v>
      </c>
      <c r="GG30">
        <v>10.890085952124108</v>
      </c>
      <c r="GH30">
        <v>12.082650595816405</v>
      </c>
      <c r="GI30">
        <v>9.1524935169748041</v>
      </c>
      <c r="GJ30"/>
      <c r="GK30"/>
      <c r="GL30"/>
      <c r="GM30"/>
    </row>
    <row r="31" spans="1:195" s="7" customFormat="1">
      <c r="A31" s="51"/>
      <c r="B31" s="1"/>
      <c r="C31" s="48"/>
      <c r="D31" s="49"/>
      <c r="E31" s="18"/>
      <c r="F31" s="50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42"/>
      <c r="AM31" s="43">
        <v>15</v>
      </c>
      <c r="AN31">
        <v>121.86752242478262</v>
      </c>
      <c r="AO31">
        <v>13.085751873645071</v>
      </c>
      <c r="AP31">
        <v>133.71906563594956</v>
      </c>
      <c r="AQ31">
        <v>115.04780471275424</v>
      </c>
      <c r="AR31">
        <v>12.498735547497958</v>
      </c>
      <c r="AS31">
        <v>186.92762124415299</v>
      </c>
      <c r="AT31">
        <v>7.3779052153475098</v>
      </c>
      <c r="AU31">
        <v>-5.3648281634969033</v>
      </c>
      <c r="AV31"/>
      <c r="AW31"/>
      <c r="FY31" s="210">
        <v>26</v>
      </c>
      <c r="FZ31">
        <v>23.476977448742776</v>
      </c>
      <c r="GA31">
        <v>27.756824313475814</v>
      </c>
      <c r="GB31">
        <v>3.9652285159162202</v>
      </c>
      <c r="GC31">
        <v>1.7287699387944704</v>
      </c>
      <c r="GD31">
        <v>0.77575618282056213</v>
      </c>
      <c r="GE31">
        <v>2.4850028799591812</v>
      </c>
      <c r="GF31">
        <v>6.5509556009237997</v>
      </c>
      <c r="GG31">
        <v>6.0275547671883576</v>
      </c>
      <c r="GH31">
        <v>6.0830654687515526</v>
      </c>
      <c r="GI31">
        <v>7.0532853867632479</v>
      </c>
      <c r="GJ31"/>
      <c r="GK31"/>
      <c r="GL31"/>
      <c r="GM31"/>
    </row>
    <row r="32" spans="1:195" s="7" customFormat="1">
      <c r="A32" s="51"/>
      <c r="B32" s="1"/>
      <c r="C32" s="52" t="s">
        <v>43</v>
      </c>
      <c r="D32" s="53">
        <f>AVERAGE(D21:D31)</f>
        <v>152.45150520560841</v>
      </c>
      <c r="E32" s="18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42"/>
      <c r="AM32" s="43">
        <v>16</v>
      </c>
      <c r="AN32">
        <v>107.27891685649391</v>
      </c>
      <c r="AO32">
        <v>12.48067433300454</v>
      </c>
      <c r="AP32">
        <v>131.89464416237831</v>
      </c>
      <c r="AQ32">
        <v>112.49189478119298</v>
      </c>
      <c r="AR32">
        <v>12.392455317438431</v>
      </c>
      <c r="AS32">
        <v>236.05596052883732</v>
      </c>
      <c r="AT32">
        <v>7.7439062629854751</v>
      </c>
      <c r="AU32">
        <v>19.336190858666914</v>
      </c>
      <c r="AV32"/>
      <c r="AW32"/>
      <c r="FY32" s="210">
        <v>27</v>
      </c>
      <c r="FZ32">
        <v>32.358725903234948</v>
      </c>
      <c r="GA32">
        <v>40.933109331794718</v>
      </c>
      <c r="GB32">
        <v>2.2769702549182433</v>
      </c>
      <c r="GC32">
        <v>0.60396152066065334</v>
      </c>
      <c r="GD32">
        <v>0.57280537042237123</v>
      </c>
      <c r="GE32">
        <v>1.43644068185304</v>
      </c>
      <c r="GF32">
        <v>3.4032084148752815</v>
      </c>
      <c r="GG32">
        <v>15.227474699420259</v>
      </c>
      <c r="GH32">
        <v>20.93012030413346</v>
      </c>
      <c r="GI32">
        <v>9.611458007283364</v>
      </c>
      <c r="GJ32"/>
      <c r="GK32"/>
      <c r="GL32"/>
      <c r="GM32"/>
    </row>
    <row r="33" spans="1:195" s="7" customFormat="1">
      <c r="A33" s="51"/>
      <c r="B33" s="36"/>
      <c r="C33" s="19"/>
      <c r="D33" s="54"/>
      <c r="E33" s="54"/>
      <c r="F33" s="55"/>
      <c r="G33" s="55"/>
      <c r="H33" s="54"/>
      <c r="I33" s="55"/>
      <c r="J33" s="19"/>
      <c r="K33" s="56"/>
      <c r="L33" s="55"/>
      <c r="M33" s="54"/>
      <c r="N33" s="55"/>
      <c r="O33" s="55"/>
      <c r="P33" s="55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42"/>
      <c r="AM33" s="43">
        <v>17</v>
      </c>
      <c r="AN33">
        <v>133.53907791537191</v>
      </c>
      <c r="AO33">
        <v>11.219012569475812</v>
      </c>
      <c r="AP33">
        <v>113.2161465224445</v>
      </c>
      <c r="AQ33">
        <v>96.304768033537911</v>
      </c>
      <c r="AR33">
        <v>10.674106416837327</v>
      </c>
      <c r="AS33">
        <v>165.10989933082467</v>
      </c>
      <c r="AT33">
        <v>6.2404936268344366</v>
      </c>
      <c r="AU33">
        <v>23.301813939396521</v>
      </c>
      <c r="AV33"/>
      <c r="AW33"/>
      <c r="FY33" s="210">
        <v>28</v>
      </c>
      <c r="FZ33">
        <v>2.9606584735249575</v>
      </c>
      <c r="GA33">
        <v>3.4184412681652221</v>
      </c>
      <c r="GB33">
        <v>2.6836540284233728</v>
      </c>
      <c r="GC33">
        <v>1.1800484515258296</v>
      </c>
      <c r="GD33">
        <v>1.1019073631368623</v>
      </c>
      <c r="GE33">
        <v>3.9686946390246409</v>
      </c>
      <c r="GF33">
        <v>10.774875028703256</v>
      </c>
      <c r="GG33">
        <v>7.1778673490852833</v>
      </c>
      <c r="GH33">
        <v>5.5946723900425113</v>
      </c>
      <c r="GI33">
        <v>4.5799251562871781</v>
      </c>
      <c r="GJ33"/>
      <c r="GK33"/>
      <c r="GL33"/>
      <c r="GM33"/>
    </row>
    <row r="34" spans="1:195" s="7" customFormat="1">
      <c r="A34" s="51"/>
      <c r="B34" s="36"/>
      <c r="C34" s="10" t="s">
        <v>44</v>
      </c>
      <c r="D34" s="10"/>
      <c r="E34" s="10"/>
      <c r="F34" s="10"/>
      <c r="G34" s="11" t="s">
        <v>33</v>
      </c>
      <c r="H34" s="45"/>
      <c r="I34" s="45"/>
      <c r="J34" s="45"/>
      <c r="K34" s="45"/>
      <c r="L34" s="45"/>
      <c r="M34" s="45"/>
      <c r="N34" s="45"/>
      <c r="O34" s="46"/>
      <c r="P34" s="46"/>
      <c r="Q34" s="47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42"/>
      <c r="AM34" s="43">
        <v>18</v>
      </c>
      <c r="AN34">
        <v>120.17321632582698</v>
      </c>
      <c r="AO34">
        <v>9.1996590756283823</v>
      </c>
      <c r="AP34">
        <v>91.862785184926679</v>
      </c>
      <c r="AQ34">
        <v>76.168071047710043</v>
      </c>
      <c r="AR34">
        <v>9.3031766911241274</v>
      </c>
      <c r="AS34">
        <v>159.77688611270455</v>
      </c>
      <c r="AT34">
        <v>5.4499589676573343</v>
      </c>
      <c r="AU34">
        <v>10.186579304906969</v>
      </c>
      <c r="AV34"/>
      <c r="AW34"/>
      <c r="FY34" s="210">
        <v>29</v>
      </c>
      <c r="FZ34">
        <v>46.5759002223813</v>
      </c>
      <c r="GA34">
        <v>52.960928112285281</v>
      </c>
      <c r="GB34">
        <v>3.3633275079546872</v>
      </c>
      <c r="GC34">
        <v>1.4497404667258429</v>
      </c>
      <c r="GD34">
        <v>0.37557709924980992</v>
      </c>
      <c r="GE34">
        <v>2.5061885165608633</v>
      </c>
      <c r="GF34">
        <v>9.7882983549911167</v>
      </c>
      <c r="GG34">
        <v>11.565864373394788</v>
      </c>
      <c r="GH34">
        <v>11.695675287486196</v>
      </c>
      <c r="GI34">
        <v>11.548114991065525</v>
      </c>
      <c r="GJ34"/>
      <c r="GK34"/>
      <c r="GL34"/>
      <c r="GM34"/>
    </row>
    <row r="35" spans="1:195" s="7" customFormat="1">
      <c r="A35" s="51"/>
      <c r="B35" s="36"/>
      <c r="C35" s="11"/>
      <c r="D35" s="10"/>
      <c r="E35" s="13"/>
      <c r="F35" s="13"/>
      <c r="G35" s="44" t="s">
        <v>37</v>
      </c>
      <c r="H35" s="45">
        <v>1</v>
      </c>
      <c r="I35" s="45">
        <v>2</v>
      </c>
      <c r="J35" s="45">
        <v>3</v>
      </c>
      <c r="K35" s="45">
        <v>4</v>
      </c>
      <c r="L35" s="45">
        <v>5</v>
      </c>
      <c r="M35" s="45">
        <v>6</v>
      </c>
      <c r="N35" s="45">
        <v>7</v>
      </c>
      <c r="O35" s="46">
        <v>8</v>
      </c>
      <c r="P35" s="46">
        <v>9</v>
      </c>
      <c r="Q35" s="47">
        <v>10</v>
      </c>
      <c r="R35" s="46">
        <v>11</v>
      </c>
      <c r="S35" s="47">
        <v>12</v>
      </c>
      <c r="T35" s="46">
        <v>13</v>
      </c>
      <c r="U35" s="47">
        <v>14</v>
      </c>
      <c r="V35" s="46">
        <v>15</v>
      </c>
      <c r="W35" s="47">
        <v>16</v>
      </c>
      <c r="X35" s="46">
        <v>17</v>
      </c>
      <c r="Y35" s="47">
        <v>18</v>
      </c>
      <c r="Z35" s="46">
        <v>19</v>
      </c>
      <c r="AA35" s="47">
        <v>20</v>
      </c>
      <c r="AB35" s="46">
        <v>21</v>
      </c>
      <c r="AC35" s="47">
        <v>22</v>
      </c>
      <c r="AD35" s="46">
        <v>23</v>
      </c>
      <c r="AE35" s="47">
        <v>24</v>
      </c>
      <c r="AF35" s="46">
        <v>25</v>
      </c>
      <c r="AG35" s="47">
        <v>26</v>
      </c>
      <c r="AH35" s="46">
        <v>27</v>
      </c>
      <c r="AI35" s="47">
        <v>28</v>
      </c>
      <c r="AJ35" s="46">
        <v>29</v>
      </c>
      <c r="AK35" s="47">
        <v>30</v>
      </c>
      <c r="AL35" s="42"/>
      <c r="AM35" s="43">
        <v>19</v>
      </c>
      <c r="AN35">
        <v>88.800457376488865</v>
      </c>
      <c r="AO35">
        <v>11.881418183685332</v>
      </c>
      <c r="AP35">
        <v>126.82300838109825</v>
      </c>
      <c r="AQ35">
        <v>108.45473850503545</v>
      </c>
      <c r="AR35">
        <v>11.799316705349639</v>
      </c>
      <c r="AS35">
        <v>184.57301537508854</v>
      </c>
      <c r="AT35">
        <v>7.0993459525801788</v>
      </c>
      <c r="AU35">
        <v>-1.8746503756374642</v>
      </c>
      <c r="AV35"/>
      <c r="AW35"/>
      <c r="FY35" s="210">
        <v>30</v>
      </c>
      <c r="FZ35">
        <v>24.46900808482053</v>
      </c>
      <c r="GA35">
        <v>27.449741281301485</v>
      </c>
      <c r="GB35">
        <v>1.298691747772398</v>
      </c>
      <c r="GC35">
        <v>0.88832413934813426</v>
      </c>
      <c r="GD35">
        <v>0.52483704475989634</v>
      </c>
      <c r="GE35">
        <v>1.9609275920034526</v>
      </c>
      <c r="GF35">
        <v>4.9038856909380009</v>
      </c>
      <c r="GG35">
        <v>3.3562717632404118</v>
      </c>
      <c r="GH35">
        <v>4.5970928790006216</v>
      </c>
      <c r="GI35">
        <v>5.8637353519267199</v>
      </c>
      <c r="GJ35"/>
      <c r="GK35"/>
      <c r="GL35"/>
      <c r="GM35"/>
    </row>
    <row r="36" spans="1:195" s="7" customFormat="1">
      <c r="A36" s="51"/>
      <c r="B36" s="57"/>
      <c r="C36" s="12" t="s">
        <v>34</v>
      </c>
      <c r="D36" s="58"/>
      <c r="E36" s="10" t="s">
        <v>45</v>
      </c>
      <c r="F36" s="13"/>
      <c r="G36" s="59">
        <f>(1-($A$43/100))*($A$39*(0.5^$A$41))</f>
        <v>5.2641520345816375E-4</v>
      </c>
      <c r="H36" s="59">
        <f t="shared" ref="H36:AK36" si="17">(1-($A$43/100))*($A$39*(H35^$A$41))</f>
        <v>3.6840000000000002E-3</v>
      </c>
      <c r="I36" s="59">
        <f t="shared" si="17"/>
        <v>2.5781656591304377E-2</v>
      </c>
      <c r="J36" s="59">
        <f t="shared" si="17"/>
        <v>8.0463511846897845E-2</v>
      </c>
      <c r="K36" s="59">
        <f t="shared" si="17"/>
        <v>0.18042720320085462</v>
      </c>
      <c r="L36" s="59">
        <f t="shared" si="17"/>
        <v>0.33754246971740076</v>
      </c>
      <c r="M36" s="59">
        <f t="shared" si="17"/>
        <v>0.56310603435588247</v>
      </c>
      <c r="N36" s="59">
        <f t="shared" si="17"/>
        <v>0.86798020299545053</v>
      </c>
      <c r="O36" s="59">
        <f t="shared" si="17"/>
        <v>1.2626797482773962</v>
      </c>
      <c r="P36" s="59">
        <f t="shared" si="17"/>
        <v>1.7574312537285206</v>
      </c>
      <c r="Q36" s="59">
        <f t="shared" si="17"/>
        <v>2.3622160801397363</v>
      </c>
      <c r="R36" s="59">
        <f t="shared" si="17"/>
        <v>3.0868028230485485</v>
      </c>
      <c r="S36" s="59">
        <f t="shared" si="17"/>
        <v>3.9407726390484843</v>
      </c>
      <c r="T36" s="59">
        <f t="shared" si="17"/>
        <v>4.9335395199125411</v>
      </c>
      <c r="U36" s="59">
        <f t="shared" si="17"/>
        <v>6.0743668625622593</v>
      </c>
      <c r="V36" s="59">
        <f t="shared" si="17"/>
        <v>7.372381246182746</v>
      </c>
      <c r="W36" s="59">
        <f t="shared" si="17"/>
        <v>8.8365840539854723</v>
      </c>
      <c r="X36" s="59">
        <f t="shared" si="17"/>
        <v>10.475861398526323</v>
      </c>
      <c r="Y36" s="59">
        <f t="shared" si="17"/>
        <v>12.298992689048376</v>
      </c>
      <c r="Z36" s="59">
        <f t="shared" si="17"/>
        <v>14.314658095762773</v>
      </c>
      <c r="AA36" s="59">
        <f t="shared" si="17"/>
        <v>16.53144510657431</v>
      </c>
      <c r="AB36" s="59">
        <f t="shared" si="17"/>
        <v>18.957854328609439</v>
      </c>
      <c r="AC36" s="59">
        <f t="shared" si="17"/>
        <v>21.602304654969224</v>
      </c>
      <c r="AD36" s="59">
        <f t="shared" si="17"/>
        <v>24.473137893095384</v>
      </c>
      <c r="AE36" s="59">
        <f t="shared" si="17"/>
        <v>27.578622932778597</v>
      </c>
      <c r="AF36" s="59">
        <f t="shared" si="17"/>
        <v>30.926959517622802</v>
      </c>
      <c r="AG36" s="59">
        <f t="shared" si="17"/>
        <v>34.526281672642206</v>
      </c>
      <c r="AH36" s="59">
        <f t="shared" si="17"/>
        <v>38.384660831838588</v>
      </c>
      <c r="AI36" s="59">
        <f t="shared" si="17"/>
        <v>42.510108702545942</v>
      </c>
      <c r="AJ36" s="59">
        <f t="shared" si="17"/>
        <v>46.910579897620167</v>
      </c>
      <c r="AK36" s="59">
        <f t="shared" si="17"/>
        <v>51.593974361904479</v>
      </c>
      <c r="AL36" s="42"/>
      <c r="AM36" s="43">
        <v>20</v>
      </c>
      <c r="AN36">
        <v>174.72422992373865</v>
      </c>
      <c r="AO36">
        <v>8.5305904144006863</v>
      </c>
      <c r="AP36">
        <v>75.736812447264995</v>
      </c>
      <c r="AQ36">
        <v>61.116286076123274</v>
      </c>
      <c r="AR36">
        <v>8.2638185785582259</v>
      </c>
      <c r="AS36">
        <v>196.25209669791803</v>
      </c>
      <c r="AT36">
        <v>4.7594840543884382</v>
      </c>
      <c r="AU36">
        <v>8.6212637329412853</v>
      </c>
      <c r="AV36"/>
      <c r="AW36"/>
      <c r="FY36" s="210">
        <v>31</v>
      </c>
      <c r="FZ36">
        <v>33.173293689301453</v>
      </c>
      <c r="GA36">
        <v>41.682904228589678</v>
      </c>
      <c r="GB36">
        <v>3.0381646507003452</v>
      </c>
      <c r="GC36">
        <v>1.1171781343267182</v>
      </c>
      <c r="GD36">
        <v>1.4274126603440447</v>
      </c>
      <c r="GE36">
        <v>3.3270220722774533</v>
      </c>
      <c r="GF36">
        <v>3.6113976664889238</v>
      </c>
      <c r="GG36">
        <v>2.8995263639098203</v>
      </c>
      <c r="GH36">
        <v>4.4246897375777223</v>
      </c>
      <c r="GI36">
        <v>7.8382076619956802</v>
      </c>
      <c r="GJ36"/>
      <c r="GK36"/>
      <c r="GL36"/>
      <c r="GM36"/>
    </row>
    <row r="37" spans="1:195" s="7" customFormat="1">
      <c r="A37" s="9" t="s">
        <v>46</v>
      </c>
      <c r="B37" s="57"/>
      <c r="C37" s="48" t="s">
        <v>38</v>
      </c>
      <c r="D37" s="49">
        <f t="shared" ref="D37:D42" si="18">IF(SUM(G37:AK37)&lt;0.0001, 0, SUM(G37:AK37))</f>
        <v>24.084914509517667</v>
      </c>
      <c r="E37" s="107">
        <f t="shared" ref="E37:E46" si="19">+D37/D21</f>
        <v>0.2383661642179068</v>
      </c>
      <c r="F37" s="18"/>
      <c r="G37" s="49">
        <f t="shared" ref="G37:G43" si="20">G21*G$36</f>
        <v>0</v>
      </c>
      <c r="H37" s="49">
        <f t="shared" ref="H37:AK40" si="21">H21*H$36</f>
        <v>3.8374999999999998E-3</v>
      </c>
      <c r="I37" s="49">
        <f t="shared" si="21"/>
        <v>0.53040387258152233</v>
      </c>
      <c r="J37" s="49">
        <f t="shared" si="21"/>
        <v>1.6739949368610982</v>
      </c>
      <c r="K37" s="49">
        <f t="shared" si="21"/>
        <v>4.1922177132605984</v>
      </c>
      <c r="L37" s="49">
        <f t="shared" si="21"/>
        <v>5.8112780521369638</v>
      </c>
      <c r="M37" s="49">
        <f t="shared" si="21"/>
        <v>7.201761203278358</v>
      </c>
      <c r="N37" s="49">
        <f t="shared" si="21"/>
        <v>4.6714212313991261</v>
      </c>
      <c r="O37" s="49">
        <f t="shared" si="21"/>
        <v>0</v>
      </c>
      <c r="P37" s="49">
        <f t="shared" si="21"/>
        <v>0</v>
      </c>
      <c r="Q37" s="49">
        <f t="shared" si="21"/>
        <v>0</v>
      </c>
      <c r="R37" s="49">
        <f t="shared" si="21"/>
        <v>0</v>
      </c>
      <c r="S37" s="49">
        <f t="shared" si="21"/>
        <v>0</v>
      </c>
      <c r="T37" s="49">
        <f t="shared" si="21"/>
        <v>0</v>
      </c>
      <c r="U37" s="49">
        <f t="shared" si="21"/>
        <v>0</v>
      </c>
      <c r="V37" s="49">
        <f t="shared" si="21"/>
        <v>0</v>
      </c>
      <c r="W37" s="49">
        <f t="shared" si="21"/>
        <v>0</v>
      </c>
      <c r="X37" s="49">
        <f t="shared" si="21"/>
        <v>0</v>
      </c>
      <c r="Y37" s="49">
        <f t="shared" si="21"/>
        <v>0</v>
      </c>
      <c r="Z37" s="49">
        <f t="shared" si="21"/>
        <v>0</v>
      </c>
      <c r="AA37" s="49">
        <f t="shared" si="21"/>
        <v>0</v>
      </c>
      <c r="AB37" s="49">
        <f t="shared" si="21"/>
        <v>0</v>
      </c>
      <c r="AC37" s="49">
        <f t="shared" si="21"/>
        <v>0</v>
      </c>
      <c r="AD37" s="49">
        <f t="shared" si="21"/>
        <v>0</v>
      </c>
      <c r="AE37" s="49">
        <f t="shared" si="21"/>
        <v>0</v>
      </c>
      <c r="AF37" s="49">
        <f t="shared" si="21"/>
        <v>0</v>
      </c>
      <c r="AG37" s="49">
        <f t="shared" si="21"/>
        <v>0</v>
      </c>
      <c r="AH37" s="49">
        <f t="shared" si="21"/>
        <v>0</v>
      </c>
      <c r="AI37" s="49">
        <f t="shared" si="21"/>
        <v>0</v>
      </c>
      <c r="AJ37" s="49">
        <f t="shared" si="21"/>
        <v>0</v>
      </c>
      <c r="AK37" s="49">
        <f t="shared" si="21"/>
        <v>0</v>
      </c>
      <c r="AL37" s="42"/>
      <c r="AM37" s="43">
        <v>21</v>
      </c>
      <c r="AN37">
        <v>114.46447954276532</v>
      </c>
      <c r="AO37">
        <v>10.409503525541863</v>
      </c>
      <c r="AP37">
        <v>107.73212670387254</v>
      </c>
      <c r="AQ37">
        <v>89.956930952684672</v>
      </c>
      <c r="AR37">
        <v>10.219536370420562</v>
      </c>
      <c r="AS37">
        <v>155.99942201942471</v>
      </c>
      <c r="AT37">
        <v>6.1507724175135055</v>
      </c>
      <c r="AU37">
        <v>14.397243361852412</v>
      </c>
      <c r="AV37"/>
      <c r="AW37"/>
      <c r="FY37" s="210">
        <v>32</v>
      </c>
      <c r="FZ37">
        <v>12.905785950018556</v>
      </c>
      <c r="GA37">
        <v>14.016942745210748</v>
      </c>
      <c r="GB37">
        <v>2.5187626856001613</v>
      </c>
      <c r="GC37">
        <v>1.5331922682224275</v>
      </c>
      <c r="GD37">
        <v>0.94098873604036037</v>
      </c>
      <c r="GE37">
        <v>2.5308598079322735</v>
      </c>
      <c r="GF37">
        <v>3.9149624978862194</v>
      </c>
      <c r="GG37">
        <v>3.8154636285194146</v>
      </c>
      <c r="GH37">
        <v>4.3075895752691302</v>
      </c>
      <c r="GI37">
        <v>4.4615817749346824</v>
      </c>
      <c r="GJ37"/>
      <c r="GK37"/>
      <c r="GL37"/>
      <c r="GM37"/>
    </row>
    <row r="38" spans="1:195" s="7" customFormat="1">
      <c r="A38" s="9" t="s">
        <v>47</v>
      </c>
      <c r="B38" s="57"/>
      <c r="C38" s="48" t="s">
        <v>39</v>
      </c>
      <c r="D38" s="49">
        <f t="shared" si="18"/>
        <v>24.024136634294059</v>
      </c>
      <c r="E38" s="107">
        <f t="shared" si="19"/>
        <v>0.2882896396115287</v>
      </c>
      <c r="F38" s="18"/>
      <c r="G38" s="49">
        <f t="shared" si="20"/>
        <v>0</v>
      </c>
      <c r="H38" s="49">
        <f t="shared" si="21"/>
        <v>3.8374999999999998E-3</v>
      </c>
      <c r="I38" s="49">
        <f t="shared" si="21"/>
        <v>0.18127727290760889</v>
      </c>
      <c r="J38" s="49">
        <f t="shared" si="21"/>
        <v>1.3806383832526166</v>
      </c>
      <c r="K38" s="49">
        <f t="shared" si="21"/>
        <v>4.004272709926374</v>
      </c>
      <c r="L38" s="49">
        <f t="shared" si="21"/>
        <v>5.8112780521369638</v>
      </c>
      <c r="M38" s="49">
        <f t="shared" si="21"/>
        <v>6.61519241749098</v>
      </c>
      <c r="N38" s="49">
        <f t="shared" si="21"/>
        <v>6.0276402985795174</v>
      </c>
      <c r="O38" s="49">
        <f t="shared" si="21"/>
        <v>0</v>
      </c>
      <c r="P38" s="49">
        <f t="shared" si="21"/>
        <v>0</v>
      </c>
      <c r="Q38" s="49">
        <f t="shared" si="21"/>
        <v>0</v>
      </c>
      <c r="R38" s="49">
        <f t="shared" si="21"/>
        <v>0</v>
      </c>
      <c r="S38" s="49">
        <f t="shared" si="21"/>
        <v>0</v>
      </c>
      <c r="T38" s="49">
        <f t="shared" si="21"/>
        <v>0</v>
      </c>
      <c r="U38" s="49">
        <f t="shared" si="21"/>
        <v>0</v>
      </c>
      <c r="V38" s="49">
        <f t="shared" si="21"/>
        <v>0</v>
      </c>
      <c r="W38" s="49">
        <f t="shared" si="21"/>
        <v>0</v>
      </c>
      <c r="X38" s="49">
        <f t="shared" si="21"/>
        <v>0</v>
      </c>
      <c r="Y38" s="49">
        <f t="shared" si="21"/>
        <v>0</v>
      </c>
      <c r="Z38" s="49">
        <f t="shared" si="21"/>
        <v>0</v>
      </c>
      <c r="AA38" s="49">
        <f t="shared" si="21"/>
        <v>0</v>
      </c>
      <c r="AB38" s="49">
        <f t="shared" si="21"/>
        <v>0</v>
      </c>
      <c r="AC38" s="49">
        <f t="shared" si="21"/>
        <v>0</v>
      </c>
      <c r="AD38" s="49">
        <f t="shared" si="21"/>
        <v>0</v>
      </c>
      <c r="AE38" s="49">
        <f t="shared" si="21"/>
        <v>0</v>
      </c>
      <c r="AF38" s="49">
        <f t="shared" si="21"/>
        <v>0</v>
      </c>
      <c r="AG38" s="49">
        <f t="shared" si="21"/>
        <v>0</v>
      </c>
      <c r="AH38" s="49">
        <f t="shared" si="21"/>
        <v>0</v>
      </c>
      <c r="AI38" s="49">
        <f t="shared" si="21"/>
        <v>0</v>
      </c>
      <c r="AJ38" s="49">
        <f t="shared" si="21"/>
        <v>0</v>
      </c>
      <c r="AK38" s="49">
        <f t="shared" si="21"/>
        <v>0</v>
      </c>
      <c r="AL38" s="42"/>
      <c r="AM38" s="43">
        <v>22</v>
      </c>
      <c r="AN38">
        <v>122.85899891712407</v>
      </c>
      <c r="AO38">
        <v>8.2286890014161713</v>
      </c>
      <c r="AP38">
        <v>76.916569428784726</v>
      </c>
      <c r="AQ38">
        <v>65.629417730645216</v>
      </c>
      <c r="AR38">
        <v>7.8043314840300226</v>
      </c>
      <c r="AS38">
        <v>155.66403228362566</v>
      </c>
      <c r="AT38">
        <v>4.5788255069908024</v>
      </c>
      <c r="AU38">
        <v>28.921504955021003</v>
      </c>
      <c r="AV38"/>
      <c r="AW38"/>
      <c r="FY38" s="210">
        <v>33</v>
      </c>
      <c r="FZ38">
        <v>14.493458259301921</v>
      </c>
      <c r="GA38">
        <v>14.924985925387583</v>
      </c>
      <c r="GB38">
        <v>2.7876069649497608</v>
      </c>
      <c r="GC38">
        <v>1.5869432498722549</v>
      </c>
      <c r="GD38">
        <v>1.0862582095507096</v>
      </c>
      <c r="GE38">
        <v>2.364940352298329</v>
      </c>
      <c r="GF38">
        <v>10.242819952893141</v>
      </c>
      <c r="GG38">
        <v>14.306736127210431</v>
      </c>
      <c r="GH38">
        <v>11.947509639761304</v>
      </c>
      <c r="GI38">
        <v>7.2102389636964741</v>
      </c>
      <c r="GJ38"/>
      <c r="GK38"/>
      <c r="GL38"/>
      <c r="GM38"/>
    </row>
    <row r="39" spans="1:195" s="7" customFormat="1">
      <c r="A39" s="114">
        <v>4.0000000000000001E-3</v>
      </c>
      <c r="B39" s="57"/>
      <c r="C39" s="48" t="s">
        <v>40</v>
      </c>
      <c r="D39" s="49">
        <f t="shared" si="18"/>
        <v>4.9624041265701564</v>
      </c>
      <c r="E39" s="107">
        <f t="shared" si="19"/>
        <v>8.1290574218130726E-2</v>
      </c>
      <c r="F39" s="18"/>
      <c r="G39" s="49">
        <f t="shared" si="20"/>
        <v>0</v>
      </c>
      <c r="H39" s="49">
        <f t="shared" si="21"/>
        <v>0</v>
      </c>
      <c r="I39" s="49">
        <f t="shared" si="21"/>
        <v>1.163369471725076</v>
      </c>
      <c r="J39" s="49">
        <f t="shared" si="21"/>
        <v>0.50578716139393398</v>
      </c>
      <c r="K39" s="49">
        <f t="shared" si="21"/>
        <v>1.1746562708388972</v>
      </c>
      <c r="L39" s="49">
        <f t="shared" si="21"/>
        <v>0.17580336964447954</v>
      </c>
      <c r="M39" s="49">
        <f t="shared" si="21"/>
        <v>0.58656878578737748</v>
      </c>
      <c r="N39" s="49">
        <f t="shared" si="21"/>
        <v>1.3562190671803915</v>
      </c>
      <c r="O39" s="49">
        <f t="shared" si="21"/>
        <v>0</v>
      </c>
      <c r="P39" s="49">
        <f t="shared" si="21"/>
        <v>0</v>
      </c>
      <c r="Q39" s="49">
        <f t="shared" si="21"/>
        <v>0</v>
      </c>
      <c r="R39" s="49">
        <f t="shared" si="21"/>
        <v>0</v>
      </c>
      <c r="S39" s="49">
        <f t="shared" si="21"/>
        <v>0</v>
      </c>
      <c r="T39" s="49">
        <f t="shared" si="21"/>
        <v>0</v>
      </c>
      <c r="U39" s="49">
        <f t="shared" si="21"/>
        <v>0</v>
      </c>
      <c r="V39" s="49">
        <f t="shared" si="21"/>
        <v>0</v>
      </c>
      <c r="W39" s="49">
        <f t="shared" si="21"/>
        <v>0</v>
      </c>
      <c r="X39" s="49">
        <f t="shared" si="21"/>
        <v>0</v>
      </c>
      <c r="Y39" s="49">
        <f t="shared" si="21"/>
        <v>0</v>
      </c>
      <c r="Z39" s="49">
        <f t="shared" si="21"/>
        <v>0</v>
      </c>
      <c r="AA39" s="49">
        <f t="shared" si="21"/>
        <v>0</v>
      </c>
      <c r="AB39" s="49">
        <f t="shared" si="21"/>
        <v>0</v>
      </c>
      <c r="AC39" s="49">
        <f t="shared" si="21"/>
        <v>0</v>
      </c>
      <c r="AD39" s="49">
        <f t="shared" si="21"/>
        <v>0</v>
      </c>
      <c r="AE39" s="49">
        <f t="shared" si="21"/>
        <v>0</v>
      </c>
      <c r="AF39" s="49">
        <f t="shared" si="21"/>
        <v>0</v>
      </c>
      <c r="AG39" s="49">
        <f t="shared" si="21"/>
        <v>0</v>
      </c>
      <c r="AH39" s="49">
        <f t="shared" si="21"/>
        <v>0</v>
      </c>
      <c r="AI39" s="49">
        <f t="shared" si="21"/>
        <v>0</v>
      </c>
      <c r="AJ39" s="49">
        <f t="shared" si="21"/>
        <v>0</v>
      </c>
      <c r="AK39" s="49">
        <f t="shared" si="21"/>
        <v>0</v>
      </c>
      <c r="AL39" s="42"/>
      <c r="AM39" s="43">
        <v>23</v>
      </c>
      <c r="AN39">
        <v>171.54684827468233</v>
      </c>
      <c r="AO39">
        <v>14.028538500587791</v>
      </c>
      <c r="AP39">
        <v>144.62578257934564</v>
      </c>
      <c r="AQ39">
        <v>122.98486048722081</v>
      </c>
      <c r="AR39">
        <v>13.15164303980818</v>
      </c>
      <c r="AS39">
        <v>198.04557391102645</v>
      </c>
      <c r="AT39">
        <v>8.2018997865345948</v>
      </c>
      <c r="AU39">
        <v>48.967971199415942</v>
      </c>
      <c r="AV39"/>
      <c r="AW39"/>
      <c r="FY39" s="210">
        <v>34</v>
      </c>
      <c r="FZ39">
        <v>21.708334139961636</v>
      </c>
      <c r="GA39">
        <v>27.633117636127135</v>
      </c>
      <c r="GB39">
        <v>2.0653620656286096</v>
      </c>
      <c r="GC39">
        <v>0.86928605321808516</v>
      </c>
      <c r="GD39">
        <v>0.49818929467903394</v>
      </c>
      <c r="GE39">
        <v>1.5218641566305111</v>
      </c>
      <c r="GF39">
        <v>8.588884878359579</v>
      </c>
      <c r="GG39">
        <v>15.589814417957397</v>
      </c>
      <c r="GH39">
        <v>14.591994285965791</v>
      </c>
      <c r="GI39">
        <v>7.8646305047599983</v>
      </c>
      <c r="GJ39"/>
      <c r="GK39"/>
      <c r="GL39"/>
      <c r="GM39"/>
    </row>
    <row r="40" spans="1:195" s="7" customFormat="1">
      <c r="A40" s="9" t="s">
        <v>48</v>
      </c>
      <c r="B40" s="57"/>
      <c r="C40" s="48" t="s">
        <v>41</v>
      </c>
      <c r="D40" s="49">
        <f t="shared" si="18"/>
        <v>3.710177575485226</v>
      </c>
      <c r="E40" s="107">
        <f t="shared" si="19"/>
        <v>4.5993448673066213E-2</v>
      </c>
      <c r="F40" s="18"/>
      <c r="G40" s="49">
        <f t="shared" si="20"/>
        <v>0</v>
      </c>
      <c r="H40" s="49">
        <f t="shared" si="21"/>
        <v>7.6749999999999995E-3</v>
      </c>
      <c r="I40" s="49">
        <f t="shared" si="21"/>
        <v>1.5424444603686864</v>
      </c>
      <c r="J40" s="49">
        <f t="shared" si="21"/>
        <v>0.98540184427764221</v>
      </c>
      <c r="K40" s="49">
        <f t="shared" si="21"/>
        <v>1.1746562708388972</v>
      </c>
      <c r="L40" s="49">
        <f t="shared" si="21"/>
        <v>0</v>
      </c>
      <c r="M40" s="49">
        <f t="shared" si="21"/>
        <v>0</v>
      </c>
      <c r="N40" s="49">
        <f t="shared" si="21"/>
        <v>0</v>
      </c>
      <c r="O40" s="49">
        <f t="shared" si="21"/>
        <v>0</v>
      </c>
      <c r="P40" s="49">
        <f t="shared" si="21"/>
        <v>0</v>
      </c>
      <c r="Q40" s="49">
        <f t="shared" si="21"/>
        <v>0</v>
      </c>
      <c r="R40" s="49">
        <f t="shared" si="21"/>
        <v>0</v>
      </c>
      <c r="S40" s="49">
        <f t="shared" si="21"/>
        <v>0</v>
      </c>
      <c r="T40" s="49">
        <f t="shared" si="21"/>
        <v>0</v>
      </c>
      <c r="U40" s="49">
        <f t="shared" si="21"/>
        <v>0</v>
      </c>
      <c r="V40" s="49">
        <f t="shared" si="21"/>
        <v>0</v>
      </c>
      <c r="W40" s="49">
        <f t="shared" si="21"/>
        <v>0</v>
      </c>
      <c r="X40" s="49">
        <f t="shared" si="21"/>
        <v>0</v>
      </c>
      <c r="Y40" s="49">
        <f t="shared" si="21"/>
        <v>0</v>
      </c>
      <c r="Z40" s="49">
        <f t="shared" si="21"/>
        <v>0</v>
      </c>
      <c r="AA40" s="49">
        <f t="shared" si="21"/>
        <v>0</v>
      </c>
      <c r="AB40" s="49">
        <f t="shared" si="21"/>
        <v>0</v>
      </c>
      <c r="AC40" s="49">
        <f t="shared" si="21"/>
        <v>0</v>
      </c>
      <c r="AD40" s="49">
        <f t="shared" si="21"/>
        <v>0</v>
      </c>
      <c r="AE40" s="49">
        <f t="shared" si="21"/>
        <v>0</v>
      </c>
      <c r="AF40" s="49">
        <f t="shared" si="21"/>
        <v>0</v>
      </c>
      <c r="AG40" s="49">
        <f t="shared" si="21"/>
        <v>0</v>
      </c>
      <c r="AH40" s="49">
        <f t="shared" si="21"/>
        <v>0</v>
      </c>
      <c r="AI40" s="49">
        <f t="shared" si="21"/>
        <v>0</v>
      </c>
      <c r="AJ40" s="49">
        <f t="shared" si="21"/>
        <v>0</v>
      </c>
      <c r="AK40" s="49">
        <f t="shared" si="21"/>
        <v>0</v>
      </c>
      <c r="AL40" s="42"/>
      <c r="AM40" s="43">
        <v>24</v>
      </c>
      <c r="AN40">
        <v>142.19552553441639</v>
      </c>
      <c r="AO40">
        <v>15.469725625238038</v>
      </c>
      <c r="AP40">
        <v>160.98593033699174</v>
      </c>
      <c r="AQ40">
        <v>140.53011415733965</v>
      </c>
      <c r="AR40">
        <v>14.71815974174109</v>
      </c>
      <c r="AS40">
        <v>240.95166306899347</v>
      </c>
      <c r="AT40">
        <v>9.0826079153415336</v>
      </c>
      <c r="AU40">
        <v>59.605068072749717</v>
      </c>
      <c r="AV40"/>
      <c r="AW40"/>
      <c r="FY40" s="210">
        <v>35</v>
      </c>
      <c r="FZ40">
        <v>22.105807620197275</v>
      </c>
      <c r="GA40">
        <v>29.290017873527496</v>
      </c>
      <c r="GB40">
        <v>3.1255486785668865</v>
      </c>
      <c r="GC40">
        <v>1.1856870498285557</v>
      </c>
      <c r="GD40">
        <v>0.42222943262559887</v>
      </c>
      <c r="GE40">
        <v>1.3908969749774436</v>
      </c>
      <c r="GF40">
        <v>10.377224384071491</v>
      </c>
      <c r="GG40">
        <v>17.592682317204329</v>
      </c>
      <c r="GH40">
        <v>17.290315100846751</v>
      </c>
      <c r="GI40">
        <v>8.8943759949605852</v>
      </c>
      <c r="GJ40"/>
      <c r="GK40"/>
      <c r="GL40"/>
      <c r="GM40"/>
    </row>
    <row r="41" spans="1:195" s="7" customFormat="1">
      <c r="A41" s="114">
        <v>2.8069999999999999</v>
      </c>
      <c r="B41" s="57"/>
      <c r="C41" s="48" t="s">
        <v>42</v>
      </c>
      <c r="D41" s="49">
        <f t="shared" si="18"/>
        <v>4.1667561650504341</v>
      </c>
      <c r="E41" s="107">
        <f t="shared" si="19"/>
        <v>6.4998214815342084E-2</v>
      </c>
      <c r="F41" s="18"/>
      <c r="G41" s="49">
        <f t="shared" si="20"/>
        <v>0</v>
      </c>
      <c r="H41" s="49">
        <f t="shared" ref="H41:AK43" si="22">H25*H$36</f>
        <v>6.1543649732620317E-2</v>
      </c>
      <c r="I41" s="49">
        <f t="shared" si="22"/>
        <v>0.48649855777404533</v>
      </c>
      <c r="J41" s="49">
        <f t="shared" si="22"/>
        <v>2.1279991269694629</v>
      </c>
      <c r="K41" s="49">
        <f t="shared" si="22"/>
        <v>0</v>
      </c>
      <c r="L41" s="49">
        <f t="shared" si="22"/>
        <v>0</v>
      </c>
      <c r="M41" s="49">
        <f t="shared" si="22"/>
        <v>0.58656878578737748</v>
      </c>
      <c r="N41" s="49">
        <f t="shared" si="22"/>
        <v>0.90414604478692751</v>
      </c>
      <c r="O41" s="49">
        <f t="shared" si="22"/>
        <v>0</v>
      </c>
      <c r="P41" s="49">
        <f t="shared" si="22"/>
        <v>0</v>
      </c>
      <c r="Q41" s="49">
        <f t="shared" si="22"/>
        <v>0</v>
      </c>
      <c r="R41" s="49">
        <f t="shared" si="22"/>
        <v>0</v>
      </c>
      <c r="S41" s="49">
        <f t="shared" si="22"/>
        <v>0</v>
      </c>
      <c r="T41" s="49">
        <f t="shared" si="22"/>
        <v>0</v>
      </c>
      <c r="U41" s="49">
        <f t="shared" si="22"/>
        <v>0</v>
      </c>
      <c r="V41" s="49">
        <f t="shared" si="22"/>
        <v>0</v>
      </c>
      <c r="W41" s="49">
        <f t="shared" si="22"/>
        <v>0</v>
      </c>
      <c r="X41" s="49">
        <f t="shared" si="22"/>
        <v>0</v>
      </c>
      <c r="Y41" s="49">
        <f t="shared" si="22"/>
        <v>0</v>
      </c>
      <c r="Z41" s="49">
        <f t="shared" si="22"/>
        <v>0</v>
      </c>
      <c r="AA41" s="49">
        <f t="shared" si="22"/>
        <v>0</v>
      </c>
      <c r="AB41" s="49">
        <f t="shared" si="22"/>
        <v>0</v>
      </c>
      <c r="AC41" s="49">
        <f t="shared" si="22"/>
        <v>0</v>
      </c>
      <c r="AD41" s="49">
        <f t="shared" si="22"/>
        <v>0</v>
      </c>
      <c r="AE41" s="49">
        <f t="shared" si="22"/>
        <v>0</v>
      </c>
      <c r="AF41" s="49">
        <f t="shared" si="22"/>
        <v>0</v>
      </c>
      <c r="AG41" s="49">
        <f t="shared" si="22"/>
        <v>0</v>
      </c>
      <c r="AH41" s="49">
        <f t="shared" si="22"/>
        <v>0</v>
      </c>
      <c r="AI41" s="49">
        <f t="shared" si="22"/>
        <v>0</v>
      </c>
      <c r="AJ41" s="49">
        <f t="shared" si="22"/>
        <v>0</v>
      </c>
      <c r="AK41" s="49">
        <f t="shared" si="22"/>
        <v>0</v>
      </c>
      <c r="AL41" s="42"/>
      <c r="AM41" s="43">
        <v>25</v>
      </c>
      <c r="AN41">
        <v>137.60220583065896</v>
      </c>
      <c r="AO41">
        <v>13.343799135417276</v>
      </c>
      <c r="AP41">
        <v>141.04410924309619</v>
      </c>
      <c r="AQ41">
        <v>120.62551352219911</v>
      </c>
      <c r="AR41">
        <v>12.673887967037434</v>
      </c>
      <c r="AS41">
        <v>224.5731696747078</v>
      </c>
      <c r="AT41">
        <v>7.3140669883902616</v>
      </c>
      <c r="AU41">
        <v>24.945301650605344</v>
      </c>
      <c r="AV41"/>
      <c r="AW41"/>
      <c r="FY41" s="210">
        <v>36</v>
      </c>
      <c r="FZ41">
        <v>24.901443119800334</v>
      </c>
      <c r="GA41">
        <v>25.768612175989688</v>
      </c>
      <c r="GB41">
        <v>2.8268815648154773</v>
      </c>
      <c r="GC41">
        <v>1.5001108802180705</v>
      </c>
      <c r="GD41">
        <v>0.585019228892387</v>
      </c>
      <c r="GE41">
        <v>1.0853583513120253</v>
      </c>
      <c r="GF41">
        <v>4.4709610402857045</v>
      </c>
      <c r="GG41">
        <v>8.258126185617142</v>
      </c>
      <c r="GH41">
        <v>10.899326237350001</v>
      </c>
      <c r="GI41">
        <v>7.2435499928043603</v>
      </c>
      <c r="GJ41"/>
      <c r="GK41"/>
      <c r="GL41"/>
      <c r="GM41"/>
    </row>
    <row r="42" spans="1:195" s="7" customFormat="1">
      <c r="A42" s="9" t="s">
        <v>49</v>
      </c>
      <c r="B42" s="57"/>
      <c r="C42" s="48" t="s">
        <v>118</v>
      </c>
      <c r="D42" s="49">
        <f t="shared" si="18"/>
        <v>5.9975821213180351</v>
      </c>
      <c r="E42" s="107">
        <f t="shared" si="19"/>
        <v>5.2278950687900387E-2</v>
      </c>
      <c r="F42" s="18"/>
      <c r="G42" s="49">
        <f t="shared" si="20"/>
        <v>0</v>
      </c>
      <c r="H42" s="49">
        <f t="shared" si="22"/>
        <v>0.14995605207637033</v>
      </c>
      <c r="I42" s="49">
        <f t="shared" si="22"/>
        <v>1.0421345075602932</v>
      </c>
      <c r="J42" s="49">
        <f t="shared" si="22"/>
        <v>2.2737315617109775</v>
      </c>
      <c r="K42" s="49">
        <f t="shared" si="22"/>
        <v>0.23493125416777944</v>
      </c>
      <c r="L42" s="49">
        <f t="shared" si="22"/>
        <v>0.43950842411119889</v>
      </c>
      <c r="M42" s="49">
        <f t="shared" si="22"/>
        <v>0.95317427690448842</v>
      </c>
      <c r="N42" s="49">
        <f t="shared" si="22"/>
        <v>0.90414604478692751</v>
      </c>
      <c r="O42" s="49">
        <f t="shared" si="22"/>
        <v>0</v>
      </c>
      <c r="P42" s="49">
        <f t="shared" si="22"/>
        <v>0</v>
      </c>
      <c r="Q42" s="49">
        <f t="shared" si="22"/>
        <v>0</v>
      </c>
      <c r="R42" s="49">
        <f t="shared" si="22"/>
        <v>0</v>
      </c>
      <c r="S42" s="49">
        <f t="shared" si="22"/>
        <v>0</v>
      </c>
      <c r="T42" s="49">
        <f t="shared" si="22"/>
        <v>0</v>
      </c>
      <c r="U42" s="49">
        <f t="shared" si="22"/>
        <v>0</v>
      </c>
      <c r="V42" s="49">
        <f t="shared" si="22"/>
        <v>0</v>
      </c>
      <c r="W42" s="49">
        <f t="shared" si="22"/>
        <v>0</v>
      </c>
      <c r="X42" s="49">
        <f t="shared" si="22"/>
        <v>0</v>
      </c>
      <c r="Y42" s="49">
        <f t="shared" si="22"/>
        <v>0</v>
      </c>
      <c r="Z42" s="49">
        <f t="shared" si="22"/>
        <v>0</v>
      </c>
      <c r="AA42" s="49">
        <f t="shared" si="22"/>
        <v>0</v>
      </c>
      <c r="AB42" s="49">
        <f t="shared" si="22"/>
        <v>0</v>
      </c>
      <c r="AC42" s="49">
        <f t="shared" si="22"/>
        <v>0</v>
      </c>
      <c r="AD42" s="49">
        <f t="shared" si="22"/>
        <v>0</v>
      </c>
      <c r="AE42" s="49">
        <f t="shared" si="22"/>
        <v>0</v>
      </c>
      <c r="AF42" s="49">
        <f t="shared" si="22"/>
        <v>0</v>
      </c>
      <c r="AG42" s="49">
        <f t="shared" si="22"/>
        <v>0</v>
      </c>
      <c r="AH42" s="49">
        <f t="shared" si="22"/>
        <v>0</v>
      </c>
      <c r="AI42" s="49">
        <f t="shared" si="22"/>
        <v>0</v>
      </c>
      <c r="AJ42" s="49">
        <f t="shared" si="22"/>
        <v>0</v>
      </c>
      <c r="AK42" s="49">
        <f t="shared" si="22"/>
        <v>0</v>
      </c>
      <c r="AL42" s="42"/>
      <c r="AM42" s="43">
        <v>26</v>
      </c>
      <c r="AN42">
        <v>92.059630395656541</v>
      </c>
      <c r="AO42">
        <v>10.066247517333693</v>
      </c>
      <c r="AP42">
        <v>101.46365663144486</v>
      </c>
      <c r="AQ42">
        <v>85.903420503336008</v>
      </c>
      <c r="AR42">
        <v>9.7742463287344883</v>
      </c>
      <c r="AS42">
        <v>190.92452090913275</v>
      </c>
      <c r="AT42">
        <v>5.8991702522006975</v>
      </c>
      <c r="AU42">
        <v>2.0159963816819251</v>
      </c>
      <c r="AV42"/>
      <c r="AW42"/>
      <c r="FY42" s="210">
        <v>37</v>
      </c>
      <c r="FZ42">
        <v>42.669338103253068</v>
      </c>
      <c r="GA42">
        <v>52.168568252669516</v>
      </c>
      <c r="GB42">
        <v>1.278140261983453</v>
      </c>
      <c r="GC42">
        <v>0.64115404773836593</v>
      </c>
      <c r="GD42">
        <v>0.93301248546444548</v>
      </c>
      <c r="GE42">
        <v>3.7889102846304108</v>
      </c>
      <c r="GF42">
        <v>8.6924556692359918</v>
      </c>
      <c r="GG42">
        <v>14.784460367493683</v>
      </c>
      <c r="GH42">
        <v>16.030452935544705</v>
      </c>
      <c r="GI42">
        <v>11.261460243740846</v>
      </c>
      <c r="GJ42"/>
      <c r="GK42"/>
      <c r="GL42"/>
      <c r="GM42"/>
    </row>
    <row r="43" spans="1:195" s="7" customFormat="1">
      <c r="A43" s="95">
        <v>7.9</v>
      </c>
      <c r="B43" s="1"/>
      <c r="C43" s="48" t="s">
        <v>119</v>
      </c>
      <c r="D43" s="49">
        <f>IF(SUM(G43:AK43)&lt;0.0001, 0, SUM(G43:AK43))</f>
        <v>13.461813348579375</v>
      </c>
      <c r="E43" s="107">
        <f t="shared" si="19"/>
        <v>4.91513185046333E-2</v>
      </c>
      <c r="F43" s="18"/>
      <c r="G43" s="49">
        <f t="shared" si="20"/>
        <v>0</v>
      </c>
      <c r="H43" s="49">
        <f t="shared" si="22"/>
        <v>9.6087402343750017E-2</v>
      </c>
      <c r="I43" s="49">
        <f t="shared" si="22"/>
        <v>4.9257949304286539</v>
      </c>
      <c r="J43" s="49">
        <f t="shared" si="22"/>
        <v>1.8127426917547922</v>
      </c>
      <c r="K43" s="49">
        <f t="shared" si="22"/>
        <v>5.8210744088238684</v>
      </c>
      <c r="L43" s="49">
        <f t="shared" si="22"/>
        <v>0.43950842411119889</v>
      </c>
      <c r="M43" s="49">
        <f t="shared" si="22"/>
        <v>0.36660549111711094</v>
      </c>
      <c r="N43" s="49">
        <f t="shared" si="22"/>
        <v>0</v>
      </c>
      <c r="O43" s="49">
        <f t="shared" si="22"/>
        <v>0</v>
      </c>
      <c r="P43" s="49">
        <f t="shared" si="22"/>
        <v>0</v>
      </c>
      <c r="Q43" s="49">
        <f t="shared" si="22"/>
        <v>0</v>
      </c>
      <c r="R43" s="49">
        <f t="shared" si="22"/>
        <v>0</v>
      </c>
      <c r="S43" s="49">
        <f t="shared" si="22"/>
        <v>0</v>
      </c>
      <c r="T43" s="49">
        <f t="shared" si="22"/>
        <v>0</v>
      </c>
      <c r="U43" s="49">
        <f t="shared" si="22"/>
        <v>0</v>
      </c>
      <c r="V43" s="49">
        <f t="shared" si="22"/>
        <v>0</v>
      </c>
      <c r="W43" s="49">
        <f t="shared" si="22"/>
        <v>0</v>
      </c>
      <c r="X43" s="49">
        <f t="shared" si="22"/>
        <v>0</v>
      </c>
      <c r="Y43" s="49">
        <f t="shared" si="22"/>
        <v>0</v>
      </c>
      <c r="Z43" s="49">
        <f t="shared" si="22"/>
        <v>0</v>
      </c>
      <c r="AA43" s="49">
        <f t="shared" si="22"/>
        <v>0</v>
      </c>
      <c r="AB43" s="49">
        <f t="shared" si="22"/>
        <v>0</v>
      </c>
      <c r="AC43" s="49">
        <f t="shared" si="22"/>
        <v>0</v>
      </c>
      <c r="AD43" s="49">
        <f t="shared" si="22"/>
        <v>0</v>
      </c>
      <c r="AE43" s="49">
        <f t="shared" si="22"/>
        <v>0</v>
      </c>
      <c r="AF43" s="49">
        <f t="shared" si="22"/>
        <v>0</v>
      </c>
      <c r="AG43" s="49">
        <f t="shared" si="22"/>
        <v>0</v>
      </c>
      <c r="AH43" s="49">
        <f t="shared" si="22"/>
        <v>0</v>
      </c>
      <c r="AI43" s="49">
        <f t="shared" si="22"/>
        <v>0</v>
      </c>
      <c r="AJ43" s="49">
        <f t="shared" si="22"/>
        <v>0</v>
      </c>
      <c r="AK43" s="49">
        <f t="shared" si="22"/>
        <v>0</v>
      </c>
      <c r="AL43" s="42"/>
      <c r="AM43" s="43">
        <v>27</v>
      </c>
      <c r="AN43">
        <v>137.5547377414498</v>
      </c>
      <c r="AO43">
        <v>14.102216625005969</v>
      </c>
      <c r="AP43">
        <v>150.78885961046404</v>
      </c>
      <c r="AQ43">
        <v>127.35427448859632</v>
      </c>
      <c r="AR43">
        <v>13.426034937782148</v>
      </c>
      <c r="AS43">
        <v>265.03792391170543</v>
      </c>
      <c r="AT43">
        <v>8.0720548864635173</v>
      </c>
      <c r="AU43">
        <v>80.24403577320669</v>
      </c>
      <c r="AV43"/>
      <c r="AW43"/>
      <c r="FY43" s="210">
        <v>38</v>
      </c>
      <c r="FZ43">
        <v>23.437173299138607</v>
      </c>
      <c r="GA43">
        <v>26.862895798355105</v>
      </c>
      <c r="GB43">
        <v>3.275472854365999</v>
      </c>
      <c r="GC43">
        <v>1.755645591484974</v>
      </c>
      <c r="GD43">
        <v>1.0517448926219481</v>
      </c>
      <c r="GE43">
        <v>1.8731971518429724</v>
      </c>
      <c r="GF43">
        <v>0.79454097197451445</v>
      </c>
      <c r="GG43">
        <v>2.7294894712085398</v>
      </c>
      <c r="GH43">
        <v>7.4384157148935026</v>
      </c>
      <c r="GI43">
        <v>6.1989441326557557</v>
      </c>
      <c r="GJ43"/>
      <c r="GK43"/>
      <c r="GL43"/>
      <c r="GM43"/>
    </row>
    <row r="44" spans="1:195" s="7" customFormat="1">
      <c r="A44" s="4"/>
      <c r="B44" s="1"/>
      <c r="C44" s="48" t="s">
        <v>120</v>
      </c>
      <c r="D44" s="49">
        <f>IF(SUM(G44:AK44)&lt;0.0001, 0, SUM(G44:AK44))</f>
        <v>20.658616002373822</v>
      </c>
      <c r="E44" s="107">
        <f t="shared" si="19"/>
        <v>5.2833133727978356E-2</v>
      </c>
      <c r="F44" s="18"/>
      <c r="G44" s="49">
        <f>G28*G36</f>
        <v>0</v>
      </c>
      <c r="H44" s="49">
        <f t="shared" ref="H44:AK44" si="23">H28*H36</f>
        <v>0.18287994672754948</v>
      </c>
      <c r="I44" s="49">
        <f t="shared" si="23"/>
        <v>6.6573506788472239</v>
      </c>
      <c r="J44" s="49">
        <f t="shared" si="23"/>
        <v>2.575018637230007</v>
      </c>
      <c r="K44" s="49">
        <f t="shared" si="23"/>
        <v>7.725626685762113</v>
      </c>
      <c r="L44" s="49">
        <f t="shared" si="23"/>
        <v>1.7580336964447958</v>
      </c>
      <c r="M44" s="49">
        <f t="shared" si="23"/>
        <v>1.7597063573621328</v>
      </c>
      <c r="N44" s="49">
        <f t="shared" si="23"/>
        <v>0</v>
      </c>
      <c r="O44" s="49">
        <f t="shared" si="23"/>
        <v>0</v>
      </c>
      <c r="P44" s="49">
        <f t="shared" si="23"/>
        <v>0</v>
      </c>
      <c r="Q44" s="49">
        <f t="shared" si="23"/>
        <v>0</v>
      </c>
      <c r="R44" s="49">
        <f t="shared" si="23"/>
        <v>0</v>
      </c>
      <c r="S44" s="49">
        <f t="shared" si="23"/>
        <v>0</v>
      </c>
      <c r="T44" s="49">
        <f t="shared" si="23"/>
        <v>0</v>
      </c>
      <c r="U44" s="49">
        <f t="shared" si="23"/>
        <v>0</v>
      </c>
      <c r="V44" s="49">
        <f t="shared" si="23"/>
        <v>0</v>
      </c>
      <c r="W44" s="49">
        <f t="shared" si="23"/>
        <v>0</v>
      </c>
      <c r="X44" s="49">
        <f t="shared" si="23"/>
        <v>0</v>
      </c>
      <c r="Y44" s="49">
        <f t="shared" si="23"/>
        <v>0</v>
      </c>
      <c r="Z44" s="49">
        <f t="shared" si="23"/>
        <v>0</v>
      </c>
      <c r="AA44" s="49">
        <f t="shared" si="23"/>
        <v>0</v>
      </c>
      <c r="AB44" s="49">
        <f t="shared" si="23"/>
        <v>0</v>
      </c>
      <c r="AC44" s="49">
        <f t="shared" si="23"/>
        <v>0</v>
      </c>
      <c r="AD44" s="49">
        <f t="shared" si="23"/>
        <v>0</v>
      </c>
      <c r="AE44" s="49">
        <f t="shared" si="23"/>
        <v>0</v>
      </c>
      <c r="AF44" s="49">
        <f t="shared" si="23"/>
        <v>0</v>
      </c>
      <c r="AG44" s="49">
        <f t="shared" si="23"/>
        <v>0</v>
      </c>
      <c r="AH44" s="49">
        <f t="shared" si="23"/>
        <v>0</v>
      </c>
      <c r="AI44" s="49">
        <f t="shared" si="23"/>
        <v>0</v>
      </c>
      <c r="AJ44" s="49">
        <f t="shared" si="23"/>
        <v>0</v>
      </c>
      <c r="AK44" s="49">
        <f t="shared" si="23"/>
        <v>0</v>
      </c>
      <c r="AL44" s="42"/>
      <c r="AM44" s="43">
        <v>28</v>
      </c>
      <c r="AN44">
        <v>118.55420702645888</v>
      </c>
      <c r="AO44">
        <v>6.1649026110355418</v>
      </c>
      <c r="AP44">
        <v>52.6708172031069</v>
      </c>
      <c r="AQ44">
        <v>43.440744147919119</v>
      </c>
      <c r="AR44">
        <v>6.1712425342193455</v>
      </c>
      <c r="AS44">
        <v>125.11152428464855</v>
      </c>
      <c r="AT44">
        <v>3.8929332117101985</v>
      </c>
      <c r="AU44">
        <v>-18.467266418828157</v>
      </c>
      <c r="AV44"/>
      <c r="AW44"/>
      <c r="FY44" s="210">
        <v>39</v>
      </c>
      <c r="FZ44">
        <v>13.006184869662754</v>
      </c>
      <c r="GA44">
        <v>16.438581427393046</v>
      </c>
      <c r="GB44">
        <v>3.3911532384040837</v>
      </c>
      <c r="GC44">
        <v>1.1780315590507699</v>
      </c>
      <c r="GD44">
        <v>1.3566874551927111</v>
      </c>
      <c r="GE44">
        <v>2.5100518464120847</v>
      </c>
      <c r="GF44">
        <v>9.7189804498971171</v>
      </c>
      <c r="GG44">
        <v>11.841504217267092</v>
      </c>
      <c r="GH44">
        <v>8.722391516086244</v>
      </c>
      <c r="GI44">
        <v>6.6949672231761825</v>
      </c>
      <c r="GJ44"/>
      <c r="GK44"/>
      <c r="GL44"/>
      <c r="GM44"/>
    </row>
    <row r="45" spans="1:195" s="7" customFormat="1">
      <c r="A45" s="4"/>
      <c r="B45" s="1"/>
      <c r="C45" s="48" t="s">
        <v>121</v>
      </c>
      <c r="D45" s="49">
        <f>IF(SUM(G45:AK45)&lt;0.0001, 0, SUM(G45:AK45))</f>
        <v>14.672079450045342</v>
      </c>
      <c r="E45" s="107">
        <f t="shared" si="19"/>
        <v>6.9131304718793224E-2</v>
      </c>
      <c r="F45" s="18"/>
      <c r="G45" s="49">
        <f>G29*G36</f>
        <v>0</v>
      </c>
      <c r="H45" s="49">
        <f t="shared" ref="H45:AK45" si="24">H29*H36</f>
        <v>0.18287994672754948</v>
      </c>
      <c r="I45" s="49">
        <f t="shared" si="24"/>
        <v>2.8229260584969786</v>
      </c>
      <c r="J45" s="49">
        <f t="shared" si="24"/>
        <v>1.3876230631004376</v>
      </c>
      <c r="K45" s="49">
        <f t="shared" si="24"/>
        <v>4.3077271061569444</v>
      </c>
      <c r="L45" s="49">
        <f t="shared" si="24"/>
        <v>2.1096404357337546</v>
      </c>
      <c r="M45" s="49">
        <f t="shared" si="24"/>
        <v>2.0529907502558213</v>
      </c>
      <c r="N45" s="49">
        <f t="shared" si="24"/>
        <v>1.808292089573855</v>
      </c>
      <c r="O45" s="49">
        <f t="shared" si="24"/>
        <v>0</v>
      </c>
      <c r="P45" s="49">
        <f t="shared" si="24"/>
        <v>0</v>
      </c>
      <c r="Q45" s="49">
        <f t="shared" si="24"/>
        <v>0</v>
      </c>
      <c r="R45" s="49">
        <f t="shared" si="24"/>
        <v>0</v>
      </c>
      <c r="S45" s="49">
        <f t="shared" si="24"/>
        <v>0</v>
      </c>
      <c r="T45" s="49">
        <f t="shared" si="24"/>
        <v>0</v>
      </c>
      <c r="U45" s="49">
        <f t="shared" si="24"/>
        <v>0</v>
      </c>
      <c r="V45" s="49">
        <f t="shared" si="24"/>
        <v>0</v>
      </c>
      <c r="W45" s="49">
        <f t="shared" si="24"/>
        <v>0</v>
      </c>
      <c r="X45" s="49">
        <f t="shared" si="24"/>
        <v>0</v>
      </c>
      <c r="Y45" s="49">
        <f t="shared" si="24"/>
        <v>0</v>
      </c>
      <c r="Z45" s="49">
        <f t="shared" si="24"/>
        <v>0</v>
      </c>
      <c r="AA45" s="49">
        <f t="shared" si="24"/>
        <v>0</v>
      </c>
      <c r="AB45" s="49">
        <f t="shared" si="24"/>
        <v>0</v>
      </c>
      <c r="AC45" s="49">
        <f t="shared" si="24"/>
        <v>0</v>
      </c>
      <c r="AD45" s="49">
        <f t="shared" si="24"/>
        <v>0</v>
      </c>
      <c r="AE45" s="49">
        <f t="shared" si="24"/>
        <v>0</v>
      </c>
      <c r="AF45" s="49">
        <f t="shared" si="24"/>
        <v>0</v>
      </c>
      <c r="AG45" s="49">
        <f t="shared" si="24"/>
        <v>0</v>
      </c>
      <c r="AH45" s="49">
        <f t="shared" si="24"/>
        <v>0</v>
      </c>
      <c r="AI45" s="49">
        <f t="shared" si="24"/>
        <v>0</v>
      </c>
      <c r="AJ45" s="49">
        <f t="shared" si="24"/>
        <v>0</v>
      </c>
      <c r="AK45" s="49">
        <f t="shared" si="24"/>
        <v>0</v>
      </c>
      <c r="AL45" s="42"/>
      <c r="AM45" s="43">
        <v>29</v>
      </c>
      <c r="AN45">
        <v>168.26711703401978</v>
      </c>
      <c r="AO45">
        <v>16.645956766537147</v>
      </c>
      <c r="AP45">
        <v>178.41773795260391</v>
      </c>
      <c r="AQ45">
        <v>151.82961493209541</v>
      </c>
      <c r="AR45">
        <v>15.995141190230925</v>
      </c>
      <c r="AS45">
        <v>209.70596147804173</v>
      </c>
      <c r="AT45">
        <v>9.7716929970420257</v>
      </c>
      <c r="AU45">
        <v>34.480604023222391</v>
      </c>
      <c r="AV45"/>
      <c r="AW45"/>
      <c r="FY45" s="210">
        <v>40</v>
      </c>
      <c r="FZ45">
        <v>25.276314313290083</v>
      </c>
      <c r="GA45">
        <v>28.043748854878462</v>
      </c>
      <c r="GB45">
        <v>1.7404899057525283</v>
      </c>
      <c r="GC45">
        <v>0.75897881963650238</v>
      </c>
      <c r="GD45">
        <v>1.5545429589854354</v>
      </c>
      <c r="GE45">
        <v>3.7391254755944598</v>
      </c>
      <c r="GF45">
        <v>7.4214543816184708</v>
      </c>
      <c r="GG45">
        <v>9.0741687253798133</v>
      </c>
      <c r="GH45">
        <v>8.9876810744769458</v>
      </c>
      <c r="GI45">
        <v>7.8294990061098773</v>
      </c>
      <c r="GJ45"/>
      <c r="GK45"/>
      <c r="GL45"/>
      <c r="GM45"/>
    </row>
    <row r="46" spans="1:195" s="7" customFormat="1">
      <c r="A46" s="4"/>
      <c r="B46" s="1"/>
      <c r="C46" s="48" t="s">
        <v>122</v>
      </c>
      <c r="D46" s="49">
        <f>IF(SUM(G46:AK46)&lt;0.0001, 0, SUM(G46:AK46))</f>
        <v>12.269593519952595</v>
      </c>
      <c r="E46" s="107">
        <f t="shared" si="19"/>
        <v>8.6125054053774769E-2</v>
      </c>
      <c r="F46" s="18"/>
      <c r="G46" s="49">
        <f>G30*G36</f>
        <v>0</v>
      </c>
      <c r="H46" s="49">
        <f t="shared" ref="H46:AK46" si="25">H30*H36</f>
        <v>6.886969976078397E-2</v>
      </c>
      <c r="I46" s="49">
        <f t="shared" si="25"/>
        <v>1.9857985782012557</v>
      </c>
      <c r="J46" s="49">
        <f t="shared" si="25"/>
        <v>1.5016293960159453</v>
      </c>
      <c r="K46" s="49">
        <f t="shared" si="25"/>
        <v>3.0991350998160616</v>
      </c>
      <c r="L46" s="49">
        <f t="shared" si="25"/>
        <v>1.7072460563252794</v>
      </c>
      <c r="M46" s="49">
        <f t="shared" si="25"/>
        <v>2.1588990032452084</v>
      </c>
      <c r="N46" s="49">
        <f t="shared" si="25"/>
        <v>1.7480156865880596</v>
      </c>
      <c r="O46" s="49">
        <f t="shared" si="25"/>
        <v>0</v>
      </c>
      <c r="P46" s="49">
        <f t="shared" si="25"/>
        <v>0</v>
      </c>
      <c r="Q46" s="49">
        <f t="shared" si="25"/>
        <v>0</v>
      </c>
      <c r="R46" s="49">
        <f t="shared" si="25"/>
        <v>0</v>
      </c>
      <c r="S46" s="49">
        <f t="shared" si="25"/>
        <v>0</v>
      </c>
      <c r="T46" s="49">
        <f t="shared" si="25"/>
        <v>0</v>
      </c>
      <c r="U46" s="49">
        <f t="shared" si="25"/>
        <v>0</v>
      </c>
      <c r="V46" s="49">
        <f t="shared" si="25"/>
        <v>0</v>
      </c>
      <c r="W46" s="49">
        <f t="shared" si="25"/>
        <v>0</v>
      </c>
      <c r="X46" s="49">
        <f t="shared" si="25"/>
        <v>0</v>
      </c>
      <c r="Y46" s="49">
        <f t="shared" si="25"/>
        <v>0</v>
      </c>
      <c r="Z46" s="49">
        <f t="shared" si="25"/>
        <v>0</v>
      </c>
      <c r="AA46" s="49">
        <f t="shared" si="25"/>
        <v>0</v>
      </c>
      <c r="AB46" s="49">
        <f t="shared" si="25"/>
        <v>0</v>
      </c>
      <c r="AC46" s="49">
        <f t="shared" si="25"/>
        <v>0</v>
      </c>
      <c r="AD46" s="49">
        <f t="shared" si="25"/>
        <v>0</v>
      </c>
      <c r="AE46" s="49">
        <f t="shared" si="25"/>
        <v>0</v>
      </c>
      <c r="AF46" s="49">
        <f t="shared" si="25"/>
        <v>0</v>
      </c>
      <c r="AG46" s="49">
        <f t="shared" si="25"/>
        <v>0</v>
      </c>
      <c r="AH46" s="49">
        <f t="shared" si="25"/>
        <v>0</v>
      </c>
      <c r="AI46" s="49">
        <f t="shared" si="25"/>
        <v>0</v>
      </c>
      <c r="AJ46" s="49">
        <f t="shared" si="25"/>
        <v>0</v>
      </c>
      <c r="AK46" s="49">
        <f t="shared" si="25"/>
        <v>0</v>
      </c>
      <c r="AL46" s="42"/>
      <c r="AM46" s="43">
        <v>30</v>
      </c>
      <c r="AN46">
        <v>66.984563097572661</v>
      </c>
      <c r="AO46">
        <v>8.3446420712191909</v>
      </c>
      <c r="AP46">
        <v>87.428703055160469</v>
      </c>
      <c r="AQ46">
        <v>75.312515575111661</v>
      </c>
      <c r="AR46">
        <v>8.0640753387345931</v>
      </c>
      <c r="AS46">
        <v>116.76119822553092</v>
      </c>
      <c r="AT46">
        <v>5.0874267816569567</v>
      </c>
      <c r="AU46">
        <v>16.471592330569575</v>
      </c>
      <c r="AV46"/>
      <c r="AW46"/>
      <c r="FY46" s="210">
        <v>41</v>
      </c>
      <c r="FZ46">
        <v>44.991362602967669</v>
      </c>
      <c r="GA46">
        <v>52.113441616130999</v>
      </c>
      <c r="GB46">
        <v>4.132006773593548</v>
      </c>
      <c r="GC46">
        <v>1.9411780174957876</v>
      </c>
      <c r="GD46">
        <v>0.75111742932971137</v>
      </c>
      <c r="GE46">
        <v>3.3515096583114881</v>
      </c>
      <c r="GF46">
        <v>11.923821425826482</v>
      </c>
      <c r="GG46">
        <v>9.8778564250189937</v>
      </c>
      <c r="GH46">
        <v>4.956620183334878</v>
      </c>
      <c r="GI46">
        <v>11.039266891338274</v>
      </c>
      <c r="GJ46"/>
      <c r="GK46"/>
      <c r="GL46"/>
      <c r="GM46"/>
    </row>
    <row r="47" spans="1:195" s="7" customFormat="1">
      <c r="A47" s="4"/>
      <c r="B47" s="1"/>
      <c r="C47" s="48"/>
      <c r="D47" s="49"/>
      <c r="E47" s="107"/>
      <c r="F47" s="18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2"/>
      <c r="AM47" s="43">
        <v>31</v>
      </c>
      <c r="AN47">
        <v>82.41920889501057</v>
      </c>
      <c r="AO47">
        <v>11.476515094271644</v>
      </c>
      <c r="AP47">
        <v>117.91948508625944</v>
      </c>
      <c r="AQ47">
        <v>102.53979686551185</v>
      </c>
      <c r="AR47">
        <v>10.916604887528147</v>
      </c>
      <c r="AS47">
        <v>177.98972466073349</v>
      </c>
      <c r="AT47">
        <v>6.9740758143915924</v>
      </c>
      <c r="AU47">
        <v>16.390663713149415</v>
      </c>
      <c r="AV47"/>
      <c r="AW47"/>
      <c r="FY47" s="210">
        <v>42</v>
      </c>
      <c r="FZ47">
        <v>11.168649507625918</v>
      </c>
      <c r="GA47">
        <v>16.050435766585483</v>
      </c>
      <c r="GB47">
        <v>2.6175473477394702</v>
      </c>
      <c r="GC47">
        <v>0.86131980429103394</v>
      </c>
      <c r="GD47">
        <v>1.1892093088633193</v>
      </c>
      <c r="GE47">
        <v>3.3838289013970635</v>
      </c>
      <c r="GF47">
        <v>7.2823611715778824</v>
      </c>
      <c r="GG47">
        <v>8.9088949080756574</v>
      </c>
      <c r="GH47">
        <v>9.1480358859872748</v>
      </c>
      <c r="GI47">
        <v>5.7650315422955067</v>
      </c>
      <c r="GJ47"/>
      <c r="GK47"/>
      <c r="GL47"/>
      <c r="GM47"/>
    </row>
    <row r="48" spans="1:195" s="7" customFormat="1">
      <c r="A48" s="4"/>
      <c r="B48" s="1"/>
      <c r="C48" s="60" t="s">
        <v>50</v>
      </c>
      <c r="D48" s="53">
        <f>AVERAGE(D37:D47)</f>
        <v>12.80080734531867</v>
      </c>
      <c r="E48" s="18"/>
      <c r="F48" s="18"/>
      <c r="G48" s="18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3"/>
      <c r="AH48" s="63"/>
      <c r="AI48" s="63"/>
      <c r="AJ48" s="63"/>
      <c r="AK48" s="63"/>
      <c r="AL48" s="42"/>
      <c r="AM48" s="43">
        <v>32</v>
      </c>
      <c r="AN48">
        <v>87.267630358029351</v>
      </c>
      <c r="AO48">
        <v>6.3578872650641038</v>
      </c>
      <c r="AP48">
        <v>58.840080475185339</v>
      </c>
      <c r="AQ48">
        <v>50.946129669633976</v>
      </c>
      <c r="AR48">
        <v>6.1298064710011646</v>
      </c>
      <c r="AS48">
        <v>104.00343346445453</v>
      </c>
      <c r="AT48">
        <v>3.5843923656346135</v>
      </c>
      <c r="AU48">
        <v>-2.5238178368383486</v>
      </c>
      <c r="AV48"/>
      <c r="AW48"/>
      <c r="FY48" s="210">
        <v>43</v>
      </c>
      <c r="FZ48">
        <v>0.48888721214615505</v>
      </c>
      <c r="GA48">
        <v>2.826861242444469</v>
      </c>
      <c r="GB48">
        <v>1.8325915428463453</v>
      </c>
      <c r="GC48">
        <v>0.64165318709048957</v>
      </c>
      <c r="GD48">
        <v>0.93158040612803483</v>
      </c>
      <c r="GE48">
        <v>2.8310492612083356</v>
      </c>
      <c r="GF48">
        <v>8.3391881585382741</v>
      </c>
      <c r="GG48">
        <v>7.6509833170139006</v>
      </c>
      <c r="GH48">
        <v>5.2445713799483666</v>
      </c>
      <c r="GI48">
        <v>3.4105932427393486</v>
      </c>
      <c r="GJ48"/>
      <c r="GK48"/>
      <c r="GL48"/>
      <c r="GM48"/>
    </row>
    <row r="49" spans="1:195" s="7" customFormat="1">
      <c r="A49" s="4"/>
      <c r="B49" s="1"/>
      <c r="C49" s="64"/>
      <c r="D49" s="64"/>
      <c r="E49" s="64"/>
      <c r="F49" s="64"/>
      <c r="G49" s="64"/>
      <c r="H49" s="64"/>
      <c r="I49" s="65"/>
      <c r="J49" s="64"/>
      <c r="K49" s="62"/>
      <c r="L49" s="64"/>
      <c r="M49" s="65"/>
      <c r="N49" s="64"/>
      <c r="O49" s="64"/>
      <c r="P49" s="64"/>
      <c r="Q49" s="65"/>
      <c r="R49" s="65"/>
      <c r="S49" s="65"/>
      <c r="T49" s="65"/>
      <c r="U49" s="65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3"/>
      <c r="AH49" s="63"/>
      <c r="AI49" s="63"/>
      <c r="AJ49" s="63"/>
      <c r="AK49" s="63"/>
      <c r="AL49" s="42"/>
      <c r="AM49" s="43">
        <v>33</v>
      </c>
      <c r="AN49">
        <v>140.78684136027329</v>
      </c>
      <c r="AO49">
        <v>10.168860165710248</v>
      </c>
      <c r="AP49">
        <v>97.039419756736365</v>
      </c>
      <c r="AQ49">
        <v>80.951497644921901</v>
      </c>
      <c r="AR49">
        <v>9.9723281441083813</v>
      </c>
      <c r="AS49">
        <v>144.8773271681801</v>
      </c>
      <c r="AT49">
        <v>5.8697948255032601</v>
      </c>
      <c r="AU49">
        <v>27.426317545178868</v>
      </c>
      <c r="AV49"/>
      <c r="AW49"/>
      <c r="FY49" s="210">
        <v>44</v>
      </c>
      <c r="FZ49">
        <v>37.520305498070236</v>
      </c>
      <c r="GA49">
        <v>40.24320116361239</v>
      </c>
      <c r="GB49">
        <v>2.4846760560007617</v>
      </c>
      <c r="GC49">
        <v>1.3820763089147756</v>
      </c>
      <c r="GD49">
        <v>0.76458202626028027</v>
      </c>
      <c r="GE49">
        <v>1.0234060199967807</v>
      </c>
      <c r="GF49">
        <v>7.7087426961495753</v>
      </c>
      <c r="GG49">
        <v>12.067215509968472</v>
      </c>
      <c r="GH49">
        <v>9.0690290617837785</v>
      </c>
      <c r="GI49">
        <v>9.4243717671607552</v>
      </c>
      <c r="GJ49"/>
      <c r="GK49"/>
      <c r="GL49"/>
      <c r="GM49"/>
    </row>
    <row r="50" spans="1:195" s="7" customFormat="1">
      <c r="A50" s="4"/>
      <c r="B50" s="1"/>
      <c r="C50" s="10" t="s">
        <v>51</v>
      </c>
      <c r="D50" s="13"/>
      <c r="E50" s="13"/>
      <c r="F50" s="13"/>
      <c r="G50" s="11" t="s">
        <v>33</v>
      </c>
      <c r="H50" s="13"/>
      <c r="I50" s="14"/>
      <c r="J50" s="13"/>
      <c r="K50" s="21"/>
      <c r="L50" s="13"/>
      <c r="M50" s="14"/>
      <c r="N50" s="13"/>
      <c r="O50" s="13"/>
      <c r="P50" s="13"/>
      <c r="Q50" s="14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42"/>
      <c r="AM50" s="43">
        <v>34</v>
      </c>
      <c r="AN50">
        <v>134.41370132240553</v>
      </c>
      <c r="AO50">
        <v>11.612040583192051</v>
      </c>
      <c r="AP50">
        <v>120.71162023269575</v>
      </c>
      <c r="AQ50">
        <v>100.9314774332878</v>
      </c>
      <c r="AR50">
        <v>10.898640882198629</v>
      </c>
      <c r="AS50">
        <v>168.84775867011936</v>
      </c>
      <c r="AT50">
        <v>7.1523072777060159</v>
      </c>
      <c r="AU50">
        <v>83.51289853560688</v>
      </c>
      <c r="AV50"/>
      <c r="AW50"/>
      <c r="FY50" s="210">
        <v>45</v>
      </c>
      <c r="FZ50">
        <v>25.306292141923482</v>
      </c>
      <c r="GA50">
        <v>27.102861626168782</v>
      </c>
      <c r="GB50">
        <v>1.2336264363256131</v>
      </c>
      <c r="GC50">
        <v>0.92579503585229128</v>
      </c>
      <c r="GD50">
        <v>0.85228287397413083</v>
      </c>
      <c r="GE50">
        <v>1.4547017776550133</v>
      </c>
      <c r="GF50">
        <v>1.8833107072207849</v>
      </c>
      <c r="GG50">
        <v>4.6224570452274003</v>
      </c>
      <c r="GH50">
        <v>7.3454524922219679</v>
      </c>
      <c r="GI50">
        <v>6.0334637865018399</v>
      </c>
      <c r="GJ50"/>
      <c r="GK50"/>
      <c r="GL50"/>
      <c r="GM50"/>
    </row>
    <row r="51" spans="1:195" s="7" customFormat="1">
      <c r="A51" s="4"/>
      <c r="B51" s="36"/>
      <c r="C51" s="12" t="s">
        <v>34</v>
      </c>
      <c r="D51" s="10"/>
      <c r="E51" s="10" t="s">
        <v>52</v>
      </c>
      <c r="F51" s="13"/>
      <c r="G51" s="44" t="s">
        <v>37</v>
      </c>
      <c r="H51" s="45">
        <v>1</v>
      </c>
      <c r="I51" s="45">
        <v>2</v>
      </c>
      <c r="J51" s="45">
        <v>3</v>
      </c>
      <c r="K51" s="45">
        <v>4</v>
      </c>
      <c r="L51" s="45">
        <v>5</v>
      </c>
      <c r="M51" s="45">
        <v>6</v>
      </c>
      <c r="N51" s="45">
        <v>7</v>
      </c>
      <c r="O51" s="46">
        <v>8</v>
      </c>
      <c r="P51" s="46">
        <v>9</v>
      </c>
      <c r="Q51" s="47">
        <v>10</v>
      </c>
      <c r="R51" s="46">
        <v>11</v>
      </c>
      <c r="S51" s="47">
        <v>12</v>
      </c>
      <c r="T51" s="46">
        <v>13</v>
      </c>
      <c r="U51" s="47">
        <v>14</v>
      </c>
      <c r="V51" s="46">
        <v>15</v>
      </c>
      <c r="W51" s="47">
        <v>16</v>
      </c>
      <c r="X51" s="46">
        <v>17</v>
      </c>
      <c r="Y51" s="47">
        <v>18</v>
      </c>
      <c r="Z51" s="46">
        <v>19</v>
      </c>
      <c r="AA51" s="47">
        <v>20</v>
      </c>
      <c r="AB51" s="46">
        <v>21</v>
      </c>
      <c r="AC51" s="47">
        <v>22</v>
      </c>
      <c r="AD51" s="46">
        <v>23</v>
      </c>
      <c r="AE51" s="47">
        <v>24</v>
      </c>
      <c r="AF51" s="46">
        <v>25</v>
      </c>
      <c r="AG51" s="47">
        <v>26</v>
      </c>
      <c r="AH51" s="46">
        <v>27</v>
      </c>
      <c r="AI51" s="47">
        <v>28</v>
      </c>
      <c r="AJ51" s="46">
        <v>29</v>
      </c>
      <c r="AK51" s="47">
        <v>30</v>
      </c>
      <c r="AL51" s="42"/>
      <c r="AM51" s="43">
        <v>35</v>
      </c>
      <c r="AN51">
        <v>172.79808127082669</v>
      </c>
      <c r="AO51">
        <v>12.940659803766774</v>
      </c>
      <c r="AP51">
        <v>134.95400695696142</v>
      </c>
      <c r="AQ51">
        <v>111.67478542680642</v>
      </c>
      <c r="AR51">
        <v>12.300492469910763</v>
      </c>
      <c r="AS51">
        <v>217.83698650816427</v>
      </c>
      <c r="AT51">
        <v>7.40757893085825</v>
      </c>
      <c r="AU51">
        <v>48.456362636227681</v>
      </c>
      <c r="AV51"/>
      <c r="AW51"/>
      <c r="FY51" s="210">
        <v>46</v>
      </c>
      <c r="FZ51">
        <v>11.590781000698408</v>
      </c>
      <c r="GA51">
        <v>14.342176627388799</v>
      </c>
      <c r="GB51">
        <v>1.7832655703712117</v>
      </c>
      <c r="GC51">
        <v>1.2112525023269032</v>
      </c>
      <c r="GD51">
        <v>0.64107141535420276</v>
      </c>
      <c r="GE51">
        <v>2.7930162839132922</v>
      </c>
      <c r="GF51">
        <v>6.7954992979340032</v>
      </c>
      <c r="GG51">
        <v>9.7798351604406619</v>
      </c>
      <c r="GH51">
        <v>11.305281809726795</v>
      </c>
      <c r="GI51">
        <v>5.5371851967352086</v>
      </c>
      <c r="GJ51"/>
      <c r="GK51"/>
      <c r="GL51"/>
      <c r="GM51"/>
    </row>
    <row r="52" spans="1:195" s="7" customFormat="1">
      <c r="A52" s="4"/>
      <c r="B52" s="36"/>
      <c r="C52" s="48" t="s">
        <v>38</v>
      </c>
      <c r="D52" s="49">
        <f>SUM(G52:AK52)</f>
        <v>25.216479496832925</v>
      </c>
      <c r="E52" s="19">
        <v>3.8777122696400615E-2</v>
      </c>
      <c r="F52" s="8"/>
      <c r="G52" s="49">
        <f>$E$52*$E$21*G37</f>
        <v>0</v>
      </c>
      <c r="H52" s="49">
        <f t="shared" ref="H52:AK52" si="26">$E$52*$E$21*H37</f>
        <v>4.0177946253808086E-3</v>
      </c>
      <c r="I52" s="49">
        <f t="shared" si="26"/>
        <v>0.55532347323497266</v>
      </c>
      <c r="J52" s="49">
        <f t="shared" si="26"/>
        <v>1.7526430906150376</v>
      </c>
      <c r="K52" s="49">
        <f t="shared" si="26"/>
        <v>4.3891777972025166</v>
      </c>
      <c r="L52" s="49">
        <f t="shared" si="26"/>
        <v>6.0843053353666052</v>
      </c>
      <c r="M52" s="49">
        <f t="shared" si="26"/>
        <v>7.5401166008619711</v>
      </c>
      <c r="N52" s="49">
        <f t="shared" si="26"/>
        <v>4.8908954049264386</v>
      </c>
      <c r="O52" s="49">
        <f t="shared" si="26"/>
        <v>0</v>
      </c>
      <c r="P52" s="49">
        <f t="shared" si="26"/>
        <v>0</v>
      </c>
      <c r="Q52" s="49">
        <f t="shared" si="26"/>
        <v>0</v>
      </c>
      <c r="R52" s="49">
        <f t="shared" si="26"/>
        <v>0</v>
      </c>
      <c r="S52" s="49">
        <f t="shared" si="26"/>
        <v>0</v>
      </c>
      <c r="T52" s="49">
        <f t="shared" si="26"/>
        <v>0</v>
      </c>
      <c r="U52" s="49">
        <f t="shared" si="26"/>
        <v>0</v>
      </c>
      <c r="V52" s="49">
        <f t="shared" si="26"/>
        <v>0</v>
      </c>
      <c r="W52" s="49">
        <f t="shared" si="26"/>
        <v>0</v>
      </c>
      <c r="X52" s="49">
        <f t="shared" si="26"/>
        <v>0</v>
      </c>
      <c r="Y52" s="49">
        <f t="shared" si="26"/>
        <v>0</v>
      </c>
      <c r="Z52" s="49">
        <f t="shared" si="26"/>
        <v>0</v>
      </c>
      <c r="AA52" s="49">
        <f t="shared" si="26"/>
        <v>0</v>
      </c>
      <c r="AB52" s="49">
        <f t="shared" si="26"/>
        <v>0</v>
      </c>
      <c r="AC52" s="49">
        <f t="shared" si="26"/>
        <v>0</v>
      </c>
      <c r="AD52" s="49">
        <f t="shared" si="26"/>
        <v>0</v>
      </c>
      <c r="AE52" s="49">
        <f t="shared" si="26"/>
        <v>0</v>
      </c>
      <c r="AF52" s="49">
        <f t="shared" si="26"/>
        <v>0</v>
      </c>
      <c r="AG52" s="49">
        <f t="shared" si="26"/>
        <v>0</v>
      </c>
      <c r="AH52" s="49">
        <f t="shared" si="26"/>
        <v>0</v>
      </c>
      <c r="AI52" s="49">
        <f t="shared" si="26"/>
        <v>0</v>
      </c>
      <c r="AJ52" s="49">
        <f t="shared" si="26"/>
        <v>0</v>
      </c>
      <c r="AK52" s="49">
        <f t="shared" si="26"/>
        <v>0</v>
      </c>
      <c r="AL52" s="42"/>
      <c r="AM52" s="43">
        <v>36</v>
      </c>
      <c r="AN52">
        <v>92.930180902731905</v>
      </c>
      <c r="AO52">
        <v>10.02284017971502</v>
      </c>
      <c r="AP52">
        <v>103.47636363920525</v>
      </c>
      <c r="AQ52">
        <v>87.539388777085193</v>
      </c>
      <c r="AR52">
        <v>10.129899095900521</v>
      </c>
      <c r="AS52">
        <v>168.9782050512498</v>
      </c>
      <c r="AT52">
        <v>6.3093714675055343</v>
      </c>
      <c r="AU52">
        <v>11.776914065353496</v>
      </c>
      <c r="AV52"/>
      <c r="AW52"/>
      <c r="FY52" s="210">
        <v>47</v>
      </c>
      <c r="FZ52">
        <v>24.119228002745484</v>
      </c>
      <c r="GA52">
        <v>26.777291474711802</v>
      </c>
      <c r="GB52">
        <v>1.6150755208410268</v>
      </c>
      <c r="GC52">
        <v>0.9811392221656422</v>
      </c>
      <c r="GD52">
        <v>0.83826606191593811</v>
      </c>
      <c r="GE52">
        <v>2.1973963918304502</v>
      </c>
      <c r="GF52">
        <v>5.5334882183093628</v>
      </c>
      <c r="GG52">
        <v>6.0114068921367201</v>
      </c>
      <c r="GH52">
        <v>6.2598468308825534</v>
      </c>
      <c r="GI52">
        <v>6.4440919531318182</v>
      </c>
      <c r="GJ52"/>
      <c r="GK52"/>
      <c r="GL52"/>
      <c r="GM52"/>
    </row>
    <row r="53" spans="1:195" s="7" customFormat="1">
      <c r="A53" s="4"/>
      <c r="B53" s="36"/>
      <c r="C53" s="48" t="s">
        <v>39</v>
      </c>
      <c r="D53" s="49">
        <f t="shared" ref="D53:D61" si="27">SUM(G53:AK53)</f>
        <v>33.062140918693608</v>
      </c>
      <c r="E53" s="19">
        <v>3.3565979632026934E-2</v>
      </c>
      <c r="F53" s="8"/>
      <c r="G53" s="49">
        <f>$E$53*$E$22*G38</f>
        <v>0</v>
      </c>
      <c r="H53" s="49">
        <f t="shared" ref="H53:AK53" si="28">$E$53*$E$22*H38</f>
        <v>5.2811873203540373E-3</v>
      </c>
      <c r="I53" s="49">
        <f t="shared" si="28"/>
        <v>0.24947471925681369</v>
      </c>
      <c r="J53" s="49">
        <f t="shared" si="28"/>
        <v>1.9000416739095287</v>
      </c>
      <c r="K53" s="49">
        <f t="shared" si="28"/>
        <v>5.5107007851212684</v>
      </c>
      <c r="L53" s="49">
        <f t="shared" si="28"/>
        <v>7.9975108700970532</v>
      </c>
      <c r="M53" s="49">
        <f t="shared" si="28"/>
        <v>9.1038619718450899</v>
      </c>
      <c r="N53" s="49">
        <f t="shared" si="28"/>
        <v>8.2952697111434972</v>
      </c>
      <c r="O53" s="49">
        <f t="shared" si="28"/>
        <v>0</v>
      </c>
      <c r="P53" s="49">
        <f t="shared" si="28"/>
        <v>0</v>
      </c>
      <c r="Q53" s="49">
        <f t="shared" si="28"/>
        <v>0</v>
      </c>
      <c r="R53" s="49">
        <f t="shared" si="28"/>
        <v>0</v>
      </c>
      <c r="S53" s="49">
        <f t="shared" si="28"/>
        <v>0</v>
      </c>
      <c r="T53" s="49">
        <f t="shared" si="28"/>
        <v>0</v>
      </c>
      <c r="U53" s="49">
        <f t="shared" si="28"/>
        <v>0</v>
      </c>
      <c r="V53" s="49">
        <f t="shared" si="28"/>
        <v>0</v>
      </c>
      <c r="W53" s="49">
        <f t="shared" si="28"/>
        <v>0</v>
      </c>
      <c r="X53" s="49">
        <f t="shared" si="28"/>
        <v>0</v>
      </c>
      <c r="Y53" s="49">
        <f t="shared" si="28"/>
        <v>0</v>
      </c>
      <c r="Z53" s="49">
        <f t="shared" si="28"/>
        <v>0</v>
      </c>
      <c r="AA53" s="49">
        <f t="shared" si="28"/>
        <v>0</v>
      </c>
      <c r="AB53" s="49">
        <f t="shared" si="28"/>
        <v>0</v>
      </c>
      <c r="AC53" s="49">
        <f t="shared" si="28"/>
        <v>0</v>
      </c>
      <c r="AD53" s="49">
        <f t="shared" si="28"/>
        <v>0</v>
      </c>
      <c r="AE53" s="49">
        <f t="shared" si="28"/>
        <v>0</v>
      </c>
      <c r="AF53" s="49">
        <f t="shared" si="28"/>
        <v>0</v>
      </c>
      <c r="AG53" s="49">
        <f t="shared" si="28"/>
        <v>0</v>
      </c>
      <c r="AH53" s="49">
        <f t="shared" si="28"/>
        <v>0</v>
      </c>
      <c r="AI53" s="49">
        <f t="shared" si="28"/>
        <v>0</v>
      </c>
      <c r="AJ53" s="49">
        <f t="shared" si="28"/>
        <v>0</v>
      </c>
      <c r="AK53" s="49">
        <f t="shared" si="28"/>
        <v>0</v>
      </c>
      <c r="AL53" s="42"/>
      <c r="AM53" s="43">
        <v>37</v>
      </c>
      <c r="AN53">
        <v>195.60121160295179</v>
      </c>
      <c r="AO53">
        <v>16.803770082749296</v>
      </c>
      <c r="AP53">
        <v>177.03197545098874</v>
      </c>
      <c r="AQ53">
        <v>152.2479526517545</v>
      </c>
      <c r="AR53">
        <v>15.551491587151677</v>
      </c>
      <c r="AS53">
        <v>238.83084071364789</v>
      </c>
      <c r="AT53">
        <v>9.732586223577643</v>
      </c>
      <c r="AU53">
        <v>64.396246557817747</v>
      </c>
      <c r="AV53"/>
      <c r="AW53"/>
      <c r="FY53" s="210">
        <v>48</v>
      </c>
      <c r="FZ53">
        <v>25.238039201441012</v>
      </c>
      <c r="GA53">
        <v>29.795660281843851</v>
      </c>
      <c r="GB53">
        <v>2.5252414658168068</v>
      </c>
      <c r="GC53">
        <v>0.61123845288742151</v>
      </c>
      <c r="GD53">
        <v>1.016869988437332</v>
      </c>
      <c r="GE53">
        <v>3.1655408555768263</v>
      </c>
      <c r="GF53">
        <v>9.1427196005481335</v>
      </c>
      <c r="GG53">
        <v>10.117827807919126</v>
      </c>
      <c r="GH53">
        <v>8.9422557420137796</v>
      </c>
      <c r="GI53">
        <v>8.0173599747451814</v>
      </c>
      <c r="GJ53"/>
      <c r="GK53"/>
      <c r="GL53"/>
      <c r="GM53"/>
    </row>
    <row r="54" spans="1:195" s="7" customFormat="1">
      <c r="A54" s="4"/>
      <c r="B54" s="36"/>
      <c r="C54" s="48" t="s">
        <v>40</v>
      </c>
      <c r="D54" s="49">
        <f t="shared" si="27"/>
        <v>5.8720241595428488</v>
      </c>
      <c r="E54" s="19">
        <v>3.5857645106735621E-2</v>
      </c>
      <c r="F54" s="8"/>
      <c r="G54" s="49">
        <f>$E$54*$E$23*G39</f>
        <v>0</v>
      </c>
      <c r="H54" s="49">
        <f t="shared" ref="H54:AK54" si="29">$E$54*$E$23*H39</f>
        <v>0</v>
      </c>
      <c r="I54" s="49">
        <f t="shared" si="29"/>
        <v>1.3766177582892332</v>
      </c>
      <c r="J54" s="49">
        <f t="shared" si="29"/>
        <v>0.59849910558262753</v>
      </c>
      <c r="K54" s="49">
        <f t="shared" si="29"/>
        <v>1.3899734535107089</v>
      </c>
      <c r="L54" s="49">
        <f t="shared" si="29"/>
        <v>0.20802852963024018</v>
      </c>
      <c r="M54" s="49">
        <f t="shared" si="29"/>
        <v>0.69408818659793614</v>
      </c>
      <c r="N54" s="49">
        <f t="shared" si="29"/>
        <v>1.6048171259321029</v>
      </c>
      <c r="O54" s="49">
        <f t="shared" si="29"/>
        <v>0</v>
      </c>
      <c r="P54" s="49">
        <f t="shared" si="29"/>
        <v>0</v>
      </c>
      <c r="Q54" s="49">
        <f t="shared" si="29"/>
        <v>0</v>
      </c>
      <c r="R54" s="49">
        <f t="shared" si="29"/>
        <v>0</v>
      </c>
      <c r="S54" s="49">
        <f t="shared" si="29"/>
        <v>0</v>
      </c>
      <c r="T54" s="49">
        <f t="shared" si="29"/>
        <v>0</v>
      </c>
      <c r="U54" s="49">
        <f t="shared" si="29"/>
        <v>0</v>
      </c>
      <c r="V54" s="49">
        <f t="shared" si="29"/>
        <v>0</v>
      </c>
      <c r="W54" s="49">
        <f t="shared" si="29"/>
        <v>0</v>
      </c>
      <c r="X54" s="49">
        <f t="shared" si="29"/>
        <v>0</v>
      </c>
      <c r="Y54" s="49">
        <f t="shared" si="29"/>
        <v>0</v>
      </c>
      <c r="Z54" s="49">
        <f t="shared" si="29"/>
        <v>0</v>
      </c>
      <c r="AA54" s="49">
        <f t="shared" si="29"/>
        <v>0</v>
      </c>
      <c r="AB54" s="49">
        <f t="shared" si="29"/>
        <v>0</v>
      </c>
      <c r="AC54" s="49">
        <f t="shared" si="29"/>
        <v>0</v>
      </c>
      <c r="AD54" s="49">
        <f t="shared" si="29"/>
        <v>0</v>
      </c>
      <c r="AE54" s="49">
        <f t="shared" si="29"/>
        <v>0</v>
      </c>
      <c r="AF54" s="49">
        <f t="shared" si="29"/>
        <v>0</v>
      </c>
      <c r="AG54" s="49">
        <f t="shared" si="29"/>
        <v>0</v>
      </c>
      <c r="AH54" s="49">
        <f t="shared" si="29"/>
        <v>0</v>
      </c>
      <c r="AI54" s="49">
        <f t="shared" si="29"/>
        <v>0</v>
      </c>
      <c r="AJ54" s="49">
        <f t="shared" si="29"/>
        <v>0</v>
      </c>
      <c r="AK54" s="49">
        <f t="shared" si="29"/>
        <v>0</v>
      </c>
      <c r="AL54" s="42"/>
      <c r="AM54" s="43">
        <v>38</v>
      </c>
      <c r="AN54">
        <v>70.603477292210911</v>
      </c>
      <c r="AO54">
        <v>8.706426992108744</v>
      </c>
      <c r="AP54">
        <v>87.141786320237316</v>
      </c>
      <c r="AQ54">
        <v>75.41751987854191</v>
      </c>
      <c r="AR54">
        <v>8.6646282695247816</v>
      </c>
      <c r="AS54">
        <v>145.14209553775731</v>
      </c>
      <c r="AT54">
        <v>5.2735984749495275</v>
      </c>
      <c r="AU54">
        <v>-4.3335963111251319</v>
      </c>
      <c r="AV54"/>
      <c r="AW54"/>
      <c r="FY54" s="210">
        <v>49</v>
      </c>
      <c r="FZ54">
        <v>34.54011423512334</v>
      </c>
      <c r="GA54">
        <v>40.952285010412147</v>
      </c>
      <c r="GB54">
        <v>2.3444096003285648</v>
      </c>
      <c r="GC54">
        <v>0.60137493528457997</v>
      </c>
      <c r="GD54">
        <v>0.71419675412272743</v>
      </c>
      <c r="GE54">
        <v>2.7185294028476337</v>
      </c>
      <c r="GF54">
        <v>6.9468450867382154</v>
      </c>
      <c r="GG54">
        <v>5.5604865850373848</v>
      </c>
      <c r="GH54">
        <v>5.1702449697171291</v>
      </c>
      <c r="GI54">
        <v>8.1726382286922572</v>
      </c>
      <c r="GJ54"/>
      <c r="GK54"/>
      <c r="GL54"/>
      <c r="GM54"/>
    </row>
    <row r="55" spans="1:195" s="7" customFormat="1">
      <c r="A55" s="4"/>
      <c r="B55" s="36"/>
      <c r="C55" s="48" t="s">
        <v>41</v>
      </c>
      <c r="D55" s="49">
        <f t="shared" si="27"/>
        <v>0.51942486056793169</v>
      </c>
      <c r="E55" s="19">
        <v>5.0000000000000001E-3</v>
      </c>
      <c r="F55" s="8"/>
      <c r="G55" s="49">
        <f>$E$55*$E$24*G40</f>
        <v>0</v>
      </c>
      <c r="H55" s="49">
        <f t="shared" ref="H55:AK55" si="30">$E$55*$E$24*H40</f>
        <v>1.0744999999999999E-3</v>
      </c>
      <c r="I55" s="49">
        <f t="shared" si="30"/>
        <v>0.21594222445161612</v>
      </c>
      <c r="J55" s="49">
        <f t="shared" si="30"/>
        <v>0.13795625819886992</v>
      </c>
      <c r="K55" s="49">
        <f t="shared" si="30"/>
        <v>0.16445187791744562</v>
      </c>
      <c r="L55" s="49">
        <f t="shared" si="30"/>
        <v>0</v>
      </c>
      <c r="M55" s="49">
        <f t="shared" si="30"/>
        <v>0</v>
      </c>
      <c r="N55" s="49">
        <f t="shared" si="30"/>
        <v>0</v>
      </c>
      <c r="O55" s="49">
        <f t="shared" si="30"/>
        <v>0</v>
      </c>
      <c r="P55" s="49">
        <f t="shared" si="30"/>
        <v>0</v>
      </c>
      <c r="Q55" s="49">
        <f t="shared" si="30"/>
        <v>0</v>
      </c>
      <c r="R55" s="49">
        <f t="shared" si="30"/>
        <v>0</v>
      </c>
      <c r="S55" s="49">
        <f t="shared" si="30"/>
        <v>0</v>
      </c>
      <c r="T55" s="49">
        <f t="shared" si="30"/>
        <v>0</v>
      </c>
      <c r="U55" s="49">
        <f t="shared" si="30"/>
        <v>0</v>
      </c>
      <c r="V55" s="49">
        <f t="shared" si="30"/>
        <v>0</v>
      </c>
      <c r="W55" s="49">
        <f t="shared" si="30"/>
        <v>0</v>
      </c>
      <c r="X55" s="49">
        <f t="shared" si="30"/>
        <v>0</v>
      </c>
      <c r="Y55" s="49">
        <f t="shared" si="30"/>
        <v>0</v>
      </c>
      <c r="Z55" s="49">
        <f t="shared" si="30"/>
        <v>0</v>
      </c>
      <c r="AA55" s="49">
        <f t="shared" si="30"/>
        <v>0</v>
      </c>
      <c r="AB55" s="49">
        <f t="shared" si="30"/>
        <v>0</v>
      </c>
      <c r="AC55" s="49">
        <f t="shared" si="30"/>
        <v>0</v>
      </c>
      <c r="AD55" s="49">
        <f t="shared" si="30"/>
        <v>0</v>
      </c>
      <c r="AE55" s="49">
        <f t="shared" si="30"/>
        <v>0</v>
      </c>
      <c r="AF55" s="49">
        <f t="shared" si="30"/>
        <v>0</v>
      </c>
      <c r="AG55" s="49">
        <f t="shared" si="30"/>
        <v>0</v>
      </c>
      <c r="AH55" s="49">
        <f t="shared" si="30"/>
        <v>0</v>
      </c>
      <c r="AI55" s="49">
        <f t="shared" si="30"/>
        <v>0</v>
      </c>
      <c r="AJ55" s="49">
        <f t="shared" si="30"/>
        <v>0</v>
      </c>
      <c r="AK55" s="49">
        <f t="shared" si="30"/>
        <v>0</v>
      </c>
      <c r="AL55" s="42"/>
      <c r="AM55" s="43">
        <v>39</v>
      </c>
      <c r="AN55">
        <v>105.86770912729585</v>
      </c>
      <c r="AO55">
        <v>9.4280291020422347</v>
      </c>
      <c r="AP55">
        <v>89.973411249075525</v>
      </c>
      <c r="AQ55">
        <v>74.858533802542084</v>
      </c>
      <c r="AR55">
        <v>9.3132930247331345</v>
      </c>
      <c r="AS55">
        <v>168.91902035005481</v>
      </c>
      <c r="AT55">
        <v>5.5754705527417814</v>
      </c>
      <c r="AU55">
        <v>13.996890524254143</v>
      </c>
      <c r="AV55"/>
      <c r="AW55"/>
      <c r="FY55" s="210">
        <v>50</v>
      </c>
      <c r="FZ55">
        <v>36.195631450229932</v>
      </c>
      <c r="GA55">
        <v>39.611893679935179</v>
      </c>
      <c r="GB55">
        <v>1.1822218982348318</v>
      </c>
      <c r="GC55">
        <v>0.46297015326095742</v>
      </c>
      <c r="GD55">
        <v>1.4918136104796358</v>
      </c>
      <c r="GE55">
        <v>3.2604470165709696</v>
      </c>
      <c r="GF55">
        <v>9.4951770430136602</v>
      </c>
      <c r="GG55">
        <v>12.450356014747136</v>
      </c>
      <c r="GH55">
        <v>9.8065098624078377</v>
      </c>
      <c r="GI55">
        <v>9.7939912361324239</v>
      </c>
      <c r="GJ55"/>
      <c r="GK55"/>
      <c r="GL55"/>
      <c r="GM55"/>
    </row>
    <row r="56" spans="1:195" s="7" customFormat="1">
      <c r="A56" s="4"/>
      <c r="B56" s="36"/>
      <c r="C56" s="48" t="s">
        <v>42</v>
      </c>
      <c r="D56" s="49">
        <f t="shared" si="27"/>
        <v>0.50001073980605204</v>
      </c>
      <c r="E56" s="19">
        <v>5.0000000000000001E-3</v>
      </c>
      <c r="F56" s="8"/>
      <c r="G56" s="49">
        <f>$E$56*$E$25*G41</f>
        <v>0</v>
      </c>
      <c r="H56" s="49">
        <f t="shared" ref="H56:AK56" si="31">$E$56*$E$25*H41</f>
        <v>7.3852379679144381E-3</v>
      </c>
      <c r="I56" s="49">
        <f t="shared" si="31"/>
        <v>5.8379826932885438E-2</v>
      </c>
      <c r="J56" s="49">
        <f t="shared" si="31"/>
        <v>0.25535989523633557</v>
      </c>
      <c r="K56" s="49">
        <f t="shared" si="31"/>
        <v>0</v>
      </c>
      <c r="L56" s="49">
        <f t="shared" si="31"/>
        <v>0</v>
      </c>
      <c r="M56" s="49">
        <f t="shared" si="31"/>
        <v>7.0388254294485295E-2</v>
      </c>
      <c r="N56" s="49">
        <f t="shared" si="31"/>
        <v>0.1084975253744313</v>
      </c>
      <c r="O56" s="49">
        <f t="shared" si="31"/>
        <v>0</v>
      </c>
      <c r="P56" s="49">
        <f t="shared" si="31"/>
        <v>0</v>
      </c>
      <c r="Q56" s="49">
        <f t="shared" si="31"/>
        <v>0</v>
      </c>
      <c r="R56" s="49">
        <f t="shared" si="31"/>
        <v>0</v>
      </c>
      <c r="S56" s="49">
        <f t="shared" si="31"/>
        <v>0</v>
      </c>
      <c r="T56" s="49">
        <f t="shared" si="31"/>
        <v>0</v>
      </c>
      <c r="U56" s="49">
        <f t="shared" si="31"/>
        <v>0</v>
      </c>
      <c r="V56" s="49">
        <f t="shared" si="31"/>
        <v>0</v>
      </c>
      <c r="W56" s="49">
        <f t="shared" si="31"/>
        <v>0</v>
      </c>
      <c r="X56" s="49">
        <f t="shared" si="31"/>
        <v>0</v>
      </c>
      <c r="Y56" s="49">
        <f t="shared" si="31"/>
        <v>0</v>
      </c>
      <c r="Z56" s="49">
        <f t="shared" si="31"/>
        <v>0</v>
      </c>
      <c r="AA56" s="49">
        <f t="shared" si="31"/>
        <v>0</v>
      </c>
      <c r="AB56" s="49">
        <f t="shared" si="31"/>
        <v>0</v>
      </c>
      <c r="AC56" s="49">
        <f t="shared" si="31"/>
        <v>0</v>
      </c>
      <c r="AD56" s="49">
        <f t="shared" si="31"/>
        <v>0</v>
      </c>
      <c r="AE56" s="49">
        <f t="shared" si="31"/>
        <v>0</v>
      </c>
      <c r="AF56" s="49">
        <f t="shared" si="31"/>
        <v>0</v>
      </c>
      <c r="AG56" s="49">
        <f t="shared" si="31"/>
        <v>0</v>
      </c>
      <c r="AH56" s="49">
        <f t="shared" si="31"/>
        <v>0</v>
      </c>
      <c r="AI56" s="49">
        <f t="shared" si="31"/>
        <v>0</v>
      </c>
      <c r="AJ56" s="49">
        <f t="shared" si="31"/>
        <v>0</v>
      </c>
      <c r="AK56" s="49">
        <f t="shared" si="31"/>
        <v>0</v>
      </c>
      <c r="AL56" s="42"/>
      <c r="AM56" s="43">
        <v>40</v>
      </c>
      <c r="AN56">
        <v>114.45769705166489</v>
      </c>
      <c r="AO56">
        <v>11.098836413863001</v>
      </c>
      <c r="AP56">
        <v>109.26608930126537</v>
      </c>
      <c r="AQ56">
        <v>94.426003515722556</v>
      </c>
      <c r="AR56">
        <v>10.853845724099832</v>
      </c>
      <c r="AS56">
        <v>192.95010573700006</v>
      </c>
      <c r="AT56">
        <v>6.6213460852557331</v>
      </c>
      <c r="AU56">
        <v>7.3380146261400885</v>
      </c>
      <c r="AV56"/>
      <c r="AW56"/>
      <c r="FY56" s="210">
        <v>51</v>
      </c>
      <c r="FZ56">
        <v>22.840127994282216</v>
      </c>
      <c r="GA56">
        <v>29.582057946251901</v>
      </c>
      <c r="GB56">
        <v>3.130406774458808</v>
      </c>
      <c r="GC56">
        <v>1.3384661464083416</v>
      </c>
      <c r="GD56">
        <v>1.2181695947838656</v>
      </c>
      <c r="GE56">
        <v>3.095502150174553</v>
      </c>
      <c r="GF56">
        <v>6.1501634400522711</v>
      </c>
      <c r="GG56">
        <v>11.137259940866812</v>
      </c>
      <c r="GH56">
        <v>12.786365225785399</v>
      </c>
      <c r="GI56">
        <v>7.989237482829715</v>
      </c>
      <c r="GJ56"/>
      <c r="GK56"/>
      <c r="GL56"/>
      <c r="GM56"/>
    </row>
    <row r="57" spans="1:195" s="7" customFormat="1">
      <c r="A57" s="4"/>
      <c r="B57" s="36"/>
      <c r="C57" s="48" t="s">
        <v>118</v>
      </c>
      <c r="D57" s="49">
        <f t="shared" si="27"/>
        <v>1.4394197091163283</v>
      </c>
      <c r="E57" s="19">
        <v>5.0000000000000001E-3</v>
      </c>
      <c r="F57" s="8"/>
      <c r="G57" s="49">
        <f>$E$57*$E$26*G42</f>
        <v>0</v>
      </c>
      <c r="H57" s="49">
        <f t="shared" ref="H57:AK57" si="32">$E$57*$E$26*H42</f>
        <v>3.5989452498328876E-2</v>
      </c>
      <c r="I57" s="49">
        <f t="shared" si="32"/>
        <v>0.25011228181447037</v>
      </c>
      <c r="J57" s="49">
        <f t="shared" si="32"/>
        <v>0.54569557481063458</v>
      </c>
      <c r="K57" s="49">
        <f t="shared" si="32"/>
        <v>5.638350100026706E-2</v>
      </c>
      <c r="L57" s="49">
        <f t="shared" si="32"/>
        <v>0.10548202178668772</v>
      </c>
      <c r="M57" s="49">
        <f t="shared" si="32"/>
        <v>0.22876182645707721</v>
      </c>
      <c r="N57" s="49">
        <f t="shared" si="32"/>
        <v>0.21699505074886261</v>
      </c>
      <c r="O57" s="49">
        <f t="shared" si="32"/>
        <v>0</v>
      </c>
      <c r="P57" s="49">
        <f t="shared" si="32"/>
        <v>0</v>
      </c>
      <c r="Q57" s="49">
        <f t="shared" si="32"/>
        <v>0</v>
      </c>
      <c r="R57" s="49">
        <f t="shared" si="32"/>
        <v>0</v>
      </c>
      <c r="S57" s="49">
        <f t="shared" si="32"/>
        <v>0</v>
      </c>
      <c r="T57" s="49">
        <f t="shared" si="32"/>
        <v>0</v>
      </c>
      <c r="U57" s="49">
        <f t="shared" si="32"/>
        <v>0</v>
      </c>
      <c r="V57" s="49">
        <f t="shared" si="32"/>
        <v>0</v>
      </c>
      <c r="W57" s="49">
        <f t="shared" si="32"/>
        <v>0</v>
      </c>
      <c r="X57" s="49">
        <f t="shared" si="32"/>
        <v>0</v>
      </c>
      <c r="Y57" s="49">
        <f t="shared" si="32"/>
        <v>0</v>
      </c>
      <c r="Z57" s="49">
        <f t="shared" si="32"/>
        <v>0</v>
      </c>
      <c r="AA57" s="49">
        <f t="shared" si="32"/>
        <v>0</v>
      </c>
      <c r="AB57" s="49">
        <f t="shared" si="32"/>
        <v>0</v>
      </c>
      <c r="AC57" s="49">
        <f t="shared" si="32"/>
        <v>0</v>
      </c>
      <c r="AD57" s="49">
        <f t="shared" si="32"/>
        <v>0</v>
      </c>
      <c r="AE57" s="49">
        <f t="shared" si="32"/>
        <v>0</v>
      </c>
      <c r="AF57" s="49">
        <f t="shared" si="32"/>
        <v>0</v>
      </c>
      <c r="AG57" s="49">
        <f t="shared" si="32"/>
        <v>0</v>
      </c>
      <c r="AH57" s="49">
        <f t="shared" si="32"/>
        <v>0</v>
      </c>
      <c r="AI57" s="49">
        <f t="shared" si="32"/>
        <v>0</v>
      </c>
      <c r="AJ57" s="49">
        <f t="shared" si="32"/>
        <v>0</v>
      </c>
      <c r="AK57" s="49">
        <f t="shared" si="32"/>
        <v>0</v>
      </c>
      <c r="AL57" s="42"/>
      <c r="AM57" s="43">
        <v>41</v>
      </c>
      <c r="AN57">
        <v>158.93578469857164</v>
      </c>
      <c r="AO57">
        <v>16.215292980839116</v>
      </c>
      <c r="AP57">
        <v>169.5386336769688</v>
      </c>
      <c r="AQ57">
        <v>145.07818102334784</v>
      </c>
      <c r="AR57">
        <v>15.28357217234554</v>
      </c>
      <c r="AS57">
        <v>225.7812030535336</v>
      </c>
      <c r="AT57">
        <v>9.8424091508279634</v>
      </c>
      <c r="AU57">
        <v>15.222278022496472</v>
      </c>
      <c r="AV57"/>
      <c r="AW57"/>
      <c r="FY57" s="210">
        <v>52</v>
      </c>
      <c r="FZ57">
        <v>1.2592527741401085</v>
      </c>
      <c r="GA57">
        <v>4.1224408112697919</v>
      </c>
      <c r="GB57">
        <v>3.6823401528320314</v>
      </c>
      <c r="GC57">
        <v>1.4170132621984584</v>
      </c>
      <c r="GD57">
        <v>0.53518843229289892</v>
      </c>
      <c r="GE57">
        <v>1.6872384398706277</v>
      </c>
      <c r="GF57">
        <v>12.33740276304111</v>
      </c>
      <c r="GG57">
        <v>11.975280804710728</v>
      </c>
      <c r="GH57">
        <v>6.5828193150689094</v>
      </c>
      <c r="GI57">
        <v>4.6912912078410711</v>
      </c>
      <c r="GJ57"/>
      <c r="GK57"/>
      <c r="GL57"/>
      <c r="GM57"/>
    </row>
    <row r="58" spans="1:195" s="7" customFormat="1">
      <c r="A58" s="4"/>
      <c r="B58" s="1"/>
      <c r="C58" s="48" t="s">
        <v>119</v>
      </c>
      <c r="D58" s="49">
        <f t="shared" si="27"/>
        <v>16.814629029054601</v>
      </c>
      <c r="E58" s="19">
        <v>1.9826368600276503E-2</v>
      </c>
      <c r="F58" s="8"/>
      <c r="G58" s="49">
        <f>$E$58*$E$27*G43</f>
        <v>0</v>
      </c>
      <c r="H58" s="49">
        <f t="shared" ref="H58:AK58" si="33">$E$58*$E$27*H43</f>
        <v>0.1200190481727464</v>
      </c>
      <c r="I58" s="49">
        <f t="shared" si="33"/>
        <v>6.1526194342232667</v>
      </c>
      <c r="J58" s="49">
        <f t="shared" si="33"/>
        <v>2.264226601403839</v>
      </c>
      <c r="K58" s="49">
        <f t="shared" si="33"/>
        <v>7.2708783133756549</v>
      </c>
      <c r="L58" s="49">
        <f t="shared" si="33"/>
        <v>0.54897292921938279</v>
      </c>
      <c r="M58" s="49">
        <f t="shared" si="33"/>
        <v>0.45791270265971379</v>
      </c>
      <c r="N58" s="49">
        <f t="shared" si="33"/>
        <v>0</v>
      </c>
      <c r="O58" s="49">
        <f t="shared" si="33"/>
        <v>0</v>
      </c>
      <c r="P58" s="49">
        <f t="shared" si="33"/>
        <v>0</v>
      </c>
      <c r="Q58" s="49">
        <f t="shared" si="33"/>
        <v>0</v>
      </c>
      <c r="R58" s="49">
        <f t="shared" si="33"/>
        <v>0</v>
      </c>
      <c r="S58" s="49">
        <f t="shared" si="33"/>
        <v>0</v>
      </c>
      <c r="T58" s="49">
        <f t="shared" si="33"/>
        <v>0</v>
      </c>
      <c r="U58" s="49">
        <f t="shared" si="33"/>
        <v>0</v>
      </c>
      <c r="V58" s="49">
        <f t="shared" si="33"/>
        <v>0</v>
      </c>
      <c r="W58" s="49">
        <f t="shared" si="33"/>
        <v>0</v>
      </c>
      <c r="X58" s="49">
        <f t="shared" si="33"/>
        <v>0</v>
      </c>
      <c r="Y58" s="49">
        <f t="shared" si="33"/>
        <v>0</v>
      </c>
      <c r="Z58" s="49">
        <f t="shared" si="33"/>
        <v>0</v>
      </c>
      <c r="AA58" s="49">
        <f t="shared" si="33"/>
        <v>0</v>
      </c>
      <c r="AB58" s="49">
        <f t="shared" si="33"/>
        <v>0</v>
      </c>
      <c r="AC58" s="49">
        <f t="shared" si="33"/>
        <v>0</v>
      </c>
      <c r="AD58" s="49">
        <f t="shared" si="33"/>
        <v>0</v>
      </c>
      <c r="AE58" s="49">
        <f t="shared" si="33"/>
        <v>0</v>
      </c>
      <c r="AF58" s="49">
        <f t="shared" si="33"/>
        <v>0</v>
      </c>
      <c r="AG58" s="49">
        <f t="shared" si="33"/>
        <v>0</v>
      </c>
      <c r="AH58" s="49">
        <f t="shared" si="33"/>
        <v>0</v>
      </c>
      <c r="AI58" s="49">
        <f t="shared" si="33"/>
        <v>0</v>
      </c>
      <c r="AJ58" s="49">
        <f t="shared" si="33"/>
        <v>0</v>
      </c>
      <c r="AK58" s="49">
        <f t="shared" si="33"/>
        <v>0</v>
      </c>
      <c r="AL58" s="42"/>
      <c r="AM58" s="43">
        <v>42</v>
      </c>
      <c r="AN58">
        <v>97.354713819902557</v>
      </c>
      <c r="AO58">
        <v>8.3106523853580683</v>
      </c>
      <c r="AP58">
        <v>78.965338119466537</v>
      </c>
      <c r="AQ58">
        <v>66.375314144438619</v>
      </c>
      <c r="AR58">
        <v>7.9342433833403421</v>
      </c>
      <c r="AS58">
        <v>134.39800640896019</v>
      </c>
      <c r="AT58">
        <v>4.8553815474748712</v>
      </c>
      <c r="AU58">
        <v>15.195343118327571</v>
      </c>
      <c r="AV58"/>
      <c r="AW58"/>
      <c r="FY58" s="210">
        <v>53</v>
      </c>
      <c r="FZ58">
        <v>35.568321018799146</v>
      </c>
      <c r="GA58">
        <v>41.944497929891519</v>
      </c>
      <c r="GB58">
        <v>3.6725454549298808</v>
      </c>
      <c r="GC58">
        <v>1.399097655402626</v>
      </c>
      <c r="GD58">
        <v>1.1242372057975789</v>
      </c>
      <c r="GE58">
        <v>3.6652575782412322</v>
      </c>
      <c r="GF58">
        <v>6.0823653934932418</v>
      </c>
      <c r="GG58">
        <v>4.4443139050863198</v>
      </c>
      <c r="GH58">
        <v>5.9836748529608021</v>
      </c>
      <c r="GI58">
        <v>8.8762947571128024</v>
      </c>
      <c r="GJ58"/>
      <c r="GK58"/>
      <c r="GL58"/>
      <c r="GM58"/>
    </row>
    <row r="59" spans="1:195" s="7" customFormat="1">
      <c r="A59" s="4"/>
      <c r="B59" s="1"/>
      <c r="C59" s="48" t="s">
        <v>120</v>
      </c>
      <c r="D59" s="49">
        <f t="shared" si="27"/>
        <v>15.973531113659471</v>
      </c>
      <c r="E59" s="19">
        <v>1.9826E-2</v>
      </c>
      <c r="F59" s="8"/>
      <c r="G59" s="49">
        <f>$E$59*$E$28*G44</f>
        <v>0</v>
      </c>
      <c r="H59" s="49">
        <f t="shared" ref="H59:AK59" si="34">$E$59*$E$28*H44</f>
        <v>0.14140533512899545</v>
      </c>
      <c r="I59" s="49">
        <f t="shared" si="34"/>
        <v>5.1475567477941775</v>
      </c>
      <c r="J59" s="49">
        <f t="shared" si="34"/>
        <v>1.9910404605671626</v>
      </c>
      <c r="K59" s="49">
        <f t="shared" si="34"/>
        <v>5.973562712204866</v>
      </c>
      <c r="L59" s="49">
        <f t="shared" si="34"/>
        <v>1.3593362665628663</v>
      </c>
      <c r="M59" s="49">
        <f t="shared" si="34"/>
        <v>1.3606295914014042</v>
      </c>
      <c r="N59" s="49">
        <f t="shared" si="34"/>
        <v>0</v>
      </c>
      <c r="O59" s="49">
        <f t="shared" si="34"/>
        <v>0</v>
      </c>
      <c r="P59" s="49">
        <f t="shared" si="34"/>
        <v>0</v>
      </c>
      <c r="Q59" s="49">
        <f t="shared" si="34"/>
        <v>0</v>
      </c>
      <c r="R59" s="49">
        <f t="shared" si="34"/>
        <v>0</v>
      </c>
      <c r="S59" s="49">
        <f t="shared" si="34"/>
        <v>0</v>
      </c>
      <c r="T59" s="49">
        <f t="shared" si="34"/>
        <v>0</v>
      </c>
      <c r="U59" s="49">
        <f t="shared" si="34"/>
        <v>0</v>
      </c>
      <c r="V59" s="49">
        <f t="shared" si="34"/>
        <v>0</v>
      </c>
      <c r="W59" s="49">
        <f t="shared" si="34"/>
        <v>0</v>
      </c>
      <c r="X59" s="49">
        <f t="shared" si="34"/>
        <v>0</v>
      </c>
      <c r="Y59" s="49">
        <f t="shared" si="34"/>
        <v>0</v>
      </c>
      <c r="Z59" s="49">
        <f t="shared" si="34"/>
        <v>0</v>
      </c>
      <c r="AA59" s="49">
        <f t="shared" si="34"/>
        <v>0</v>
      </c>
      <c r="AB59" s="49">
        <f t="shared" si="34"/>
        <v>0</v>
      </c>
      <c r="AC59" s="49">
        <f t="shared" si="34"/>
        <v>0</v>
      </c>
      <c r="AD59" s="49">
        <f t="shared" si="34"/>
        <v>0</v>
      </c>
      <c r="AE59" s="49">
        <f t="shared" si="34"/>
        <v>0</v>
      </c>
      <c r="AF59" s="49">
        <f t="shared" si="34"/>
        <v>0</v>
      </c>
      <c r="AG59" s="49">
        <f t="shared" si="34"/>
        <v>0</v>
      </c>
      <c r="AH59" s="49">
        <f t="shared" si="34"/>
        <v>0</v>
      </c>
      <c r="AI59" s="49">
        <f t="shared" si="34"/>
        <v>0</v>
      </c>
      <c r="AJ59" s="49">
        <f t="shared" si="34"/>
        <v>0</v>
      </c>
      <c r="AK59" s="49">
        <f t="shared" si="34"/>
        <v>0</v>
      </c>
      <c r="AL59" s="42"/>
      <c r="AM59" s="43">
        <v>43</v>
      </c>
      <c r="AN59">
        <v>82.047599821131442</v>
      </c>
      <c r="AO59">
        <v>4.8569329391419664</v>
      </c>
      <c r="AP59">
        <v>41.905015049442518</v>
      </c>
      <c r="AQ59">
        <v>34.197958950103711</v>
      </c>
      <c r="AR59">
        <v>4.6367893718552615</v>
      </c>
      <c r="AS59">
        <v>85.065731932868005</v>
      </c>
      <c r="AT59">
        <v>2.6373712700576211</v>
      </c>
      <c r="AU59">
        <v>6.3757470962312395</v>
      </c>
      <c r="AV59"/>
      <c r="AW59"/>
      <c r="FY59" s="210">
        <v>54</v>
      </c>
      <c r="FZ59">
        <v>21.862636198544834</v>
      </c>
      <c r="GA59">
        <v>27.11315539560287</v>
      </c>
      <c r="GB59">
        <v>2.5095146294835509</v>
      </c>
      <c r="GC59">
        <v>1.1629960778649944</v>
      </c>
      <c r="GD59">
        <v>0.42656769754007007</v>
      </c>
      <c r="GE59">
        <v>4.2075762258600982</v>
      </c>
      <c r="GF59">
        <v>6.5678125329770278</v>
      </c>
      <c r="GG59">
        <v>3.1732719259153117</v>
      </c>
      <c r="GH59">
        <v>8.2457322770291128</v>
      </c>
      <c r="GI59">
        <v>6.5853139435315038</v>
      </c>
      <c r="GJ59"/>
      <c r="GK59"/>
      <c r="GL59"/>
      <c r="GM59"/>
    </row>
    <row r="60" spans="1:195" s="7" customFormat="1">
      <c r="A60" s="4"/>
      <c r="B60" s="1"/>
      <c r="C60" s="48" t="s">
        <v>121</v>
      </c>
      <c r="D60" s="49">
        <f t="shared" si="27"/>
        <v>18.457791245404735</v>
      </c>
      <c r="E60" s="19">
        <v>3.3105828673915851E-2</v>
      </c>
      <c r="F60" s="8"/>
      <c r="G60" s="49">
        <f>$E$60*$E$29*G45</f>
        <v>0</v>
      </c>
      <c r="H60" s="49">
        <f t="shared" ref="H60:AK60" si="35">$E$60*$E$29*H45</f>
        <v>0.23006690300177018</v>
      </c>
      <c r="I60" s="49">
        <f t="shared" si="35"/>
        <v>3.5513016451658737</v>
      </c>
      <c r="J60" s="49">
        <f t="shared" si="35"/>
        <v>1.7456596328571414</v>
      </c>
      <c r="K60" s="49">
        <f t="shared" si="35"/>
        <v>5.4192132709157743</v>
      </c>
      <c r="L60" s="49">
        <f t="shared" si="35"/>
        <v>2.6539730035007407</v>
      </c>
      <c r="M60" s="49">
        <f t="shared" si="35"/>
        <v>2.5827064817899208</v>
      </c>
      <c r="N60" s="49">
        <f t="shared" si="35"/>
        <v>2.2748703081735147</v>
      </c>
      <c r="O60" s="49">
        <f t="shared" si="35"/>
        <v>0</v>
      </c>
      <c r="P60" s="49">
        <f t="shared" si="35"/>
        <v>0</v>
      </c>
      <c r="Q60" s="49">
        <f t="shared" si="35"/>
        <v>0</v>
      </c>
      <c r="R60" s="49">
        <f t="shared" si="35"/>
        <v>0</v>
      </c>
      <c r="S60" s="49">
        <f t="shared" si="35"/>
        <v>0</v>
      </c>
      <c r="T60" s="49">
        <f t="shared" si="35"/>
        <v>0</v>
      </c>
      <c r="U60" s="49">
        <f t="shared" si="35"/>
        <v>0</v>
      </c>
      <c r="V60" s="49">
        <f t="shared" si="35"/>
        <v>0</v>
      </c>
      <c r="W60" s="49">
        <f t="shared" si="35"/>
        <v>0</v>
      </c>
      <c r="X60" s="49">
        <f t="shared" si="35"/>
        <v>0</v>
      </c>
      <c r="Y60" s="49">
        <f t="shared" si="35"/>
        <v>0</v>
      </c>
      <c r="Z60" s="49">
        <f t="shared" si="35"/>
        <v>0</v>
      </c>
      <c r="AA60" s="49">
        <f t="shared" si="35"/>
        <v>0</v>
      </c>
      <c r="AB60" s="49">
        <f t="shared" si="35"/>
        <v>0</v>
      </c>
      <c r="AC60" s="49">
        <f t="shared" si="35"/>
        <v>0</v>
      </c>
      <c r="AD60" s="49">
        <f t="shared" si="35"/>
        <v>0</v>
      </c>
      <c r="AE60" s="49">
        <f t="shared" si="35"/>
        <v>0</v>
      </c>
      <c r="AF60" s="49">
        <f t="shared" si="35"/>
        <v>0</v>
      </c>
      <c r="AG60" s="49">
        <f t="shared" si="35"/>
        <v>0</v>
      </c>
      <c r="AH60" s="49">
        <f t="shared" si="35"/>
        <v>0</v>
      </c>
      <c r="AI60" s="49">
        <f t="shared" si="35"/>
        <v>0</v>
      </c>
      <c r="AJ60" s="49">
        <f t="shared" si="35"/>
        <v>0</v>
      </c>
      <c r="AK60" s="49">
        <f t="shared" si="35"/>
        <v>0</v>
      </c>
      <c r="AL60" s="42"/>
      <c r="AM60" s="43">
        <v>44</v>
      </c>
      <c r="AN60">
        <v>128.31568480913796</v>
      </c>
      <c r="AO60">
        <v>13.549765217303195</v>
      </c>
      <c r="AP60">
        <v>142.49625005857638</v>
      </c>
      <c r="AQ60">
        <v>121.68760610791782</v>
      </c>
      <c r="AR60">
        <v>13.157125548077797</v>
      </c>
      <c r="AS60">
        <v>186.40913869027378</v>
      </c>
      <c r="AT60">
        <v>7.8878495122367616</v>
      </c>
      <c r="AU60">
        <v>14.482132181600953</v>
      </c>
      <c r="AV60"/>
      <c r="AW60"/>
      <c r="FY60" s="210">
        <v>55</v>
      </c>
      <c r="FZ60">
        <v>23.779497231235077</v>
      </c>
      <c r="GA60">
        <v>26.240768920527653</v>
      </c>
      <c r="GB60">
        <v>2.3048098144846856</v>
      </c>
      <c r="GC60">
        <v>1.4420542186645515</v>
      </c>
      <c r="GD60">
        <v>0.31618186408412813</v>
      </c>
      <c r="GE60">
        <v>1.4280521370228079</v>
      </c>
      <c r="GF60">
        <v>4.6929196701287514</v>
      </c>
      <c r="GG60">
        <v>6.4357640376460772</v>
      </c>
      <c r="GH60">
        <v>9.4511773779119874</v>
      </c>
      <c r="GI60">
        <v>6.604809085484149</v>
      </c>
      <c r="GJ60"/>
      <c r="GK60"/>
      <c r="GL60"/>
      <c r="GM60"/>
    </row>
    <row r="61" spans="1:195" s="7" customFormat="1">
      <c r="A61" s="4"/>
      <c r="B61" s="1"/>
      <c r="C61" s="48" t="s">
        <v>122</v>
      </c>
      <c r="D61" s="49">
        <f t="shared" si="27"/>
        <v>10.30645855676018</v>
      </c>
      <c r="E61" s="19">
        <v>3.5000000000000003E-2</v>
      </c>
      <c r="F61" s="8"/>
      <c r="G61" s="49">
        <f>$E$61*$E$30*G46</f>
        <v>0</v>
      </c>
      <c r="H61" s="49">
        <f t="shared" ref="H61:AK61" si="36">$E$61*$E$30*H46</f>
        <v>5.7850547799058544E-2</v>
      </c>
      <c r="I61" s="49">
        <f t="shared" si="36"/>
        <v>1.668070805689055</v>
      </c>
      <c r="J61" s="49">
        <f t="shared" si="36"/>
        <v>1.2613686926533942</v>
      </c>
      <c r="K61" s="49">
        <f t="shared" si="36"/>
        <v>2.6032734838454918</v>
      </c>
      <c r="L61" s="49">
        <f t="shared" si="36"/>
        <v>1.4340866873132347</v>
      </c>
      <c r="M61" s="49">
        <f t="shared" si="36"/>
        <v>1.8134751627259753</v>
      </c>
      <c r="N61" s="49">
        <f t="shared" si="36"/>
        <v>1.4683331767339702</v>
      </c>
      <c r="O61" s="49">
        <f t="shared" si="36"/>
        <v>0</v>
      </c>
      <c r="P61" s="49">
        <f t="shared" si="36"/>
        <v>0</v>
      </c>
      <c r="Q61" s="49">
        <f t="shared" si="36"/>
        <v>0</v>
      </c>
      <c r="R61" s="49">
        <f t="shared" si="36"/>
        <v>0</v>
      </c>
      <c r="S61" s="49">
        <f t="shared" si="36"/>
        <v>0</v>
      </c>
      <c r="T61" s="49">
        <f t="shared" si="36"/>
        <v>0</v>
      </c>
      <c r="U61" s="49">
        <f t="shared" si="36"/>
        <v>0</v>
      </c>
      <c r="V61" s="49">
        <f t="shared" si="36"/>
        <v>0</v>
      </c>
      <c r="W61" s="49">
        <f t="shared" si="36"/>
        <v>0</v>
      </c>
      <c r="X61" s="49">
        <f t="shared" si="36"/>
        <v>0</v>
      </c>
      <c r="Y61" s="49">
        <f t="shared" si="36"/>
        <v>0</v>
      </c>
      <c r="Z61" s="49">
        <f t="shared" si="36"/>
        <v>0</v>
      </c>
      <c r="AA61" s="49">
        <f t="shared" si="36"/>
        <v>0</v>
      </c>
      <c r="AB61" s="49">
        <f t="shared" si="36"/>
        <v>0</v>
      </c>
      <c r="AC61" s="49">
        <f t="shared" si="36"/>
        <v>0</v>
      </c>
      <c r="AD61" s="49">
        <f t="shared" si="36"/>
        <v>0</v>
      </c>
      <c r="AE61" s="49">
        <f t="shared" si="36"/>
        <v>0</v>
      </c>
      <c r="AF61" s="49">
        <f t="shared" si="36"/>
        <v>0</v>
      </c>
      <c r="AG61" s="49">
        <f t="shared" si="36"/>
        <v>0</v>
      </c>
      <c r="AH61" s="49">
        <f t="shared" si="36"/>
        <v>0</v>
      </c>
      <c r="AI61" s="49">
        <f t="shared" si="36"/>
        <v>0</v>
      </c>
      <c r="AJ61" s="49">
        <f t="shared" si="36"/>
        <v>0</v>
      </c>
      <c r="AK61" s="49">
        <f t="shared" si="36"/>
        <v>0</v>
      </c>
      <c r="AL61" s="42"/>
      <c r="AM61" s="43">
        <v>45</v>
      </c>
      <c r="AN61">
        <v>81.736846874506099</v>
      </c>
      <c r="AO61">
        <v>8.5282265395019756</v>
      </c>
      <c r="AP61">
        <v>88.203176585844218</v>
      </c>
      <c r="AQ61">
        <v>76.760243923071314</v>
      </c>
      <c r="AR61">
        <v>8.4059407143142284</v>
      </c>
      <c r="AS61">
        <v>146.61345053424864</v>
      </c>
      <c r="AT61">
        <v>5.2014041293397453</v>
      </c>
      <c r="AU61">
        <v>14.049724618996589</v>
      </c>
      <c r="AV61"/>
      <c r="AW61"/>
      <c r="FY61" s="210">
        <v>56</v>
      </c>
      <c r="FZ61">
        <v>11.091585577258869</v>
      </c>
      <c r="GA61">
        <v>13.620421870069336</v>
      </c>
      <c r="GB61">
        <v>0.98164991584523742</v>
      </c>
      <c r="GC61">
        <v>0.57810208535837471</v>
      </c>
      <c r="GD61">
        <v>1.2600932690522892</v>
      </c>
      <c r="GE61">
        <v>3.1624970268014159</v>
      </c>
      <c r="GF61">
        <v>3.6710621395772769</v>
      </c>
      <c r="GG61">
        <v>3.2210041458473713</v>
      </c>
      <c r="GH61">
        <v>4.0648603787963875</v>
      </c>
      <c r="GI61">
        <v>3.921284952016765</v>
      </c>
      <c r="GJ61"/>
      <c r="GK61"/>
      <c r="GL61"/>
      <c r="GM61"/>
    </row>
    <row r="62" spans="1:195" s="7" customFormat="1">
      <c r="A62" s="4"/>
      <c r="B62" s="1"/>
      <c r="C62" s="48"/>
      <c r="D62" s="49"/>
      <c r="E62" s="19"/>
      <c r="F62" s="8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2"/>
      <c r="AM62" s="43">
        <v>46</v>
      </c>
      <c r="AN62">
        <v>127.23100593581646</v>
      </c>
      <c r="AO62">
        <v>8.0573878844000593</v>
      </c>
      <c r="AP62">
        <v>77.935442122533871</v>
      </c>
      <c r="AQ62">
        <v>65.779364864889487</v>
      </c>
      <c r="AR62">
        <v>7.5347055274294696</v>
      </c>
      <c r="AS62">
        <v>164.18396023052546</v>
      </c>
      <c r="AT62">
        <v>4.4674138416353717</v>
      </c>
      <c r="AU62">
        <v>70.708538502428198</v>
      </c>
      <c r="AV62"/>
      <c r="AW62"/>
      <c r="FY62" s="210">
        <v>57</v>
      </c>
      <c r="FZ62">
        <v>42.768082579037845</v>
      </c>
      <c r="GA62">
        <v>51.515188420281696</v>
      </c>
      <c r="GB62">
        <v>2.9605608435802915</v>
      </c>
      <c r="GC62">
        <v>1.705034387482032</v>
      </c>
      <c r="GD62">
        <v>1.158401611744216</v>
      </c>
      <c r="GE62">
        <v>2.1950361197160504</v>
      </c>
      <c r="GF62">
        <v>1.6074596958434</v>
      </c>
      <c r="GG62">
        <v>2.0483225385625117</v>
      </c>
      <c r="GH62">
        <v>4.0426908294610993</v>
      </c>
      <c r="GI62">
        <v>8.6464874845136936</v>
      </c>
      <c r="GJ62"/>
      <c r="GK62"/>
      <c r="GL62"/>
      <c r="GM62"/>
    </row>
    <row r="63" spans="1:195" s="7" customFormat="1">
      <c r="A63" s="4"/>
      <c r="B63" s="1"/>
      <c r="C63" s="52" t="s">
        <v>53</v>
      </c>
      <c r="D63" s="53">
        <f>SUM(D52:D62)</f>
        <v>128.16190982943868</v>
      </c>
      <c r="E63" s="19"/>
      <c r="F63" s="19"/>
      <c r="G63" s="19"/>
      <c r="H63" s="19"/>
      <c r="I63" s="18"/>
      <c r="J63" s="19"/>
      <c r="K63" s="61"/>
      <c r="L63" s="19"/>
      <c r="M63" s="18"/>
      <c r="N63" s="19"/>
      <c r="O63" s="19"/>
      <c r="P63" s="19"/>
      <c r="Q63" s="18"/>
      <c r="R63" s="18"/>
      <c r="S63" s="18"/>
      <c r="T63" s="18"/>
      <c r="U63" s="18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3"/>
      <c r="AH63" s="63"/>
      <c r="AI63" s="63"/>
      <c r="AJ63" s="63"/>
      <c r="AK63" s="63"/>
      <c r="AL63" s="42"/>
      <c r="AM63" s="43">
        <v>47</v>
      </c>
      <c r="AN63">
        <v>76.339251451967002</v>
      </c>
      <c r="AO63">
        <v>9.1988191835592641</v>
      </c>
      <c r="AP63">
        <v>93.767756751506397</v>
      </c>
      <c r="AQ63">
        <v>80.777230568670802</v>
      </c>
      <c r="AR63">
        <v>8.9461544296647908</v>
      </c>
      <c r="AS63">
        <v>126.19871814422669</v>
      </c>
      <c r="AT63">
        <v>5.4628029026692788</v>
      </c>
      <c r="AU63">
        <v>31.595727879759281</v>
      </c>
      <c r="AV63"/>
      <c r="AW63"/>
      <c r="FY63" s="210">
        <v>58</v>
      </c>
      <c r="FZ63">
        <v>12.811596771152772</v>
      </c>
      <c r="GA63">
        <v>14.661346733998093</v>
      </c>
      <c r="GB63">
        <v>2.2409222538715881</v>
      </c>
      <c r="GC63">
        <v>1.0553331225888598</v>
      </c>
      <c r="GD63">
        <v>0.3645046596586673</v>
      </c>
      <c r="GE63">
        <v>1.610938422283962</v>
      </c>
      <c r="GF63">
        <v>4.4056698703210015</v>
      </c>
      <c r="GG63">
        <v>3.4100785847600354</v>
      </c>
      <c r="GH63">
        <v>4.8622928072937661</v>
      </c>
      <c r="GI63">
        <v>4.2255775810116987</v>
      </c>
      <c r="GJ63"/>
      <c r="GK63"/>
      <c r="GL63"/>
      <c r="GM63"/>
    </row>
    <row r="64" spans="1:195" s="7" customFormat="1">
      <c r="A64" s="4"/>
      <c r="B64" s="1"/>
      <c r="C64" s="64"/>
      <c r="D64" s="64"/>
      <c r="E64" s="64"/>
      <c r="F64" s="64"/>
      <c r="G64" s="64"/>
      <c r="H64" s="64"/>
      <c r="I64" s="64"/>
      <c r="J64" s="62"/>
      <c r="K64" s="64"/>
      <c r="L64" s="64"/>
      <c r="M64" s="64"/>
      <c r="N64" s="65"/>
      <c r="O64" s="64"/>
      <c r="P64" s="65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3"/>
      <c r="AH64" s="63"/>
      <c r="AI64" s="63"/>
      <c r="AJ64" s="63"/>
      <c r="AK64" s="63"/>
      <c r="AL64" s="42"/>
      <c r="AM64" s="43">
        <v>48</v>
      </c>
      <c r="AN64">
        <v>123.95549551384417</v>
      </c>
      <c r="AO64">
        <v>11.40078287059114</v>
      </c>
      <c r="AP64">
        <v>116.40271490016767</v>
      </c>
      <c r="AQ64">
        <v>98.572753371229467</v>
      </c>
      <c r="AR64">
        <v>11.091777534616192</v>
      </c>
      <c r="AS64">
        <v>188.16094293548241</v>
      </c>
      <c r="AT64">
        <v>6.7619721098053809</v>
      </c>
      <c r="AU64">
        <v>71.632895179781968</v>
      </c>
      <c r="AV64"/>
      <c r="AW64"/>
      <c r="FY64" s="210">
        <v>59</v>
      </c>
      <c r="FZ64">
        <v>34.599738472090436</v>
      </c>
      <c r="GA64">
        <v>39.990919025773941</v>
      </c>
      <c r="GB64">
        <v>2.1481341471357425</v>
      </c>
      <c r="GC64">
        <v>1.2252288668548659</v>
      </c>
      <c r="GD64">
        <v>1.1658168393586972</v>
      </c>
      <c r="GE64">
        <v>2.8204170288044201</v>
      </c>
      <c r="GF64">
        <v>7.801059036957577</v>
      </c>
      <c r="GG64">
        <v>7.9228778226608867</v>
      </c>
      <c r="GH64">
        <v>7.1488867551376787</v>
      </c>
      <c r="GI64">
        <v>8.8649088543676058</v>
      </c>
      <c r="GJ64"/>
      <c r="GK64"/>
      <c r="GL64"/>
      <c r="GM64"/>
    </row>
    <row r="65" spans="1:195" s="7" customFormat="1">
      <c r="A65" s="4"/>
      <c r="B65" s="66"/>
      <c r="C65" s="66"/>
      <c r="D65" s="66"/>
      <c r="E65" s="66"/>
      <c r="F65" s="66"/>
      <c r="G65" s="66"/>
      <c r="H65" s="66"/>
      <c r="I65" s="66"/>
      <c r="J65" s="67"/>
      <c r="K65" s="66"/>
      <c r="L65" s="66"/>
      <c r="M65" s="66"/>
      <c r="N65" s="42"/>
      <c r="O65" s="66"/>
      <c r="P65" s="42"/>
      <c r="Q65" s="66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3">
        <v>49</v>
      </c>
      <c r="AN65">
        <v>88.404202102967531</v>
      </c>
      <c r="AO65">
        <v>11.77521024799098</v>
      </c>
      <c r="AP65">
        <v>125.5966247755056</v>
      </c>
      <c r="AQ65">
        <v>107.72112480830398</v>
      </c>
      <c r="AR65">
        <v>11.323491249303435</v>
      </c>
      <c r="AS65">
        <v>148.66149340227614</v>
      </c>
      <c r="AT65">
        <v>7.1586942631927402</v>
      </c>
      <c r="AU65">
        <v>19.426335123261538</v>
      </c>
      <c r="AV65"/>
      <c r="AW65"/>
      <c r="FY65" s="210">
        <v>60</v>
      </c>
      <c r="FZ65">
        <v>15.38360972972516</v>
      </c>
      <c r="GA65">
        <v>15.857111283081373</v>
      </c>
      <c r="GB65">
        <v>3.6309028807420689</v>
      </c>
      <c r="GC65">
        <v>1.8902026302061992</v>
      </c>
      <c r="GD65">
        <v>1.041574529218479</v>
      </c>
      <c r="GE65">
        <v>3.8245115787301773</v>
      </c>
      <c r="GF65">
        <v>6.86513193708653</v>
      </c>
      <c r="GG65">
        <v>9.2487097482661085</v>
      </c>
      <c r="GH65">
        <v>13.131400227221453</v>
      </c>
      <c r="GI65">
        <v>7.0947128914061039</v>
      </c>
      <c r="GJ65"/>
      <c r="GK65"/>
      <c r="GL65"/>
      <c r="GM65"/>
    </row>
    <row r="66" spans="1:195" s="7" customFormat="1">
      <c r="A66" s="4"/>
      <c r="B66" s="68"/>
      <c r="C66" s="68"/>
      <c r="D66" s="68"/>
      <c r="E66" s="68"/>
      <c r="F66" s="68"/>
      <c r="G66" s="68"/>
      <c r="H66" s="68"/>
      <c r="I66" s="68"/>
      <c r="J66" s="69"/>
      <c r="K66" s="68"/>
      <c r="L66" s="68"/>
      <c r="M66" s="68"/>
      <c r="N66" s="70"/>
      <c r="O66" s="68"/>
      <c r="P66" s="70"/>
      <c r="Q66" s="68"/>
      <c r="R66" s="70"/>
      <c r="S66" s="28"/>
      <c r="T66" s="28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3">
        <v>50</v>
      </c>
      <c r="AN66">
        <v>113.0168012353673</v>
      </c>
      <c r="AO66">
        <v>14.048136127598658</v>
      </c>
      <c r="AP66">
        <v>143.58303628324921</v>
      </c>
      <c r="AQ66">
        <v>123.75101196501257</v>
      </c>
      <c r="AR66">
        <v>13.669722992705996</v>
      </c>
      <c r="AS66">
        <v>180.74783178142582</v>
      </c>
      <c r="AT66">
        <v>8.0998068436203052</v>
      </c>
      <c r="AU66">
        <v>16.547527856776782</v>
      </c>
      <c r="AV66"/>
      <c r="AW66"/>
      <c r="FY66" s="210">
        <v>61</v>
      </c>
      <c r="FZ66">
        <v>0.831085738138303</v>
      </c>
      <c r="GA66">
        <v>3.3829840794956123</v>
      </c>
      <c r="GB66">
        <v>3.3842778271428675</v>
      </c>
      <c r="GC66">
        <v>1.1300429643576617</v>
      </c>
      <c r="GD66">
        <v>1.0200470630648446</v>
      </c>
      <c r="GE66">
        <v>2.830005568232568</v>
      </c>
      <c r="GF66">
        <v>10.814647663264584</v>
      </c>
      <c r="GG66">
        <v>15.267743058327319</v>
      </c>
      <c r="GH66">
        <v>12.984348893564004</v>
      </c>
      <c r="GI66">
        <v>5.5699747464067242</v>
      </c>
      <c r="GJ66"/>
      <c r="GK66"/>
      <c r="GL66"/>
      <c r="GM66"/>
    </row>
    <row r="67" spans="1:195" s="7" customFormat="1">
      <c r="A67" s="4"/>
      <c r="B67" s="66"/>
      <c r="C67" s="1"/>
      <c r="D67" s="1"/>
      <c r="E67" s="2"/>
      <c r="F67" s="2"/>
      <c r="G67" s="1"/>
      <c r="H67" s="1"/>
      <c r="I67" s="3"/>
      <c r="J67" s="2"/>
      <c r="K67" s="1"/>
      <c r="L67" s="1"/>
      <c r="M67" s="1"/>
      <c r="N67" s="1"/>
      <c r="O67" s="2"/>
      <c r="P67" s="1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3">
        <v>51</v>
      </c>
      <c r="AN67">
        <v>155.51435505177909</v>
      </c>
      <c r="AO67">
        <v>11.693499134332454</v>
      </c>
      <c r="AP67">
        <v>116.60653219235522</v>
      </c>
      <c r="AQ67">
        <v>99.267756695893894</v>
      </c>
      <c r="AR67">
        <v>11.043380087080324</v>
      </c>
      <c r="AS67">
        <v>184.89956085276103</v>
      </c>
      <c r="AT67">
        <v>6.4049093733178806</v>
      </c>
      <c r="AU67">
        <v>33.99346926864952</v>
      </c>
      <c r="AV67"/>
      <c r="AW67"/>
      <c r="FY67" s="210">
        <v>62</v>
      </c>
      <c r="FZ67">
        <v>56.393959838316135</v>
      </c>
      <c r="GA67">
        <v>66.689569388512709</v>
      </c>
      <c r="GB67">
        <v>4.892649126756826</v>
      </c>
      <c r="GC67">
        <v>1.9790732375469642</v>
      </c>
      <c r="GD67">
        <v>1.0976460783120707</v>
      </c>
      <c r="GE67">
        <v>1.8940434760045017</v>
      </c>
      <c r="GF67">
        <v>5.0729074166114518</v>
      </c>
      <c r="GG67">
        <v>11.457030595026565</v>
      </c>
      <c r="GH67">
        <v>13.191281975060196</v>
      </c>
      <c r="GI67">
        <v>13.189618661996938</v>
      </c>
      <c r="GJ67"/>
      <c r="GK67"/>
      <c r="GL67"/>
      <c r="GM67"/>
    </row>
    <row r="68" spans="1:195" s="7" customFormat="1">
      <c r="A68" s="4"/>
      <c r="B68" s="66"/>
      <c r="C68" s="13"/>
      <c r="D68" s="13"/>
      <c r="E68" s="14"/>
      <c r="F68" s="14" t="s">
        <v>54</v>
      </c>
      <c r="G68" s="13"/>
      <c r="H68" s="13"/>
      <c r="I68" s="21"/>
      <c r="J68" s="14"/>
      <c r="K68" s="13"/>
      <c r="L68" s="13"/>
      <c r="M68" s="13"/>
      <c r="N68" s="13"/>
      <c r="O68" s="14"/>
      <c r="P68" s="13"/>
      <c r="Q68" s="14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2"/>
      <c r="AM68" s="43">
        <v>52</v>
      </c>
      <c r="AN68">
        <v>84.838233555489339</v>
      </c>
      <c r="AO68">
        <v>6.6350940236071354</v>
      </c>
      <c r="AP68">
        <v>61.761430834869238</v>
      </c>
      <c r="AQ68">
        <v>48.290267963265734</v>
      </c>
      <c r="AR68">
        <v>6.4386843053215816</v>
      </c>
      <c r="AS68">
        <v>124.76530909703501</v>
      </c>
      <c r="AT68">
        <v>3.8528152166611664</v>
      </c>
      <c r="AU68">
        <v>0.14440860692699642</v>
      </c>
      <c r="AV68"/>
      <c r="AW68"/>
      <c r="FY68" s="210">
        <v>63</v>
      </c>
      <c r="FZ68">
        <v>33.435119397207714</v>
      </c>
      <c r="GA68">
        <v>40.666413427331214</v>
      </c>
      <c r="GB68">
        <v>1.8428488323119327</v>
      </c>
      <c r="GC68">
        <v>0.67464086682688695</v>
      </c>
      <c r="GD68">
        <v>0.61382499202077012</v>
      </c>
      <c r="GE68">
        <v>2.4357865775780363</v>
      </c>
      <c r="GF68">
        <v>5.0635039163607383</v>
      </c>
      <c r="GG68">
        <v>7.7375201050085334</v>
      </c>
      <c r="GH68">
        <v>9.7845002334265576</v>
      </c>
      <c r="GI68">
        <v>8.2216427031760251</v>
      </c>
      <c r="GJ68"/>
      <c r="GK68"/>
      <c r="GL68"/>
      <c r="GM68"/>
    </row>
    <row r="69" spans="1:195" s="7" customFormat="1">
      <c r="A69" s="133"/>
      <c r="B69" s="66"/>
      <c r="C69" s="9" t="s">
        <v>21</v>
      </c>
      <c r="D69" s="13"/>
      <c r="E69" s="13"/>
      <c r="F69" s="11" t="s">
        <v>33</v>
      </c>
      <c r="G69" s="44" t="s">
        <v>37</v>
      </c>
      <c r="H69" s="45">
        <v>1</v>
      </c>
      <c r="I69" s="45">
        <v>2</v>
      </c>
      <c r="J69" s="45">
        <v>3</v>
      </c>
      <c r="K69" s="45">
        <v>4</v>
      </c>
      <c r="L69" s="45">
        <v>5</v>
      </c>
      <c r="M69" s="45">
        <v>6</v>
      </c>
      <c r="N69" s="45">
        <v>7</v>
      </c>
      <c r="O69" s="46">
        <v>8</v>
      </c>
      <c r="P69" s="46">
        <v>9</v>
      </c>
      <c r="Q69" s="47">
        <v>10</v>
      </c>
      <c r="R69" s="46">
        <v>11</v>
      </c>
      <c r="S69" s="47">
        <v>12</v>
      </c>
      <c r="T69" s="46">
        <v>13</v>
      </c>
      <c r="U69" s="47">
        <v>14</v>
      </c>
      <c r="V69" s="46">
        <v>15</v>
      </c>
      <c r="W69" s="47">
        <v>16</v>
      </c>
      <c r="X69" s="46">
        <v>17</v>
      </c>
      <c r="Y69" s="47">
        <v>18</v>
      </c>
      <c r="Z69" s="46">
        <v>19</v>
      </c>
      <c r="AA69" s="47">
        <v>20</v>
      </c>
      <c r="AB69" s="46">
        <v>21</v>
      </c>
      <c r="AC69" s="47">
        <v>22</v>
      </c>
      <c r="AD69" s="46">
        <v>23</v>
      </c>
      <c r="AE69" s="47">
        <v>24</v>
      </c>
      <c r="AF69" s="46">
        <v>25</v>
      </c>
      <c r="AG69" s="47">
        <v>26</v>
      </c>
      <c r="AH69" s="46">
        <v>27</v>
      </c>
      <c r="AI69" s="47">
        <v>28</v>
      </c>
      <c r="AJ69" s="46">
        <v>29</v>
      </c>
      <c r="AK69" s="47">
        <v>30</v>
      </c>
      <c r="AL69" s="2"/>
      <c r="AM69" s="43">
        <v>53</v>
      </c>
      <c r="AN69">
        <v>100.46905975933564</v>
      </c>
      <c r="AO69">
        <v>12.728968577443105</v>
      </c>
      <c r="AP69">
        <v>130.95670835428265</v>
      </c>
      <c r="AQ69">
        <v>112.76060575171516</v>
      </c>
      <c r="AR69">
        <v>12.274541768481848</v>
      </c>
      <c r="AS69">
        <v>185.58917184863046</v>
      </c>
      <c r="AT69">
        <v>7.5876544755195541</v>
      </c>
      <c r="AU69">
        <v>-2.3694714941673958</v>
      </c>
      <c r="AV69"/>
      <c r="AW69"/>
      <c r="FY69" s="210">
        <v>64</v>
      </c>
      <c r="FZ69">
        <v>23.843833987571777</v>
      </c>
      <c r="GA69">
        <v>30.22278484646684</v>
      </c>
      <c r="GB69">
        <v>3.4110517009872332</v>
      </c>
      <c r="GC69">
        <v>0.82294555977322514</v>
      </c>
      <c r="GD69">
        <v>1.1867768952082576</v>
      </c>
      <c r="GE69">
        <v>2.8994538215140051</v>
      </c>
      <c r="GF69">
        <v>4.420121308950673</v>
      </c>
      <c r="GG69">
        <v>5.0663796346558359</v>
      </c>
      <c r="GH69">
        <v>6.2871013767852846</v>
      </c>
      <c r="GI69">
        <v>6.8659611809318122</v>
      </c>
      <c r="GJ69"/>
      <c r="GK69"/>
      <c r="GL69"/>
      <c r="GM69"/>
    </row>
    <row r="70" spans="1:195" s="7" customFormat="1">
      <c r="A70" s="4"/>
      <c r="B70" s="66"/>
      <c r="C70" s="71">
        <f t="shared" ref="C70:C79" si="37">C4</f>
        <v>39646</v>
      </c>
      <c r="D70" s="72">
        <f t="shared" ref="D70:D75" si="38">SUM(G70:AK70)</f>
        <v>41.666666666666664</v>
      </c>
      <c r="E70" s="64"/>
      <c r="F70" s="64"/>
      <c r="G70" s="18">
        <f>AVERAGE(E228:E237)</f>
        <v>0</v>
      </c>
      <c r="H70" s="18">
        <f t="shared" ref="H70:AK70" si="39">AVERAGE(F228:F237)</f>
        <v>0</v>
      </c>
      <c r="I70" s="18">
        <f t="shared" si="39"/>
        <v>27.083333333333332</v>
      </c>
      <c r="J70" s="18">
        <f t="shared" si="39"/>
        <v>7.2916666666666661</v>
      </c>
      <c r="K70" s="18">
        <f t="shared" si="39"/>
        <v>2.083333333333333</v>
      </c>
      <c r="L70" s="18">
        <f t="shared" si="39"/>
        <v>1.0416666666666665</v>
      </c>
      <c r="M70" s="18">
        <f t="shared" si="39"/>
        <v>4.1666666666666661</v>
      </c>
      <c r="N70" s="18">
        <f t="shared" si="39"/>
        <v>0</v>
      </c>
      <c r="O70" s="18">
        <f t="shared" si="39"/>
        <v>0</v>
      </c>
      <c r="P70" s="18">
        <f t="shared" si="39"/>
        <v>0</v>
      </c>
      <c r="Q70" s="18">
        <f t="shared" si="39"/>
        <v>0</v>
      </c>
      <c r="R70" s="18">
        <f t="shared" si="39"/>
        <v>0</v>
      </c>
      <c r="S70" s="18">
        <f t="shared" si="39"/>
        <v>0</v>
      </c>
      <c r="T70" s="18">
        <f t="shared" si="39"/>
        <v>0</v>
      </c>
      <c r="U70" s="18">
        <f t="shared" si="39"/>
        <v>0</v>
      </c>
      <c r="V70" s="18">
        <f t="shared" si="39"/>
        <v>0</v>
      </c>
      <c r="W70" s="18">
        <f t="shared" si="39"/>
        <v>0</v>
      </c>
      <c r="X70" s="18">
        <f t="shared" si="39"/>
        <v>0</v>
      </c>
      <c r="Y70" s="18">
        <f t="shared" si="39"/>
        <v>0</v>
      </c>
      <c r="Z70" s="18">
        <f t="shared" si="39"/>
        <v>0</v>
      </c>
      <c r="AA70" s="18">
        <f t="shared" si="39"/>
        <v>0</v>
      </c>
      <c r="AB70" s="18">
        <f t="shared" si="39"/>
        <v>0</v>
      </c>
      <c r="AC70" s="18">
        <f t="shared" si="39"/>
        <v>0</v>
      </c>
      <c r="AD70" s="18">
        <f t="shared" si="39"/>
        <v>0</v>
      </c>
      <c r="AE70" s="18">
        <f t="shared" si="39"/>
        <v>0</v>
      </c>
      <c r="AF70" s="18">
        <f t="shared" si="39"/>
        <v>0</v>
      </c>
      <c r="AG70" s="18">
        <f t="shared" si="39"/>
        <v>0</v>
      </c>
      <c r="AH70" s="18">
        <f t="shared" si="39"/>
        <v>0</v>
      </c>
      <c r="AI70" s="18">
        <f t="shared" si="39"/>
        <v>0</v>
      </c>
      <c r="AJ70" s="18">
        <f t="shared" si="39"/>
        <v>0</v>
      </c>
      <c r="AK70" s="18">
        <f t="shared" si="39"/>
        <v>0</v>
      </c>
      <c r="AL70" s="2"/>
      <c r="AM70" s="43">
        <v>54</v>
      </c>
      <c r="AN70">
        <v>121.54800281348344</v>
      </c>
      <c r="AO70">
        <v>9.3715721183657941</v>
      </c>
      <c r="AP70">
        <v>95.751110266191773</v>
      </c>
      <c r="AQ70">
        <v>81.854576904349386</v>
      </c>
      <c r="AR70">
        <v>8.9148949822114947</v>
      </c>
      <c r="AS70">
        <v>139.13375471973509</v>
      </c>
      <c r="AT70">
        <v>5.9711547191401486</v>
      </c>
      <c r="AU70">
        <v>15.536120090404433</v>
      </c>
      <c r="AV70"/>
      <c r="AW70"/>
      <c r="FY70" s="210">
        <v>65</v>
      </c>
      <c r="FZ70">
        <v>4.222492986437361</v>
      </c>
      <c r="GA70">
        <v>3.0487311429173873</v>
      </c>
      <c r="GB70">
        <v>2.6528505218131802</v>
      </c>
      <c r="GC70">
        <v>1.1792119726913768</v>
      </c>
      <c r="GD70">
        <v>1.3634924900809962</v>
      </c>
      <c r="GE70">
        <v>3.9135344422591274</v>
      </c>
      <c r="GF70">
        <v>4.6792964176375769</v>
      </c>
      <c r="GG70">
        <v>5.7762644025469374</v>
      </c>
      <c r="GH70">
        <v>8.1177585320007388</v>
      </c>
      <c r="GI70">
        <v>4.2112113021703141</v>
      </c>
      <c r="GJ70"/>
      <c r="GK70"/>
      <c r="GL70"/>
      <c r="GM70"/>
    </row>
    <row r="71" spans="1:195" s="7" customFormat="1">
      <c r="A71" s="4"/>
      <c r="B71" s="66"/>
      <c r="C71" s="71">
        <f t="shared" si="37"/>
        <v>39673</v>
      </c>
      <c r="D71" s="72">
        <f t="shared" si="38"/>
        <v>160.41666666666669</v>
      </c>
      <c r="E71" s="64"/>
      <c r="F71" s="64"/>
      <c r="G71" s="18">
        <f>AVERAGE(E238:E247)</f>
        <v>0</v>
      </c>
      <c r="H71" s="18">
        <f t="shared" ref="H71:AK71" si="40">AVERAGE(F238:F247)</f>
        <v>2.083333333333333</v>
      </c>
      <c r="I71" s="18">
        <f t="shared" si="40"/>
        <v>14.0625</v>
      </c>
      <c r="J71" s="18">
        <f t="shared" si="40"/>
        <v>34.317129629629633</v>
      </c>
      <c r="K71" s="18">
        <f t="shared" si="40"/>
        <v>44.386574074074076</v>
      </c>
      <c r="L71" s="18">
        <f t="shared" si="40"/>
        <v>33.391203703703709</v>
      </c>
      <c r="M71" s="18">
        <f t="shared" si="40"/>
        <v>21.412037037037038</v>
      </c>
      <c r="N71" s="18">
        <f t="shared" si="40"/>
        <v>10.763888888888889</v>
      </c>
      <c r="O71" s="18">
        <f t="shared" si="40"/>
        <v>0</v>
      </c>
      <c r="P71" s="18">
        <f t="shared" si="40"/>
        <v>0</v>
      </c>
      <c r="Q71" s="18">
        <f t="shared" si="40"/>
        <v>0</v>
      </c>
      <c r="R71" s="18">
        <f t="shared" si="40"/>
        <v>0</v>
      </c>
      <c r="S71" s="18">
        <f t="shared" si="40"/>
        <v>0</v>
      </c>
      <c r="T71" s="18">
        <f t="shared" si="40"/>
        <v>0</v>
      </c>
      <c r="U71" s="18">
        <f t="shared" si="40"/>
        <v>0</v>
      </c>
      <c r="V71" s="18">
        <f t="shared" si="40"/>
        <v>0</v>
      </c>
      <c r="W71" s="18">
        <f t="shared" si="40"/>
        <v>0</v>
      </c>
      <c r="X71" s="18">
        <f t="shared" si="40"/>
        <v>0</v>
      </c>
      <c r="Y71" s="18">
        <f t="shared" si="40"/>
        <v>0</v>
      </c>
      <c r="Z71" s="18">
        <f t="shared" si="40"/>
        <v>0</v>
      </c>
      <c r="AA71" s="18">
        <f t="shared" si="40"/>
        <v>0</v>
      </c>
      <c r="AB71" s="18">
        <f t="shared" si="40"/>
        <v>0</v>
      </c>
      <c r="AC71" s="18">
        <f t="shared" si="40"/>
        <v>0</v>
      </c>
      <c r="AD71" s="18">
        <f t="shared" si="40"/>
        <v>0</v>
      </c>
      <c r="AE71" s="18">
        <f t="shared" si="40"/>
        <v>0</v>
      </c>
      <c r="AF71" s="18">
        <f t="shared" si="40"/>
        <v>0</v>
      </c>
      <c r="AG71" s="18">
        <f t="shared" si="40"/>
        <v>0</v>
      </c>
      <c r="AH71" s="18">
        <f t="shared" si="40"/>
        <v>0</v>
      </c>
      <c r="AI71" s="18">
        <f t="shared" si="40"/>
        <v>0</v>
      </c>
      <c r="AJ71" s="18">
        <f t="shared" si="40"/>
        <v>0</v>
      </c>
      <c r="AK71" s="18">
        <f t="shared" si="40"/>
        <v>0</v>
      </c>
      <c r="AL71" s="2"/>
      <c r="AM71" s="43">
        <v>55</v>
      </c>
      <c r="AN71">
        <v>108.50182206495283</v>
      </c>
      <c r="AO71">
        <v>9.319848834612829</v>
      </c>
      <c r="AP71">
        <v>97.365074974710893</v>
      </c>
      <c r="AQ71">
        <v>82.696034357189873</v>
      </c>
      <c r="AR71">
        <v>9.1356816422867624</v>
      </c>
      <c r="AS71">
        <v>141.02420554033296</v>
      </c>
      <c r="AT71">
        <v>5.5725363791837133</v>
      </c>
      <c r="AU71">
        <v>16.145066620723764</v>
      </c>
      <c r="AV71"/>
      <c r="AW71"/>
      <c r="FY71" s="210">
        <v>66</v>
      </c>
      <c r="FZ71">
        <v>2.0802248933666512</v>
      </c>
      <c r="GA71">
        <v>6.0946698116883935</v>
      </c>
      <c r="GB71">
        <v>3.3665284338264652</v>
      </c>
      <c r="GC71">
        <v>0.42147175776842938</v>
      </c>
      <c r="GD71">
        <v>0.45447510182272099</v>
      </c>
      <c r="GE71">
        <v>3.5409319255680995</v>
      </c>
      <c r="GF71">
        <v>6.8737470292134697</v>
      </c>
      <c r="GG71">
        <v>3.5762082823017618</v>
      </c>
      <c r="GH71">
        <v>5.2949851428846983</v>
      </c>
      <c r="GI71">
        <v>3.5005335532523567</v>
      </c>
      <c r="GJ71"/>
      <c r="GK71"/>
      <c r="GL71"/>
      <c r="GM71"/>
    </row>
    <row r="72" spans="1:195" s="7" customFormat="1">
      <c r="A72" s="4"/>
      <c r="B72" s="66"/>
      <c r="C72" s="71">
        <f t="shared" si="37"/>
        <v>39714</v>
      </c>
      <c r="D72" s="72">
        <f t="shared" si="38"/>
        <v>6.25</v>
      </c>
      <c r="E72" s="64"/>
      <c r="F72" s="64"/>
      <c r="G72" s="18">
        <f>AVERAGE(E248:E257)</f>
        <v>0</v>
      </c>
      <c r="H72" s="18">
        <f t="shared" ref="H72:AK72" si="41">AVERAGE(F248:F257)</f>
        <v>0</v>
      </c>
      <c r="I72" s="18">
        <f t="shared" si="41"/>
        <v>0</v>
      </c>
      <c r="J72" s="18">
        <f t="shared" si="41"/>
        <v>0</v>
      </c>
      <c r="K72" s="18">
        <f t="shared" si="41"/>
        <v>0</v>
      </c>
      <c r="L72" s="18">
        <f t="shared" si="41"/>
        <v>1.0416666666666665</v>
      </c>
      <c r="M72" s="18">
        <f t="shared" si="41"/>
        <v>2.083333333333333</v>
      </c>
      <c r="N72" s="18">
        <f t="shared" si="41"/>
        <v>3.125</v>
      </c>
      <c r="O72" s="18">
        <f t="shared" si="41"/>
        <v>0</v>
      </c>
      <c r="P72" s="18">
        <f t="shared" si="41"/>
        <v>0</v>
      </c>
      <c r="Q72" s="18">
        <f t="shared" si="41"/>
        <v>0</v>
      </c>
      <c r="R72" s="18">
        <f t="shared" si="41"/>
        <v>0</v>
      </c>
      <c r="S72" s="18">
        <f t="shared" si="41"/>
        <v>0</v>
      </c>
      <c r="T72" s="18">
        <f t="shared" si="41"/>
        <v>0</v>
      </c>
      <c r="U72" s="18">
        <f t="shared" si="41"/>
        <v>0</v>
      </c>
      <c r="V72" s="18">
        <f t="shared" si="41"/>
        <v>0</v>
      </c>
      <c r="W72" s="18">
        <f t="shared" si="41"/>
        <v>0</v>
      </c>
      <c r="X72" s="18">
        <f t="shared" si="41"/>
        <v>0</v>
      </c>
      <c r="Y72" s="18">
        <f t="shared" si="41"/>
        <v>0</v>
      </c>
      <c r="Z72" s="18">
        <f t="shared" si="41"/>
        <v>0</v>
      </c>
      <c r="AA72" s="18">
        <f t="shared" si="41"/>
        <v>0</v>
      </c>
      <c r="AB72" s="18">
        <f t="shared" si="41"/>
        <v>0</v>
      </c>
      <c r="AC72" s="18">
        <f t="shared" si="41"/>
        <v>0</v>
      </c>
      <c r="AD72" s="18">
        <f t="shared" si="41"/>
        <v>0</v>
      </c>
      <c r="AE72" s="18">
        <f t="shared" si="41"/>
        <v>0</v>
      </c>
      <c r="AF72" s="18">
        <f t="shared" si="41"/>
        <v>0</v>
      </c>
      <c r="AG72" s="18">
        <f t="shared" si="41"/>
        <v>0</v>
      </c>
      <c r="AH72" s="18">
        <f t="shared" si="41"/>
        <v>0</v>
      </c>
      <c r="AI72" s="18">
        <f t="shared" si="41"/>
        <v>0</v>
      </c>
      <c r="AJ72" s="18">
        <f t="shared" si="41"/>
        <v>0</v>
      </c>
      <c r="AK72" s="18">
        <f t="shared" si="41"/>
        <v>0</v>
      </c>
      <c r="AL72" s="2"/>
      <c r="AM72" s="43">
        <v>56</v>
      </c>
      <c r="AN72">
        <v>66.122038276736589</v>
      </c>
      <c r="AO72">
        <v>5.6471545352912047</v>
      </c>
      <c r="AP72">
        <v>51.562085256768356</v>
      </c>
      <c r="AQ72">
        <v>45.572561360623325</v>
      </c>
      <c r="AR72">
        <v>5.394771610450622</v>
      </c>
      <c r="AS72">
        <v>101.77641308382522</v>
      </c>
      <c r="AT72">
        <v>3.6910487453946579</v>
      </c>
      <c r="AU72">
        <v>6.6855410410547993</v>
      </c>
      <c r="AV72"/>
      <c r="AW72"/>
      <c r="FY72" s="210">
        <v>67</v>
      </c>
      <c r="FZ72">
        <v>5.3579475433090042</v>
      </c>
      <c r="GA72">
        <v>4.534627218573215</v>
      </c>
      <c r="GB72">
        <v>3.8466557164875361</v>
      </c>
      <c r="GC72">
        <v>1.3695758201638009</v>
      </c>
      <c r="GD72">
        <v>1.0167989901790668</v>
      </c>
      <c r="GE72">
        <v>3.234301268556433</v>
      </c>
      <c r="GF72">
        <v>4.8366052974850788</v>
      </c>
      <c r="GG72">
        <v>3.3065191005047305</v>
      </c>
      <c r="GH72">
        <v>4.3155054770865888</v>
      </c>
      <c r="GI72">
        <v>3.895196055432109</v>
      </c>
      <c r="GJ72"/>
      <c r="GK72"/>
      <c r="GL72"/>
      <c r="GM72"/>
    </row>
    <row r="73" spans="1:195" s="7" customFormat="1">
      <c r="A73" s="4"/>
      <c r="B73" s="66"/>
      <c r="C73" s="71">
        <f t="shared" si="37"/>
        <v>39747</v>
      </c>
      <c r="D73" s="72">
        <f t="shared" si="38"/>
        <v>115.84051724137929</v>
      </c>
      <c r="E73" s="64"/>
      <c r="F73" s="64"/>
      <c r="G73" s="18">
        <f>AVERAGE(E258:E267)</f>
        <v>0</v>
      </c>
      <c r="H73" s="18">
        <f t="shared" ref="H73:AK73" si="42">AVERAGE(F258:F267)</f>
        <v>0</v>
      </c>
      <c r="I73" s="18">
        <f t="shared" si="42"/>
        <v>90.247844827586192</v>
      </c>
      <c r="J73" s="18">
        <f t="shared" si="42"/>
        <v>12.571839080459769</v>
      </c>
      <c r="K73" s="18">
        <f t="shared" si="42"/>
        <v>13.020833333333334</v>
      </c>
      <c r="L73" s="18">
        <f t="shared" si="42"/>
        <v>0</v>
      </c>
      <c r="M73" s="18">
        <f t="shared" si="42"/>
        <v>0</v>
      </c>
      <c r="N73" s="18">
        <f t="shared" si="42"/>
        <v>0</v>
      </c>
      <c r="O73" s="18">
        <f t="shared" si="42"/>
        <v>0</v>
      </c>
      <c r="P73" s="18">
        <f t="shared" si="42"/>
        <v>0</v>
      </c>
      <c r="Q73" s="18">
        <f t="shared" si="42"/>
        <v>0</v>
      </c>
      <c r="R73" s="18">
        <f t="shared" si="42"/>
        <v>0</v>
      </c>
      <c r="S73" s="18">
        <f t="shared" si="42"/>
        <v>0</v>
      </c>
      <c r="T73" s="18">
        <f t="shared" si="42"/>
        <v>0</v>
      </c>
      <c r="U73" s="18">
        <f t="shared" si="42"/>
        <v>0</v>
      </c>
      <c r="V73" s="18">
        <f t="shared" si="42"/>
        <v>0</v>
      </c>
      <c r="W73" s="18">
        <f t="shared" si="42"/>
        <v>0</v>
      </c>
      <c r="X73" s="18">
        <f t="shared" si="42"/>
        <v>0</v>
      </c>
      <c r="Y73" s="18">
        <f t="shared" si="42"/>
        <v>0</v>
      </c>
      <c r="Z73" s="18">
        <f t="shared" si="42"/>
        <v>0</v>
      </c>
      <c r="AA73" s="18">
        <f t="shared" si="42"/>
        <v>0</v>
      </c>
      <c r="AB73" s="18">
        <f t="shared" si="42"/>
        <v>0</v>
      </c>
      <c r="AC73" s="18">
        <f t="shared" si="42"/>
        <v>0</v>
      </c>
      <c r="AD73" s="18">
        <f t="shared" si="42"/>
        <v>0</v>
      </c>
      <c r="AE73" s="18">
        <f t="shared" si="42"/>
        <v>0</v>
      </c>
      <c r="AF73" s="18">
        <f t="shared" si="42"/>
        <v>0</v>
      </c>
      <c r="AG73" s="18">
        <f t="shared" si="42"/>
        <v>0</v>
      </c>
      <c r="AH73" s="18">
        <f t="shared" si="42"/>
        <v>0</v>
      </c>
      <c r="AI73" s="18">
        <f t="shared" si="42"/>
        <v>0</v>
      </c>
      <c r="AJ73" s="18">
        <f t="shared" si="42"/>
        <v>0</v>
      </c>
      <c r="AK73" s="18">
        <f t="shared" si="42"/>
        <v>0</v>
      </c>
      <c r="AL73" s="2"/>
      <c r="AM73" s="43">
        <v>57</v>
      </c>
      <c r="AN73">
        <v>84.507959861327606</v>
      </c>
      <c r="AO73">
        <v>12.829474103298031</v>
      </c>
      <c r="AP73">
        <v>135.53620279298931</v>
      </c>
      <c r="AQ73">
        <v>118.64726451022284</v>
      </c>
      <c r="AR73">
        <v>12.095002288766214</v>
      </c>
      <c r="AS73">
        <v>214.01668380319703</v>
      </c>
      <c r="AT73">
        <v>7.7530478345831533</v>
      </c>
      <c r="AU73">
        <v>48.893818166036205</v>
      </c>
      <c r="AV73"/>
      <c r="AW73"/>
      <c r="FY73" s="210">
        <v>68</v>
      </c>
      <c r="FZ73">
        <v>24.016741540664029</v>
      </c>
      <c r="GA73">
        <v>26.875131324967686</v>
      </c>
      <c r="GB73">
        <v>2.3668164413250583</v>
      </c>
      <c r="GC73">
        <v>1.2472342654956556</v>
      </c>
      <c r="GD73">
        <v>0.52108204952903614</v>
      </c>
      <c r="GE73">
        <v>1.2500610812382689</v>
      </c>
      <c r="GF73">
        <v>5.615243929753948</v>
      </c>
      <c r="GG73">
        <v>5.9830434762164248</v>
      </c>
      <c r="GH73">
        <v>5.5620460665625746</v>
      </c>
      <c r="GI73">
        <v>6.3282140552636399</v>
      </c>
      <c r="GJ73"/>
      <c r="GK73"/>
      <c r="GL73"/>
      <c r="GM73"/>
    </row>
    <row r="74" spans="1:195" s="7" customFormat="1">
      <c r="A74" s="4"/>
      <c r="B74" s="66"/>
      <c r="C74" s="71">
        <f t="shared" si="37"/>
        <v>39775</v>
      </c>
      <c r="D74" s="72">
        <f t="shared" si="38"/>
        <v>45.494528619528616</v>
      </c>
      <c r="E74" s="64"/>
      <c r="F74" s="64"/>
      <c r="G74" s="18">
        <f>AVERAGE(E268:E277)</f>
        <v>0</v>
      </c>
      <c r="H74" s="18">
        <f t="shared" ref="H74:AK74" si="43">AVERAGE(F268:F277)</f>
        <v>4.1666666666666661</v>
      </c>
      <c r="I74" s="18">
        <f t="shared" si="43"/>
        <v>29.406565656565654</v>
      </c>
      <c r="J74" s="18">
        <f t="shared" si="43"/>
        <v>11.921296296296298</v>
      </c>
      <c r="K74" s="18">
        <f t="shared" si="43"/>
        <v>0</v>
      </c>
      <c r="L74" s="18">
        <f t="shared" si="43"/>
        <v>0</v>
      </c>
      <c r="M74" s="18">
        <f t="shared" si="43"/>
        <v>0</v>
      </c>
      <c r="N74" s="18">
        <f t="shared" si="43"/>
        <v>0</v>
      </c>
      <c r="O74" s="18">
        <f t="shared" si="43"/>
        <v>0</v>
      </c>
      <c r="P74" s="18">
        <f t="shared" si="43"/>
        <v>0</v>
      </c>
      <c r="Q74" s="18">
        <f t="shared" si="43"/>
        <v>0</v>
      </c>
      <c r="R74" s="18">
        <f t="shared" si="43"/>
        <v>0</v>
      </c>
      <c r="S74" s="18">
        <f t="shared" si="43"/>
        <v>0</v>
      </c>
      <c r="T74" s="18">
        <f t="shared" si="43"/>
        <v>0</v>
      </c>
      <c r="U74" s="18">
        <f t="shared" si="43"/>
        <v>0</v>
      </c>
      <c r="V74" s="18">
        <f t="shared" si="43"/>
        <v>0</v>
      </c>
      <c r="W74" s="18">
        <f t="shared" si="43"/>
        <v>0</v>
      </c>
      <c r="X74" s="18">
        <f t="shared" si="43"/>
        <v>0</v>
      </c>
      <c r="Y74" s="18">
        <f t="shared" si="43"/>
        <v>0</v>
      </c>
      <c r="Z74" s="18">
        <f t="shared" si="43"/>
        <v>0</v>
      </c>
      <c r="AA74" s="18">
        <f t="shared" si="43"/>
        <v>0</v>
      </c>
      <c r="AB74" s="18">
        <f t="shared" si="43"/>
        <v>0</v>
      </c>
      <c r="AC74" s="18">
        <f t="shared" si="43"/>
        <v>0</v>
      </c>
      <c r="AD74" s="18">
        <f t="shared" si="43"/>
        <v>0</v>
      </c>
      <c r="AE74" s="18">
        <f t="shared" si="43"/>
        <v>0</v>
      </c>
      <c r="AF74" s="18">
        <f t="shared" si="43"/>
        <v>0</v>
      </c>
      <c r="AG74" s="18">
        <f t="shared" si="43"/>
        <v>0</v>
      </c>
      <c r="AH74" s="18">
        <f t="shared" si="43"/>
        <v>0</v>
      </c>
      <c r="AI74" s="18">
        <f t="shared" si="43"/>
        <v>0</v>
      </c>
      <c r="AJ74" s="18">
        <f t="shared" si="43"/>
        <v>0</v>
      </c>
      <c r="AK74" s="18">
        <f t="shared" si="43"/>
        <v>0</v>
      </c>
      <c r="AL74" s="2"/>
      <c r="AM74" s="43">
        <v>58</v>
      </c>
      <c r="AN74">
        <v>54.407964417486824</v>
      </c>
      <c r="AO74">
        <v>5.8549285124953361</v>
      </c>
      <c r="AP74">
        <v>59.0512159332349</v>
      </c>
      <c r="AQ74">
        <v>49.648260806940449</v>
      </c>
      <c r="AR74">
        <v>5.8018628912938706</v>
      </c>
      <c r="AS74">
        <v>80.685794893094808</v>
      </c>
      <c r="AT74">
        <v>3.7646664905450833</v>
      </c>
      <c r="AU74">
        <v>1.5550837027882634</v>
      </c>
      <c r="AV74"/>
      <c r="AW74"/>
      <c r="FY74" s="210">
        <v>69</v>
      </c>
      <c r="FZ74">
        <v>26.22036892265232</v>
      </c>
      <c r="GA74">
        <v>27.017309723660489</v>
      </c>
      <c r="GB74">
        <v>1.2563816732231257</v>
      </c>
      <c r="GC74">
        <v>0.63324253994371427</v>
      </c>
      <c r="GD74">
        <v>0.5322616040896182</v>
      </c>
      <c r="GE74">
        <v>1.1565546271804719</v>
      </c>
      <c r="GF74">
        <v>5.1818487847079133</v>
      </c>
      <c r="GG74">
        <v>8.6149819851899583</v>
      </c>
      <c r="GH74">
        <v>9.979051342349111</v>
      </c>
      <c r="GI74">
        <v>7.0044983597502934</v>
      </c>
      <c r="GJ74"/>
      <c r="GK74"/>
      <c r="GL74"/>
      <c r="GM74"/>
    </row>
    <row r="75" spans="1:195" s="7" customFormat="1">
      <c r="A75" s="4"/>
      <c r="B75" s="66"/>
      <c r="C75" s="71">
        <f t="shared" si="37"/>
        <v>39799</v>
      </c>
      <c r="D75" s="72">
        <f t="shared" si="38"/>
        <v>82.716874628639317</v>
      </c>
      <c r="E75" s="64"/>
      <c r="F75" s="64"/>
      <c r="G75" s="18">
        <f>AVERAGE(E278:E287)</f>
        <v>0</v>
      </c>
      <c r="H75" s="18">
        <f t="shared" ref="H75:AK75" si="44">AVERAGE(F278:F287)</f>
        <v>29.24465240641711</v>
      </c>
      <c r="I75" s="18">
        <f t="shared" si="44"/>
        <v>8.3333333333333321</v>
      </c>
      <c r="J75" s="18">
        <f t="shared" si="44"/>
        <v>40.972222222222221</v>
      </c>
      <c r="K75" s="18">
        <f t="shared" si="44"/>
        <v>0</v>
      </c>
      <c r="L75" s="18">
        <f t="shared" si="44"/>
        <v>0</v>
      </c>
      <c r="M75" s="18">
        <f t="shared" si="44"/>
        <v>2.083333333333333</v>
      </c>
      <c r="N75" s="18">
        <f t="shared" si="44"/>
        <v>2.083333333333333</v>
      </c>
      <c r="O75" s="18">
        <f t="shared" si="44"/>
        <v>0</v>
      </c>
      <c r="P75" s="18">
        <f t="shared" si="44"/>
        <v>0</v>
      </c>
      <c r="Q75" s="18">
        <f t="shared" si="44"/>
        <v>0</v>
      </c>
      <c r="R75" s="18">
        <f t="shared" si="44"/>
        <v>0</v>
      </c>
      <c r="S75" s="18">
        <f t="shared" si="44"/>
        <v>0</v>
      </c>
      <c r="T75" s="18">
        <f t="shared" si="44"/>
        <v>0</v>
      </c>
      <c r="U75" s="18">
        <f t="shared" si="44"/>
        <v>0</v>
      </c>
      <c r="V75" s="18">
        <f t="shared" si="44"/>
        <v>0</v>
      </c>
      <c r="W75" s="18">
        <f t="shared" si="44"/>
        <v>0</v>
      </c>
      <c r="X75" s="18">
        <f t="shared" si="44"/>
        <v>0</v>
      </c>
      <c r="Y75" s="18">
        <f t="shared" si="44"/>
        <v>0</v>
      </c>
      <c r="Z75" s="18">
        <f t="shared" si="44"/>
        <v>0</v>
      </c>
      <c r="AA75" s="18">
        <f t="shared" si="44"/>
        <v>0</v>
      </c>
      <c r="AB75" s="18">
        <f t="shared" si="44"/>
        <v>0</v>
      </c>
      <c r="AC75" s="18">
        <f t="shared" si="44"/>
        <v>0</v>
      </c>
      <c r="AD75" s="18">
        <f t="shared" si="44"/>
        <v>0</v>
      </c>
      <c r="AE75" s="18">
        <f t="shared" si="44"/>
        <v>0</v>
      </c>
      <c r="AF75" s="18">
        <f t="shared" si="44"/>
        <v>0</v>
      </c>
      <c r="AG75" s="18">
        <f t="shared" si="44"/>
        <v>0</v>
      </c>
      <c r="AH75" s="18">
        <f t="shared" si="44"/>
        <v>0</v>
      </c>
      <c r="AI75" s="18">
        <f t="shared" si="44"/>
        <v>0</v>
      </c>
      <c r="AJ75" s="18">
        <f t="shared" si="44"/>
        <v>0</v>
      </c>
      <c r="AK75" s="18">
        <f t="shared" si="44"/>
        <v>0</v>
      </c>
      <c r="AL75" s="2"/>
      <c r="AM75" s="43">
        <v>59</v>
      </c>
      <c r="AN75">
        <v>120.75224453649125</v>
      </c>
      <c r="AO75">
        <v>12.798124991603762</v>
      </c>
      <c r="AP75">
        <v>131.7861819096421</v>
      </c>
      <c r="AQ75">
        <v>113.68798684914185</v>
      </c>
      <c r="AR75">
        <v>12.329905217114009</v>
      </c>
      <c r="AS75">
        <v>170.3001882052981</v>
      </c>
      <c r="AT75">
        <v>7.4143201546529474</v>
      </c>
      <c r="AU75">
        <v>4.4200636381551544</v>
      </c>
      <c r="AV75"/>
      <c r="AW75"/>
      <c r="FY75" s="210">
        <v>70</v>
      </c>
      <c r="FZ75">
        <v>24.318974025215333</v>
      </c>
      <c r="GA75">
        <v>27.217552589397965</v>
      </c>
      <c r="GB75">
        <v>4.4472242744781791</v>
      </c>
      <c r="GC75">
        <v>2.1527361393326037</v>
      </c>
      <c r="GD75">
        <v>1.0273537800613453</v>
      </c>
      <c r="GE75">
        <v>1.9980110494384333</v>
      </c>
      <c r="GF75">
        <v>6.9426025140811687</v>
      </c>
      <c r="GG75">
        <v>12.859372515768163</v>
      </c>
      <c r="GH75">
        <v>14.560331503820333</v>
      </c>
      <c r="GI75">
        <v>8.8412311072611267</v>
      </c>
      <c r="GJ75"/>
      <c r="GK75"/>
      <c r="GL75"/>
      <c r="GM75"/>
    </row>
    <row r="76" spans="1:195" s="7" customFormat="1">
      <c r="A76" s="4"/>
      <c r="B76" s="66"/>
      <c r="C76" s="71">
        <f t="shared" si="37"/>
        <v>39847</v>
      </c>
      <c r="D76" s="72">
        <f>SUM(G76:AK76)</f>
        <v>146.728515625</v>
      </c>
      <c r="E76" s="64"/>
      <c r="F76" s="64"/>
      <c r="G76" s="18">
        <f>AVERAGE(E288:E297)</f>
        <v>0</v>
      </c>
      <c r="H76" s="18">
        <f t="shared" ref="H76:AK76" si="45">AVERAGE(F288:F297)</f>
        <v>52.164713541666671</v>
      </c>
      <c r="I76" s="18">
        <f t="shared" si="45"/>
        <v>72.509765625</v>
      </c>
      <c r="J76" s="18">
        <f t="shared" si="45"/>
        <v>15.543619791666666</v>
      </c>
      <c r="K76" s="18">
        <f t="shared" si="45"/>
        <v>2.6041666666666665</v>
      </c>
      <c r="L76" s="18">
        <f t="shared" si="45"/>
        <v>2.6041666666666665</v>
      </c>
      <c r="M76" s="18">
        <f t="shared" si="45"/>
        <v>1.3020833333333333</v>
      </c>
      <c r="N76" s="18">
        <f t="shared" si="45"/>
        <v>0</v>
      </c>
      <c r="O76" s="18">
        <f t="shared" si="45"/>
        <v>0</v>
      </c>
      <c r="P76" s="18">
        <f t="shared" si="45"/>
        <v>0</v>
      </c>
      <c r="Q76" s="18">
        <f t="shared" si="45"/>
        <v>0</v>
      </c>
      <c r="R76" s="18">
        <f t="shared" si="45"/>
        <v>0</v>
      </c>
      <c r="S76" s="18">
        <f t="shared" si="45"/>
        <v>0</v>
      </c>
      <c r="T76" s="18">
        <f t="shared" si="45"/>
        <v>0</v>
      </c>
      <c r="U76" s="18">
        <f t="shared" si="45"/>
        <v>0</v>
      </c>
      <c r="V76" s="18">
        <f t="shared" si="45"/>
        <v>0</v>
      </c>
      <c r="W76" s="18">
        <f t="shared" si="45"/>
        <v>0</v>
      </c>
      <c r="X76" s="18">
        <f t="shared" si="45"/>
        <v>0</v>
      </c>
      <c r="Y76" s="18">
        <f t="shared" si="45"/>
        <v>0</v>
      </c>
      <c r="Z76" s="18">
        <f t="shared" si="45"/>
        <v>0</v>
      </c>
      <c r="AA76" s="18">
        <f t="shared" si="45"/>
        <v>0</v>
      </c>
      <c r="AB76" s="18">
        <f t="shared" si="45"/>
        <v>0</v>
      </c>
      <c r="AC76" s="18">
        <f t="shared" si="45"/>
        <v>0</v>
      </c>
      <c r="AD76" s="18">
        <f t="shared" si="45"/>
        <v>0</v>
      </c>
      <c r="AE76" s="18">
        <f t="shared" si="45"/>
        <v>0</v>
      </c>
      <c r="AF76" s="18">
        <f t="shared" si="45"/>
        <v>0</v>
      </c>
      <c r="AG76" s="18">
        <f t="shared" si="45"/>
        <v>0</v>
      </c>
      <c r="AH76" s="18">
        <f t="shared" si="45"/>
        <v>0</v>
      </c>
      <c r="AI76" s="18">
        <f t="shared" si="45"/>
        <v>0</v>
      </c>
      <c r="AJ76" s="18">
        <f t="shared" si="45"/>
        <v>0</v>
      </c>
      <c r="AK76" s="18">
        <f t="shared" si="45"/>
        <v>0</v>
      </c>
      <c r="AL76" s="2"/>
      <c r="AM76" s="43">
        <v>60</v>
      </c>
      <c r="AN76">
        <v>140.58537585634051</v>
      </c>
      <c r="AO76">
        <v>9.800754972599119</v>
      </c>
      <c r="AP76">
        <v>92.2149046230317</v>
      </c>
      <c r="AQ76">
        <v>77.967867435683644</v>
      </c>
      <c r="AR76">
        <v>9.6889924588589782</v>
      </c>
      <c r="AS76">
        <v>193.72799656109575</v>
      </c>
      <c r="AT76">
        <v>5.5068472107190969</v>
      </c>
      <c r="AU76">
        <v>26.830842841766874</v>
      </c>
      <c r="AV76"/>
      <c r="AW76"/>
      <c r="FY76" s="210">
        <v>71</v>
      </c>
      <c r="FZ76">
        <v>23.366909430578424</v>
      </c>
      <c r="GA76">
        <v>26.566175700616792</v>
      </c>
      <c r="GB76">
        <v>2.6269996486849259</v>
      </c>
      <c r="GC76">
        <v>1.4925015468442426</v>
      </c>
      <c r="GD76">
        <v>0.91992523904241463</v>
      </c>
      <c r="GE76">
        <v>2.8360575271076973</v>
      </c>
      <c r="GF76">
        <v>7.4631039085237338</v>
      </c>
      <c r="GG76">
        <v>13.935319795410081</v>
      </c>
      <c r="GH76">
        <v>16.087110726378445</v>
      </c>
      <c r="GI76">
        <v>8.533065223366922</v>
      </c>
      <c r="GJ76"/>
      <c r="GK76"/>
      <c r="GL76"/>
      <c r="GM76"/>
    </row>
    <row r="77" spans="1:195" s="7" customFormat="1">
      <c r="A77" s="4"/>
      <c r="B77" s="66"/>
      <c r="C77" s="71">
        <f t="shared" si="37"/>
        <v>39910</v>
      </c>
      <c r="D77" s="72">
        <f>SUM(G77:AK77)</f>
        <v>401.04166666666663</v>
      </c>
      <c r="E77" s="64"/>
      <c r="F77" s="64"/>
      <c r="G77" s="18">
        <f>AVERAGE(E298:E307)</f>
        <v>0</v>
      </c>
      <c r="H77" s="18">
        <f t="shared" ref="H77:AK77" si="46">AVERAGE(F298:F307)</f>
        <v>0</v>
      </c>
      <c r="I77" s="18">
        <f t="shared" si="46"/>
        <v>309.60648148148141</v>
      </c>
      <c r="J77" s="18">
        <f t="shared" si="46"/>
        <v>29.513888888888893</v>
      </c>
      <c r="K77" s="18">
        <f t="shared" si="46"/>
        <v>61.921296296296291</v>
      </c>
      <c r="L77" s="18">
        <f t="shared" si="46"/>
        <v>0</v>
      </c>
      <c r="M77" s="18">
        <f t="shared" si="46"/>
        <v>0</v>
      </c>
      <c r="N77" s="18">
        <f t="shared" si="46"/>
        <v>0</v>
      </c>
      <c r="O77" s="18">
        <f t="shared" si="46"/>
        <v>0</v>
      </c>
      <c r="P77" s="18">
        <f t="shared" si="46"/>
        <v>0</v>
      </c>
      <c r="Q77" s="18">
        <f t="shared" si="46"/>
        <v>0</v>
      </c>
      <c r="R77" s="18">
        <f t="shared" si="46"/>
        <v>0</v>
      </c>
      <c r="S77" s="18">
        <f t="shared" si="46"/>
        <v>0</v>
      </c>
      <c r="T77" s="18">
        <f t="shared" si="46"/>
        <v>0</v>
      </c>
      <c r="U77" s="18">
        <f t="shared" si="46"/>
        <v>0</v>
      </c>
      <c r="V77" s="18">
        <f t="shared" si="46"/>
        <v>0</v>
      </c>
      <c r="W77" s="18">
        <f t="shared" si="46"/>
        <v>0</v>
      </c>
      <c r="X77" s="18">
        <f t="shared" si="46"/>
        <v>0</v>
      </c>
      <c r="Y77" s="18">
        <f t="shared" si="46"/>
        <v>0</v>
      </c>
      <c r="Z77" s="18">
        <f t="shared" si="46"/>
        <v>0</v>
      </c>
      <c r="AA77" s="18">
        <f t="shared" si="46"/>
        <v>0</v>
      </c>
      <c r="AB77" s="18">
        <f t="shared" si="46"/>
        <v>0</v>
      </c>
      <c r="AC77" s="18">
        <f t="shared" si="46"/>
        <v>0</v>
      </c>
      <c r="AD77" s="18">
        <f t="shared" si="46"/>
        <v>0</v>
      </c>
      <c r="AE77" s="18">
        <f t="shared" si="46"/>
        <v>0</v>
      </c>
      <c r="AF77" s="18">
        <f t="shared" si="46"/>
        <v>0</v>
      </c>
      <c r="AG77" s="18">
        <f t="shared" si="46"/>
        <v>0</v>
      </c>
      <c r="AH77" s="18">
        <f t="shared" si="46"/>
        <v>0</v>
      </c>
      <c r="AI77" s="18">
        <f t="shared" si="46"/>
        <v>0</v>
      </c>
      <c r="AJ77" s="18">
        <f t="shared" si="46"/>
        <v>0</v>
      </c>
      <c r="AK77" s="18">
        <f t="shared" si="46"/>
        <v>0</v>
      </c>
      <c r="AL77" s="2"/>
      <c r="AM77" s="43">
        <v>61</v>
      </c>
      <c r="AN77">
        <v>143.12612820525868</v>
      </c>
      <c r="AO77">
        <v>7.8911918716734659</v>
      </c>
      <c r="AP77">
        <v>71.220727702985016</v>
      </c>
      <c r="AQ77">
        <v>57.215157601994484</v>
      </c>
      <c r="AR77">
        <v>7.6680445944662345</v>
      </c>
      <c r="AS77">
        <v>149.61249281844732</v>
      </c>
      <c r="AT77">
        <v>4.5321571691218461</v>
      </c>
      <c r="AU77">
        <v>3.3991933804898387</v>
      </c>
      <c r="AV77"/>
      <c r="AW77"/>
      <c r="FY77" s="210">
        <v>72</v>
      </c>
      <c r="FZ77">
        <v>25.529360847658058</v>
      </c>
      <c r="GA77">
        <v>27.365088177423026</v>
      </c>
      <c r="GB77">
        <v>2.6186524751407894</v>
      </c>
      <c r="GC77">
        <v>1.5928570819716841</v>
      </c>
      <c r="GD77">
        <v>1.2938653481454909</v>
      </c>
      <c r="GE77">
        <v>3.076945241007973</v>
      </c>
      <c r="GF77">
        <v>10.648497823272072</v>
      </c>
      <c r="GG77">
        <v>14.550559979068552</v>
      </c>
      <c r="GH77">
        <v>11.071623261067263</v>
      </c>
      <c r="GI77">
        <v>8.8539408944860369</v>
      </c>
      <c r="GJ77"/>
      <c r="GK77"/>
      <c r="GL77"/>
      <c r="GM77"/>
    </row>
    <row r="78" spans="1:195" s="7" customFormat="1">
      <c r="A78" s="4"/>
      <c r="B78" s="66"/>
      <c r="C78" s="71">
        <f t="shared" si="37"/>
        <v>39949</v>
      </c>
      <c r="D78" s="72">
        <f>SUM(G78:AK78)</f>
        <v>380.99091571766519</v>
      </c>
      <c r="E78" s="64"/>
      <c r="F78" s="64"/>
      <c r="G78" s="18">
        <f>AVERAGE(E308:E317)</f>
        <v>0</v>
      </c>
      <c r="H78" s="18">
        <f t="shared" ref="H78:AK78" si="47">AVERAGE(F308:F317)</f>
        <v>99.283358701166918</v>
      </c>
      <c r="I78" s="18">
        <f t="shared" si="47"/>
        <v>206.8343961844333</v>
      </c>
      <c r="J78" s="18">
        <f t="shared" si="47"/>
        <v>34.490740740740748</v>
      </c>
      <c r="K78" s="18">
        <f t="shared" si="47"/>
        <v>23.715753424657535</v>
      </c>
      <c r="L78" s="18">
        <f t="shared" si="47"/>
        <v>10.416666666666668</v>
      </c>
      <c r="M78" s="18">
        <f t="shared" si="47"/>
        <v>6.25</v>
      </c>
      <c r="N78" s="18">
        <f t="shared" si="47"/>
        <v>0</v>
      </c>
      <c r="O78" s="18">
        <f t="shared" si="47"/>
        <v>0</v>
      </c>
      <c r="P78" s="18">
        <f t="shared" si="47"/>
        <v>0</v>
      </c>
      <c r="Q78" s="18">
        <f t="shared" si="47"/>
        <v>0</v>
      </c>
      <c r="R78" s="18">
        <f t="shared" si="47"/>
        <v>0</v>
      </c>
      <c r="S78" s="18">
        <f t="shared" si="47"/>
        <v>0</v>
      </c>
      <c r="T78" s="18">
        <f t="shared" si="47"/>
        <v>0</v>
      </c>
      <c r="U78" s="18">
        <f t="shared" si="47"/>
        <v>0</v>
      </c>
      <c r="V78" s="18">
        <f t="shared" si="47"/>
        <v>0</v>
      </c>
      <c r="W78" s="18">
        <f t="shared" si="47"/>
        <v>0</v>
      </c>
      <c r="X78" s="18">
        <f t="shared" si="47"/>
        <v>0</v>
      </c>
      <c r="Y78" s="18">
        <f t="shared" si="47"/>
        <v>0</v>
      </c>
      <c r="Z78" s="18">
        <f t="shared" si="47"/>
        <v>0</v>
      </c>
      <c r="AA78" s="18">
        <f t="shared" si="47"/>
        <v>0</v>
      </c>
      <c r="AB78" s="18">
        <f t="shared" si="47"/>
        <v>0</v>
      </c>
      <c r="AC78" s="18">
        <f t="shared" si="47"/>
        <v>0</v>
      </c>
      <c r="AD78" s="18">
        <f t="shared" si="47"/>
        <v>0</v>
      </c>
      <c r="AE78" s="18">
        <f t="shared" si="47"/>
        <v>0</v>
      </c>
      <c r="AF78" s="18">
        <f t="shared" si="47"/>
        <v>0</v>
      </c>
      <c r="AG78" s="18">
        <f t="shared" si="47"/>
        <v>0</v>
      </c>
      <c r="AH78" s="18">
        <f t="shared" si="47"/>
        <v>0</v>
      </c>
      <c r="AI78" s="18">
        <f t="shared" si="47"/>
        <v>0</v>
      </c>
      <c r="AJ78" s="18">
        <f t="shared" si="47"/>
        <v>0</v>
      </c>
      <c r="AK78" s="18">
        <f t="shared" si="47"/>
        <v>0</v>
      </c>
      <c r="AL78" s="2"/>
      <c r="AM78" s="43">
        <v>62</v>
      </c>
      <c r="AN78">
        <v>138.57394088540838</v>
      </c>
      <c r="AO78">
        <v>19.264364601304422</v>
      </c>
      <c r="AP78">
        <v>205.51250485866854</v>
      </c>
      <c r="AQ78">
        <v>175.85777979414436</v>
      </c>
      <c r="AR78">
        <v>18.475152878330857</v>
      </c>
      <c r="AS78">
        <v>266.4989227554729</v>
      </c>
      <c r="AT78">
        <v>11.897072948733646</v>
      </c>
      <c r="AU78">
        <v>26.237917334479324</v>
      </c>
      <c r="AV78"/>
      <c r="AW78"/>
      <c r="FY78" s="210">
        <v>73</v>
      </c>
      <c r="FZ78">
        <v>13.575162271339861</v>
      </c>
      <c r="GA78">
        <v>16.35930798359551</v>
      </c>
      <c r="GB78">
        <v>2.6614793952852782</v>
      </c>
      <c r="GC78">
        <v>0.83702095002121435</v>
      </c>
      <c r="GD78">
        <v>0.9605892627732544</v>
      </c>
      <c r="GE78">
        <v>3.362745221553451</v>
      </c>
      <c r="GF78">
        <v>5.4130331384074495</v>
      </c>
      <c r="GG78">
        <v>9.7242873696930516</v>
      </c>
      <c r="GH78">
        <v>13.257875198097238</v>
      </c>
      <c r="GI78">
        <v>6.2982185667015944</v>
      </c>
      <c r="GJ78"/>
      <c r="GK78"/>
      <c r="GL78"/>
      <c r="GM78"/>
    </row>
    <row r="79" spans="1:195" s="7" customFormat="1">
      <c r="A79" s="4"/>
      <c r="B79" s="66"/>
      <c r="C79" s="71">
        <f t="shared" si="37"/>
        <v>39987</v>
      </c>
      <c r="D79" s="72">
        <f>SUM(G79:AK79)</f>
        <v>43.478997289972895</v>
      </c>
      <c r="E79" s="64"/>
      <c r="F79" s="64"/>
      <c r="G79" s="18">
        <f>AVERAGE(E318:E327)</f>
        <v>0</v>
      </c>
      <c r="H79" s="18">
        <f t="shared" ref="H79:AK79" si="48">AVERAGE(F318:F327)</f>
        <v>0</v>
      </c>
      <c r="I79" s="18">
        <f t="shared" si="48"/>
        <v>12.152777777777777</v>
      </c>
      <c r="J79" s="18">
        <f t="shared" si="48"/>
        <v>0</v>
      </c>
      <c r="K79" s="18">
        <f t="shared" si="48"/>
        <v>24.034552845528456</v>
      </c>
      <c r="L79" s="18">
        <f t="shared" si="48"/>
        <v>2.083333333333333</v>
      </c>
      <c r="M79" s="18">
        <f t="shared" si="48"/>
        <v>1.0416666666666665</v>
      </c>
      <c r="N79" s="18">
        <f t="shared" si="48"/>
        <v>4.1666666666666661</v>
      </c>
      <c r="O79" s="18">
        <f t="shared" si="48"/>
        <v>0</v>
      </c>
      <c r="P79" s="18">
        <f t="shared" si="48"/>
        <v>0</v>
      </c>
      <c r="Q79" s="18">
        <f t="shared" si="48"/>
        <v>0</v>
      </c>
      <c r="R79" s="18">
        <f t="shared" si="48"/>
        <v>0</v>
      </c>
      <c r="S79" s="18">
        <f t="shared" si="48"/>
        <v>0</v>
      </c>
      <c r="T79" s="18">
        <f t="shared" si="48"/>
        <v>0</v>
      </c>
      <c r="U79" s="18">
        <f t="shared" si="48"/>
        <v>0</v>
      </c>
      <c r="V79" s="18">
        <f t="shared" si="48"/>
        <v>0</v>
      </c>
      <c r="W79" s="18">
        <f t="shared" si="48"/>
        <v>0</v>
      </c>
      <c r="X79" s="18">
        <f t="shared" si="48"/>
        <v>0</v>
      </c>
      <c r="Y79" s="18">
        <f t="shared" si="48"/>
        <v>0</v>
      </c>
      <c r="Z79" s="18">
        <f t="shared" si="48"/>
        <v>0</v>
      </c>
      <c r="AA79" s="18">
        <f t="shared" si="48"/>
        <v>0</v>
      </c>
      <c r="AB79" s="18">
        <f t="shared" si="48"/>
        <v>0</v>
      </c>
      <c r="AC79" s="18">
        <f t="shared" si="48"/>
        <v>0</v>
      </c>
      <c r="AD79" s="18">
        <f t="shared" si="48"/>
        <v>0</v>
      </c>
      <c r="AE79" s="18">
        <f t="shared" si="48"/>
        <v>0</v>
      </c>
      <c r="AF79" s="18">
        <f t="shared" si="48"/>
        <v>0</v>
      </c>
      <c r="AG79" s="18">
        <f t="shared" si="48"/>
        <v>0</v>
      </c>
      <c r="AH79" s="18">
        <f t="shared" si="48"/>
        <v>0</v>
      </c>
      <c r="AI79" s="18">
        <f t="shared" si="48"/>
        <v>0</v>
      </c>
      <c r="AJ79" s="18">
        <f t="shared" si="48"/>
        <v>0</v>
      </c>
      <c r="AK79" s="18">
        <f t="shared" si="48"/>
        <v>0</v>
      </c>
      <c r="AL79" s="2"/>
      <c r="AM79" s="43">
        <v>63</v>
      </c>
      <c r="AN79">
        <v>115.90834508530426</v>
      </c>
      <c r="AO79">
        <v>12.063323564209798</v>
      </c>
      <c r="AP79">
        <v>128.54876042774558</v>
      </c>
      <c r="AQ79">
        <v>110.47580105124842</v>
      </c>
      <c r="AR79">
        <v>11.394342650107255</v>
      </c>
      <c r="AS79">
        <v>183.0396898447232</v>
      </c>
      <c r="AT79">
        <v>6.7041859742541545</v>
      </c>
      <c r="AU79">
        <v>87.134225700028807</v>
      </c>
      <c r="AV79"/>
      <c r="AW79"/>
      <c r="FY79" s="210">
        <v>74</v>
      </c>
      <c r="FZ79">
        <v>21.715025771062674</v>
      </c>
      <c r="GA79">
        <v>26.056352108681306</v>
      </c>
      <c r="GB79">
        <v>2.6319648525957735</v>
      </c>
      <c r="GC79">
        <v>1.6189843506888195</v>
      </c>
      <c r="GD79">
        <v>1.8282593147040971</v>
      </c>
      <c r="GE79">
        <v>4.0454978785859552</v>
      </c>
      <c r="GF79">
        <v>5.6563613797101979</v>
      </c>
      <c r="GG79">
        <v>13.11667061192437</v>
      </c>
      <c r="GH79">
        <v>16.104082379442797</v>
      </c>
      <c r="GI79">
        <v>8.4745920528160461</v>
      </c>
      <c r="GJ79"/>
      <c r="GK79"/>
      <c r="GL79"/>
      <c r="GM79"/>
    </row>
    <row r="80" spans="1:195" s="7" customFormat="1">
      <c r="A80" s="4"/>
      <c r="B80" s="66"/>
      <c r="C80" s="71"/>
      <c r="D80" s="72"/>
      <c r="E80" s="64"/>
      <c r="F80" s="64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2"/>
      <c r="AM80" s="43">
        <v>64</v>
      </c>
      <c r="AN80">
        <v>72.759985491077572</v>
      </c>
      <c r="AO80">
        <v>9.8262488971237456</v>
      </c>
      <c r="AP80">
        <v>99.73059738977183</v>
      </c>
      <c r="AQ80">
        <v>85.026410312844945</v>
      </c>
      <c r="AR80">
        <v>9.5705459321359054</v>
      </c>
      <c r="AS80">
        <v>131.02466239210426</v>
      </c>
      <c r="AT80">
        <v>5.7145093857601532</v>
      </c>
      <c r="AU80">
        <v>15.710678115080718</v>
      </c>
      <c r="AV80"/>
      <c r="AW80"/>
      <c r="FY80" s="210">
        <v>75</v>
      </c>
      <c r="FZ80">
        <v>23.435036964956577</v>
      </c>
      <c r="GA80">
        <v>30.215357471477493</v>
      </c>
      <c r="GB80">
        <v>3.6635592795353835</v>
      </c>
      <c r="GC80">
        <v>1.1041689457909758</v>
      </c>
      <c r="GD80">
        <v>0.94148423766394385</v>
      </c>
      <c r="GE80">
        <v>1.3666377716690337</v>
      </c>
      <c r="GF80">
        <v>5.241620467936162</v>
      </c>
      <c r="GG80">
        <v>12.561604259998454</v>
      </c>
      <c r="GH80">
        <v>15.109543242761323</v>
      </c>
      <c r="GI80">
        <v>8.2476837301574477</v>
      </c>
      <c r="GJ80"/>
      <c r="GK80"/>
      <c r="GL80"/>
      <c r="GM80"/>
    </row>
    <row r="81" spans="1:195" s="7" customFormat="1">
      <c r="A81" s="4"/>
      <c r="B81" s="42"/>
      <c r="C81" s="71"/>
      <c r="D81" s="72"/>
      <c r="E81" s="64"/>
      <c r="F81" s="64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2"/>
      <c r="AM81" s="43">
        <v>65</v>
      </c>
      <c r="AN81">
        <v>83.617783236496351</v>
      </c>
      <c r="AO81">
        <v>5.6515580772719352</v>
      </c>
      <c r="AP81">
        <v>45.866082071608346</v>
      </c>
      <c r="AQ81">
        <v>39.164844210554989</v>
      </c>
      <c r="AR81">
        <v>5.7464390179291334</v>
      </c>
      <c r="AS81">
        <v>86.615462396341186</v>
      </c>
      <c r="AT81">
        <v>3.0482222769487208</v>
      </c>
      <c r="AU81">
        <v>3.6926815091124157</v>
      </c>
      <c r="AV81"/>
      <c r="AW81"/>
      <c r="FY81" s="210">
        <v>76</v>
      </c>
      <c r="FZ81">
        <v>13.873603977849715</v>
      </c>
      <c r="GA81">
        <v>14.503174284285835</v>
      </c>
      <c r="GB81">
        <v>2.2033054221370554</v>
      </c>
      <c r="GC81">
        <v>0.97066961476492741</v>
      </c>
      <c r="GD81">
        <v>0.96498085910851694</v>
      </c>
      <c r="GE81">
        <v>2.3816576984534259</v>
      </c>
      <c r="GF81">
        <v>3.7938068037070298</v>
      </c>
      <c r="GG81">
        <v>7.3944781100943811</v>
      </c>
      <c r="GH81">
        <v>9.7344634656395126</v>
      </c>
      <c r="GI81">
        <v>5.3765776429699237</v>
      </c>
      <c r="GJ81"/>
      <c r="GK81"/>
      <c r="GL81"/>
      <c r="GM81"/>
    </row>
    <row r="82" spans="1:195" s="7" customFormat="1">
      <c r="A82" s="4"/>
      <c r="B82" s="1"/>
      <c r="C82" s="73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63"/>
      <c r="AG82" s="63"/>
      <c r="AH82" s="63"/>
      <c r="AI82" s="63"/>
      <c r="AJ82" s="63"/>
      <c r="AK82" s="63"/>
      <c r="AL82" s="2"/>
      <c r="AM82" s="43">
        <v>66</v>
      </c>
      <c r="AN82">
        <v>78.514649998524419</v>
      </c>
      <c r="AO82">
        <v>4.7235478056711404</v>
      </c>
      <c r="AP82">
        <v>44.240251595023693</v>
      </c>
      <c r="AQ82">
        <v>35.203775931693045</v>
      </c>
      <c r="AR82">
        <v>4.6667310607045582</v>
      </c>
      <c r="AS82">
        <v>85.462763405749357</v>
      </c>
      <c r="AT82">
        <v>2.7694010550576635</v>
      </c>
      <c r="AU82">
        <v>10.487999172362821</v>
      </c>
      <c r="AV82"/>
      <c r="AW82"/>
      <c r="FY82" s="210">
        <v>77</v>
      </c>
      <c r="FZ82">
        <v>23.098158254760971</v>
      </c>
      <c r="GA82">
        <v>26.879253142076916</v>
      </c>
      <c r="GB82">
        <v>2.1334391152100678</v>
      </c>
      <c r="GC82">
        <v>0.91285805314409685</v>
      </c>
      <c r="GD82">
        <v>0.87936789646901414</v>
      </c>
      <c r="GE82">
        <v>3.4770305691337962</v>
      </c>
      <c r="GF82">
        <v>7.5227611924618136</v>
      </c>
      <c r="GG82">
        <v>11.475396381825254</v>
      </c>
      <c r="GH82">
        <v>13.294699776656687</v>
      </c>
      <c r="GI82">
        <v>7.9082847353039085</v>
      </c>
      <c r="GJ82"/>
      <c r="GK82"/>
      <c r="GL82"/>
      <c r="GM82"/>
    </row>
    <row r="83" spans="1:195" s="7" customFormat="1">
      <c r="A83" s="4"/>
      <c r="B83" s="1"/>
      <c r="C83" s="3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43">
        <v>67</v>
      </c>
      <c r="AN83">
        <v>79.805071997985948</v>
      </c>
      <c r="AO83">
        <v>5.0960542754030973</v>
      </c>
      <c r="AP83">
        <v>42.925247685244926</v>
      </c>
      <c r="AQ83">
        <v>35.713732487777563</v>
      </c>
      <c r="AR83">
        <v>5.3035097632796662</v>
      </c>
      <c r="AS83">
        <v>94.092043329822374</v>
      </c>
      <c r="AT83">
        <v>3.1586730684534765</v>
      </c>
      <c r="AU83">
        <v>10.172514013576418</v>
      </c>
      <c r="AV83"/>
      <c r="AW83"/>
      <c r="FY83" s="210">
        <v>78</v>
      </c>
      <c r="FZ83">
        <v>22.102906767137689</v>
      </c>
      <c r="GA83">
        <v>26.194441901291494</v>
      </c>
      <c r="GB83">
        <v>1.645989270171597</v>
      </c>
      <c r="GC83">
        <v>0.92880020364851945</v>
      </c>
      <c r="GD83">
        <v>1.4022604561839485</v>
      </c>
      <c r="GE83">
        <v>3.8818455088563999</v>
      </c>
      <c r="GF83">
        <v>7.0971755272066277</v>
      </c>
      <c r="GG83">
        <v>8.6537945016292177</v>
      </c>
      <c r="GH83">
        <v>8.3419325776172375</v>
      </c>
      <c r="GI83">
        <v>7.1034017442815687</v>
      </c>
      <c r="GJ83"/>
      <c r="GK83"/>
      <c r="GL83"/>
      <c r="GM83"/>
    </row>
    <row r="84" spans="1:195" s="7" customFormat="1">
      <c r="A84" s="4"/>
      <c r="B84" s="4"/>
      <c r="C84" s="34"/>
      <c r="D84" s="28"/>
      <c r="E84" s="28"/>
      <c r="F84" s="28">
        <v>0.09</v>
      </c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>
        <v>3.0028000000000028</v>
      </c>
      <c r="AM84" s="43">
        <v>68</v>
      </c>
      <c r="AN84">
        <v>73.779185890612467</v>
      </c>
      <c r="AO84">
        <v>8.9960229399045808</v>
      </c>
      <c r="AP84">
        <v>93.790690000172475</v>
      </c>
      <c r="AQ84">
        <v>79.765614231016315</v>
      </c>
      <c r="AR84">
        <v>8.8077303934898463</v>
      </c>
      <c r="AS84">
        <v>158.13295178827192</v>
      </c>
      <c r="AT84">
        <v>5.5613350123851646</v>
      </c>
      <c r="AU84">
        <v>17.430058751248964</v>
      </c>
      <c r="AV84"/>
      <c r="AW84"/>
      <c r="AX84" s="157" t="s">
        <v>111</v>
      </c>
      <c r="CJ84" s="157" t="s">
        <v>112</v>
      </c>
      <c r="FY84" s="210">
        <v>79</v>
      </c>
      <c r="FZ84">
        <v>13.291422181205709</v>
      </c>
      <c r="GA84">
        <v>15.487019764383657</v>
      </c>
      <c r="GB84">
        <v>2.500825594464267</v>
      </c>
      <c r="GC84">
        <v>1.2349139970052638</v>
      </c>
      <c r="GD84">
        <v>0.51098177734192207</v>
      </c>
      <c r="GE84">
        <v>0.80694945810198404</v>
      </c>
      <c r="GF84">
        <v>12.158861669739483</v>
      </c>
      <c r="GG84">
        <v>12.640082983069975</v>
      </c>
      <c r="GH84">
        <v>5.9955705413789957</v>
      </c>
      <c r="GI84">
        <v>6.026422572484547</v>
      </c>
      <c r="GJ84"/>
      <c r="GK84"/>
      <c r="GL84"/>
      <c r="GM84"/>
    </row>
    <row r="85" spans="1:195" s="7" customFormat="1">
      <c r="A85" s="1"/>
      <c r="B85" s="1"/>
      <c r="C85" s="1"/>
      <c r="D85" s="1"/>
      <c r="E85" s="1"/>
      <c r="F85" s="2"/>
      <c r="G85" s="2"/>
      <c r="H85" s="3"/>
      <c r="I85" s="1"/>
      <c r="J85" s="1"/>
      <c r="K85" s="1"/>
      <c r="L85" s="1"/>
      <c r="M85" s="1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80"/>
      <c r="AL85" s="74">
        <v>3.0028000000000028</v>
      </c>
      <c r="AM85" s="43">
        <v>69</v>
      </c>
      <c r="AN85">
        <v>108.34377634264297</v>
      </c>
      <c r="AO85">
        <v>9.7219871488914382</v>
      </c>
      <c r="AP85">
        <v>102.61387687180999</v>
      </c>
      <c r="AQ85">
        <v>87.596499562746999</v>
      </c>
      <c r="AR85">
        <v>9.7771452327979187</v>
      </c>
      <c r="AS85">
        <v>172.14613458566149</v>
      </c>
      <c r="AT85">
        <v>5.6282092997329825</v>
      </c>
      <c r="AU85">
        <v>13.411853370548823</v>
      </c>
      <c r="AV85"/>
      <c r="AW85"/>
      <c r="AX85" s="146"/>
      <c r="AY85" s="146"/>
      <c r="AZ85" s="146"/>
      <c r="BA85" s="146"/>
      <c r="BB85" s="146"/>
      <c r="BC85" s="147"/>
      <c r="BD85" s="147"/>
      <c r="BE85" s="148"/>
      <c r="BF85" s="146"/>
      <c r="BG85" s="146"/>
      <c r="BH85" s="146"/>
      <c r="BI85" s="146"/>
      <c r="BJ85" s="146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9"/>
      <c r="CJ85" s="146"/>
      <c r="CK85" s="146"/>
      <c r="CL85" s="146"/>
      <c r="CM85" s="146"/>
      <c r="CN85" s="146"/>
      <c r="CO85" s="147"/>
      <c r="CP85" s="147"/>
      <c r="CQ85" s="148"/>
      <c r="CR85" s="146"/>
      <c r="CS85" s="146"/>
      <c r="CT85" s="146"/>
      <c r="CU85" s="146"/>
      <c r="CW85" s="150"/>
      <c r="CX85" s="150"/>
      <c r="CZ85" s="150"/>
      <c r="DB85" s="146"/>
      <c r="DC85" s="146"/>
      <c r="DD85" s="146"/>
      <c r="DE85" s="146"/>
      <c r="DF85" s="146"/>
      <c r="DG85" s="147"/>
      <c r="DH85" s="147"/>
      <c r="DI85" s="148"/>
      <c r="DJ85" s="146"/>
      <c r="DK85" s="146"/>
      <c r="DL85" s="146"/>
      <c r="DM85" s="146"/>
      <c r="DN85" s="146"/>
      <c r="DO85" s="147"/>
      <c r="DP85" s="147"/>
      <c r="DQ85" s="147"/>
      <c r="DR85" s="147"/>
      <c r="DS85" s="147"/>
      <c r="DT85" s="147"/>
      <c r="DU85" s="147"/>
      <c r="DV85" s="147"/>
      <c r="DW85" s="147"/>
      <c r="DX85" s="147"/>
      <c r="DY85" s="147"/>
      <c r="DZ85" s="147"/>
      <c r="EA85" s="147"/>
      <c r="EB85" s="147"/>
      <c r="EC85" s="147"/>
      <c r="ED85" s="147"/>
      <c r="EE85" s="147"/>
      <c r="EF85" s="147"/>
      <c r="EG85" s="147"/>
      <c r="EH85" s="147"/>
      <c r="EI85" s="147"/>
      <c r="EJ85" s="147"/>
      <c r="EK85" s="147"/>
      <c r="EL85" s="149"/>
      <c r="EN85" s="146"/>
      <c r="EO85" s="146"/>
      <c r="EP85" s="146"/>
      <c r="EQ85" s="147"/>
      <c r="ER85" s="147"/>
      <c r="ES85" s="148"/>
      <c r="ET85" s="146"/>
      <c r="EU85" s="146"/>
      <c r="EV85" s="146"/>
      <c r="EW85" s="146"/>
      <c r="EX85" s="146"/>
      <c r="EY85" s="147"/>
      <c r="EZ85" s="147"/>
      <c r="FA85" s="147"/>
      <c r="FB85" s="147"/>
      <c r="FC85" s="147"/>
      <c r="FD85" s="147"/>
      <c r="FE85" s="147"/>
      <c r="FF85" s="147"/>
      <c r="FG85" s="147"/>
      <c r="FH85" s="147"/>
      <c r="FI85" s="147"/>
      <c r="FJ85" s="147"/>
      <c r="FK85" s="147"/>
      <c r="FL85" s="147"/>
      <c r="FM85" s="147"/>
      <c r="FN85" s="147"/>
      <c r="FO85" s="147"/>
      <c r="FP85" s="147"/>
      <c r="FQ85" s="147"/>
      <c r="FR85" s="147"/>
      <c r="FS85" s="147"/>
      <c r="FT85" s="147"/>
      <c r="FU85" s="147"/>
      <c r="FV85" s="149"/>
      <c r="FY85" s="210">
        <v>80</v>
      </c>
      <c r="FZ85">
        <v>23.568265774548976</v>
      </c>
      <c r="GA85">
        <v>27.068753389678303</v>
      </c>
      <c r="GB85">
        <v>1.4078295934296361</v>
      </c>
      <c r="GC85">
        <v>0.58446002803354813</v>
      </c>
      <c r="GD85">
        <v>0.75640162553962509</v>
      </c>
      <c r="GE85">
        <v>3.0517240239910493</v>
      </c>
      <c r="GF85">
        <v>9.005424601257932</v>
      </c>
      <c r="GG85">
        <v>7.5552861726352507</v>
      </c>
      <c r="GH85">
        <v>5.6681046725429152</v>
      </c>
      <c r="GI85">
        <v>6.7931477518457744</v>
      </c>
      <c r="GJ85"/>
      <c r="GK85"/>
      <c r="GL85"/>
      <c r="GM85"/>
    </row>
    <row r="86" spans="1:195" s="7" customFormat="1">
      <c r="A86" s="141" t="s">
        <v>109</v>
      </c>
      <c r="B86" s="10"/>
      <c r="C86" s="13"/>
      <c r="D86" s="13"/>
      <c r="E86" s="13" t="s">
        <v>56</v>
      </c>
      <c r="F86" s="21"/>
      <c r="G86" s="14"/>
      <c r="H86" s="21"/>
      <c r="I86" s="13"/>
      <c r="J86" s="13"/>
      <c r="K86" s="13"/>
      <c r="L86" s="13"/>
      <c r="M86" s="13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80"/>
      <c r="AL86" s="74">
        <v>3.0028000000000028</v>
      </c>
      <c r="AM86" s="43">
        <v>70</v>
      </c>
      <c r="AN86">
        <v>143.83375855153685</v>
      </c>
      <c r="AO86">
        <v>12.472897455323382</v>
      </c>
      <c r="AP86">
        <v>124.28222845119748</v>
      </c>
      <c r="AQ86">
        <v>104.36538949885464</v>
      </c>
      <c r="AR86">
        <v>12.309852361536461</v>
      </c>
      <c r="AS86">
        <v>200.72922138049668</v>
      </c>
      <c r="AT86">
        <v>7.7879101468188887</v>
      </c>
      <c r="AU86">
        <v>21.364619292011078</v>
      </c>
      <c r="AV86"/>
      <c r="AW86"/>
      <c r="AX86" s="9" t="s">
        <v>55</v>
      </c>
      <c r="AY86" s="10"/>
      <c r="AZ86" s="13"/>
      <c r="BA86" s="13"/>
      <c r="BB86" s="13" t="s">
        <v>56</v>
      </c>
      <c r="BC86" s="21"/>
      <c r="BD86" s="14"/>
      <c r="BE86" s="21"/>
      <c r="BF86" s="13"/>
      <c r="BG86" s="13"/>
      <c r="BH86" s="13"/>
      <c r="BI86" s="13"/>
      <c r="BJ86" s="13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54"/>
      <c r="CJ86" s="9" t="s">
        <v>55</v>
      </c>
      <c r="CK86" s="10"/>
      <c r="CL86" s="13"/>
      <c r="CM86" s="13"/>
      <c r="CN86" s="13" t="s">
        <v>56</v>
      </c>
      <c r="CO86" s="21"/>
      <c r="CP86" s="14"/>
      <c r="CQ86" s="21"/>
      <c r="CR86" s="13"/>
      <c r="CS86" s="13"/>
      <c r="CT86" s="13"/>
      <c r="CU86" s="13"/>
      <c r="CW86" s="228" t="s">
        <v>123</v>
      </c>
      <c r="CX86" s="228"/>
      <c r="CY86" s="144"/>
      <c r="CZ86" s="156" t="s">
        <v>113</v>
      </c>
      <c r="DB86" s="9" t="s">
        <v>105</v>
      </c>
      <c r="DC86" s="10"/>
      <c r="DD86" s="13"/>
      <c r="DE86" s="13"/>
      <c r="DF86" s="13" t="s">
        <v>56</v>
      </c>
      <c r="DG86" s="21"/>
      <c r="DH86" s="14"/>
      <c r="DI86" s="21"/>
      <c r="DJ86" s="13"/>
      <c r="DK86" s="13"/>
      <c r="DL86" s="13"/>
      <c r="DM86" s="13"/>
      <c r="DN86" s="13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0" t="s">
        <v>108</v>
      </c>
      <c r="EL86" s="154"/>
      <c r="EN86" s="9"/>
      <c r="EO86" s="9" t="s">
        <v>106</v>
      </c>
      <c r="EP86" s="13" t="s">
        <v>56</v>
      </c>
      <c r="EQ86" s="21"/>
      <c r="ER86" s="14"/>
      <c r="ES86" s="21"/>
      <c r="ET86" s="13"/>
      <c r="EU86" s="13"/>
      <c r="EV86" s="13"/>
      <c r="EW86" s="13"/>
      <c r="EX86" s="13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54"/>
      <c r="FY86" s="210">
        <v>81</v>
      </c>
      <c r="FZ86">
        <v>13.354261716133609</v>
      </c>
      <c r="GA86">
        <v>14.698036447568207</v>
      </c>
      <c r="GB86">
        <v>1.8055224832001315</v>
      </c>
      <c r="GC86">
        <v>0.84832226082159756</v>
      </c>
      <c r="GD86">
        <v>1.0343639519159864</v>
      </c>
      <c r="GE86">
        <v>3.6899458443569899</v>
      </c>
      <c r="GF86">
        <v>7.7408263023851998</v>
      </c>
      <c r="GG86">
        <v>11.800124600124226</v>
      </c>
      <c r="GH86">
        <v>11.805351341876126</v>
      </c>
      <c r="GI86">
        <v>6.2728986561022264</v>
      </c>
      <c r="GJ86"/>
      <c r="GK86"/>
      <c r="GL86"/>
      <c r="GM86"/>
    </row>
    <row r="87" spans="1:195" s="7" customFormat="1">
      <c r="A87" s="9" t="s">
        <v>107</v>
      </c>
      <c r="B87" s="10" t="s">
        <v>58</v>
      </c>
      <c r="C87" s="10" t="s">
        <v>59</v>
      </c>
      <c r="D87" s="75"/>
      <c r="E87" s="76" t="s">
        <v>37</v>
      </c>
      <c r="F87" s="45">
        <v>1</v>
      </c>
      <c r="G87" s="45">
        <v>2</v>
      </c>
      <c r="H87" s="45">
        <v>3</v>
      </c>
      <c r="I87" s="45">
        <v>4</v>
      </c>
      <c r="J87" s="45">
        <v>5</v>
      </c>
      <c r="K87" s="45">
        <v>6</v>
      </c>
      <c r="L87" s="45">
        <v>7</v>
      </c>
      <c r="M87" s="46">
        <v>8</v>
      </c>
      <c r="N87" s="46">
        <v>9</v>
      </c>
      <c r="O87" s="47">
        <v>10</v>
      </c>
      <c r="P87" s="46">
        <v>11</v>
      </c>
      <c r="Q87" s="47">
        <v>12</v>
      </c>
      <c r="R87" s="46">
        <v>13</v>
      </c>
      <c r="S87" s="47">
        <v>14</v>
      </c>
      <c r="T87" s="46">
        <v>15</v>
      </c>
      <c r="U87" s="47">
        <v>16</v>
      </c>
      <c r="V87" s="46">
        <v>17</v>
      </c>
      <c r="W87" s="47">
        <v>18</v>
      </c>
      <c r="X87" s="46">
        <v>19</v>
      </c>
      <c r="Y87" s="47">
        <v>20</v>
      </c>
      <c r="Z87" s="46">
        <v>21</v>
      </c>
      <c r="AA87" s="47">
        <v>22</v>
      </c>
      <c r="AB87" s="46">
        <v>23</v>
      </c>
      <c r="AC87" s="47">
        <v>24</v>
      </c>
      <c r="AD87" s="46">
        <v>25</v>
      </c>
      <c r="AE87" s="47">
        <v>26</v>
      </c>
      <c r="AF87" s="46">
        <v>27</v>
      </c>
      <c r="AG87" s="47">
        <v>28</v>
      </c>
      <c r="AH87" s="46">
        <v>29</v>
      </c>
      <c r="AI87" s="47">
        <v>30</v>
      </c>
      <c r="AJ87" s="12"/>
      <c r="AK87" s="80"/>
      <c r="AL87" s="74">
        <v>3.0028000000000028</v>
      </c>
      <c r="AM87" s="43">
        <v>71</v>
      </c>
      <c r="AN87">
        <v>158.70465839528831</v>
      </c>
      <c r="AO87">
        <v>12.282405477260573</v>
      </c>
      <c r="AP87">
        <v>122.51542834969649</v>
      </c>
      <c r="AQ87">
        <v>103.82716874655367</v>
      </c>
      <c r="AR87">
        <v>11.786631340664254</v>
      </c>
      <c r="AS87">
        <v>243.28100666722224</v>
      </c>
      <c r="AT87">
        <v>7.1034815365198192</v>
      </c>
      <c r="AU87">
        <v>47.018585625687358</v>
      </c>
      <c r="AV87"/>
      <c r="AW87"/>
      <c r="AX87" s="9" t="s">
        <v>57</v>
      </c>
      <c r="AY87" s="10" t="s">
        <v>58</v>
      </c>
      <c r="AZ87" s="10" t="s">
        <v>59</v>
      </c>
      <c r="BA87" s="75" t="s">
        <v>21</v>
      </c>
      <c r="BB87" s="76" t="s">
        <v>37</v>
      </c>
      <c r="BC87" s="45">
        <v>1</v>
      </c>
      <c r="BD87" s="45">
        <v>2</v>
      </c>
      <c r="BE87" s="45">
        <v>3</v>
      </c>
      <c r="BF87" s="45">
        <v>4</v>
      </c>
      <c r="BG87" s="45">
        <v>5</v>
      </c>
      <c r="BH87" s="45">
        <v>6</v>
      </c>
      <c r="BI87" s="45">
        <v>7</v>
      </c>
      <c r="BJ87" s="46">
        <v>8</v>
      </c>
      <c r="BK87" s="46">
        <v>9</v>
      </c>
      <c r="BL87" s="47">
        <v>10</v>
      </c>
      <c r="BM87" s="46">
        <v>11</v>
      </c>
      <c r="BN87" s="47">
        <v>12</v>
      </c>
      <c r="BO87" s="46">
        <v>13</v>
      </c>
      <c r="BP87" s="47">
        <v>14</v>
      </c>
      <c r="BQ87" s="46">
        <v>15</v>
      </c>
      <c r="BR87" s="47">
        <v>16</v>
      </c>
      <c r="BS87" s="46">
        <v>17</v>
      </c>
      <c r="BT87" s="47">
        <v>18</v>
      </c>
      <c r="BU87" s="46">
        <v>19</v>
      </c>
      <c r="BV87" s="47">
        <v>20</v>
      </c>
      <c r="BW87" s="46">
        <v>21</v>
      </c>
      <c r="BX87" s="47">
        <v>22</v>
      </c>
      <c r="BY87" s="46">
        <v>23</v>
      </c>
      <c r="BZ87" s="47">
        <v>24</v>
      </c>
      <c r="CA87" s="46">
        <v>25</v>
      </c>
      <c r="CB87" s="47">
        <v>26</v>
      </c>
      <c r="CC87" s="46">
        <v>27</v>
      </c>
      <c r="CD87" s="47">
        <v>28</v>
      </c>
      <c r="CE87" s="46">
        <v>29</v>
      </c>
      <c r="CF87" s="47">
        <v>30</v>
      </c>
      <c r="CG87" s="12"/>
      <c r="CH87" s="154"/>
      <c r="CJ87" s="9" t="s">
        <v>57</v>
      </c>
      <c r="CK87" s="10" t="s">
        <v>58</v>
      </c>
      <c r="CL87" s="10" t="s">
        <v>59</v>
      </c>
      <c r="CM87" s="75" t="s">
        <v>21</v>
      </c>
      <c r="CN87" s="76" t="s">
        <v>37</v>
      </c>
      <c r="CO87" s="45">
        <v>1</v>
      </c>
      <c r="CP87" s="45">
        <v>2</v>
      </c>
      <c r="CQ87" s="45">
        <v>3</v>
      </c>
      <c r="CR87" s="45">
        <v>4</v>
      </c>
      <c r="CS87" s="45">
        <v>5</v>
      </c>
      <c r="CT87" s="45">
        <v>6</v>
      </c>
      <c r="CU87" s="45">
        <v>7</v>
      </c>
      <c r="CW87" s="96" t="s">
        <v>124</v>
      </c>
      <c r="CX87" s="96" t="s">
        <v>125</v>
      </c>
      <c r="CZ87" s="156" t="s">
        <v>114</v>
      </c>
      <c r="DB87" s="9" t="s">
        <v>110</v>
      </c>
      <c r="DC87" s="10" t="s">
        <v>58</v>
      </c>
      <c r="DD87" s="10" t="s">
        <v>59</v>
      </c>
      <c r="DE87" s="75" t="s">
        <v>21</v>
      </c>
      <c r="DF87" s="76" t="s">
        <v>37</v>
      </c>
      <c r="DG87" s="45">
        <v>1</v>
      </c>
      <c r="DH87" s="45">
        <v>2</v>
      </c>
      <c r="DI87" s="45">
        <v>3</v>
      </c>
      <c r="DJ87" s="45">
        <v>4</v>
      </c>
      <c r="DK87" s="45">
        <v>5</v>
      </c>
      <c r="DL87" s="45">
        <v>6</v>
      </c>
      <c r="DM87" s="45">
        <v>7</v>
      </c>
      <c r="DN87" s="46">
        <v>8</v>
      </c>
      <c r="DO87" s="46">
        <v>9</v>
      </c>
      <c r="DP87" s="47">
        <v>10</v>
      </c>
      <c r="DQ87" s="46">
        <v>11</v>
      </c>
      <c r="DR87" s="47">
        <v>12</v>
      </c>
      <c r="DS87" s="46">
        <v>13</v>
      </c>
      <c r="DT87" s="47">
        <v>14</v>
      </c>
      <c r="DU87" s="46">
        <v>15</v>
      </c>
      <c r="DV87" s="47">
        <v>16</v>
      </c>
      <c r="DW87" s="46">
        <v>17</v>
      </c>
      <c r="DX87" s="47">
        <v>18</v>
      </c>
      <c r="DY87" s="46">
        <v>19</v>
      </c>
      <c r="DZ87" s="47">
        <v>20</v>
      </c>
      <c r="EA87" s="46">
        <v>21</v>
      </c>
      <c r="EB87" s="47">
        <v>22</v>
      </c>
      <c r="EC87" s="46">
        <v>23</v>
      </c>
      <c r="ED87" s="47">
        <v>24</v>
      </c>
      <c r="EE87" s="46">
        <v>25</v>
      </c>
      <c r="EF87" s="47">
        <v>26</v>
      </c>
      <c r="EG87" s="46">
        <v>27</v>
      </c>
      <c r="EH87" s="47">
        <v>28</v>
      </c>
      <c r="EI87" s="46">
        <v>29</v>
      </c>
      <c r="EJ87" s="47">
        <v>30</v>
      </c>
      <c r="EK87" s="12"/>
      <c r="EL87" s="154"/>
      <c r="EN87" s="9"/>
      <c r="EO87" s="9"/>
      <c r="EP87" s="76" t="s">
        <v>37</v>
      </c>
      <c r="EQ87" s="45">
        <v>1</v>
      </c>
      <c r="ER87" s="45">
        <v>2</v>
      </c>
      <c r="ES87" s="45">
        <v>3</v>
      </c>
      <c r="ET87" s="45">
        <v>4</v>
      </c>
      <c r="EU87" s="45">
        <v>5</v>
      </c>
      <c r="EV87" s="45">
        <v>6</v>
      </c>
      <c r="EW87" s="45">
        <v>7</v>
      </c>
      <c r="EX87" s="46">
        <v>8</v>
      </c>
      <c r="EY87" s="46">
        <v>9</v>
      </c>
      <c r="EZ87" s="47">
        <v>10</v>
      </c>
      <c r="FA87" s="46">
        <v>11</v>
      </c>
      <c r="FB87" s="47">
        <v>12</v>
      </c>
      <c r="FC87" s="46">
        <v>13</v>
      </c>
      <c r="FD87" s="47">
        <v>14</v>
      </c>
      <c r="FE87" s="46">
        <v>15</v>
      </c>
      <c r="FF87" s="47">
        <v>16</v>
      </c>
      <c r="FG87" s="46">
        <v>17</v>
      </c>
      <c r="FH87" s="47">
        <v>18</v>
      </c>
      <c r="FI87" s="46">
        <v>19</v>
      </c>
      <c r="FJ87" s="47">
        <v>20</v>
      </c>
      <c r="FK87" s="46">
        <v>21</v>
      </c>
      <c r="FL87" s="47">
        <v>22</v>
      </c>
      <c r="FM87" s="46">
        <v>23</v>
      </c>
      <c r="FN87" s="47">
        <v>24</v>
      </c>
      <c r="FO87" s="46">
        <v>25</v>
      </c>
      <c r="FP87" s="47">
        <v>26</v>
      </c>
      <c r="FQ87" s="46">
        <v>27</v>
      </c>
      <c r="FR87" s="47">
        <v>28</v>
      </c>
      <c r="FS87" s="46">
        <v>29</v>
      </c>
      <c r="FT87" s="47">
        <v>30</v>
      </c>
      <c r="FU87" s="12" t="s">
        <v>11</v>
      </c>
      <c r="FV87" s="155"/>
      <c r="FY87" s="210">
        <v>82</v>
      </c>
      <c r="FZ87">
        <v>14.107231707086317</v>
      </c>
      <c r="GA87">
        <v>14.521428867198727</v>
      </c>
      <c r="GB87">
        <v>1.7939577082872318</v>
      </c>
      <c r="GC87">
        <v>0.71512919347914106</v>
      </c>
      <c r="GD87">
        <v>0.87166651489642022</v>
      </c>
      <c r="GE87">
        <v>2.7003852738264915</v>
      </c>
      <c r="GF87">
        <v>6.0830385399104578</v>
      </c>
      <c r="GG87">
        <v>15.242408005462448</v>
      </c>
      <c r="GH87">
        <v>18.794076476455615</v>
      </c>
      <c r="GI87">
        <v>7.1082905634918729</v>
      </c>
      <c r="GJ87"/>
      <c r="GK87"/>
      <c r="GL87"/>
      <c r="GM87"/>
    </row>
    <row r="88" spans="1:195" s="7" customFormat="1">
      <c r="A88" s="128"/>
      <c r="B88" s="76">
        <f ca="1">IF(C88="", "", RAND())</f>
        <v>0.31549951108242191</v>
      </c>
      <c r="C88">
        <v>4</v>
      </c>
      <c r="D88">
        <v>39646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 s="2"/>
      <c r="AK88" s="80"/>
      <c r="AL88" s="74"/>
      <c r="AM88" s="43">
        <v>72</v>
      </c>
      <c r="AN88">
        <v>164.03938835187742</v>
      </c>
      <c r="AO88">
        <v>12.776725337220517</v>
      </c>
      <c r="AP88">
        <v>125.24636549141901</v>
      </c>
      <c r="AQ88">
        <v>106.60139112924094</v>
      </c>
      <c r="AR88">
        <v>12.251462123497262</v>
      </c>
      <c r="AS88">
        <v>225.95702299853161</v>
      </c>
      <c r="AT88">
        <v>7.1628765560371646</v>
      </c>
      <c r="AU88">
        <v>67.865870031097359</v>
      </c>
      <c r="AV88"/>
      <c r="AW88"/>
      <c r="AX88" s="128"/>
      <c r="AY88" s="76">
        <f ca="1">IF(AZ88="", "", RAND())</f>
        <v>0.322069368733926</v>
      </c>
      <c r="AZ88">
        <v>1</v>
      </c>
      <c r="BA88" s="129">
        <f>IF(AZ88="", "",$C$4)</f>
        <v>39646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 s="147"/>
      <c r="CH88" s="176"/>
      <c r="CJ88" s="128"/>
      <c r="CK88" s="76">
        <f ca="1">IF(AZ88="", "", RAND())</f>
        <v>0.894215779829447</v>
      </c>
      <c r="CL88" s="179">
        <f>IF(AZ88="", "", AZ88)</f>
        <v>1</v>
      </c>
      <c r="CM88" s="180">
        <f>IF(AZ88="", "", BA88)</f>
        <v>39646</v>
      </c>
      <c r="CN88">
        <v>0</v>
      </c>
      <c r="CO88">
        <v>0</v>
      </c>
      <c r="CP88">
        <v>5</v>
      </c>
      <c r="CQ88">
        <v>1</v>
      </c>
      <c r="CR88">
        <v>0</v>
      </c>
      <c r="CS88">
        <v>0</v>
      </c>
      <c r="CT88">
        <v>0</v>
      </c>
      <c r="CU88">
        <v>0</v>
      </c>
      <c r="CW88">
        <v>1</v>
      </c>
      <c r="CX88">
        <v>2</v>
      </c>
      <c r="CY88" s="158"/>
      <c r="CZ88" s="177">
        <f>IF(AZ88="", "", $G$15)</f>
        <v>9.6000000000000002E-2</v>
      </c>
      <c r="DB88" s="128"/>
      <c r="DC88" s="76">
        <f t="shared" ref="DC88:DC151" ca="1" si="49">IF(DD88="", "", RAND())</f>
        <v>2.4943142484038505E-2</v>
      </c>
      <c r="DD88">
        <f>IF(AZ88="", "", AZ88)</f>
        <v>1</v>
      </c>
      <c r="DE88" s="129">
        <f t="shared" ref="DE88:DE97" si="50">IF(DD88="", "", $C$4)</f>
        <v>39646</v>
      </c>
      <c r="DF88" s="161">
        <f t="shared" ref="DF88:DM88" si="51">IF($AZ88="", "", ((BB88*$CW88)+(CN88*$CX88))/$CZ88)</f>
        <v>0</v>
      </c>
      <c r="DG88" s="161">
        <f t="shared" si="51"/>
        <v>0</v>
      </c>
      <c r="DH88" s="161">
        <f t="shared" si="51"/>
        <v>104.16666666666667</v>
      </c>
      <c r="DI88" s="161">
        <f t="shared" si="51"/>
        <v>20.833333333333332</v>
      </c>
      <c r="DJ88" s="161">
        <f t="shared" si="51"/>
        <v>0</v>
      </c>
      <c r="DK88" s="161">
        <f t="shared" si="51"/>
        <v>0</v>
      </c>
      <c r="DL88" s="161">
        <f t="shared" si="51"/>
        <v>0</v>
      </c>
      <c r="DM88" s="161">
        <f t="shared" si="51"/>
        <v>0</v>
      </c>
      <c r="DN88" s="161">
        <f t="shared" ref="DN88:EJ88" si="52">IF($AZ88="", "", (BJ88*$CW88)/$CZ88)</f>
        <v>0</v>
      </c>
      <c r="DO88" s="161">
        <f t="shared" si="52"/>
        <v>0</v>
      </c>
      <c r="DP88" s="161">
        <f t="shared" si="52"/>
        <v>0</v>
      </c>
      <c r="DQ88" s="161">
        <f t="shared" si="52"/>
        <v>0</v>
      </c>
      <c r="DR88" s="161">
        <f t="shared" si="52"/>
        <v>0</v>
      </c>
      <c r="DS88" s="161">
        <f t="shared" si="52"/>
        <v>0</v>
      </c>
      <c r="DT88" s="161">
        <f t="shared" si="52"/>
        <v>0</v>
      </c>
      <c r="DU88" s="161">
        <f t="shared" si="52"/>
        <v>0</v>
      </c>
      <c r="DV88" s="161">
        <f t="shared" si="52"/>
        <v>0</v>
      </c>
      <c r="DW88" s="161">
        <f t="shared" si="52"/>
        <v>0</v>
      </c>
      <c r="DX88" s="161">
        <f t="shared" si="52"/>
        <v>0</v>
      </c>
      <c r="DY88" s="161">
        <f t="shared" si="52"/>
        <v>0</v>
      </c>
      <c r="DZ88" s="161">
        <f t="shared" si="52"/>
        <v>0</v>
      </c>
      <c r="EA88" s="161">
        <f t="shared" si="52"/>
        <v>0</v>
      </c>
      <c r="EB88" s="161">
        <f t="shared" si="52"/>
        <v>0</v>
      </c>
      <c r="EC88" s="161">
        <f t="shared" si="52"/>
        <v>0</v>
      </c>
      <c r="ED88" s="161">
        <f t="shared" si="52"/>
        <v>0</v>
      </c>
      <c r="EE88" s="161">
        <f t="shared" si="52"/>
        <v>0</v>
      </c>
      <c r="EF88" s="161">
        <f t="shared" si="52"/>
        <v>0</v>
      </c>
      <c r="EG88" s="161">
        <f t="shared" si="52"/>
        <v>0</v>
      </c>
      <c r="EH88" s="161">
        <f t="shared" si="52"/>
        <v>0</v>
      </c>
      <c r="EI88" s="161">
        <f t="shared" si="52"/>
        <v>0</v>
      </c>
      <c r="EJ88" s="161">
        <f t="shared" si="52"/>
        <v>0</v>
      </c>
      <c r="EK88" s="147">
        <f t="shared" ref="EK88:EK119" si="53">IF(DF88="", "", SUM(DF88:EJ88))</f>
        <v>125</v>
      </c>
      <c r="EL88" s="149"/>
      <c r="EN88" s="146"/>
      <c r="EO88" s="146"/>
      <c r="EP88" s="139">
        <f t="shared" ref="EP88:EP119" si="54">IF(DF88="", "", DF88*G$36)</f>
        <v>0</v>
      </c>
      <c r="EQ88" s="139">
        <f t="shared" ref="EQ88:EQ119" si="55">IF(DG88="", "", DG88*H$36)</f>
        <v>0</v>
      </c>
      <c r="ER88" s="139">
        <f t="shared" ref="ER88:ER119" si="56">IF(DH88="", "", DH88*I$36)</f>
        <v>2.6855892282608727</v>
      </c>
      <c r="ES88" s="139">
        <f t="shared" ref="ES88:ES119" si="57">IF(DI88="", "", DI88*J$36)</f>
        <v>1.6763231634770384</v>
      </c>
      <c r="ET88" s="139">
        <f t="shared" ref="ET88:ET119" si="58">IF(DJ88="", "", DJ88*K$36)</f>
        <v>0</v>
      </c>
      <c r="EU88" s="139">
        <f t="shared" ref="EU88:EU119" si="59">IF(DK88="", "", DK88*L$36)</f>
        <v>0</v>
      </c>
      <c r="EV88" s="139">
        <f t="shared" ref="EV88:EV119" si="60">IF(DL88="", "", DL88*M$36)</f>
        <v>0</v>
      </c>
      <c r="EW88" s="139">
        <f t="shared" ref="EW88:EW119" si="61">IF(DM88="", "", DM88*N$36)</f>
        <v>0</v>
      </c>
      <c r="EX88" s="139">
        <f t="shared" ref="EX88:EX119" si="62">IF(DN88="", "", DN88*O$36)</f>
        <v>0</v>
      </c>
      <c r="EY88" s="139">
        <f t="shared" ref="EY88:EY119" si="63">IF(DO88="", "", DO88*P$36)</f>
        <v>0</v>
      </c>
      <c r="EZ88" s="139">
        <f t="shared" ref="EZ88:EZ119" si="64">IF(DP88="", "", DP88*Q$36)</f>
        <v>0</v>
      </c>
      <c r="FA88" s="139">
        <f t="shared" ref="FA88:FA119" si="65">IF(DQ88="", "", DQ88*R$36)</f>
        <v>0</v>
      </c>
      <c r="FB88" s="139">
        <f t="shared" ref="FB88:FB119" si="66">IF(DR88="", "", DR88*S$36)</f>
        <v>0</v>
      </c>
      <c r="FC88" s="139">
        <f t="shared" ref="FC88:FC119" si="67">IF(DS88="", "", DS88*T$36)</f>
        <v>0</v>
      </c>
      <c r="FD88" s="139">
        <f t="shared" ref="FD88:FD119" si="68">IF(DT88="", "", DT88*U$36)</f>
        <v>0</v>
      </c>
      <c r="FE88" s="139">
        <f t="shared" ref="FE88:FE119" si="69">IF(DU88="", "", DU88*V$36)</f>
        <v>0</v>
      </c>
      <c r="FF88" s="139">
        <f t="shared" ref="FF88:FF119" si="70">IF(DV88="", "", DV88*W$36)</f>
        <v>0</v>
      </c>
      <c r="FG88" s="139">
        <f t="shared" ref="FG88:FG119" si="71">IF(DW88="", "", DW88*X$36)</f>
        <v>0</v>
      </c>
      <c r="FH88" s="139">
        <f t="shared" ref="FH88:FH119" si="72">IF(DX88="", "", DX88*Y$36)</f>
        <v>0</v>
      </c>
      <c r="FI88" s="139">
        <f t="shared" ref="FI88:FI119" si="73">IF(DY88="", "", DY88*Z$36)</f>
        <v>0</v>
      </c>
      <c r="FJ88" s="139">
        <f t="shared" ref="FJ88:FJ119" si="74">IF(DZ88="", "", DZ88*AA$36)</f>
        <v>0</v>
      </c>
      <c r="FK88" s="139">
        <f t="shared" ref="FK88:FK119" si="75">IF(EA88="", "", EA88*AB$36)</f>
        <v>0</v>
      </c>
      <c r="FL88" s="139">
        <f t="shared" ref="FL88:FL119" si="76">IF(EB88="", "", EB88*AC$36)</f>
        <v>0</v>
      </c>
      <c r="FM88" s="139">
        <f t="shared" ref="FM88:FM119" si="77">IF(EC88="", "", EC88*AD$36)</f>
        <v>0</v>
      </c>
      <c r="FN88" s="139">
        <f t="shared" ref="FN88:FN119" si="78">IF(ED88="", "", ED88*AE$36)</f>
        <v>0</v>
      </c>
      <c r="FO88" s="139">
        <f t="shared" ref="FO88:FO119" si="79">IF(EE88="", "", EE88*AF$36)</f>
        <v>0</v>
      </c>
      <c r="FP88" s="139">
        <f t="shared" ref="FP88:FP119" si="80">IF(EF88="", "", EF88*AG$36)</f>
        <v>0</v>
      </c>
      <c r="FQ88" s="139">
        <f t="shared" ref="FQ88:FQ119" si="81">IF(EG88="", "", EG88*AH$36)</f>
        <v>0</v>
      </c>
      <c r="FR88" s="139">
        <f t="shared" ref="FR88:FR119" si="82">IF(EH88="", "", EH88*AI$36)</f>
        <v>0</v>
      </c>
      <c r="FS88" s="139">
        <f t="shared" ref="FS88:FS119" si="83">IF(EI88="", "", EI88*AJ$36)</f>
        <v>0</v>
      </c>
      <c r="FT88" s="139">
        <f t="shared" ref="FT88:FT119" si="84">IF(EJ88="", "", EJ88*AK$36)</f>
        <v>0</v>
      </c>
      <c r="FU88" s="148">
        <f t="shared" ref="FU88:FU119" si="85">IF(EP88="","",SUM(EP88:FT88))</f>
        <v>4.3619123917379108</v>
      </c>
      <c r="FV88" s="149"/>
      <c r="FY88" s="210">
        <v>83</v>
      </c>
      <c r="FZ88">
        <v>22.985189383537037</v>
      </c>
      <c r="GA88">
        <v>27.73616115139437</v>
      </c>
      <c r="GB88">
        <v>3.5820162451409558</v>
      </c>
      <c r="GC88">
        <v>1.6942853495252661</v>
      </c>
      <c r="GD88">
        <v>1.3395169409392069</v>
      </c>
      <c r="GE88">
        <v>3.6829016535303394</v>
      </c>
      <c r="GF88">
        <v>8.8441768359486108</v>
      </c>
      <c r="GG88">
        <v>7.607259749370189</v>
      </c>
      <c r="GH88">
        <v>5.06615696765365</v>
      </c>
      <c r="GI88">
        <v>7.4588069462693776</v>
      </c>
      <c r="GJ88"/>
      <c r="GK88"/>
      <c r="GL88"/>
      <c r="GM88"/>
    </row>
    <row r="89" spans="1:195" s="7" customFormat="1">
      <c r="A89" s="115"/>
      <c r="B89" s="76">
        <f ca="1">IF(C89="", "", RAND())</f>
        <v>0.73826963793537104</v>
      </c>
      <c r="C89">
        <v>3</v>
      </c>
      <c r="D89">
        <v>39646</v>
      </c>
      <c r="E89">
        <v>0</v>
      </c>
      <c r="F89">
        <v>0</v>
      </c>
      <c r="G89">
        <v>20.833333333333332</v>
      </c>
      <c r="H89">
        <v>20.833333333333332</v>
      </c>
      <c r="I89">
        <v>20.833333333333332</v>
      </c>
      <c r="J89">
        <v>10.416666666666666</v>
      </c>
      <c r="K89">
        <v>41.666666666666664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 s="2"/>
      <c r="AK89" s="80"/>
      <c r="AL89" s="74"/>
      <c r="AM89" s="43">
        <v>73</v>
      </c>
      <c r="AN89">
        <v>111.17205734679564</v>
      </c>
      <c r="AO89">
        <v>8.8602270950907052</v>
      </c>
      <c r="AP89">
        <v>85.968326155007261</v>
      </c>
      <c r="AQ89">
        <v>72.449719357467899</v>
      </c>
      <c r="AR89">
        <v>8.6575107199741161</v>
      </c>
      <c r="AS89">
        <v>135.7296388196861</v>
      </c>
      <c r="AT89">
        <v>4.9486190042723193</v>
      </c>
      <c r="AU89">
        <v>20.726325176595381</v>
      </c>
      <c r="AV89"/>
      <c r="AW89"/>
      <c r="AX89" s="150"/>
      <c r="AY89" s="76">
        <f t="shared" ref="AY89:AY147" ca="1" si="86">IF(AZ89="", "", RAND())</f>
        <v>0.24016273960860457</v>
      </c>
      <c r="AZ89">
        <v>2</v>
      </c>
      <c r="BA89" s="129">
        <f t="shared" ref="BA89:BA97" si="87">IF(AZ89="", "",$C$4)</f>
        <v>39646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 s="147"/>
      <c r="CH89" s="176"/>
      <c r="CJ89" s="150"/>
      <c r="CK89" s="76">
        <f t="shared" ref="CK89:CK152" ca="1" si="88">IF(AZ89="", "", RAND())</f>
        <v>5.7200834058575012E-3</v>
      </c>
      <c r="CL89" s="179">
        <f t="shared" ref="CL89:CL152" si="89">IF(AZ89="", "", AZ89)</f>
        <v>2</v>
      </c>
      <c r="CM89" s="180">
        <f t="shared" ref="CM89:CM152" si="90">IF(AZ89="", "", BA89)</f>
        <v>39646</v>
      </c>
      <c r="CN89">
        <v>0</v>
      </c>
      <c r="CO89">
        <v>0</v>
      </c>
      <c r="CP89">
        <v>1</v>
      </c>
      <c r="CQ89">
        <v>0</v>
      </c>
      <c r="CR89">
        <v>0</v>
      </c>
      <c r="CS89">
        <v>0</v>
      </c>
      <c r="CT89">
        <v>0</v>
      </c>
      <c r="CU89">
        <v>0</v>
      </c>
      <c r="CW89">
        <v>1</v>
      </c>
      <c r="CX89">
        <f>2/1</f>
        <v>2</v>
      </c>
      <c r="CY89" s="158"/>
      <c r="CZ89" s="177">
        <f t="shared" ref="CZ89:CZ152" si="91">IF(AZ89="", "", $G$15)</f>
        <v>9.6000000000000002E-2</v>
      </c>
      <c r="DB89" s="150"/>
      <c r="DC89" s="76">
        <f t="shared" ca="1" si="49"/>
        <v>0.62373148361038933</v>
      </c>
      <c r="DD89">
        <f t="shared" ref="DD89:DD152" si="92">IF(AZ89="", "", AZ89)</f>
        <v>2</v>
      </c>
      <c r="DE89" s="129">
        <f t="shared" si="50"/>
        <v>39646</v>
      </c>
      <c r="DF89" s="161">
        <f t="shared" ref="DF89:DF152" si="93">IF($AZ89="", "", ((BB89*$CW89)+(CN89*$CX89))/$CZ89)</f>
        <v>0</v>
      </c>
      <c r="DG89" s="161">
        <f t="shared" ref="DG89:DG152" si="94">IF($AZ89="", "", ((BC89*$CW89)+(CO89*$CX89))/$CZ89)</f>
        <v>0</v>
      </c>
      <c r="DH89" s="161">
        <f t="shared" ref="DH89:DH152" si="95">IF($AZ89="", "", ((BD89*$CW89)+(CP89*$CX89))/$CZ89)</f>
        <v>20.833333333333332</v>
      </c>
      <c r="DI89" s="161">
        <f t="shared" ref="DI89:DI152" si="96">IF($AZ89="", "", ((BE89*$CW89)+(CQ89*$CX89))/$CZ89)</f>
        <v>0</v>
      </c>
      <c r="DJ89" s="161">
        <f t="shared" ref="DJ89:DJ152" si="97">IF($AZ89="", "", ((BF89*$CW89)+(CR89*$CX89))/$CZ89)</f>
        <v>0</v>
      </c>
      <c r="DK89" s="161">
        <f t="shared" ref="DK89:DK152" si="98">IF($AZ89="", "", ((BG89*$CW89)+(CS89*$CX89))/$CZ89)</f>
        <v>0</v>
      </c>
      <c r="DL89" s="161">
        <f t="shared" ref="DL89:DL152" si="99">IF($AZ89="", "", ((BH89*$CW89)+(CT89*$CX89))/$CZ89)</f>
        <v>0</v>
      </c>
      <c r="DM89" s="161">
        <f t="shared" ref="DM89:DM152" si="100">IF($AZ89="", "", ((BI89*$CW89)+(CU89*$CX89))/$CZ89)</f>
        <v>0</v>
      </c>
      <c r="DN89" s="161">
        <f t="shared" ref="DN89:DN152" si="101">IF($AZ89="", "", (BJ89*$CW89)/$CZ89)</f>
        <v>0</v>
      </c>
      <c r="DO89" s="161">
        <f t="shared" ref="DO89:DO152" si="102">IF($AZ89="", "", (BK89*$CW89)/$CZ89)</f>
        <v>0</v>
      </c>
      <c r="DP89" s="161">
        <f t="shared" ref="DP89:DP152" si="103">IF($AZ89="", "", (BL89*$CW89)/$CZ89)</f>
        <v>0</v>
      </c>
      <c r="DQ89" s="161">
        <f t="shared" ref="DQ89:DQ152" si="104">IF($AZ89="", "", (BM89*$CW89)/$CZ89)</f>
        <v>0</v>
      </c>
      <c r="DR89" s="161">
        <f t="shared" ref="DR89:DR152" si="105">IF($AZ89="", "", (BN89*$CW89)/$CZ89)</f>
        <v>0</v>
      </c>
      <c r="DS89" s="161">
        <f t="shared" ref="DS89:DS152" si="106">IF($AZ89="", "", (BO89*$CW89)/$CZ89)</f>
        <v>0</v>
      </c>
      <c r="DT89" s="161">
        <f t="shared" ref="DT89:DT152" si="107">IF($AZ89="", "", (BP89*$CW89)/$CZ89)</f>
        <v>0</v>
      </c>
      <c r="DU89" s="161">
        <f t="shared" ref="DU89:DU152" si="108">IF($AZ89="", "", (BQ89*$CW89)/$CZ89)</f>
        <v>0</v>
      </c>
      <c r="DV89" s="161">
        <f t="shared" ref="DV89:DV152" si="109">IF($AZ89="", "", (BR89*$CW89)/$CZ89)</f>
        <v>0</v>
      </c>
      <c r="DW89" s="161">
        <f t="shared" ref="DW89:DW152" si="110">IF($AZ89="", "", (BS89*$CW89)/$CZ89)</f>
        <v>0</v>
      </c>
      <c r="DX89" s="161">
        <f t="shared" ref="DX89:DX152" si="111">IF($AZ89="", "", (BT89*$CW89)/$CZ89)</f>
        <v>0</v>
      </c>
      <c r="DY89" s="161">
        <f t="shared" ref="DY89:DY152" si="112">IF($AZ89="", "", (BU89*$CW89)/$CZ89)</f>
        <v>0</v>
      </c>
      <c r="DZ89" s="161">
        <f t="shared" ref="DZ89:DZ152" si="113">IF($AZ89="", "", (BV89*$CW89)/$CZ89)</f>
        <v>0</v>
      </c>
      <c r="EA89" s="161">
        <f t="shared" ref="EA89:EA152" si="114">IF($AZ89="", "", (BW89*$CW89)/$CZ89)</f>
        <v>0</v>
      </c>
      <c r="EB89" s="161">
        <f t="shared" ref="EB89:EB152" si="115">IF($AZ89="", "", (BX89*$CW89)/$CZ89)</f>
        <v>0</v>
      </c>
      <c r="EC89" s="161">
        <f t="shared" ref="EC89:EC152" si="116">IF($AZ89="", "", (BY89*$CW89)/$CZ89)</f>
        <v>0</v>
      </c>
      <c r="ED89" s="161">
        <f t="shared" ref="ED89:ED152" si="117">IF($AZ89="", "", (BZ89*$CW89)/$CZ89)</f>
        <v>0</v>
      </c>
      <c r="EE89" s="161">
        <f t="shared" ref="EE89:EE152" si="118">IF($AZ89="", "", (CA89*$CW89)/$CZ89)</f>
        <v>0</v>
      </c>
      <c r="EF89" s="161">
        <f t="shared" ref="EF89:EF152" si="119">IF($AZ89="", "", (CB89*$CW89)/$CZ89)</f>
        <v>0</v>
      </c>
      <c r="EG89" s="161">
        <f t="shared" ref="EG89:EG152" si="120">IF($AZ89="", "", (CC89*$CW89)/$CZ89)</f>
        <v>0</v>
      </c>
      <c r="EH89" s="161">
        <f t="shared" ref="EH89:EH152" si="121">IF($AZ89="", "", (CD89*$CW89)/$CZ89)</f>
        <v>0</v>
      </c>
      <c r="EI89" s="161">
        <f t="shared" ref="EI89:EI152" si="122">IF($AZ89="", "", (CE89*$CW89)/$CZ89)</f>
        <v>0</v>
      </c>
      <c r="EJ89" s="161">
        <f t="shared" ref="EJ89:EJ152" si="123">IF($AZ89="", "", (CF89*$CW89)/$CZ89)</f>
        <v>0</v>
      </c>
      <c r="EK89" s="147">
        <f t="shared" si="53"/>
        <v>20.833333333333332</v>
      </c>
      <c r="EL89" s="149"/>
      <c r="EN89" s="150"/>
      <c r="EO89" s="150"/>
      <c r="EP89" s="139">
        <f t="shared" si="54"/>
        <v>0</v>
      </c>
      <c r="EQ89" s="139">
        <f t="shared" si="55"/>
        <v>0</v>
      </c>
      <c r="ER89" s="139">
        <f t="shared" si="56"/>
        <v>0.53711784565217446</v>
      </c>
      <c r="ES89" s="139">
        <f t="shared" si="57"/>
        <v>0</v>
      </c>
      <c r="ET89" s="139">
        <f t="shared" si="58"/>
        <v>0</v>
      </c>
      <c r="EU89" s="139">
        <f t="shared" si="59"/>
        <v>0</v>
      </c>
      <c r="EV89" s="139">
        <f t="shared" si="60"/>
        <v>0</v>
      </c>
      <c r="EW89" s="139">
        <f t="shared" si="61"/>
        <v>0</v>
      </c>
      <c r="EX89" s="139">
        <f t="shared" si="62"/>
        <v>0</v>
      </c>
      <c r="EY89" s="139">
        <f t="shared" si="63"/>
        <v>0</v>
      </c>
      <c r="EZ89" s="139">
        <f t="shared" si="64"/>
        <v>0</v>
      </c>
      <c r="FA89" s="139">
        <f t="shared" si="65"/>
        <v>0</v>
      </c>
      <c r="FB89" s="139">
        <f t="shared" si="66"/>
        <v>0</v>
      </c>
      <c r="FC89" s="139">
        <f t="shared" si="67"/>
        <v>0</v>
      </c>
      <c r="FD89" s="139">
        <f t="shared" si="68"/>
        <v>0</v>
      </c>
      <c r="FE89" s="139">
        <f t="shared" si="69"/>
        <v>0</v>
      </c>
      <c r="FF89" s="139">
        <f t="shared" si="70"/>
        <v>0</v>
      </c>
      <c r="FG89" s="139">
        <f t="shared" si="71"/>
        <v>0</v>
      </c>
      <c r="FH89" s="139">
        <f t="shared" si="72"/>
        <v>0</v>
      </c>
      <c r="FI89" s="139">
        <f t="shared" si="73"/>
        <v>0</v>
      </c>
      <c r="FJ89" s="139">
        <f t="shared" si="74"/>
        <v>0</v>
      </c>
      <c r="FK89" s="139">
        <f t="shared" si="75"/>
        <v>0</v>
      </c>
      <c r="FL89" s="139">
        <f t="shared" si="76"/>
        <v>0</v>
      </c>
      <c r="FM89" s="139">
        <f t="shared" si="77"/>
        <v>0</v>
      </c>
      <c r="FN89" s="139">
        <f t="shared" si="78"/>
        <v>0</v>
      </c>
      <c r="FO89" s="139">
        <f t="shared" si="79"/>
        <v>0</v>
      </c>
      <c r="FP89" s="139">
        <f t="shared" si="80"/>
        <v>0</v>
      </c>
      <c r="FQ89" s="139">
        <f t="shared" si="81"/>
        <v>0</v>
      </c>
      <c r="FR89" s="139">
        <f t="shared" si="82"/>
        <v>0</v>
      </c>
      <c r="FS89" s="139">
        <f t="shared" si="83"/>
        <v>0</v>
      </c>
      <c r="FT89" s="139">
        <f t="shared" si="84"/>
        <v>0</v>
      </c>
      <c r="FU89" s="148">
        <f t="shared" si="85"/>
        <v>0.53711784565217446</v>
      </c>
      <c r="FV89" s="149"/>
      <c r="FY89" s="210">
        <v>84</v>
      </c>
      <c r="FZ89">
        <v>33.108067007982882</v>
      </c>
      <c r="GA89">
        <v>41.544409001698639</v>
      </c>
      <c r="GB89">
        <v>3.7283399532453498</v>
      </c>
      <c r="GC89">
        <v>1.5047640937351743</v>
      </c>
      <c r="GD89">
        <v>1.4108865035647344</v>
      </c>
      <c r="GE89">
        <v>3.2894186483460706</v>
      </c>
      <c r="GF89">
        <v>7.2219871702292036</v>
      </c>
      <c r="GG89">
        <v>9.0538003266297107</v>
      </c>
      <c r="GH89">
        <v>7.7577008493903357</v>
      </c>
      <c r="GI89">
        <v>9.1566689847974807</v>
      </c>
      <c r="GJ89"/>
      <c r="GK89"/>
      <c r="GL89"/>
      <c r="GM89"/>
    </row>
    <row r="90" spans="1:195" s="7" customFormat="1">
      <c r="A90" s="115"/>
      <c r="B90" s="76">
        <f ca="1">IF(C90="", "", RAND())</f>
        <v>0.38591022341813308</v>
      </c>
      <c r="C90">
        <v>5</v>
      </c>
      <c r="D90">
        <v>39646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 s="2"/>
      <c r="AK90" s="80"/>
      <c r="AL90" s="74"/>
      <c r="AM90" s="43">
        <v>74</v>
      </c>
      <c r="AN90">
        <v>157.8579906893969</v>
      </c>
      <c r="AO90">
        <v>12.322594961784324</v>
      </c>
      <c r="AP90">
        <v>117.45035642265225</v>
      </c>
      <c r="AQ90">
        <v>101.24779070021205</v>
      </c>
      <c r="AR90">
        <v>11.742080867734328</v>
      </c>
      <c r="AS90">
        <v>220.93069563428807</v>
      </c>
      <c r="AT90">
        <v>7.1607194570663504</v>
      </c>
      <c r="AU90">
        <v>30.772773524092166</v>
      </c>
      <c r="AV90"/>
      <c r="AW90"/>
      <c r="AX90" s="150"/>
      <c r="AY90" s="76">
        <f t="shared" ca="1" si="86"/>
        <v>0.25750638556201189</v>
      </c>
      <c r="AZ90">
        <v>3</v>
      </c>
      <c r="BA90" s="129">
        <f t="shared" si="87"/>
        <v>39646</v>
      </c>
      <c r="BB90">
        <v>0</v>
      </c>
      <c r="BC90">
        <v>0</v>
      </c>
      <c r="BD90">
        <v>0</v>
      </c>
      <c r="BE90">
        <v>2</v>
      </c>
      <c r="BF90">
        <v>2</v>
      </c>
      <c r="BG90">
        <v>1</v>
      </c>
      <c r="BH90">
        <v>4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 s="147"/>
      <c r="CH90" s="176"/>
      <c r="CJ90" s="150"/>
      <c r="CK90" s="76">
        <f t="shared" ca="1" si="88"/>
        <v>0.4532581612029225</v>
      </c>
      <c r="CL90" s="179">
        <f t="shared" si="89"/>
        <v>3</v>
      </c>
      <c r="CM90" s="180">
        <f t="shared" si="90"/>
        <v>39646</v>
      </c>
      <c r="CN90">
        <v>0</v>
      </c>
      <c r="CO90">
        <v>0</v>
      </c>
      <c r="CP90">
        <v>2</v>
      </c>
      <c r="CQ90">
        <v>0</v>
      </c>
      <c r="CR90">
        <v>0</v>
      </c>
      <c r="CS90">
        <v>0</v>
      </c>
      <c r="CT90">
        <v>0</v>
      </c>
      <c r="CU90">
        <v>0</v>
      </c>
      <c r="CW90">
        <v>1</v>
      </c>
      <c r="CX90">
        <v>1</v>
      </c>
      <c r="CY90" s="158"/>
      <c r="CZ90" s="177">
        <f t="shared" si="91"/>
        <v>9.6000000000000002E-2</v>
      </c>
      <c r="DB90" s="150"/>
      <c r="DC90" s="76">
        <f t="shared" ca="1" si="49"/>
        <v>0.91157096645964875</v>
      </c>
      <c r="DD90">
        <f t="shared" si="92"/>
        <v>3</v>
      </c>
      <c r="DE90" s="129">
        <f t="shared" si="50"/>
        <v>39646</v>
      </c>
      <c r="DF90" s="161">
        <f t="shared" si="93"/>
        <v>0</v>
      </c>
      <c r="DG90" s="161">
        <f t="shared" si="94"/>
        <v>0</v>
      </c>
      <c r="DH90" s="161">
        <f t="shared" si="95"/>
        <v>20.833333333333332</v>
      </c>
      <c r="DI90" s="161">
        <f t="shared" si="96"/>
        <v>20.833333333333332</v>
      </c>
      <c r="DJ90" s="161">
        <f t="shared" si="97"/>
        <v>20.833333333333332</v>
      </c>
      <c r="DK90" s="161">
        <f t="shared" si="98"/>
        <v>10.416666666666666</v>
      </c>
      <c r="DL90" s="161">
        <f t="shared" si="99"/>
        <v>41.666666666666664</v>
      </c>
      <c r="DM90" s="161">
        <f t="shared" si="100"/>
        <v>0</v>
      </c>
      <c r="DN90" s="161">
        <f t="shared" si="101"/>
        <v>0</v>
      </c>
      <c r="DO90" s="161">
        <f t="shared" si="102"/>
        <v>0</v>
      </c>
      <c r="DP90" s="161">
        <f t="shared" si="103"/>
        <v>0</v>
      </c>
      <c r="DQ90" s="161">
        <f t="shared" si="104"/>
        <v>0</v>
      </c>
      <c r="DR90" s="161">
        <f t="shared" si="105"/>
        <v>0</v>
      </c>
      <c r="DS90" s="161">
        <f t="shared" si="106"/>
        <v>0</v>
      </c>
      <c r="DT90" s="161">
        <f t="shared" si="107"/>
        <v>0</v>
      </c>
      <c r="DU90" s="161">
        <f t="shared" si="108"/>
        <v>0</v>
      </c>
      <c r="DV90" s="161">
        <f t="shared" si="109"/>
        <v>0</v>
      </c>
      <c r="DW90" s="161">
        <f t="shared" si="110"/>
        <v>0</v>
      </c>
      <c r="DX90" s="161">
        <f t="shared" si="111"/>
        <v>0</v>
      </c>
      <c r="DY90" s="161">
        <f t="shared" si="112"/>
        <v>0</v>
      </c>
      <c r="DZ90" s="161">
        <f t="shared" si="113"/>
        <v>0</v>
      </c>
      <c r="EA90" s="161">
        <f t="shared" si="114"/>
        <v>0</v>
      </c>
      <c r="EB90" s="161">
        <f t="shared" si="115"/>
        <v>0</v>
      </c>
      <c r="EC90" s="161">
        <f t="shared" si="116"/>
        <v>0</v>
      </c>
      <c r="ED90" s="161">
        <f t="shared" si="117"/>
        <v>0</v>
      </c>
      <c r="EE90" s="161">
        <f t="shared" si="118"/>
        <v>0</v>
      </c>
      <c r="EF90" s="161">
        <f t="shared" si="119"/>
        <v>0</v>
      </c>
      <c r="EG90" s="161">
        <f t="shared" si="120"/>
        <v>0</v>
      </c>
      <c r="EH90" s="161">
        <f t="shared" si="121"/>
        <v>0</v>
      </c>
      <c r="EI90" s="161">
        <f t="shared" si="122"/>
        <v>0</v>
      </c>
      <c r="EJ90" s="161">
        <f t="shared" si="123"/>
        <v>0</v>
      </c>
      <c r="EK90" s="147">
        <f t="shared" si="53"/>
        <v>114.58333333333334</v>
      </c>
      <c r="EL90" s="149"/>
      <c r="EN90" s="150"/>
      <c r="EO90" s="150"/>
      <c r="EP90" s="139">
        <f t="shared" si="54"/>
        <v>0</v>
      </c>
      <c r="EQ90" s="139">
        <f t="shared" si="55"/>
        <v>0</v>
      </c>
      <c r="ER90" s="139">
        <f t="shared" si="56"/>
        <v>0.53711784565217446</v>
      </c>
      <c r="ES90" s="139">
        <f t="shared" si="57"/>
        <v>1.6763231634770384</v>
      </c>
      <c r="ET90" s="139">
        <f t="shared" si="58"/>
        <v>3.758900066684471</v>
      </c>
      <c r="EU90" s="139">
        <f t="shared" si="59"/>
        <v>3.5160673928895911</v>
      </c>
      <c r="EV90" s="139">
        <f t="shared" si="60"/>
        <v>23.4627514314951</v>
      </c>
      <c r="EW90" s="139">
        <f t="shared" si="61"/>
        <v>0</v>
      </c>
      <c r="EX90" s="139">
        <f t="shared" si="62"/>
        <v>0</v>
      </c>
      <c r="EY90" s="139">
        <f t="shared" si="63"/>
        <v>0</v>
      </c>
      <c r="EZ90" s="139">
        <f t="shared" si="64"/>
        <v>0</v>
      </c>
      <c r="FA90" s="139">
        <f t="shared" si="65"/>
        <v>0</v>
      </c>
      <c r="FB90" s="139">
        <f t="shared" si="66"/>
        <v>0</v>
      </c>
      <c r="FC90" s="139">
        <f t="shared" si="67"/>
        <v>0</v>
      </c>
      <c r="FD90" s="139">
        <f t="shared" si="68"/>
        <v>0</v>
      </c>
      <c r="FE90" s="139">
        <f t="shared" si="69"/>
        <v>0</v>
      </c>
      <c r="FF90" s="139">
        <f t="shared" si="70"/>
        <v>0</v>
      </c>
      <c r="FG90" s="139">
        <f t="shared" si="71"/>
        <v>0</v>
      </c>
      <c r="FH90" s="139">
        <f t="shared" si="72"/>
        <v>0</v>
      </c>
      <c r="FI90" s="139">
        <f t="shared" si="73"/>
        <v>0</v>
      </c>
      <c r="FJ90" s="139">
        <f t="shared" si="74"/>
        <v>0</v>
      </c>
      <c r="FK90" s="139">
        <f t="shared" si="75"/>
        <v>0</v>
      </c>
      <c r="FL90" s="139">
        <f t="shared" si="76"/>
        <v>0</v>
      </c>
      <c r="FM90" s="139">
        <f t="shared" si="77"/>
        <v>0</v>
      </c>
      <c r="FN90" s="139">
        <f t="shared" si="78"/>
        <v>0</v>
      </c>
      <c r="FO90" s="139">
        <f t="shared" si="79"/>
        <v>0</v>
      </c>
      <c r="FP90" s="139">
        <f t="shared" si="80"/>
        <v>0</v>
      </c>
      <c r="FQ90" s="139">
        <f t="shared" si="81"/>
        <v>0</v>
      </c>
      <c r="FR90" s="139">
        <f t="shared" si="82"/>
        <v>0</v>
      </c>
      <c r="FS90" s="139">
        <f t="shared" si="83"/>
        <v>0</v>
      </c>
      <c r="FT90" s="139">
        <f t="shared" si="84"/>
        <v>0</v>
      </c>
      <c r="FU90" s="148">
        <f t="shared" si="85"/>
        <v>32.951159900198377</v>
      </c>
      <c r="FV90" s="149"/>
      <c r="FY90" s="210">
        <v>85</v>
      </c>
      <c r="FZ90">
        <v>12.863970872336676</v>
      </c>
      <c r="GA90">
        <v>17.088138016937346</v>
      </c>
      <c r="GB90">
        <v>3.3803391353500425</v>
      </c>
      <c r="GC90">
        <v>1.1208308768162594</v>
      </c>
      <c r="GD90">
        <v>1.1056174553409277</v>
      </c>
      <c r="GE90">
        <v>1.9489565878903059</v>
      </c>
      <c r="GF90">
        <v>3.2059373505189379</v>
      </c>
      <c r="GG90">
        <v>4.3487521055252092</v>
      </c>
      <c r="GH90">
        <v>6.5123849002354</v>
      </c>
      <c r="GI90">
        <v>5.0012537838584779</v>
      </c>
      <c r="GJ90"/>
      <c r="GK90"/>
      <c r="GL90"/>
      <c r="GM90"/>
    </row>
    <row r="91" spans="1:195" s="7" customFormat="1">
      <c r="A91" s="77"/>
      <c r="B91" s="76">
        <f ca="1">IF(C91="", "", RAND())</f>
        <v>0.75779279892415286</v>
      </c>
      <c r="C91">
        <v>1</v>
      </c>
      <c r="D91">
        <v>39646</v>
      </c>
      <c r="E91">
        <v>0</v>
      </c>
      <c r="F91">
        <v>0</v>
      </c>
      <c r="G91">
        <v>104.16666666666667</v>
      </c>
      <c r="H91">
        <v>20.833333333333332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 s="2"/>
      <c r="AK91" s="80"/>
      <c r="AL91" s="74"/>
      <c r="AM91" s="43">
        <v>75</v>
      </c>
      <c r="AN91">
        <v>130.77003601865982</v>
      </c>
      <c r="AO91">
        <v>11.769142947153433</v>
      </c>
      <c r="AP91">
        <v>121.87948379645827</v>
      </c>
      <c r="AQ91">
        <v>101.88669637194678</v>
      </c>
      <c r="AR91">
        <v>11.525328842740144</v>
      </c>
      <c r="AS91">
        <v>190.09258345345924</v>
      </c>
      <c r="AT91">
        <v>6.8909992210994995</v>
      </c>
      <c r="AU91">
        <v>36.987657751492932</v>
      </c>
      <c r="AV91"/>
      <c r="AW91"/>
      <c r="AX91" s="151"/>
      <c r="AY91" s="76">
        <f t="shared" ca="1" si="86"/>
        <v>0.7960397583272929</v>
      </c>
      <c r="AZ91">
        <v>4</v>
      </c>
      <c r="BA91" s="129">
        <f t="shared" si="87"/>
        <v>39646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 s="147"/>
      <c r="CH91" s="176"/>
      <c r="CJ91" s="151"/>
      <c r="CK91" s="76">
        <f t="shared" ca="1" si="88"/>
        <v>0.87420097644069994</v>
      </c>
      <c r="CL91" s="179">
        <f t="shared" si="89"/>
        <v>4</v>
      </c>
      <c r="CM91" s="180">
        <f t="shared" si="90"/>
        <v>39646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W91">
        <v>1</v>
      </c>
      <c r="CX91">
        <v>1</v>
      </c>
      <c r="CY91" s="158"/>
      <c r="CZ91" s="177">
        <f t="shared" si="91"/>
        <v>9.6000000000000002E-2</v>
      </c>
      <c r="DB91" s="151"/>
      <c r="DC91" s="76">
        <f t="shared" ca="1" si="49"/>
        <v>8.113515310147168E-2</v>
      </c>
      <c r="DD91">
        <f t="shared" si="92"/>
        <v>4</v>
      </c>
      <c r="DE91" s="129">
        <f t="shared" si="50"/>
        <v>39646</v>
      </c>
      <c r="DF91" s="161">
        <f t="shared" si="93"/>
        <v>0</v>
      </c>
      <c r="DG91" s="161">
        <f t="shared" si="94"/>
        <v>0</v>
      </c>
      <c r="DH91" s="161">
        <f t="shared" si="95"/>
        <v>0</v>
      </c>
      <c r="DI91" s="161">
        <f t="shared" si="96"/>
        <v>0</v>
      </c>
      <c r="DJ91" s="161">
        <f t="shared" si="97"/>
        <v>0</v>
      </c>
      <c r="DK91" s="161">
        <f t="shared" si="98"/>
        <v>0</v>
      </c>
      <c r="DL91" s="161">
        <f t="shared" si="99"/>
        <v>0</v>
      </c>
      <c r="DM91" s="161">
        <f t="shared" si="100"/>
        <v>0</v>
      </c>
      <c r="DN91" s="161">
        <f t="shared" si="101"/>
        <v>0</v>
      </c>
      <c r="DO91" s="161">
        <f t="shared" si="102"/>
        <v>0</v>
      </c>
      <c r="DP91" s="161">
        <f t="shared" si="103"/>
        <v>0</v>
      </c>
      <c r="DQ91" s="161">
        <f t="shared" si="104"/>
        <v>0</v>
      </c>
      <c r="DR91" s="161">
        <f t="shared" si="105"/>
        <v>0</v>
      </c>
      <c r="DS91" s="161">
        <f t="shared" si="106"/>
        <v>0</v>
      </c>
      <c r="DT91" s="161">
        <f t="shared" si="107"/>
        <v>0</v>
      </c>
      <c r="DU91" s="161">
        <f t="shared" si="108"/>
        <v>0</v>
      </c>
      <c r="DV91" s="161">
        <f t="shared" si="109"/>
        <v>0</v>
      </c>
      <c r="DW91" s="161">
        <f t="shared" si="110"/>
        <v>0</v>
      </c>
      <c r="DX91" s="161">
        <f t="shared" si="111"/>
        <v>0</v>
      </c>
      <c r="DY91" s="161">
        <f t="shared" si="112"/>
        <v>0</v>
      </c>
      <c r="DZ91" s="161">
        <f t="shared" si="113"/>
        <v>0</v>
      </c>
      <c r="EA91" s="161">
        <f t="shared" si="114"/>
        <v>0</v>
      </c>
      <c r="EB91" s="161">
        <f t="shared" si="115"/>
        <v>0</v>
      </c>
      <c r="EC91" s="161">
        <f t="shared" si="116"/>
        <v>0</v>
      </c>
      <c r="ED91" s="161">
        <f t="shared" si="117"/>
        <v>0</v>
      </c>
      <c r="EE91" s="161">
        <f t="shared" si="118"/>
        <v>0</v>
      </c>
      <c r="EF91" s="161">
        <f t="shared" si="119"/>
        <v>0</v>
      </c>
      <c r="EG91" s="161">
        <f t="shared" si="120"/>
        <v>0</v>
      </c>
      <c r="EH91" s="161">
        <f t="shared" si="121"/>
        <v>0</v>
      </c>
      <c r="EI91" s="161">
        <f t="shared" si="122"/>
        <v>0</v>
      </c>
      <c r="EJ91" s="161">
        <f t="shared" si="123"/>
        <v>0</v>
      </c>
      <c r="EK91" s="147">
        <f t="shared" si="53"/>
        <v>0</v>
      </c>
      <c r="EL91" s="149"/>
      <c r="EN91" s="151"/>
      <c r="EO91" s="151"/>
      <c r="EP91" s="139">
        <f t="shared" si="54"/>
        <v>0</v>
      </c>
      <c r="EQ91" s="139">
        <f t="shared" si="55"/>
        <v>0</v>
      </c>
      <c r="ER91" s="139">
        <f t="shared" si="56"/>
        <v>0</v>
      </c>
      <c r="ES91" s="139">
        <f t="shared" si="57"/>
        <v>0</v>
      </c>
      <c r="ET91" s="139">
        <f t="shared" si="58"/>
        <v>0</v>
      </c>
      <c r="EU91" s="139">
        <f t="shared" si="59"/>
        <v>0</v>
      </c>
      <c r="EV91" s="139">
        <f t="shared" si="60"/>
        <v>0</v>
      </c>
      <c r="EW91" s="139">
        <f t="shared" si="61"/>
        <v>0</v>
      </c>
      <c r="EX91" s="139">
        <f t="shared" si="62"/>
        <v>0</v>
      </c>
      <c r="EY91" s="139">
        <f t="shared" si="63"/>
        <v>0</v>
      </c>
      <c r="EZ91" s="139">
        <f t="shared" si="64"/>
        <v>0</v>
      </c>
      <c r="FA91" s="139">
        <f t="shared" si="65"/>
        <v>0</v>
      </c>
      <c r="FB91" s="139">
        <f t="shared" si="66"/>
        <v>0</v>
      </c>
      <c r="FC91" s="139">
        <f t="shared" si="67"/>
        <v>0</v>
      </c>
      <c r="FD91" s="139">
        <f t="shared" si="68"/>
        <v>0</v>
      </c>
      <c r="FE91" s="139">
        <f t="shared" si="69"/>
        <v>0</v>
      </c>
      <c r="FF91" s="139">
        <f t="shared" si="70"/>
        <v>0</v>
      </c>
      <c r="FG91" s="139">
        <f t="shared" si="71"/>
        <v>0</v>
      </c>
      <c r="FH91" s="139">
        <f t="shared" si="72"/>
        <v>0</v>
      </c>
      <c r="FI91" s="139">
        <f t="shared" si="73"/>
        <v>0</v>
      </c>
      <c r="FJ91" s="139">
        <f t="shared" si="74"/>
        <v>0</v>
      </c>
      <c r="FK91" s="139">
        <f t="shared" si="75"/>
        <v>0</v>
      </c>
      <c r="FL91" s="139">
        <f t="shared" si="76"/>
        <v>0</v>
      </c>
      <c r="FM91" s="139">
        <f t="shared" si="77"/>
        <v>0</v>
      </c>
      <c r="FN91" s="139">
        <f t="shared" si="78"/>
        <v>0</v>
      </c>
      <c r="FO91" s="139">
        <f t="shared" si="79"/>
        <v>0</v>
      </c>
      <c r="FP91" s="139">
        <f t="shared" si="80"/>
        <v>0</v>
      </c>
      <c r="FQ91" s="139">
        <f t="shared" si="81"/>
        <v>0</v>
      </c>
      <c r="FR91" s="139">
        <f t="shared" si="82"/>
        <v>0</v>
      </c>
      <c r="FS91" s="139">
        <f t="shared" si="83"/>
        <v>0</v>
      </c>
      <c r="FT91" s="139">
        <f t="shared" si="84"/>
        <v>0</v>
      </c>
      <c r="FU91" s="148">
        <f t="shared" si="85"/>
        <v>0</v>
      </c>
      <c r="FV91" s="149"/>
      <c r="FY91" s="210">
        <v>86</v>
      </c>
      <c r="FZ91">
        <v>14.331623436380605</v>
      </c>
      <c r="GA91">
        <v>13.870051978417553</v>
      </c>
      <c r="GB91">
        <v>1.1472438275658874</v>
      </c>
      <c r="GC91">
        <v>0.76456256741329354</v>
      </c>
      <c r="GD91">
        <v>0.71887293342636815</v>
      </c>
      <c r="GE91">
        <v>2.2884649418343348</v>
      </c>
      <c r="GF91">
        <v>6.8561574234004148</v>
      </c>
      <c r="GG91">
        <v>10.579575042616987</v>
      </c>
      <c r="GH91">
        <v>10.324548412409547</v>
      </c>
      <c r="GI91">
        <v>5.693890026264663</v>
      </c>
      <c r="GJ91"/>
      <c r="GK91"/>
      <c r="GL91"/>
      <c r="GM91"/>
    </row>
    <row r="92" spans="1:195" s="7" customFormat="1">
      <c r="A92" s="77"/>
      <c r="B92" s="76">
        <f ca="1">IF(C92="", "", RAND())</f>
        <v>0.98597038169473472</v>
      </c>
      <c r="C92">
        <v>9</v>
      </c>
      <c r="D92">
        <v>39646</v>
      </c>
      <c r="E92">
        <v>0</v>
      </c>
      <c r="F92">
        <v>0</v>
      </c>
      <c r="G92">
        <v>0</v>
      </c>
      <c r="H92">
        <v>10.416666666666666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 s="2"/>
      <c r="AK92" s="80"/>
      <c r="AL92" s="74"/>
      <c r="AM92" s="43">
        <v>76</v>
      </c>
      <c r="AN92">
        <v>88.756296714599642</v>
      </c>
      <c r="AO92">
        <v>7.4698864975648025</v>
      </c>
      <c r="AP92">
        <v>71.804223056843426</v>
      </c>
      <c r="AQ92">
        <v>61.196717879010322</v>
      </c>
      <c r="AR92">
        <v>7.4379950282499658</v>
      </c>
      <c r="AS92">
        <v>129.30464356222646</v>
      </c>
      <c r="AT92">
        <v>4.6150843456029689</v>
      </c>
      <c r="AU92">
        <v>19.270729965412794</v>
      </c>
      <c r="AV92"/>
      <c r="AW92"/>
      <c r="AX92" s="151"/>
      <c r="AY92" s="76">
        <f t="shared" ca="1" si="86"/>
        <v>3.6602264826908204E-2</v>
      </c>
      <c r="AZ92">
        <v>5</v>
      </c>
      <c r="BA92" s="129">
        <f t="shared" si="87"/>
        <v>39646</v>
      </c>
      <c r="BB92" s="215">
        <v>0</v>
      </c>
      <c r="BC92" s="215">
        <v>0</v>
      </c>
      <c r="BD92" s="215">
        <v>0</v>
      </c>
      <c r="BE92" s="215">
        <v>0</v>
      </c>
      <c r="BF92" s="215">
        <v>0</v>
      </c>
      <c r="BG92" s="215">
        <v>0</v>
      </c>
      <c r="BH92" s="215">
        <v>0</v>
      </c>
      <c r="BI92" s="215">
        <v>0</v>
      </c>
      <c r="BJ92" s="215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 s="147"/>
      <c r="CH92" s="176"/>
      <c r="CJ92" s="151"/>
      <c r="CK92" s="76">
        <f t="shared" ca="1" si="88"/>
        <v>0.76292019099427666</v>
      </c>
      <c r="CL92" s="179">
        <f t="shared" si="89"/>
        <v>5</v>
      </c>
      <c r="CM92" s="180">
        <f t="shared" si="90"/>
        <v>39646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W92">
        <v>1</v>
      </c>
      <c r="CX92">
        <v>1</v>
      </c>
      <c r="CY92" s="158"/>
      <c r="CZ92" s="177">
        <f t="shared" si="91"/>
        <v>9.6000000000000002E-2</v>
      </c>
      <c r="DB92" s="151"/>
      <c r="DC92" s="76">
        <f t="shared" ca="1" si="49"/>
        <v>0.75714653531392351</v>
      </c>
      <c r="DD92">
        <f t="shared" si="92"/>
        <v>5</v>
      </c>
      <c r="DE92" s="129">
        <f t="shared" si="50"/>
        <v>39646</v>
      </c>
      <c r="DF92" s="161">
        <f t="shared" si="93"/>
        <v>0</v>
      </c>
      <c r="DG92" s="161">
        <f t="shared" si="94"/>
        <v>0</v>
      </c>
      <c r="DH92" s="161">
        <f t="shared" si="95"/>
        <v>0</v>
      </c>
      <c r="DI92" s="161">
        <f t="shared" si="96"/>
        <v>0</v>
      </c>
      <c r="DJ92" s="161">
        <f t="shared" si="97"/>
        <v>0</v>
      </c>
      <c r="DK92" s="161">
        <f t="shared" si="98"/>
        <v>0</v>
      </c>
      <c r="DL92" s="161">
        <f t="shared" si="99"/>
        <v>0</v>
      </c>
      <c r="DM92" s="161">
        <f t="shared" si="100"/>
        <v>0</v>
      </c>
      <c r="DN92" s="161">
        <f t="shared" si="101"/>
        <v>0</v>
      </c>
      <c r="DO92" s="161">
        <f t="shared" si="102"/>
        <v>0</v>
      </c>
      <c r="DP92" s="161">
        <f t="shared" si="103"/>
        <v>0</v>
      </c>
      <c r="DQ92" s="161">
        <f t="shared" si="104"/>
        <v>0</v>
      </c>
      <c r="DR92" s="161">
        <f t="shared" si="105"/>
        <v>0</v>
      </c>
      <c r="DS92" s="161">
        <f t="shared" si="106"/>
        <v>0</v>
      </c>
      <c r="DT92" s="161">
        <f t="shared" si="107"/>
        <v>0</v>
      </c>
      <c r="DU92" s="161">
        <f t="shared" si="108"/>
        <v>0</v>
      </c>
      <c r="DV92" s="161">
        <f t="shared" si="109"/>
        <v>0</v>
      </c>
      <c r="DW92" s="161">
        <f t="shared" si="110"/>
        <v>0</v>
      </c>
      <c r="DX92" s="161">
        <f t="shared" si="111"/>
        <v>0</v>
      </c>
      <c r="DY92" s="161">
        <f t="shared" si="112"/>
        <v>0</v>
      </c>
      <c r="DZ92" s="161">
        <f t="shared" si="113"/>
        <v>0</v>
      </c>
      <c r="EA92" s="161">
        <f t="shared" si="114"/>
        <v>0</v>
      </c>
      <c r="EB92" s="161">
        <f t="shared" si="115"/>
        <v>0</v>
      </c>
      <c r="EC92" s="161">
        <f t="shared" si="116"/>
        <v>0</v>
      </c>
      <c r="ED92" s="161">
        <f t="shared" si="117"/>
        <v>0</v>
      </c>
      <c r="EE92" s="161">
        <f t="shared" si="118"/>
        <v>0</v>
      </c>
      <c r="EF92" s="161">
        <f t="shared" si="119"/>
        <v>0</v>
      </c>
      <c r="EG92" s="161">
        <f t="shared" si="120"/>
        <v>0</v>
      </c>
      <c r="EH92" s="161">
        <f t="shared" si="121"/>
        <v>0</v>
      </c>
      <c r="EI92" s="161">
        <f t="shared" si="122"/>
        <v>0</v>
      </c>
      <c r="EJ92" s="161">
        <f t="shared" si="123"/>
        <v>0</v>
      </c>
      <c r="EK92" s="147">
        <f t="shared" si="53"/>
        <v>0</v>
      </c>
      <c r="EL92" s="149"/>
      <c r="EN92" s="151"/>
      <c r="EO92" s="151"/>
      <c r="EP92" s="139">
        <f t="shared" si="54"/>
        <v>0</v>
      </c>
      <c r="EQ92" s="139">
        <f t="shared" si="55"/>
        <v>0</v>
      </c>
      <c r="ER92" s="139">
        <f t="shared" si="56"/>
        <v>0</v>
      </c>
      <c r="ES92" s="139">
        <f t="shared" si="57"/>
        <v>0</v>
      </c>
      <c r="ET92" s="139">
        <f t="shared" si="58"/>
        <v>0</v>
      </c>
      <c r="EU92" s="139">
        <f t="shared" si="59"/>
        <v>0</v>
      </c>
      <c r="EV92" s="139">
        <f t="shared" si="60"/>
        <v>0</v>
      </c>
      <c r="EW92" s="139">
        <f t="shared" si="61"/>
        <v>0</v>
      </c>
      <c r="EX92" s="139">
        <f t="shared" si="62"/>
        <v>0</v>
      </c>
      <c r="EY92" s="139">
        <f t="shared" si="63"/>
        <v>0</v>
      </c>
      <c r="EZ92" s="139">
        <f t="shared" si="64"/>
        <v>0</v>
      </c>
      <c r="FA92" s="139">
        <f t="shared" si="65"/>
        <v>0</v>
      </c>
      <c r="FB92" s="139">
        <f t="shared" si="66"/>
        <v>0</v>
      </c>
      <c r="FC92" s="139">
        <f t="shared" si="67"/>
        <v>0</v>
      </c>
      <c r="FD92" s="139">
        <f t="shared" si="68"/>
        <v>0</v>
      </c>
      <c r="FE92" s="139">
        <f t="shared" si="69"/>
        <v>0</v>
      </c>
      <c r="FF92" s="139">
        <f t="shared" si="70"/>
        <v>0</v>
      </c>
      <c r="FG92" s="139">
        <f t="shared" si="71"/>
        <v>0</v>
      </c>
      <c r="FH92" s="139">
        <f t="shared" si="72"/>
        <v>0</v>
      </c>
      <c r="FI92" s="139">
        <f t="shared" si="73"/>
        <v>0</v>
      </c>
      <c r="FJ92" s="139">
        <f t="shared" si="74"/>
        <v>0</v>
      </c>
      <c r="FK92" s="139">
        <f t="shared" si="75"/>
        <v>0</v>
      </c>
      <c r="FL92" s="139">
        <f t="shared" si="76"/>
        <v>0</v>
      </c>
      <c r="FM92" s="139">
        <f t="shared" si="77"/>
        <v>0</v>
      </c>
      <c r="FN92" s="139">
        <f t="shared" si="78"/>
        <v>0</v>
      </c>
      <c r="FO92" s="139">
        <f t="shared" si="79"/>
        <v>0</v>
      </c>
      <c r="FP92" s="139">
        <f t="shared" si="80"/>
        <v>0</v>
      </c>
      <c r="FQ92" s="139">
        <f t="shared" si="81"/>
        <v>0</v>
      </c>
      <c r="FR92" s="139">
        <f t="shared" si="82"/>
        <v>0</v>
      </c>
      <c r="FS92" s="139">
        <f t="shared" si="83"/>
        <v>0</v>
      </c>
      <c r="FT92" s="139">
        <f t="shared" si="84"/>
        <v>0</v>
      </c>
      <c r="FU92" s="148">
        <f t="shared" si="85"/>
        <v>0</v>
      </c>
      <c r="FV92" s="149"/>
      <c r="FY92" s="210">
        <v>87</v>
      </c>
      <c r="FZ92">
        <v>11.181219459205657</v>
      </c>
      <c r="GA92">
        <v>16.743691386706669</v>
      </c>
      <c r="GB92">
        <v>2.7344875583160766</v>
      </c>
      <c r="GC92">
        <v>1.1824893942470678</v>
      </c>
      <c r="GD92">
        <v>1.044427108061905</v>
      </c>
      <c r="GE92">
        <v>2.9449541374153361</v>
      </c>
      <c r="GF92">
        <v>10.700829491692188</v>
      </c>
      <c r="GG92">
        <v>11.934863884254769</v>
      </c>
      <c r="GH92">
        <v>10.719105673946483</v>
      </c>
      <c r="GI92">
        <v>6.5664430970071379</v>
      </c>
      <c r="GJ92"/>
      <c r="GK92"/>
      <c r="GL92"/>
      <c r="GM92"/>
    </row>
    <row r="93" spans="1:195" s="7" customFormat="1">
      <c r="A93" s="77"/>
      <c r="B93" s="76">
        <f ca="1">IF(C93="", "", RAND())</f>
        <v>8.8345717087205511E-2</v>
      </c>
      <c r="C93">
        <v>10</v>
      </c>
      <c r="D93">
        <v>39646</v>
      </c>
      <c r="E93">
        <v>0</v>
      </c>
      <c r="F93">
        <v>0</v>
      </c>
      <c r="G93">
        <v>20.833333333333332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 s="2"/>
      <c r="AK93" s="80"/>
      <c r="AL93" s="74"/>
      <c r="AM93" s="43">
        <v>77</v>
      </c>
      <c r="AN93">
        <v>149.79754436400822</v>
      </c>
      <c r="AO93">
        <v>11.38311752550567</v>
      </c>
      <c r="AP93">
        <v>114.48726087118459</v>
      </c>
      <c r="AQ93">
        <v>97.581249117042518</v>
      </c>
      <c r="AR93">
        <v>10.87768841648373</v>
      </c>
      <c r="AS93">
        <v>176.84501207159599</v>
      </c>
      <c r="AT93">
        <v>6.6785521540916504</v>
      </c>
      <c r="AU93">
        <v>27.140946692803471</v>
      </c>
      <c r="AV93"/>
      <c r="AW93"/>
      <c r="AX93" s="151"/>
      <c r="AY93" s="76">
        <f t="shared" ca="1" si="86"/>
        <v>0.89776329908418706</v>
      </c>
      <c r="AZ93">
        <v>6</v>
      </c>
      <c r="BA93" s="129">
        <f t="shared" si="87"/>
        <v>39646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 s="147"/>
      <c r="CH93" s="176"/>
      <c r="CJ93" s="151"/>
      <c r="CK93" s="76">
        <f t="shared" ca="1" si="88"/>
        <v>0.15533193027555292</v>
      </c>
      <c r="CL93" s="179">
        <f t="shared" si="89"/>
        <v>6</v>
      </c>
      <c r="CM93" s="180">
        <f t="shared" si="90"/>
        <v>39646</v>
      </c>
      <c r="CN93" s="218">
        <v>0</v>
      </c>
      <c r="CO93" s="218">
        <v>0</v>
      </c>
      <c r="CP93" s="218">
        <v>0</v>
      </c>
      <c r="CQ93" s="218">
        <v>0</v>
      </c>
      <c r="CR93" s="218">
        <v>0</v>
      </c>
      <c r="CS93" s="218">
        <v>0</v>
      </c>
      <c r="CT93">
        <v>0</v>
      </c>
      <c r="CU93">
        <v>0</v>
      </c>
      <c r="CW93">
        <v>1</v>
      </c>
      <c r="CX93">
        <v>2</v>
      </c>
      <c r="CY93" s="159"/>
      <c r="CZ93" s="177">
        <f t="shared" si="91"/>
        <v>9.6000000000000002E-2</v>
      </c>
      <c r="DB93" s="151"/>
      <c r="DC93" s="76">
        <f t="shared" ca="1" si="49"/>
        <v>0.75789590478339397</v>
      </c>
      <c r="DD93">
        <f t="shared" si="92"/>
        <v>6</v>
      </c>
      <c r="DE93" s="129">
        <f t="shared" si="50"/>
        <v>39646</v>
      </c>
      <c r="DF93" s="161">
        <f t="shared" si="93"/>
        <v>0</v>
      </c>
      <c r="DG93" s="161">
        <f t="shared" si="94"/>
        <v>0</v>
      </c>
      <c r="DH93" s="161">
        <f t="shared" si="95"/>
        <v>0</v>
      </c>
      <c r="DI93" s="161">
        <f t="shared" si="96"/>
        <v>0</v>
      </c>
      <c r="DJ93" s="161">
        <f t="shared" si="97"/>
        <v>0</v>
      </c>
      <c r="DK93" s="161">
        <f t="shared" si="98"/>
        <v>0</v>
      </c>
      <c r="DL93" s="161">
        <f t="shared" si="99"/>
        <v>0</v>
      </c>
      <c r="DM93" s="161">
        <f t="shared" si="100"/>
        <v>0</v>
      </c>
      <c r="DN93" s="161">
        <f t="shared" si="101"/>
        <v>0</v>
      </c>
      <c r="DO93" s="161">
        <f t="shared" si="102"/>
        <v>0</v>
      </c>
      <c r="DP93" s="161">
        <f t="shared" si="103"/>
        <v>0</v>
      </c>
      <c r="DQ93" s="161">
        <f t="shared" si="104"/>
        <v>0</v>
      </c>
      <c r="DR93" s="161">
        <f t="shared" si="105"/>
        <v>0</v>
      </c>
      <c r="DS93" s="161">
        <f t="shared" si="106"/>
        <v>0</v>
      </c>
      <c r="DT93" s="161">
        <f t="shared" si="107"/>
        <v>0</v>
      </c>
      <c r="DU93" s="161">
        <f t="shared" si="108"/>
        <v>0</v>
      </c>
      <c r="DV93" s="161">
        <f t="shared" si="109"/>
        <v>0</v>
      </c>
      <c r="DW93" s="161">
        <f t="shared" si="110"/>
        <v>0</v>
      </c>
      <c r="DX93" s="161">
        <f t="shared" si="111"/>
        <v>0</v>
      </c>
      <c r="DY93" s="161">
        <f t="shared" si="112"/>
        <v>0</v>
      </c>
      <c r="DZ93" s="161">
        <f t="shared" si="113"/>
        <v>0</v>
      </c>
      <c r="EA93" s="161">
        <f t="shared" si="114"/>
        <v>0</v>
      </c>
      <c r="EB93" s="161">
        <f t="shared" si="115"/>
        <v>0</v>
      </c>
      <c r="EC93" s="161">
        <f t="shared" si="116"/>
        <v>0</v>
      </c>
      <c r="ED93" s="161">
        <f t="shared" si="117"/>
        <v>0</v>
      </c>
      <c r="EE93" s="161">
        <f t="shared" si="118"/>
        <v>0</v>
      </c>
      <c r="EF93" s="161">
        <f t="shared" si="119"/>
        <v>0</v>
      </c>
      <c r="EG93" s="161">
        <f t="shared" si="120"/>
        <v>0</v>
      </c>
      <c r="EH93" s="161">
        <f t="shared" si="121"/>
        <v>0</v>
      </c>
      <c r="EI93" s="161">
        <f t="shared" si="122"/>
        <v>0</v>
      </c>
      <c r="EJ93" s="161">
        <f t="shared" si="123"/>
        <v>0</v>
      </c>
      <c r="EK93" s="147">
        <f t="shared" si="53"/>
        <v>0</v>
      </c>
      <c r="EL93" s="149"/>
      <c r="EN93" s="151"/>
      <c r="EO93" s="151"/>
      <c r="EP93" s="139">
        <f t="shared" si="54"/>
        <v>0</v>
      </c>
      <c r="EQ93" s="139">
        <f t="shared" si="55"/>
        <v>0</v>
      </c>
      <c r="ER93" s="139">
        <f t="shared" si="56"/>
        <v>0</v>
      </c>
      <c r="ES93" s="139">
        <f t="shared" si="57"/>
        <v>0</v>
      </c>
      <c r="ET93" s="139">
        <f t="shared" si="58"/>
        <v>0</v>
      </c>
      <c r="EU93" s="139">
        <f t="shared" si="59"/>
        <v>0</v>
      </c>
      <c r="EV93" s="139">
        <f t="shared" si="60"/>
        <v>0</v>
      </c>
      <c r="EW93" s="139">
        <f t="shared" si="61"/>
        <v>0</v>
      </c>
      <c r="EX93" s="139">
        <f t="shared" si="62"/>
        <v>0</v>
      </c>
      <c r="EY93" s="139">
        <f t="shared" si="63"/>
        <v>0</v>
      </c>
      <c r="EZ93" s="139">
        <f t="shared" si="64"/>
        <v>0</v>
      </c>
      <c r="FA93" s="139">
        <f t="shared" si="65"/>
        <v>0</v>
      </c>
      <c r="FB93" s="139">
        <f t="shared" si="66"/>
        <v>0</v>
      </c>
      <c r="FC93" s="139">
        <f t="shared" si="67"/>
        <v>0</v>
      </c>
      <c r="FD93" s="139">
        <f t="shared" si="68"/>
        <v>0</v>
      </c>
      <c r="FE93" s="139">
        <f t="shared" si="69"/>
        <v>0</v>
      </c>
      <c r="FF93" s="139">
        <f t="shared" si="70"/>
        <v>0</v>
      </c>
      <c r="FG93" s="139">
        <f t="shared" si="71"/>
        <v>0</v>
      </c>
      <c r="FH93" s="139">
        <f t="shared" si="72"/>
        <v>0</v>
      </c>
      <c r="FI93" s="139">
        <f t="shared" si="73"/>
        <v>0</v>
      </c>
      <c r="FJ93" s="139">
        <f t="shared" si="74"/>
        <v>0</v>
      </c>
      <c r="FK93" s="139">
        <f t="shared" si="75"/>
        <v>0</v>
      </c>
      <c r="FL93" s="139">
        <f t="shared" si="76"/>
        <v>0</v>
      </c>
      <c r="FM93" s="139">
        <f t="shared" si="77"/>
        <v>0</v>
      </c>
      <c r="FN93" s="139">
        <f t="shared" si="78"/>
        <v>0</v>
      </c>
      <c r="FO93" s="139">
        <f t="shared" si="79"/>
        <v>0</v>
      </c>
      <c r="FP93" s="139">
        <f t="shared" si="80"/>
        <v>0</v>
      </c>
      <c r="FQ93" s="139">
        <f t="shared" si="81"/>
        <v>0</v>
      </c>
      <c r="FR93" s="139">
        <f t="shared" si="82"/>
        <v>0</v>
      </c>
      <c r="FS93" s="139">
        <f t="shared" si="83"/>
        <v>0</v>
      </c>
      <c r="FT93" s="139">
        <f t="shared" si="84"/>
        <v>0</v>
      </c>
      <c r="FU93" s="148">
        <f t="shared" si="85"/>
        <v>0</v>
      </c>
      <c r="FV93" s="149"/>
      <c r="FY93" s="210">
        <v>88</v>
      </c>
      <c r="FZ93">
        <v>16.781123831313224</v>
      </c>
      <c r="GA93">
        <v>17.550533773046887</v>
      </c>
      <c r="GB93">
        <v>3.8490331323125595</v>
      </c>
      <c r="GC93">
        <v>1.1442096995773072</v>
      </c>
      <c r="GD93">
        <v>0.81711010024163466</v>
      </c>
      <c r="GE93">
        <v>3.7275680047061597</v>
      </c>
      <c r="GF93">
        <v>6.6613001110099379</v>
      </c>
      <c r="GG93">
        <v>14.028729877223974</v>
      </c>
      <c r="GH93">
        <v>17.799300712298557</v>
      </c>
      <c r="GI93">
        <v>7.9438018357996842</v>
      </c>
      <c r="GJ93"/>
      <c r="GK93"/>
      <c r="GL93"/>
      <c r="GM93"/>
    </row>
    <row r="94" spans="1:195" s="7" customFormat="1">
      <c r="A94" s="77"/>
      <c r="B94" s="76">
        <f ca="1">IF(C94="", "", RAND())</f>
        <v>0.83631432574102349</v>
      </c>
      <c r="C94">
        <v>7</v>
      </c>
      <c r="D94">
        <v>39646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 s="2"/>
      <c r="AK94" s="80"/>
      <c r="AL94" s="74"/>
      <c r="AM94" s="43">
        <v>78</v>
      </c>
      <c r="AN94">
        <v>94.681357852784998</v>
      </c>
      <c r="AO94">
        <v>10.383980794788252</v>
      </c>
      <c r="AP94">
        <v>100.95366969228822</v>
      </c>
      <c r="AQ94">
        <v>87.352548458024302</v>
      </c>
      <c r="AR94">
        <v>9.8247455540954665</v>
      </c>
      <c r="AS94">
        <v>138.14781629245314</v>
      </c>
      <c r="AT94">
        <v>6.5329425232609211</v>
      </c>
      <c r="AU94">
        <v>26.415544716275306</v>
      </c>
      <c r="AV94"/>
      <c r="AW94"/>
      <c r="AX94" s="151"/>
      <c r="AY94" s="76">
        <f t="shared" ca="1" si="86"/>
        <v>0.28907484780456372</v>
      </c>
      <c r="AZ94">
        <v>7</v>
      </c>
      <c r="BA94" s="129">
        <f t="shared" si="87"/>
        <v>39646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 s="147"/>
      <c r="CH94" s="176"/>
      <c r="CJ94" s="151"/>
      <c r="CK94" s="76">
        <f t="shared" ca="1" si="88"/>
        <v>0.27248698723192577</v>
      </c>
      <c r="CL94" s="179">
        <f t="shared" si="89"/>
        <v>7</v>
      </c>
      <c r="CM94" s="180">
        <f t="shared" si="90"/>
        <v>39646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 s="160"/>
      <c r="CW94">
        <v>1</v>
      </c>
      <c r="CX94">
        <v>2</v>
      </c>
      <c r="CY94" s="164"/>
      <c r="CZ94" s="177">
        <f t="shared" si="91"/>
        <v>9.6000000000000002E-2</v>
      </c>
      <c r="DB94" s="151"/>
      <c r="DC94" s="76">
        <f t="shared" ca="1" si="49"/>
        <v>6.6937024732881767E-2</v>
      </c>
      <c r="DD94">
        <f t="shared" si="92"/>
        <v>7</v>
      </c>
      <c r="DE94" s="129">
        <f t="shared" si="50"/>
        <v>39646</v>
      </c>
      <c r="DF94" s="161">
        <f t="shared" si="93"/>
        <v>0</v>
      </c>
      <c r="DG94" s="161">
        <f t="shared" si="94"/>
        <v>0</v>
      </c>
      <c r="DH94" s="161">
        <f t="shared" si="95"/>
        <v>0</v>
      </c>
      <c r="DI94" s="161">
        <f t="shared" si="96"/>
        <v>0</v>
      </c>
      <c r="DJ94" s="161">
        <f t="shared" si="97"/>
        <v>0</v>
      </c>
      <c r="DK94" s="161">
        <f t="shared" si="98"/>
        <v>0</v>
      </c>
      <c r="DL94" s="161">
        <f t="shared" si="99"/>
        <v>0</v>
      </c>
      <c r="DM94" s="161">
        <f t="shared" si="100"/>
        <v>0</v>
      </c>
      <c r="DN94" s="161">
        <f t="shared" si="101"/>
        <v>0</v>
      </c>
      <c r="DO94" s="161">
        <f t="shared" si="102"/>
        <v>0</v>
      </c>
      <c r="DP94" s="161">
        <f t="shared" si="103"/>
        <v>0</v>
      </c>
      <c r="DQ94" s="161">
        <f t="shared" si="104"/>
        <v>0</v>
      </c>
      <c r="DR94" s="161">
        <f t="shared" si="105"/>
        <v>0</v>
      </c>
      <c r="DS94" s="161">
        <f t="shared" si="106"/>
        <v>0</v>
      </c>
      <c r="DT94" s="161">
        <f t="shared" si="107"/>
        <v>0</v>
      </c>
      <c r="DU94" s="161">
        <f t="shared" si="108"/>
        <v>0</v>
      </c>
      <c r="DV94" s="161">
        <f t="shared" si="109"/>
        <v>0</v>
      </c>
      <c r="DW94" s="161">
        <f t="shared" si="110"/>
        <v>0</v>
      </c>
      <c r="DX94" s="161">
        <f t="shared" si="111"/>
        <v>0</v>
      </c>
      <c r="DY94" s="161">
        <f t="shared" si="112"/>
        <v>0</v>
      </c>
      <c r="DZ94" s="161">
        <f t="shared" si="113"/>
        <v>0</v>
      </c>
      <c r="EA94" s="161">
        <f t="shared" si="114"/>
        <v>0</v>
      </c>
      <c r="EB94" s="161">
        <f t="shared" si="115"/>
        <v>0</v>
      </c>
      <c r="EC94" s="161">
        <f t="shared" si="116"/>
        <v>0</v>
      </c>
      <c r="ED94" s="161">
        <f t="shared" si="117"/>
        <v>0</v>
      </c>
      <c r="EE94" s="161">
        <f t="shared" si="118"/>
        <v>0</v>
      </c>
      <c r="EF94" s="161">
        <f t="shared" si="119"/>
        <v>0</v>
      </c>
      <c r="EG94" s="161">
        <f t="shared" si="120"/>
        <v>0</v>
      </c>
      <c r="EH94" s="161">
        <f t="shared" si="121"/>
        <v>0</v>
      </c>
      <c r="EI94" s="161">
        <f t="shared" si="122"/>
        <v>0</v>
      </c>
      <c r="EJ94" s="161">
        <f t="shared" si="123"/>
        <v>0</v>
      </c>
      <c r="EK94" s="147">
        <f t="shared" si="53"/>
        <v>0</v>
      </c>
      <c r="EL94" s="149"/>
      <c r="EN94" s="151"/>
      <c r="EO94" s="151"/>
      <c r="EP94" s="139">
        <f t="shared" si="54"/>
        <v>0</v>
      </c>
      <c r="EQ94" s="139">
        <f t="shared" si="55"/>
        <v>0</v>
      </c>
      <c r="ER94" s="139">
        <f t="shared" si="56"/>
        <v>0</v>
      </c>
      <c r="ES94" s="139">
        <f t="shared" si="57"/>
        <v>0</v>
      </c>
      <c r="ET94" s="139">
        <f t="shared" si="58"/>
        <v>0</v>
      </c>
      <c r="EU94" s="139">
        <f t="shared" si="59"/>
        <v>0</v>
      </c>
      <c r="EV94" s="139">
        <f t="shared" si="60"/>
        <v>0</v>
      </c>
      <c r="EW94" s="139">
        <f t="shared" si="61"/>
        <v>0</v>
      </c>
      <c r="EX94" s="139">
        <f t="shared" si="62"/>
        <v>0</v>
      </c>
      <c r="EY94" s="139">
        <f t="shared" si="63"/>
        <v>0</v>
      </c>
      <c r="EZ94" s="139">
        <f t="shared" si="64"/>
        <v>0</v>
      </c>
      <c r="FA94" s="139">
        <f t="shared" si="65"/>
        <v>0</v>
      </c>
      <c r="FB94" s="139">
        <f t="shared" si="66"/>
        <v>0</v>
      </c>
      <c r="FC94" s="139">
        <f t="shared" si="67"/>
        <v>0</v>
      </c>
      <c r="FD94" s="139">
        <f t="shared" si="68"/>
        <v>0</v>
      </c>
      <c r="FE94" s="139">
        <f t="shared" si="69"/>
        <v>0</v>
      </c>
      <c r="FF94" s="139">
        <f t="shared" si="70"/>
        <v>0</v>
      </c>
      <c r="FG94" s="139">
        <f t="shared" si="71"/>
        <v>0</v>
      </c>
      <c r="FH94" s="139">
        <f t="shared" si="72"/>
        <v>0</v>
      </c>
      <c r="FI94" s="139">
        <f t="shared" si="73"/>
        <v>0</v>
      </c>
      <c r="FJ94" s="139">
        <f t="shared" si="74"/>
        <v>0</v>
      </c>
      <c r="FK94" s="139">
        <f t="shared" si="75"/>
        <v>0</v>
      </c>
      <c r="FL94" s="139">
        <f t="shared" si="76"/>
        <v>0</v>
      </c>
      <c r="FM94" s="139">
        <f t="shared" si="77"/>
        <v>0</v>
      </c>
      <c r="FN94" s="139">
        <f t="shared" si="78"/>
        <v>0</v>
      </c>
      <c r="FO94" s="139">
        <f t="shared" si="79"/>
        <v>0</v>
      </c>
      <c r="FP94" s="139">
        <f t="shared" si="80"/>
        <v>0</v>
      </c>
      <c r="FQ94" s="139">
        <f t="shared" si="81"/>
        <v>0</v>
      </c>
      <c r="FR94" s="139">
        <f t="shared" si="82"/>
        <v>0</v>
      </c>
      <c r="FS94" s="139">
        <f t="shared" si="83"/>
        <v>0</v>
      </c>
      <c r="FT94" s="139">
        <f t="shared" si="84"/>
        <v>0</v>
      </c>
      <c r="FU94" s="148">
        <f t="shared" si="85"/>
        <v>0</v>
      </c>
      <c r="FV94" s="149"/>
      <c r="FY94" s="210">
        <v>89</v>
      </c>
      <c r="FZ94">
        <v>5.6035379276984045</v>
      </c>
      <c r="GA94">
        <v>2.3700001448604548</v>
      </c>
      <c r="GB94">
        <v>2.3608168874156199</v>
      </c>
      <c r="GC94">
        <v>1.140721509983309</v>
      </c>
      <c r="GD94">
        <v>1.5009939075608485</v>
      </c>
      <c r="GE94">
        <v>3.8536719910137323</v>
      </c>
      <c r="GF94">
        <v>6.4579874008297695</v>
      </c>
      <c r="GG94">
        <v>10.937774001974891</v>
      </c>
      <c r="GH94">
        <v>12.33856223691137</v>
      </c>
      <c r="GI94">
        <v>5.4088885343139141</v>
      </c>
      <c r="GJ94"/>
      <c r="GK94"/>
      <c r="GL94"/>
      <c r="GM94"/>
    </row>
    <row r="95" spans="1:195" s="7" customFormat="1">
      <c r="A95" s="77"/>
      <c r="B95" s="76">
        <f ca="1">IF(C95="", "", RAND())</f>
        <v>0.98146669331097969</v>
      </c>
      <c r="C95">
        <v>2</v>
      </c>
      <c r="D95">
        <v>39646</v>
      </c>
      <c r="E95">
        <v>0</v>
      </c>
      <c r="F95">
        <v>0</v>
      </c>
      <c r="G95">
        <v>20.833333333333332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 s="2"/>
      <c r="AK95" s="80"/>
      <c r="AL95" s="74"/>
      <c r="AM95" s="43">
        <v>79</v>
      </c>
      <c r="AN95">
        <v>108.5934775129444</v>
      </c>
      <c r="AO95">
        <v>8.577827920391325</v>
      </c>
      <c r="AP95">
        <v>86.193671423087579</v>
      </c>
      <c r="AQ95">
        <v>70.653050539175808</v>
      </c>
      <c r="AR95">
        <v>8.3480479421174731</v>
      </c>
      <c r="AS95">
        <v>153.14339776560149</v>
      </c>
      <c r="AT95">
        <v>5.0895487378290314</v>
      </c>
      <c r="AU95">
        <v>6.2817013547161702</v>
      </c>
      <c r="AV95"/>
      <c r="AW95"/>
      <c r="AX95" s="151"/>
      <c r="AY95" s="76">
        <f t="shared" ca="1" si="86"/>
        <v>0.33774323565617914</v>
      </c>
      <c r="AZ95">
        <v>8</v>
      </c>
      <c r="BA95" s="129">
        <f t="shared" si="87"/>
        <v>39646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 s="147"/>
      <c r="CH95" s="176"/>
      <c r="CJ95" s="151"/>
      <c r="CK95" s="76">
        <f t="shared" ca="1" si="88"/>
        <v>0.54168503717567362</v>
      </c>
      <c r="CL95" s="179">
        <f t="shared" si="89"/>
        <v>8</v>
      </c>
      <c r="CM95" s="180">
        <f t="shared" si="90"/>
        <v>39646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 s="160"/>
      <c r="CW95">
        <v>1</v>
      </c>
      <c r="CX95">
        <v>2</v>
      </c>
      <c r="CY95" s="164"/>
      <c r="CZ95" s="177">
        <f t="shared" si="91"/>
        <v>9.6000000000000002E-2</v>
      </c>
      <c r="DB95" s="151"/>
      <c r="DC95" s="76">
        <f t="shared" ca="1" si="49"/>
        <v>0.55561520154765276</v>
      </c>
      <c r="DD95">
        <f t="shared" si="92"/>
        <v>8</v>
      </c>
      <c r="DE95" s="129">
        <f t="shared" si="50"/>
        <v>39646</v>
      </c>
      <c r="DF95" s="161">
        <f t="shared" si="93"/>
        <v>0</v>
      </c>
      <c r="DG95" s="161">
        <f t="shared" si="94"/>
        <v>0</v>
      </c>
      <c r="DH95" s="161">
        <f t="shared" si="95"/>
        <v>0</v>
      </c>
      <c r="DI95" s="161">
        <f t="shared" si="96"/>
        <v>0</v>
      </c>
      <c r="DJ95" s="161">
        <f t="shared" si="97"/>
        <v>0</v>
      </c>
      <c r="DK95" s="161">
        <f t="shared" si="98"/>
        <v>0</v>
      </c>
      <c r="DL95" s="161">
        <f t="shared" si="99"/>
        <v>0</v>
      </c>
      <c r="DM95" s="161">
        <f t="shared" si="100"/>
        <v>0</v>
      </c>
      <c r="DN95" s="161">
        <f t="shared" si="101"/>
        <v>0</v>
      </c>
      <c r="DO95" s="161">
        <f t="shared" si="102"/>
        <v>0</v>
      </c>
      <c r="DP95" s="161">
        <f t="shared" si="103"/>
        <v>0</v>
      </c>
      <c r="DQ95" s="161">
        <f t="shared" si="104"/>
        <v>0</v>
      </c>
      <c r="DR95" s="161">
        <f t="shared" si="105"/>
        <v>0</v>
      </c>
      <c r="DS95" s="161">
        <f t="shared" si="106"/>
        <v>0</v>
      </c>
      <c r="DT95" s="161">
        <f t="shared" si="107"/>
        <v>0</v>
      </c>
      <c r="DU95" s="161">
        <f t="shared" si="108"/>
        <v>0</v>
      </c>
      <c r="DV95" s="161">
        <f t="shared" si="109"/>
        <v>0</v>
      </c>
      <c r="DW95" s="161">
        <f t="shared" si="110"/>
        <v>0</v>
      </c>
      <c r="DX95" s="161">
        <f t="shared" si="111"/>
        <v>0</v>
      </c>
      <c r="DY95" s="161">
        <f t="shared" si="112"/>
        <v>0</v>
      </c>
      <c r="DZ95" s="161">
        <f t="shared" si="113"/>
        <v>0</v>
      </c>
      <c r="EA95" s="161">
        <f t="shared" si="114"/>
        <v>0</v>
      </c>
      <c r="EB95" s="161">
        <f t="shared" si="115"/>
        <v>0</v>
      </c>
      <c r="EC95" s="161">
        <f t="shared" si="116"/>
        <v>0</v>
      </c>
      <c r="ED95" s="161">
        <f t="shared" si="117"/>
        <v>0</v>
      </c>
      <c r="EE95" s="161">
        <f t="shared" si="118"/>
        <v>0</v>
      </c>
      <c r="EF95" s="161">
        <f t="shared" si="119"/>
        <v>0</v>
      </c>
      <c r="EG95" s="161">
        <f t="shared" si="120"/>
        <v>0</v>
      </c>
      <c r="EH95" s="161">
        <f t="shared" si="121"/>
        <v>0</v>
      </c>
      <c r="EI95" s="161">
        <f t="shared" si="122"/>
        <v>0</v>
      </c>
      <c r="EJ95" s="161">
        <f t="shared" si="123"/>
        <v>0</v>
      </c>
      <c r="EK95" s="147">
        <f t="shared" si="53"/>
        <v>0</v>
      </c>
      <c r="EL95" s="149"/>
      <c r="EN95" s="151"/>
      <c r="EO95" s="151"/>
      <c r="EP95" s="139">
        <f t="shared" si="54"/>
        <v>0</v>
      </c>
      <c r="EQ95" s="139">
        <f t="shared" si="55"/>
        <v>0</v>
      </c>
      <c r="ER95" s="139">
        <f t="shared" si="56"/>
        <v>0</v>
      </c>
      <c r="ES95" s="139">
        <f t="shared" si="57"/>
        <v>0</v>
      </c>
      <c r="ET95" s="139">
        <f t="shared" si="58"/>
        <v>0</v>
      </c>
      <c r="EU95" s="139">
        <f t="shared" si="59"/>
        <v>0</v>
      </c>
      <c r="EV95" s="139">
        <f t="shared" si="60"/>
        <v>0</v>
      </c>
      <c r="EW95" s="139">
        <f t="shared" si="61"/>
        <v>0</v>
      </c>
      <c r="EX95" s="139">
        <f t="shared" si="62"/>
        <v>0</v>
      </c>
      <c r="EY95" s="139">
        <f t="shared" si="63"/>
        <v>0</v>
      </c>
      <c r="EZ95" s="139">
        <f t="shared" si="64"/>
        <v>0</v>
      </c>
      <c r="FA95" s="139">
        <f t="shared" si="65"/>
        <v>0</v>
      </c>
      <c r="FB95" s="139">
        <f t="shared" si="66"/>
        <v>0</v>
      </c>
      <c r="FC95" s="139">
        <f t="shared" si="67"/>
        <v>0</v>
      </c>
      <c r="FD95" s="139">
        <f t="shared" si="68"/>
        <v>0</v>
      </c>
      <c r="FE95" s="139">
        <f t="shared" si="69"/>
        <v>0</v>
      </c>
      <c r="FF95" s="139">
        <f t="shared" si="70"/>
        <v>0</v>
      </c>
      <c r="FG95" s="139">
        <f t="shared" si="71"/>
        <v>0</v>
      </c>
      <c r="FH95" s="139">
        <f t="shared" si="72"/>
        <v>0</v>
      </c>
      <c r="FI95" s="139">
        <f t="shared" si="73"/>
        <v>0</v>
      </c>
      <c r="FJ95" s="139">
        <f t="shared" si="74"/>
        <v>0</v>
      </c>
      <c r="FK95" s="139">
        <f t="shared" si="75"/>
        <v>0</v>
      </c>
      <c r="FL95" s="139">
        <f t="shared" si="76"/>
        <v>0</v>
      </c>
      <c r="FM95" s="139">
        <f t="shared" si="77"/>
        <v>0</v>
      </c>
      <c r="FN95" s="139">
        <f t="shared" si="78"/>
        <v>0</v>
      </c>
      <c r="FO95" s="139">
        <f t="shared" si="79"/>
        <v>0</v>
      </c>
      <c r="FP95" s="139">
        <f t="shared" si="80"/>
        <v>0</v>
      </c>
      <c r="FQ95" s="139">
        <f t="shared" si="81"/>
        <v>0</v>
      </c>
      <c r="FR95" s="139">
        <f t="shared" si="82"/>
        <v>0</v>
      </c>
      <c r="FS95" s="139">
        <f t="shared" si="83"/>
        <v>0</v>
      </c>
      <c r="FT95" s="139">
        <f t="shared" si="84"/>
        <v>0</v>
      </c>
      <c r="FU95" s="148">
        <f t="shared" si="85"/>
        <v>0</v>
      </c>
      <c r="FV95" s="149"/>
      <c r="FY95" s="210">
        <v>90</v>
      </c>
      <c r="FZ95">
        <v>31.875283912989659</v>
      </c>
      <c r="GA95">
        <v>39.862177722916414</v>
      </c>
      <c r="GB95">
        <v>2.031711956506967</v>
      </c>
      <c r="GC95">
        <v>0.6410062730021775</v>
      </c>
      <c r="GD95">
        <v>0.9853412023001058</v>
      </c>
      <c r="GE95">
        <v>2.6213745674232638</v>
      </c>
      <c r="GF95">
        <v>6.3883547616772427</v>
      </c>
      <c r="GG95">
        <v>5.8869805003340847</v>
      </c>
      <c r="GH95">
        <v>6.5893842357084624</v>
      </c>
      <c r="GI95">
        <v>7.9755503399431023</v>
      </c>
      <c r="GJ95"/>
      <c r="GK95"/>
      <c r="GL95"/>
      <c r="GM95"/>
    </row>
    <row r="96" spans="1:195" s="7" customFormat="1">
      <c r="A96" s="77"/>
      <c r="B96" s="76">
        <f ca="1">IF(C96="", "", RAND())</f>
        <v>0.13737437340803571</v>
      </c>
      <c r="C96">
        <v>8</v>
      </c>
      <c r="D96">
        <v>39646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 s="2"/>
      <c r="AK96" s="80"/>
      <c r="AL96" s="74"/>
      <c r="AM96" s="43">
        <v>80</v>
      </c>
      <c r="AN96">
        <v>111.74134070223815</v>
      </c>
      <c r="AO96">
        <v>9.7508475598849831</v>
      </c>
      <c r="AP96">
        <v>99.729039029052274</v>
      </c>
      <c r="AQ96">
        <v>85.459397633503016</v>
      </c>
      <c r="AR96">
        <v>9.3494220756753368</v>
      </c>
      <c r="AS96">
        <v>158.59686492946156</v>
      </c>
      <c r="AT96">
        <v>5.9299977143787075</v>
      </c>
      <c r="AU96">
        <v>0.9369937435118314</v>
      </c>
      <c r="AV96"/>
      <c r="AW96"/>
      <c r="AX96" s="151"/>
      <c r="AY96" s="76">
        <f t="shared" ca="1" si="86"/>
        <v>0.36001984933826581</v>
      </c>
      <c r="AZ96">
        <v>9</v>
      </c>
      <c r="BA96" s="129">
        <f t="shared" si="87"/>
        <v>39646</v>
      </c>
      <c r="BB96">
        <v>0</v>
      </c>
      <c r="BC96">
        <v>0</v>
      </c>
      <c r="BD96">
        <v>0</v>
      </c>
      <c r="BE96">
        <v>1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 s="147"/>
      <c r="CH96" s="176"/>
      <c r="CJ96" s="151"/>
      <c r="CK96" s="76">
        <f t="shared" ca="1" si="88"/>
        <v>0.8587977118973984</v>
      </c>
      <c r="CL96" s="179">
        <f t="shared" si="89"/>
        <v>9</v>
      </c>
      <c r="CM96" s="180">
        <f t="shared" si="90"/>
        <v>39646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 s="160"/>
      <c r="CW96">
        <v>1</v>
      </c>
      <c r="CX96">
        <v>1</v>
      </c>
      <c r="CY96" s="164"/>
      <c r="CZ96" s="177">
        <f t="shared" si="91"/>
        <v>9.6000000000000002E-2</v>
      </c>
      <c r="DB96" s="151"/>
      <c r="DC96" s="76">
        <f t="shared" ca="1" si="49"/>
        <v>0.72042078898297501</v>
      </c>
      <c r="DD96">
        <f t="shared" si="92"/>
        <v>9</v>
      </c>
      <c r="DE96" s="129">
        <f t="shared" si="50"/>
        <v>39646</v>
      </c>
      <c r="DF96" s="161">
        <f t="shared" si="93"/>
        <v>0</v>
      </c>
      <c r="DG96" s="161">
        <f t="shared" si="94"/>
        <v>0</v>
      </c>
      <c r="DH96" s="161">
        <f t="shared" si="95"/>
        <v>0</v>
      </c>
      <c r="DI96" s="161">
        <f t="shared" si="96"/>
        <v>10.416666666666666</v>
      </c>
      <c r="DJ96" s="161">
        <f t="shared" si="97"/>
        <v>0</v>
      </c>
      <c r="DK96" s="161">
        <f t="shared" si="98"/>
        <v>0</v>
      </c>
      <c r="DL96" s="161">
        <f t="shared" si="99"/>
        <v>0</v>
      </c>
      <c r="DM96" s="161">
        <f t="shared" si="100"/>
        <v>0</v>
      </c>
      <c r="DN96" s="161">
        <f t="shared" si="101"/>
        <v>0</v>
      </c>
      <c r="DO96" s="161">
        <f t="shared" si="102"/>
        <v>0</v>
      </c>
      <c r="DP96" s="161">
        <f t="shared" si="103"/>
        <v>0</v>
      </c>
      <c r="DQ96" s="161">
        <f t="shared" si="104"/>
        <v>0</v>
      </c>
      <c r="DR96" s="161">
        <f t="shared" si="105"/>
        <v>0</v>
      </c>
      <c r="DS96" s="161">
        <f t="shared" si="106"/>
        <v>0</v>
      </c>
      <c r="DT96" s="161">
        <f t="shared" si="107"/>
        <v>0</v>
      </c>
      <c r="DU96" s="161">
        <f t="shared" si="108"/>
        <v>0</v>
      </c>
      <c r="DV96" s="161">
        <f t="shared" si="109"/>
        <v>0</v>
      </c>
      <c r="DW96" s="161">
        <f t="shared" si="110"/>
        <v>0</v>
      </c>
      <c r="DX96" s="161">
        <f t="shared" si="111"/>
        <v>0</v>
      </c>
      <c r="DY96" s="161">
        <f t="shared" si="112"/>
        <v>0</v>
      </c>
      <c r="DZ96" s="161">
        <f t="shared" si="113"/>
        <v>0</v>
      </c>
      <c r="EA96" s="161">
        <f t="shared" si="114"/>
        <v>0</v>
      </c>
      <c r="EB96" s="161">
        <f t="shared" si="115"/>
        <v>0</v>
      </c>
      <c r="EC96" s="161">
        <f t="shared" si="116"/>
        <v>0</v>
      </c>
      <c r="ED96" s="161">
        <f t="shared" si="117"/>
        <v>0</v>
      </c>
      <c r="EE96" s="161">
        <f t="shared" si="118"/>
        <v>0</v>
      </c>
      <c r="EF96" s="161">
        <f t="shared" si="119"/>
        <v>0</v>
      </c>
      <c r="EG96" s="161">
        <f t="shared" si="120"/>
        <v>0</v>
      </c>
      <c r="EH96" s="161">
        <f t="shared" si="121"/>
        <v>0</v>
      </c>
      <c r="EI96" s="161">
        <f t="shared" si="122"/>
        <v>0</v>
      </c>
      <c r="EJ96" s="161">
        <f t="shared" si="123"/>
        <v>0</v>
      </c>
      <c r="EK96" s="147">
        <f t="shared" si="53"/>
        <v>10.416666666666666</v>
      </c>
      <c r="EL96" s="149"/>
      <c r="EN96" s="151"/>
      <c r="EO96" s="151"/>
      <c r="EP96" s="139">
        <f t="shared" si="54"/>
        <v>0</v>
      </c>
      <c r="EQ96" s="139">
        <f t="shared" si="55"/>
        <v>0</v>
      </c>
      <c r="ER96" s="139">
        <f t="shared" si="56"/>
        <v>0</v>
      </c>
      <c r="ES96" s="139">
        <f t="shared" si="57"/>
        <v>0.83816158173851918</v>
      </c>
      <c r="ET96" s="139">
        <f t="shared" si="58"/>
        <v>0</v>
      </c>
      <c r="EU96" s="139">
        <f t="shared" si="59"/>
        <v>0</v>
      </c>
      <c r="EV96" s="139">
        <f t="shared" si="60"/>
        <v>0</v>
      </c>
      <c r="EW96" s="139">
        <f t="shared" si="61"/>
        <v>0</v>
      </c>
      <c r="EX96" s="139">
        <f t="shared" si="62"/>
        <v>0</v>
      </c>
      <c r="EY96" s="139">
        <f t="shared" si="63"/>
        <v>0</v>
      </c>
      <c r="EZ96" s="139">
        <f t="shared" si="64"/>
        <v>0</v>
      </c>
      <c r="FA96" s="139">
        <f t="shared" si="65"/>
        <v>0</v>
      </c>
      <c r="FB96" s="139">
        <f t="shared" si="66"/>
        <v>0</v>
      </c>
      <c r="FC96" s="139">
        <f t="shared" si="67"/>
        <v>0</v>
      </c>
      <c r="FD96" s="139">
        <f t="shared" si="68"/>
        <v>0</v>
      </c>
      <c r="FE96" s="139">
        <f t="shared" si="69"/>
        <v>0</v>
      </c>
      <c r="FF96" s="139">
        <f t="shared" si="70"/>
        <v>0</v>
      </c>
      <c r="FG96" s="139">
        <f t="shared" si="71"/>
        <v>0</v>
      </c>
      <c r="FH96" s="139">
        <f t="shared" si="72"/>
        <v>0</v>
      </c>
      <c r="FI96" s="139">
        <f t="shared" si="73"/>
        <v>0</v>
      </c>
      <c r="FJ96" s="139">
        <f t="shared" si="74"/>
        <v>0</v>
      </c>
      <c r="FK96" s="139">
        <f t="shared" si="75"/>
        <v>0</v>
      </c>
      <c r="FL96" s="139">
        <f t="shared" si="76"/>
        <v>0</v>
      </c>
      <c r="FM96" s="139">
        <f t="shared" si="77"/>
        <v>0</v>
      </c>
      <c r="FN96" s="139">
        <f t="shared" si="78"/>
        <v>0</v>
      </c>
      <c r="FO96" s="139">
        <f t="shared" si="79"/>
        <v>0</v>
      </c>
      <c r="FP96" s="139">
        <f t="shared" si="80"/>
        <v>0</v>
      </c>
      <c r="FQ96" s="139">
        <f t="shared" si="81"/>
        <v>0</v>
      </c>
      <c r="FR96" s="139">
        <f t="shared" si="82"/>
        <v>0</v>
      </c>
      <c r="FS96" s="139">
        <f t="shared" si="83"/>
        <v>0</v>
      </c>
      <c r="FT96" s="139">
        <f t="shared" si="84"/>
        <v>0</v>
      </c>
      <c r="FU96" s="148">
        <f t="shared" si="85"/>
        <v>0.83816158173851918</v>
      </c>
      <c r="FV96" s="149"/>
      <c r="FY96" s="210">
        <v>91</v>
      </c>
      <c r="FZ96">
        <v>11.80183825953541</v>
      </c>
      <c r="GA96">
        <v>18.05183715197699</v>
      </c>
      <c r="GB96">
        <v>4.1363455608658271</v>
      </c>
      <c r="GC96">
        <v>1.2913576359749765</v>
      </c>
      <c r="GD96">
        <v>0.7215242088984688</v>
      </c>
      <c r="GE96">
        <v>2.3384988823916357</v>
      </c>
      <c r="GF96">
        <v>8.0724896992836879</v>
      </c>
      <c r="GG96">
        <v>11.429293427029616</v>
      </c>
      <c r="GH96">
        <v>10.851545746628672</v>
      </c>
      <c r="GI96">
        <v>6.3695683914420194</v>
      </c>
      <c r="GJ96"/>
      <c r="GK96"/>
      <c r="GL96"/>
      <c r="GM96"/>
    </row>
    <row r="97" spans="1:195" s="7" customFormat="1">
      <c r="A97" s="77"/>
      <c r="B97" s="76">
        <f ca="1">IF(C97="", "", RAND())</f>
        <v>8.6395845083297118E-2</v>
      </c>
      <c r="C97">
        <v>6</v>
      </c>
      <c r="D97">
        <v>39646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 s="2"/>
      <c r="AK97" s="80"/>
      <c r="AL97" s="74"/>
      <c r="AM97" s="43">
        <v>81</v>
      </c>
      <c r="AN97">
        <v>141.97560203977892</v>
      </c>
      <c r="AO97">
        <v>9.0185438744188993</v>
      </c>
      <c r="AP97">
        <v>85.686494338144144</v>
      </c>
      <c r="AQ97">
        <v>73.049653604484291</v>
      </c>
      <c r="AR97">
        <v>8.5640170450690203</v>
      </c>
      <c r="AS97">
        <v>144.70142680389662</v>
      </c>
      <c r="AT97">
        <v>5.0664883105269736</v>
      </c>
      <c r="AU97">
        <v>38.590329802743554</v>
      </c>
      <c r="AV97"/>
      <c r="AW97"/>
      <c r="AX97" s="151"/>
      <c r="AY97" s="76">
        <f t="shared" ca="1" si="86"/>
        <v>4.5412007561753676E-2</v>
      </c>
      <c r="AZ97">
        <v>10</v>
      </c>
      <c r="BA97" s="129">
        <f t="shared" si="87"/>
        <v>39646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 s="147"/>
      <c r="CH97" s="176"/>
      <c r="CJ97" s="151"/>
      <c r="CK97" s="76">
        <f t="shared" ca="1" si="88"/>
        <v>0.47748401482817648</v>
      </c>
      <c r="CL97" s="179">
        <f t="shared" si="89"/>
        <v>10</v>
      </c>
      <c r="CM97" s="180">
        <f t="shared" si="90"/>
        <v>39646</v>
      </c>
      <c r="CN97">
        <v>0</v>
      </c>
      <c r="CO97">
        <v>0</v>
      </c>
      <c r="CP97">
        <v>1</v>
      </c>
      <c r="CQ97">
        <v>0</v>
      </c>
      <c r="CR97">
        <v>0</v>
      </c>
      <c r="CS97">
        <v>0</v>
      </c>
      <c r="CT97">
        <v>0</v>
      </c>
      <c r="CU97">
        <v>0</v>
      </c>
      <c r="CV97" s="160"/>
      <c r="CW97">
        <v>1</v>
      </c>
      <c r="CX97">
        <v>2</v>
      </c>
      <c r="CY97" s="164"/>
      <c r="CZ97" s="177">
        <f t="shared" si="91"/>
        <v>9.6000000000000002E-2</v>
      </c>
      <c r="DB97" s="151"/>
      <c r="DC97" s="76">
        <f t="shared" ca="1" si="49"/>
        <v>1.9306957272273273E-2</v>
      </c>
      <c r="DD97">
        <f t="shared" si="92"/>
        <v>10</v>
      </c>
      <c r="DE97" s="129">
        <f t="shared" si="50"/>
        <v>39646</v>
      </c>
      <c r="DF97" s="161">
        <f t="shared" si="93"/>
        <v>0</v>
      </c>
      <c r="DG97" s="161">
        <f t="shared" si="94"/>
        <v>0</v>
      </c>
      <c r="DH97" s="161">
        <f t="shared" si="95"/>
        <v>20.833333333333332</v>
      </c>
      <c r="DI97" s="161">
        <f t="shared" si="96"/>
        <v>0</v>
      </c>
      <c r="DJ97" s="161">
        <f t="shared" si="97"/>
        <v>0</v>
      </c>
      <c r="DK97" s="161">
        <f t="shared" si="98"/>
        <v>0</v>
      </c>
      <c r="DL97" s="161">
        <f t="shared" si="99"/>
        <v>0</v>
      </c>
      <c r="DM97" s="161">
        <f t="shared" si="100"/>
        <v>0</v>
      </c>
      <c r="DN97" s="161">
        <f t="shared" si="101"/>
        <v>0</v>
      </c>
      <c r="DO97" s="161">
        <f t="shared" si="102"/>
        <v>0</v>
      </c>
      <c r="DP97" s="161">
        <f t="shared" si="103"/>
        <v>0</v>
      </c>
      <c r="DQ97" s="161">
        <f t="shared" si="104"/>
        <v>0</v>
      </c>
      <c r="DR97" s="161">
        <f t="shared" si="105"/>
        <v>0</v>
      </c>
      <c r="DS97" s="161">
        <f t="shared" si="106"/>
        <v>0</v>
      </c>
      <c r="DT97" s="161">
        <f t="shared" si="107"/>
        <v>0</v>
      </c>
      <c r="DU97" s="161">
        <f t="shared" si="108"/>
        <v>0</v>
      </c>
      <c r="DV97" s="161">
        <f t="shared" si="109"/>
        <v>0</v>
      </c>
      <c r="DW97" s="161">
        <f t="shared" si="110"/>
        <v>0</v>
      </c>
      <c r="DX97" s="161">
        <f t="shared" si="111"/>
        <v>0</v>
      </c>
      <c r="DY97" s="161">
        <f t="shared" si="112"/>
        <v>0</v>
      </c>
      <c r="DZ97" s="161">
        <f t="shared" si="113"/>
        <v>0</v>
      </c>
      <c r="EA97" s="161">
        <f t="shared" si="114"/>
        <v>0</v>
      </c>
      <c r="EB97" s="161">
        <f t="shared" si="115"/>
        <v>0</v>
      </c>
      <c r="EC97" s="161">
        <f t="shared" si="116"/>
        <v>0</v>
      </c>
      <c r="ED97" s="161">
        <f t="shared" si="117"/>
        <v>0</v>
      </c>
      <c r="EE97" s="161">
        <f t="shared" si="118"/>
        <v>0</v>
      </c>
      <c r="EF97" s="161">
        <f t="shared" si="119"/>
        <v>0</v>
      </c>
      <c r="EG97" s="161">
        <f t="shared" si="120"/>
        <v>0</v>
      </c>
      <c r="EH97" s="161">
        <f t="shared" si="121"/>
        <v>0</v>
      </c>
      <c r="EI97" s="161">
        <f t="shared" si="122"/>
        <v>0</v>
      </c>
      <c r="EJ97" s="161">
        <f t="shared" si="123"/>
        <v>0</v>
      </c>
      <c r="EK97" s="147">
        <f t="shared" si="53"/>
        <v>20.833333333333332</v>
      </c>
      <c r="EL97" s="149"/>
      <c r="EN97" s="151"/>
      <c r="EO97" s="151"/>
      <c r="EP97" s="139">
        <f t="shared" si="54"/>
        <v>0</v>
      </c>
      <c r="EQ97" s="139">
        <f t="shared" si="55"/>
        <v>0</v>
      </c>
      <c r="ER97" s="139">
        <f t="shared" si="56"/>
        <v>0.53711784565217446</v>
      </c>
      <c r="ES97" s="139">
        <f t="shared" si="57"/>
        <v>0</v>
      </c>
      <c r="ET97" s="139">
        <f t="shared" si="58"/>
        <v>0</v>
      </c>
      <c r="EU97" s="139">
        <f t="shared" si="59"/>
        <v>0</v>
      </c>
      <c r="EV97" s="139">
        <f t="shared" si="60"/>
        <v>0</v>
      </c>
      <c r="EW97" s="139">
        <f t="shared" si="61"/>
        <v>0</v>
      </c>
      <c r="EX97" s="139">
        <f t="shared" si="62"/>
        <v>0</v>
      </c>
      <c r="EY97" s="139">
        <f t="shared" si="63"/>
        <v>0</v>
      </c>
      <c r="EZ97" s="139">
        <f t="shared" si="64"/>
        <v>0</v>
      </c>
      <c r="FA97" s="139">
        <f t="shared" si="65"/>
        <v>0</v>
      </c>
      <c r="FB97" s="139">
        <f t="shared" si="66"/>
        <v>0</v>
      </c>
      <c r="FC97" s="139">
        <f t="shared" si="67"/>
        <v>0</v>
      </c>
      <c r="FD97" s="139">
        <f t="shared" si="68"/>
        <v>0</v>
      </c>
      <c r="FE97" s="139">
        <f t="shared" si="69"/>
        <v>0</v>
      </c>
      <c r="FF97" s="139">
        <f t="shared" si="70"/>
        <v>0</v>
      </c>
      <c r="FG97" s="139">
        <f t="shared" si="71"/>
        <v>0</v>
      </c>
      <c r="FH97" s="139">
        <f t="shared" si="72"/>
        <v>0</v>
      </c>
      <c r="FI97" s="139">
        <f t="shared" si="73"/>
        <v>0</v>
      </c>
      <c r="FJ97" s="139">
        <f t="shared" si="74"/>
        <v>0</v>
      </c>
      <c r="FK97" s="139">
        <f t="shared" si="75"/>
        <v>0</v>
      </c>
      <c r="FL97" s="139">
        <f t="shared" si="76"/>
        <v>0</v>
      </c>
      <c r="FM97" s="139">
        <f t="shared" si="77"/>
        <v>0</v>
      </c>
      <c r="FN97" s="139">
        <f t="shared" si="78"/>
        <v>0</v>
      </c>
      <c r="FO97" s="139">
        <f t="shared" si="79"/>
        <v>0</v>
      </c>
      <c r="FP97" s="139">
        <f t="shared" si="80"/>
        <v>0</v>
      </c>
      <c r="FQ97" s="139">
        <f t="shared" si="81"/>
        <v>0</v>
      </c>
      <c r="FR97" s="139">
        <f t="shared" si="82"/>
        <v>0</v>
      </c>
      <c r="FS97" s="139">
        <f t="shared" si="83"/>
        <v>0</v>
      </c>
      <c r="FT97" s="139">
        <f t="shared" si="84"/>
        <v>0</v>
      </c>
      <c r="FU97" s="148">
        <f t="shared" si="85"/>
        <v>0.53711784565217446</v>
      </c>
      <c r="FV97" s="149"/>
      <c r="FY97" s="210">
        <v>92</v>
      </c>
      <c r="FZ97">
        <v>3.7793370361188554</v>
      </c>
      <c r="GA97">
        <v>1.7302515340725062</v>
      </c>
      <c r="GB97">
        <v>1.9847420319502944</v>
      </c>
      <c r="GC97">
        <v>0.95019601413024901</v>
      </c>
      <c r="GD97">
        <v>0.58240247164177295</v>
      </c>
      <c r="GE97">
        <v>1.8067097098547624</v>
      </c>
      <c r="GF97">
        <v>6.0901873749861233</v>
      </c>
      <c r="GG97">
        <v>5.9381595720231459</v>
      </c>
      <c r="GH97">
        <v>4.8422169897088185</v>
      </c>
      <c r="GI97">
        <v>3.2567759505569827</v>
      </c>
      <c r="GJ97"/>
      <c r="GK97"/>
      <c r="GL97"/>
      <c r="GM97"/>
    </row>
    <row r="98" spans="1:195" s="7" customFormat="1">
      <c r="A98" s="128"/>
      <c r="B98" s="76">
        <f ca="1">IF(C98="", "", RAND())</f>
        <v>0.90702749515960246</v>
      </c>
      <c r="C98">
        <v>7</v>
      </c>
      <c r="D98">
        <v>39673</v>
      </c>
      <c r="E98">
        <v>0</v>
      </c>
      <c r="F98">
        <v>0</v>
      </c>
      <c r="G98">
        <v>0</v>
      </c>
      <c r="H98">
        <v>15.046296296296296</v>
      </c>
      <c r="I98">
        <v>105.32407407407406</v>
      </c>
      <c r="J98">
        <v>255.78703703703704</v>
      </c>
      <c r="K98">
        <v>120.37037037037037</v>
      </c>
      <c r="L98">
        <v>45.138888888888886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 s="2"/>
      <c r="AK98" s="80"/>
      <c r="AL98" s="74"/>
      <c r="AM98" s="43">
        <v>82</v>
      </c>
      <c r="AN98">
        <v>147.04305207756533</v>
      </c>
      <c r="AO98">
        <v>9.9920387468284186</v>
      </c>
      <c r="AP98">
        <v>97.686993945507822</v>
      </c>
      <c r="AQ98">
        <v>81.937612850094723</v>
      </c>
      <c r="AR98">
        <v>9.8074488573046157</v>
      </c>
      <c r="AS98">
        <v>181.58832969060643</v>
      </c>
      <c r="AT98">
        <v>5.6495578924094483</v>
      </c>
      <c r="AU98">
        <v>58.731372939413099</v>
      </c>
      <c r="AV98"/>
      <c r="AW98"/>
      <c r="AX98" s="128"/>
      <c r="AY98" s="76">
        <f t="shared" ca="1" si="86"/>
        <v>0.41039748728726977</v>
      </c>
      <c r="AZ98">
        <v>1</v>
      </c>
      <c r="BA98" s="129">
        <f>IF(AZ98="", "",$C$5)</f>
        <v>39673</v>
      </c>
      <c r="BB98">
        <v>0</v>
      </c>
      <c r="BC98">
        <v>0</v>
      </c>
      <c r="BD98">
        <v>0</v>
      </c>
      <c r="BE98">
        <v>1</v>
      </c>
      <c r="BF98">
        <v>2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 s="147"/>
      <c r="CH98" s="176"/>
      <c r="CJ98" s="128"/>
      <c r="CK98" s="76">
        <f t="shared" ca="1" si="88"/>
        <v>0.86041680342654936</v>
      </c>
      <c r="CL98" s="179">
        <f t="shared" si="89"/>
        <v>1</v>
      </c>
      <c r="CM98" s="180">
        <f t="shared" si="90"/>
        <v>39673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W98">
        <v>1</v>
      </c>
      <c r="CX98">
        <v>1</v>
      </c>
      <c r="CY98" s="158"/>
      <c r="CZ98" s="177">
        <f t="shared" si="91"/>
        <v>9.6000000000000002E-2</v>
      </c>
      <c r="DB98" s="128"/>
      <c r="DC98" s="76">
        <f t="shared" ca="1" si="49"/>
        <v>0.18664338978786343</v>
      </c>
      <c r="DD98">
        <f t="shared" si="92"/>
        <v>1</v>
      </c>
      <c r="DE98" s="129">
        <f t="shared" ref="DE98:DE107" si="124">IF((DD98)="", "", $C$5)</f>
        <v>39673</v>
      </c>
      <c r="DF98" s="161">
        <f t="shared" si="93"/>
        <v>0</v>
      </c>
      <c r="DG98" s="161">
        <f t="shared" si="94"/>
        <v>0</v>
      </c>
      <c r="DH98" s="161">
        <f t="shared" si="95"/>
        <v>0</v>
      </c>
      <c r="DI98" s="161">
        <f t="shared" si="96"/>
        <v>10.416666666666666</v>
      </c>
      <c r="DJ98" s="161">
        <f t="shared" si="97"/>
        <v>20.833333333333332</v>
      </c>
      <c r="DK98" s="161">
        <f t="shared" si="98"/>
        <v>0</v>
      </c>
      <c r="DL98" s="161">
        <f t="shared" si="99"/>
        <v>0</v>
      </c>
      <c r="DM98" s="161">
        <f t="shared" si="100"/>
        <v>0</v>
      </c>
      <c r="DN98" s="161">
        <f t="shared" si="101"/>
        <v>0</v>
      </c>
      <c r="DO98" s="161">
        <f t="shared" si="102"/>
        <v>0</v>
      </c>
      <c r="DP98" s="161">
        <f t="shared" si="103"/>
        <v>0</v>
      </c>
      <c r="DQ98" s="161">
        <f t="shared" si="104"/>
        <v>0</v>
      </c>
      <c r="DR98" s="161">
        <f t="shared" si="105"/>
        <v>0</v>
      </c>
      <c r="DS98" s="161">
        <f t="shared" si="106"/>
        <v>0</v>
      </c>
      <c r="DT98" s="161">
        <f t="shared" si="107"/>
        <v>0</v>
      </c>
      <c r="DU98" s="161">
        <f t="shared" si="108"/>
        <v>0</v>
      </c>
      <c r="DV98" s="161">
        <f t="shared" si="109"/>
        <v>0</v>
      </c>
      <c r="DW98" s="161">
        <f t="shared" si="110"/>
        <v>0</v>
      </c>
      <c r="DX98" s="161">
        <f t="shared" si="111"/>
        <v>0</v>
      </c>
      <c r="DY98" s="161">
        <f t="shared" si="112"/>
        <v>0</v>
      </c>
      <c r="DZ98" s="161">
        <f t="shared" si="113"/>
        <v>0</v>
      </c>
      <c r="EA98" s="161">
        <f t="shared" si="114"/>
        <v>0</v>
      </c>
      <c r="EB98" s="161">
        <f t="shared" si="115"/>
        <v>0</v>
      </c>
      <c r="EC98" s="161">
        <f t="shared" si="116"/>
        <v>0</v>
      </c>
      <c r="ED98" s="161">
        <f t="shared" si="117"/>
        <v>0</v>
      </c>
      <c r="EE98" s="161">
        <f t="shared" si="118"/>
        <v>0</v>
      </c>
      <c r="EF98" s="161">
        <f t="shared" si="119"/>
        <v>0</v>
      </c>
      <c r="EG98" s="161">
        <f t="shared" si="120"/>
        <v>0</v>
      </c>
      <c r="EH98" s="161">
        <f t="shared" si="121"/>
        <v>0</v>
      </c>
      <c r="EI98" s="161">
        <f t="shared" si="122"/>
        <v>0</v>
      </c>
      <c r="EJ98" s="161">
        <f t="shared" si="123"/>
        <v>0</v>
      </c>
      <c r="EK98" s="147">
        <f t="shared" si="53"/>
        <v>31.25</v>
      </c>
      <c r="EL98" s="149"/>
      <c r="EN98" s="146"/>
      <c r="EO98" s="146"/>
      <c r="EP98" s="139">
        <f t="shared" si="54"/>
        <v>0</v>
      </c>
      <c r="EQ98" s="139">
        <f t="shared" si="55"/>
        <v>0</v>
      </c>
      <c r="ER98" s="139">
        <f t="shared" si="56"/>
        <v>0</v>
      </c>
      <c r="ES98" s="139">
        <f t="shared" si="57"/>
        <v>0.83816158173851918</v>
      </c>
      <c r="ET98" s="139">
        <f t="shared" si="58"/>
        <v>3.758900066684471</v>
      </c>
      <c r="EU98" s="139">
        <f t="shared" si="59"/>
        <v>0</v>
      </c>
      <c r="EV98" s="139">
        <f t="shared" si="60"/>
        <v>0</v>
      </c>
      <c r="EW98" s="139">
        <f t="shared" si="61"/>
        <v>0</v>
      </c>
      <c r="EX98" s="139">
        <f t="shared" si="62"/>
        <v>0</v>
      </c>
      <c r="EY98" s="139">
        <f t="shared" si="63"/>
        <v>0</v>
      </c>
      <c r="EZ98" s="139">
        <f t="shared" si="64"/>
        <v>0</v>
      </c>
      <c r="FA98" s="139">
        <f t="shared" si="65"/>
        <v>0</v>
      </c>
      <c r="FB98" s="139">
        <f t="shared" si="66"/>
        <v>0</v>
      </c>
      <c r="FC98" s="139">
        <f t="shared" si="67"/>
        <v>0</v>
      </c>
      <c r="FD98" s="139">
        <f t="shared" si="68"/>
        <v>0</v>
      </c>
      <c r="FE98" s="139">
        <f t="shared" si="69"/>
        <v>0</v>
      </c>
      <c r="FF98" s="139">
        <f t="shared" si="70"/>
        <v>0</v>
      </c>
      <c r="FG98" s="139">
        <f t="shared" si="71"/>
        <v>0</v>
      </c>
      <c r="FH98" s="139">
        <f t="shared" si="72"/>
        <v>0</v>
      </c>
      <c r="FI98" s="139">
        <f t="shared" si="73"/>
        <v>0</v>
      </c>
      <c r="FJ98" s="139">
        <f t="shared" si="74"/>
        <v>0</v>
      </c>
      <c r="FK98" s="139">
        <f t="shared" si="75"/>
        <v>0</v>
      </c>
      <c r="FL98" s="139">
        <f t="shared" si="76"/>
        <v>0</v>
      </c>
      <c r="FM98" s="139">
        <f t="shared" si="77"/>
        <v>0</v>
      </c>
      <c r="FN98" s="139">
        <f t="shared" si="78"/>
        <v>0</v>
      </c>
      <c r="FO98" s="139">
        <f t="shared" si="79"/>
        <v>0</v>
      </c>
      <c r="FP98" s="139">
        <f t="shared" si="80"/>
        <v>0</v>
      </c>
      <c r="FQ98" s="139">
        <f t="shared" si="81"/>
        <v>0</v>
      </c>
      <c r="FR98" s="139">
        <f t="shared" si="82"/>
        <v>0</v>
      </c>
      <c r="FS98" s="139">
        <f t="shared" si="83"/>
        <v>0</v>
      </c>
      <c r="FT98" s="139">
        <f t="shared" si="84"/>
        <v>0</v>
      </c>
      <c r="FU98" s="148">
        <f t="shared" si="85"/>
        <v>4.59706164842299</v>
      </c>
      <c r="FV98" s="149"/>
      <c r="FY98" s="210">
        <v>93</v>
      </c>
      <c r="FZ98">
        <v>58.828670580699743</v>
      </c>
      <c r="GA98">
        <v>66.175172710458796</v>
      </c>
      <c r="GB98">
        <v>2.6390212987629793</v>
      </c>
      <c r="GC98">
        <v>1.0247972439919679</v>
      </c>
      <c r="GD98">
        <v>0.66408936260101714</v>
      </c>
      <c r="GE98">
        <v>2.7189725566445748</v>
      </c>
      <c r="GF98">
        <v>9.9412500713440259</v>
      </c>
      <c r="GG98">
        <v>8.3684433958935873</v>
      </c>
      <c r="GH98">
        <v>6.846905880974127</v>
      </c>
      <c r="GI98">
        <v>12.603014870177802</v>
      </c>
      <c r="GJ98"/>
      <c r="GK98"/>
      <c r="GL98"/>
      <c r="GM98"/>
    </row>
    <row r="99" spans="1:195" s="7" customFormat="1">
      <c r="A99" s="1"/>
      <c r="B99" s="76">
        <f ca="1">IF(C99="", "", RAND())</f>
        <v>0.87842366307043473</v>
      </c>
      <c r="C99">
        <v>9</v>
      </c>
      <c r="D99">
        <v>39673</v>
      </c>
      <c r="E99">
        <v>0</v>
      </c>
      <c r="F99">
        <v>0</v>
      </c>
      <c r="G99">
        <v>10.416666666666666</v>
      </c>
      <c r="H99">
        <v>0</v>
      </c>
      <c r="I99">
        <v>10.416666666666666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 s="2"/>
      <c r="AK99" s="80"/>
      <c r="AL99" s="74"/>
      <c r="AM99" s="43">
        <v>83</v>
      </c>
      <c r="AN99">
        <v>118.20690485820599</v>
      </c>
      <c r="AO99">
        <v>10.829925066392967</v>
      </c>
      <c r="AP99">
        <v>105.25122125656938</v>
      </c>
      <c r="AQ99">
        <v>89.996471223309001</v>
      </c>
      <c r="AR99">
        <v>10.286181567334365</v>
      </c>
      <c r="AS99">
        <v>176.31686764683033</v>
      </c>
      <c r="AT99">
        <v>6.7421217499282102</v>
      </c>
      <c r="AU99">
        <v>7.6166446499392535</v>
      </c>
      <c r="AV99"/>
      <c r="AW99"/>
      <c r="AX99" s="146"/>
      <c r="AY99" s="76">
        <f t="shared" ca="1" si="86"/>
        <v>0.5531566125448828</v>
      </c>
      <c r="AZ99">
        <v>2</v>
      </c>
      <c r="BA99" s="129">
        <f t="shared" ref="BA99:BA107" si="125">IF(AZ99="", "",$C$5)</f>
        <v>39673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 s="147"/>
      <c r="CH99" s="176"/>
      <c r="CJ99" s="146"/>
      <c r="CK99" s="76">
        <f t="shared" ca="1" si="88"/>
        <v>0.93618244415208807</v>
      </c>
      <c r="CL99" s="179">
        <f t="shared" si="89"/>
        <v>2</v>
      </c>
      <c r="CM99" s="180">
        <f t="shared" si="90"/>
        <v>39673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W99">
        <v>1</v>
      </c>
      <c r="CX99">
        <v>6</v>
      </c>
      <c r="CY99" s="158"/>
      <c r="CZ99" s="177">
        <f t="shared" si="91"/>
        <v>9.6000000000000002E-2</v>
      </c>
      <c r="DB99" s="146"/>
      <c r="DC99" s="76">
        <f t="shared" ca="1" si="49"/>
        <v>0.93480688239479393</v>
      </c>
      <c r="DD99">
        <f t="shared" si="92"/>
        <v>2</v>
      </c>
      <c r="DE99" s="129">
        <f t="shared" si="124"/>
        <v>39673</v>
      </c>
      <c r="DF99" s="161">
        <f t="shared" si="93"/>
        <v>0</v>
      </c>
      <c r="DG99" s="161">
        <f t="shared" si="94"/>
        <v>0</v>
      </c>
      <c r="DH99" s="161">
        <f t="shared" si="95"/>
        <v>0</v>
      </c>
      <c r="DI99" s="161">
        <f t="shared" si="96"/>
        <v>0</v>
      </c>
      <c r="DJ99" s="161">
        <f t="shared" si="97"/>
        <v>0</v>
      </c>
      <c r="DK99" s="161">
        <f t="shared" si="98"/>
        <v>0</v>
      </c>
      <c r="DL99" s="161">
        <f t="shared" si="99"/>
        <v>0</v>
      </c>
      <c r="DM99" s="161">
        <f t="shared" si="100"/>
        <v>0</v>
      </c>
      <c r="DN99" s="161">
        <f t="shared" si="101"/>
        <v>0</v>
      </c>
      <c r="DO99" s="161">
        <f t="shared" si="102"/>
        <v>0</v>
      </c>
      <c r="DP99" s="161">
        <f t="shared" si="103"/>
        <v>0</v>
      </c>
      <c r="DQ99" s="161">
        <f t="shared" si="104"/>
        <v>0</v>
      </c>
      <c r="DR99" s="161">
        <f t="shared" si="105"/>
        <v>0</v>
      </c>
      <c r="DS99" s="161">
        <f t="shared" si="106"/>
        <v>0</v>
      </c>
      <c r="DT99" s="161">
        <f t="shared" si="107"/>
        <v>0</v>
      </c>
      <c r="DU99" s="161">
        <f t="shared" si="108"/>
        <v>0</v>
      </c>
      <c r="DV99" s="161">
        <f t="shared" si="109"/>
        <v>0</v>
      </c>
      <c r="DW99" s="161">
        <f t="shared" si="110"/>
        <v>0</v>
      </c>
      <c r="DX99" s="161">
        <f t="shared" si="111"/>
        <v>0</v>
      </c>
      <c r="DY99" s="161">
        <f t="shared" si="112"/>
        <v>0</v>
      </c>
      <c r="DZ99" s="161">
        <f t="shared" si="113"/>
        <v>0</v>
      </c>
      <c r="EA99" s="161">
        <f t="shared" si="114"/>
        <v>0</v>
      </c>
      <c r="EB99" s="161">
        <f t="shared" si="115"/>
        <v>0</v>
      </c>
      <c r="EC99" s="161">
        <f t="shared" si="116"/>
        <v>0</v>
      </c>
      <c r="ED99" s="161">
        <f t="shared" si="117"/>
        <v>0</v>
      </c>
      <c r="EE99" s="161">
        <f t="shared" si="118"/>
        <v>0</v>
      </c>
      <c r="EF99" s="161">
        <f t="shared" si="119"/>
        <v>0</v>
      </c>
      <c r="EG99" s="161">
        <f t="shared" si="120"/>
        <v>0</v>
      </c>
      <c r="EH99" s="161">
        <f t="shared" si="121"/>
        <v>0</v>
      </c>
      <c r="EI99" s="161">
        <f t="shared" si="122"/>
        <v>0</v>
      </c>
      <c r="EJ99" s="161">
        <f t="shared" si="123"/>
        <v>0</v>
      </c>
      <c r="EK99" s="147">
        <f t="shared" si="53"/>
        <v>0</v>
      </c>
      <c r="EL99" s="149"/>
      <c r="EN99" s="146"/>
      <c r="EO99" s="146"/>
      <c r="EP99" s="139">
        <f t="shared" si="54"/>
        <v>0</v>
      </c>
      <c r="EQ99" s="139">
        <f t="shared" si="55"/>
        <v>0</v>
      </c>
      <c r="ER99" s="139">
        <f t="shared" si="56"/>
        <v>0</v>
      </c>
      <c r="ES99" s="139">
        <f t="shared" si="57"/>
        <v>0</v>
      </c>
      <c r="ET99" s="139">
        <f t="shared" si="58"/>
        <v>0</v>
      </c>
      <c r="EU99" s="139">
        <f t="shared" si="59"/>
        <v>0</v>
      </c>
      <c r="EV99" s="139">
        <f t="shared" si="60"/>
        <v>0</v>
      </c>
      <c r="EW99" s="139">
        <f t="shared" si="61"/>
        <v>0</v>
      </c>
      <c r="EX99" s="139">
        <f t="shared" si="62"/>
        <v>0</v>
      </c>
      <c r="EY99" s="139">
        <f t="shared" si="63"/>
        <v>0</v>
      </c>
      <c r="EZ99" s="139">
        <f t="shared" si="64"/>
        <v>0</v>
      </c>
      <c r="FA99" s="139">
        <f t="shared" si="65"/>
        <v>0</v>
      </c>
      <c r="FB99" s="139">
        <f t="shared" si="66"/>
        <v>0</v>
      </c>
      <c r="FC99" s="139">
        <f t="shared" si="67"/>
        <v>0</v>
      </c>
      <c r="FD99" s="139">
        <f t="shared" si="68"/>
        <v>0</v>
      </c>
      <c r="FE99" s="139">
        <f t="shared" si="69"/>
        <v>0</v>
      </c>
      <c r="FF99" s="139">
        <f t="shared" si="70"/>
        <v>0</v>
      </c>
      <c r="FG99" s="139">
        <f t="shared" si="71"/>
        <v>0</v>
      </c>
      <c r="FH99" s="139">
        <f t="shared" si="72"/>
        <v>0</v>
      </c>
      <c r="FI99" s="139">
        <f t="shared" si="73"/>
        <v>0</v>
      </c>
      <c r="FJ99" s="139">
        <f t="shared" si="74"/>
        <v>0</v>
      </c>
      <c r="FK99" s="139">
        <f t="shared" si="75"/>
        <v>0</v>
      </c>
      <c r="FL99" s="139">
        <f t="shared" si="76"/>
        <v>0</v>
      </c>
      <c r="FM99" s="139">
        <f t="shared" si="77"/>
        <v>0</v>
      </c>
      <c r="FN99" s="139">
        <f t="shared" si="78"/>
        <v>0</v>
      </c>
      <c r="FO99" s="139">
        <f t="shared" si="79"/>
        <v>0</v>
      </c>
      <c r="FP99" s="139">
        <f t="shared" si="80"/>
        <v>0</v>
      </c>
      <c r="FQ99" s="139">
        <f t="shared" si="81"/>
        <v>0</v>
      </c>
      <c r="FR99" s="139">
        <f t="shared" si="82"/>
        <v>0</v>
      </c>
      <c r="FS99" s="139">
        <f t="shared" si="83"/>
        <v>0</v>
      </c>
      <c r="FT99" s="139">
        <f t="shared" si="84"/>
        <v>0</v>
      </c>
      <c r="FU99" s="148">
        <f t="shared" si="85"/>
        <v>0</v>
      </c>
      <c r="FV99" s="149"/>
      <c r="FY99" s="210">
        <v>94</v>
      </c>
      <c r="FZ99">
        <v>2.7653546478822033</v>
      </c>
      <c r="GA99">
        <v>2.1757463857970136</v>
      </c>
      <c r="GB99">
        <v>2.8504960442649008</v>
      </c>
      <c r="GC99">
        <v>1.4323982233869774</v>
      </c>
      <c r="GD99">
        <v>0.90208260361227621</v>
      </c>
      <c r="GE99">
        <v>1.5562346637074211</v>
      </c>
      <c r="GF99">
        <v>0.94285964382913301</v>
      </c>
      <c r="GG99">
        <v>5.4868801628122696</v>
      </c>
      <c r="GH99">
        <v>10.377408800289041</v>
      </c>
      <c r="GI99">
        <v>3.4466793051586553</v>
      </c>
      <c r="GJ99"/>
      <c r="GK99"/>
      <c r="GL99"/>
      <c r="GM99"/>
    </row>
    <row r="100" spans="1:195" s="7" customFormat="1">
      <c r="A100" s="1"/>
      <c r="B100" s="76">
        <f ca="1">IF(C100="", "", RAND())</f>
        <v>0.49038385017270691</v>
      </c>
      <c r="C100">
        <v>5</v>
      </c>
      <c r="D100">
        <v>39673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 s="2"/>
      <c r="AK100" s="80"/>
      <c r="AL100" s="74"/>
      <c r="AM100" s="43">
        <v>84</v>
      </c>
      <c r="AN100">
        <v>143.3230298985907</v>
      </c>
      <c r="AO100">
        <v>13.48600668569269</v>
      </c>
      <c r="AP100">
        <v>137.14169617895618</v>
      </c>
      <c r="AQ100">
        <v>117.77604253961958</v>
      </c>
      <c r="AR100">
        <v>12.723880467944577</v>
      </c>
      <c r="AS100">
        <v>213.68298540383725</v>
      </c>
      <c r="AT100">
        <v>7.9616599167153508</v>
      </c>
      <c r="AU100">
        <v>52.622454267851836</v>
      </c>
      <c r="AV100"/>
      <c r="AW100"/>
      <c r="AX100" s="146"/>
      <c r="AY100" s="76">
        <f t="shared" ca="1" si="86"/>
        <v>0.66843355460685405</v>
      </c>
      <c r="AZ100">
        <v>3</v>
      </c>
      <c r="BA100" s="129">
        <f t="shared" si="125"/>
        <v>39673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 s="147"/>
      <c r="CH100" s="176"/>
      <c r="CJ100" s="146"/>
      <c r="CK100" s="76">
        <f t="shared" ca="1" si="88"/>
        <v>0.60064269401897996</v>
      </c>
      <c r="CL100" s="179">
        <f t="shared" si="89"/>
        <v>3</v>
      </c>
      <c r="CM100" s="180">
        <f t="shared" si="90"/>
        <v>39673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W100">
        <v>1</v>
      </c>
      <c r="CX100">
        <f>350/51</f>
        <v>6.8627450980392153</v>
      </c>
      <c r="CY100" s="158"/>
      <c r="CZ100" s="177">
        <f t="shared" si="91"/>
        <v>9.6000000000000002E-2</v>
      </c>
      <c r="DB100" s="146"/>
      <c r="DC100" s="76">
        <f t="shared" ca="1" si="49"/>
        <v>0.6222918919879934</v>
      </c>
      <c r="DD100">
        <f t="shared" si="92"/>
        <v>3</v>
      </c>
      <c r="DE100" s="129">
        <f t="shared" si="124"/>
        <v>39673</v>
      </c>
      <c r="DF100" s="161">
        <f t="shared" si="93"/>
        <v>0</v>
      </c>
      <c r="DG100" s="161">
        <f t="shared" si="94"/>
        <v>0</v>
      </c>
      <c r="DH100" s="161">
        <f t="shared" si="95"/>
        <v>0</v>
      </c>
      <c r="DI100" s="161">
        <f t="shared" si="96"/>
        <v>0</v>
      </c>
      <c r="DJ100" s="161">
        <f t="shared" si="97"/>
        <v>0</v>
      </c>
      <c r="DK100" s="161">
        <f t="shared" si="98"/>
        <v>0</v>
      </c>
      <c r="DL100" s="161">
        <f t="shared" si="99"/>
        <v>0</v>
      </c>
      <c r="DM100" s="161">
        <f t="shared" si="100"/>
        <v>0</v>
      </c>
      <c r="DN100" s="161">
        <f t="shared" si="101"/>
        <v>0</v>
      </c>
      <c r="DO100" s="161">
        <f t="shared" si="102"/>
        <v>0</v>
      </c>
      <c r="DP100" s="161">
        <f t="shared" si="103"/>
        <v>0</v>
      </c>
      <c r="DQ100" s="161">
        <f t="shared" si="104"/>
        <v>0</v>
      </c>
      <c r="DR100" s="161">
        <f t="shared" si="105"/>
        <v>0</v>
      </c>
      <c r="DS100" s="161">
        <f t="shared" si="106"/>
        <v>0</v>
      </c>
      <c r="DT100" s="161">
        <f t="shared" si="107"/>
        <v>0</v>
      </c>
      <c r="DU100" s="161">
        <f t="shared" si="108"/>
        <v>0</v>
      </c>
      <c r="DV100" s="161">
        <f t="shared" si="109"/>
        <v>0</v>
      </c>
      <c r="DW100" s="161">
        <f t="shared" si="110"/>
        <v>0</v>
      </c>
      <c r="DX100" s="161">
        <f t="shared" si="111"/>
        <v>0</v>
      </c>
      <c r="DY100" s="161">
        <f t="shared" si="112"/>
        <v>0</v>
      </c>
      <c r="DZ100" s="161">
        <f t="shared" si="113"/>
        <v>0</v>
      </c>
      <c r="EA100" s="161">
        <f t="shared" si="114"/>
        <v>0</v>
      </c>
      <c r="EB100" s="161">
        <f t="shared" si="115"/>
        <v>0</v>
      </c>
      <c r="EC100" s="161">
        <f t="shared" si="116"/>
        <v>0</v>
      </c>
      <c r="ED100" s="161">
        <f t="shared" si="117"/>
        <v>0</v>
      </c>
      <c r="EE100" s="161">
        <f t="shared" si="118"/>
        <v>0</v>
      </c>
      <c r="EF100" s="161">
        <f t="shared" si="119"/>
        <v>0</v>
      </c>
      <c r="EG100" s="161">
        <f t="shared" si="120"/>
        <v>0</v>
      </c>
      <c r="EH100" s="161">
        <f t="shared" si="121"/>
        <v>0</v>
      </c>
      <c r="EI100" s="161">
        <f t="shared" si="122"/>
        <v>0</v>
      </c>
      <c r="EJ100" s="161">
        <f t="shared" si="123"/>
        <v>0</v>
      </c>
      <c r="EK100" s="147">
        <f t="shared" si="53"/>
        <v>0</v>
      </c>
      <c r="EL100" s="149"/>
      <c r="EN100" s="146"/>
      <c r="EO100" s="146"/>
      <c r="EP100" s="139">
        <f t="shared" si="54"/>
        <v>0</v>
      </c>
      <c r="EQ100" s="139">
        <f t="shared" si="55"/>
        <v>0</v>
      </c>
      <c r="ER100" s="139">
        <f t="shared" si="56"/>
        <v>0</v>
      </c>
      <c r="ES100" s="139">
        <f t="shared" si="57"/>
        <v>0</v>
      </c>
      <c r="ET100" s="139">
        <f t="shared" si="58"/>
        <v>0</v>
      </c>
      <c r="EU100" s="139">
        <f t="shared" si="59"/>
        <v>0</v>
      </c>
      <c r="EV100" s="139">
        <f t="shared" si="60"/>
        <v>0</v>
      </c>
      <c r="EW100" s="139">
        <f t="shared" si="61"/>
        <v>0</v>
      </c>
      <c r="EX100" s="139">
        <f t="shared" si="62"/>
        <v>0</v>
      </c>
      <c r="EY100" s="139">
        <f t="shared" si="63"/>
        <v>0</v>
      </c>
      <c r="EZ100" s="139">
        <f t="shared" si="64"/>
        <v>0</v>
      </c>
      <c r="FA100" s="139">
        <f t="shared" si="65"/>
        <v>0</v>
      </c>
      <c r="FB100" s="139">
        <f t="shared" si="66"/>
        <v>0</v>
      </c>
      <c r="FC100" s="139">
        <f t="shared" si="67"/>
        <v>0</v>
      </c>
      <c r="FD100" s="139">
        <f t="shared" si="68"/>
        <v>0</v>
      </c>
      <c r="FE100" s="139">
        <f t="shared" si="69"/>
        <v>0</v>
      </c>
      <c r="FF100" s="139">
        <f t="shared" si="70"/>
        <v>0</v>
      </c>
      <c r="FG100" s="139">
        <f t="shared" si="71"/>
        <v>0</v>
      </c>
      <c r="FH100" s="139">
        <f t="shared" si="72"/>
        <v>0</v>
      </c>
      <c r="FI100" s="139">
        <f t="shared" si="73"/>
        <v>0</v>
      </c>
      <c r="FJ100" s="139">
        <f t="shared" si="74"/>
        <v>0</v>
      </c>
      <c r="FK100" s="139">
        <f t="shared" si="75"/>
        <v>0</v>
      </c>
      <c r="FL100" s="139">
        <f t="shared" si="76"/>
        <v>0</v>
      </c>
      <c r="FM100" s="139">
        <f t="shared" si="77"/>
        <v>0</v>
      </c>
      <c r="FN100" s="139">
        <f t="shared" si="78"/>
        <v>0</v>
      </c>
      <c r="FO100" s="139">
        <f t="shared" si="79"/>
        <v>0</v>
      </c>
      <c r="FP100" s="139">
        <f t="shared" si="80"/>
        <v>0</v>
      </c>
      <c r="FQ100" s="139">
        <f t="shared" si="81"/>
        <v>0</v>
      </c>
      <c r="FR100" s="139">
        <f t="shared" si="82"/>
        <v>0</v>
      </c>
      <c r="FS100" s="139">
        <f t="shared" si="83"/>
        <v>0</v>
      </c>
      <c r="FT100" s="139">
        <f t="shared" si="84"/>
        <v>0</v>
      </c>
      <c r="FU100" s="148">
        <f t="shared" si="85"/>
        <v>0</v>
      </c>
      <c r="FV100" s="149"/>
      <c r="FY100" s="210">
        <v>95</v>
      </c>
      <c r="FZ100">
        <v>0.72251494138275529</v>
      </c>
      <c r="GA100">
        <v>2.2689105324852044</v>
      </c>
      <c r="GB100">
        <v>1.7600537408545871</v>
      </c>
      <c r="GC100">
        <v>0.63115809980440885</v>
      </c>
      <c r="GD100">
        <v>0.42909832282755467</v>
      </c>
      <c r="GE100">
        <v>0.84018732392180706</v>
      </c>
      <c r="GF100">
        <v>7.2084859597683089</v>
      </c>
      <c r="GG100">
        <v>10.690859133102007</v>
      </c>
      <c r="GH100">
        <v>9.9527035868835121</v>
      </c>
      <c r="GI100">
        <v>3.6683425804419785</v>
      </c>
      <c r="GJ100"/>
      <c r="GK100"/>
      <c r="GL100"/>
      <c r="GM100"/>
    </row>
    <row r="101" spans="1:195" s="7" customFormat="1">
      <c r="A101" s="1"/>
      <c r="B101" s="76">
        <f ca="1">IF(C101="", "", RAND())</f>
        <v>0.29987840883770778</v>
      </c>
      <c r="C101">
        <v>6</v>
      </c>
      <c r="D101">
        <v>39673</v>
      </c>
      <c r="E101">
        <v>0</v>
      </c>
      <c r="F101">
        <v>0</v>
      </c>
      <c r="G101">
        <v>0</v>
      </c>
      <c r="H101">
        <v>10.416666666666666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 s="2"/>
      <c r="AK101" s="80"/>
      <c r="AL101" s="74"/>
      <c r="AM101" s="43">
        <v>85</v>
      </c>
      <c r="AN101">
        <v>61.05373356160176</v>
      </c>
      <c r="AO101">
        <v>6.9449754003909714</v>
      </c>
      <c r="AP101">
        <v>67.362071848512656</v>
      </c>
      <c r="AQ101">
        <v>56.576181084809583</v>
      </c>
      <c r="AR101">
        <v>6.9915977101522859</v>
      </c>
      <c r="AS101">
        <v>100.31213178447425</v>
      </c>
      <c r="AT101">
        <v>4.4624158302660026</v>
      </c>
      <c r="AU101">
        <v>-3.5482703927567498</v>
      </c>
      <c r="AV101"/>
      <c r="AW101"/>
      <c r="AX101" s="146"/>
      <c r="AY101" s="76">
        <f t="shared" ca="1" si="86"/>
        <v>1.1925494251436852E-2</v>
      </c>
      <c r="AZ101">
        <v>4</v>
      </c>
      <c r="BA101" s="129">
        <f t="shared" si="125"/>
        <v>39673</v>
      </c>
      <c r="BB101">
        <v>0</v>
      </c>
      <c r="BC101">
        <v>0</v>
      </c>
      <c r="BD101">
        <v>0</v>
      </c>
      <c r="BE101">
        <v>1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 s="147"/>
      <c r="CH101" s="176"/>
      <c r="CJ101" s="146"/>
      <c r="CK101" s="76">
        <f t="shared" ca="1" si="88"/>
        <v>0.25132577787641974</v>
      </c>
      <c r="CL101" s="179">
        <f t="shared" si="89"/>
        <v>4</v>
      </c>
      <c r="CM101" s="180">
        <f t="shared" si="90"/>
        <v>39673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W101">
        <v>1</v>
      </c>
      <c r="CX101">
        <f>355/50</f>
        <v>7.1</v>
      </c>
      <c r="CY101" s="158"/>
      <c r="CZ101" s="177">
        <f t="shared" si="91"/>
        <v>9.6000000000000002E-2</v>
      </c>
      <c r="DB101" s="146"/>
      <c r="DC101" s="76">
        <f t="shared" ca="1" si="49"/>
        <v>0.45554867181143632</v>
      </c>
      <c r="DD101">
        <f t="shared" si="92"/>
        <v>4</v>
      </c>
      <c r="DE101" s="129">
        <f t="shared" si="124"/>
        <v>39673</v>
      </c>
      <c r="DF101" s="161">
        <f t="shared" si="93"/>
        <v>0</v>
      </c>
      <c r="DG101" s="161">
        <f t="shared" si="94"/>
        <v>0</v>
      </c>
      <c r="DH101" s="161">
        <f t="shared" si="95"/>
        <v>0</v>
      </c>
      <c r="DI101" s="161">
        <f t="shared" si="96"/>
        <v>10.416666666666666</v>
      </c>
      <c r="DJ101" s="161">
        <f t="shared" si="97"/>
        <v>0</v>
      </c>
      <c r="DK101" s="161">
        <f t="shared" si="98"/>
        <v>0</v>
      </c>
      <c r="DL101" s="161">
        <f t="shared" si="99"/>
        <v>0</v>
      </c>
      <c r="DM101" s="161">
        <f t="shared" si="100"/>
        <v>0</v>
      </c>
      <c r="DN101" s="161">
        <f t="shared" si="101"/>
        <v>0</v>
      </c>
      <c r="DO101" s="161">
        <f t="shared" si="102"/>
        <v>0</v>
      </c>
      <c r="DP101" s="161">
        <f t="shared" si="103"/>
        <v>0</v>
      </c>
      <c r="DQ101" s="161">
        <f t="shared" si="104"/>
        <v>0</v>
      </c>
      <c r="DR101" s="161">
        <f t="shared" si="105"/>
        <v>0</v>
      </c>
      <c r="DS101" s="161">
        <f t="shared" si="106"/>
        <v>0</v>
      </c>
      <c r="DT101" s="161">
        <f t="shared" si="107"/>
        <v>0</v>
      </c>
      <c r="DU101" s="161">
        <f t="shared" si="108"/>
        <v>0</v>
      </c>
      <c r="DV101" s="161">
        <f t="shared" si="109"/>
        <v>0</v>
      </c>
      <c r="DW101" s="161">
        <f t="shared" si="110"/>
        <v>0</v>
      </c>
      <c r="DX101" s="161">
        <f t="shared" si="111"/>
        <v>0</v>
      </c>
      <c r="DY101" s="161">
        <f t="shared" si="112"/>
        <v>0</v>
      </c>
      <c r="DZ101" s="161">
        <f t="shared" si="113"/>
        <v>0</v>
      </c>
      <c r="EA101" s="161">
        <f t="shared" si="114"/>
        <v>0</v>
      </c>
      <c r="EB101" s="161">
        <f t="shared" si="115"/>
        <v>0</v>
      </c>
      <c r="EC101" s="161">
        <f t="shared" si="116"/>
        <v>0</v>
      </c>
      <c r="ED101" s="161">
        <f t="shared" si="117"/>
        <v>0</v>
      </c>
      <c r="EE101" s="161">
        <f t="shared" si="118"/>
        <v>0</v>
      </c>
      <c r="EF101" s="161">
        <f t="shared" si="119"/>
        <v>0</v>
      </c>
      <c r="EG101" s="161">
        <f t="shared" si="120"/>
        <v>0</v>
      </c>
      <c r="EH101" s="161">
        <f t="shared" si="121"/>
        <v>0</v>
      </c>
      <c r="EI101" s="161">
        <f t="shared" si="122"/>
        <v>0</v>
      </c>
      <c r="EJ101" s="161">
        <f t="shared" si="123"/>
        <v>0</v>
      </c>
      <c r="EK101" s="147">
        <f t="shared" si="53"/>
        <v>10.416666666666666</v>
      </c>
      <c r="EL101" s="149"/>
      <c r="EN101" s="146"/>
      <c r="EO101" s="146"/>
      <c r="EP101" s="139">
        <f t="shared" si="54"/>
        <v>0</v>
      </c>
      <c r="EQ101" s="139">
        <f t="shared" si="55"/>
        <v>0</v>
      </c>
      <c r="ER101" s="139">
        <f t="shared" si="56"/>
        <v>0</v>
      </c>
      <c r="ES101" s="139">
        <f t="shared" si="57"/>
        <v>0.83816158173851918</v>
      </c>
      <c r="ET101" s="139">
        <f t="shared" si="58"/>
        <v>0</v>
      </c>
      <c r="EU101" s="139">
        <f t="shared" si="59"/>
        <v>0</v>
      </c>
      <c r="EV101" s="139">
        <f t="shared" si="60"/>
        <v>0</v>
      </c>
      <c r="EW101" s="139">
        <f t="shared" si="61"/>
        <v>0</v>
      </c>
      <c r="EX101" s="139">
        <f t="shared" si="62"/>
        <v>0</v>
      </c>
      <c r="EY101" s="139">
        <f t="shared" si="63"/>
        <v>0</v>
      </c>
      <c r="EZ101" s="139">
        <f t="shared" si="64"/>
        <v>0</v>
      </c>
      <c r="FA101" s="139">
        <f t="shared" si="65"/>
        <v>0</v>
      </c>
      <c r="FB101" s="139">
        <f t="shared" si="66"/>
        <v>0</v>
      </c>
      <c r="FC101" s="139">
        <f t="shared" si="67"/>
        <v>0</v>
      </c>
      <c r="FD101" s="139">
        <f t="shared" si="68"/>
        <v>0</v>
      </c>
      <c r="FE101" s="139">
        <f t="shared" si="69"/>
        <v>0</v>
      </c>
      <c r="FF101" s="139">
        <f t="shared" si="70"/>
        <v>0</v>
      </c>
      <c r="FG101" s="139">
        <f t="shared" si="71"/>
        <v>0</v>
      </c>
      <c r="FH101" s="139">
        <f t="shared" si="72"/>
        <v>0</v>
      </c>
      <c r="FI101" s="139">
        <f t="shared" si="73"/>
        <v>0</v>
      </c>
      <c r="FJ101" s="139">
        <f t="shared" si="74"/>
        <v>0</v>
      </c>
      <c r="FK101" s="139">
        <f t="shared" si="75"/>
        <v>0</v>
      </c>
      <c r="FL101" s="139">
        <f t="shared" si="76"/>
        <v>0</v>
      </c>
      <c r="FM101" s="139">
        <f t="shared" si="77"/>
        <v>0</v>
      </c>
      <c r="FN101" s="139">
        <f t="shared" si="78"/>
        <v>0</v>
      </c>
      <c r="FO101" s="139">
        <f t="shared" si="79"/>
        <v>0</v>
      </c>
      <c r="FP101" s="139">
        <f t="shared" si="80"/>
        <v>0</v>
      </c>
      <c r="FQ101" s="139">
        <f t="shared" si="81"/>
        <v>0</v>
      </c>
      <c r="FR101" s="139">
        <f t="shared" si="82"/>
        <v>0</v>
      </c>
      <c r="FS101" s="139">
        <f t="shared" si="83"/>
        <v>0</v>
      </c>
      <c r="FT101" s="139">
        <f t="shared" si="84"/>
        <v>0</v>
      </c>
      <c r="FU101" s="148">
        <f t="shared" si="85"/>
        <v>0.83816158173851918</v>
      </c>
      <c r="FV101" s="149"/>
      <c r="FY101" s="210">
        <v>96</v>
      </c>
      <c r="FZ101">
        <v>2.6649557282380067</v>
      </c>
      <c r="GA101">
        <v>2.8890098196914917</v>
      </c>
      <c r="GB101">
        <v>3.6619713292098419</v>
      </c>
      <c r="GC101">
        <v>1.9884822013385188</v>
      </c>
      <c r="GD101">
        <v>0.47192816504361268</v>
      </c>
      <c r="GE101">
        <v>2.9860000763913428</v>
      </c>
      <c r="GF101">
        <v>9.4725535161899579</v>
      </c>
      <c r="GG101">
        <v>11.263845206238662</v>
      </c>
      <c r="GH101">
        <v>12.667209237098731</v>
      </c>
      <c r="GI101">
        <v>5.2848324884716344</v>
      </c>
      <c r="GJ101"/>
      <c r="GK101"/>
      <c r="GL101"/>
      <c r="GM101"/>
    </row>
    <row r="102" spans="1:195" s="7" customFormat="1">
      <c r="A102" s="1"/>
      <c r="B102" s="76">
        <f ca="1">IF(C102="", "", RAND())</f>
        <v>0.66451949310696801</v>
      </c>
      <c r="C102">
        <v>2</v>
      </c>
      <c r="D102">
        <v>39673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 s="2"/>
      <c r="AK102" s="80"/>
      <c r="AL102" s="74"/>
      <c r="AM102" s="43">
        <v>86</v>
      </c>
      <c r="AN102">
        <v>110.42365218094385</v>
      </c>
      <c r="AO102">
        <v>8.04223113212554</v>
      </c>
      <c r="AP102">
        <v>78.44828012876151</v>
      </c>
      <c r="AQ102">
        <v>66.574990589729666</v>
      </c>
      <c r="AR102">
        <v>7.8286367287091112</v>
      </c>
      <c r="AS102">
        <v>141.40846323102619</v>
      </c>
      <c r="AT102">
        <v>4.5186474749616172</v>
      </c>
      <c r="AU102">
        <v>30.494877389199658</v>
      </c>
      <c r="AV102"/>
      <c r="AW102"/>
      <c r="AX102" s="146"/>
      <c r="AY102" s="76">
        <f t="shared" ca="1" si="86"/>
        <v>0.11550811762666058</v>
      </c>
      <c r="AZ102">
        <v>5</v>
      </c>
      <c r="BA102" s="129">
        <f t="shared" si="125"/>
        <v>39673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 s="147"/>
      <c r="CH102" s="176"/>
      <c r="CJ102" s="146"/>
      <c r="CK102" s="76">
        <f t="shared" ca="1" si="88"/>
        <v>0.92481612241451039</v>
      </c>
      <c r="CL102" s="179">
        <f t="shared" si="89"/>
        <v>5</v>
      </c>
      <c r="CM102" s="180">
        <f t="shared" si="90"/>
        <v>39673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W102">
        <v>1</v>
      </c>
      <c r="CX102">
        <v>1</v>
      </c>
      <c r="CY102" s="164"/>
      <c r="CZ102" s="177">
        <f t="shared" si="91"/>
        <v>9.6000000000000002E-2</v>
      </c>
      <c r="DB102" s="146"/>
      <c r="DC102" s="76">
        <f t="shared" ca="1" si="49"/>
        <v>0.65258242357919638</v>
      </c>
      <c r="DD102">
        <f t="shared" si="92"/>
        <v>5</v>
      </c>
      <c r="DE102" s="129">
        <f t="shared" si="124"/>
        <v>39673</v>
      </c>
      <c r="DF102" s="161">
        <f t="shared" si="93"/>
        <v>0</v>
      </c>
      <c r="DG102" s="161">
        <f t="shared" si="94"/>
        <v>0</v>
      </c>
      <c r="DH102" s="161">
        <f t="shared" si="95"/>
        <v>0</v>
      </c>
      <c r="DI102" s="161">
        <f t="shared" si="96"/>
        <v>0</v>
      </c>
      <c r="DJ102" s="161">
        <f t="shared" si="97"/>
        <v>0</v>
      </c>
      <c r="DK102" s="161">
        <f t="shared" si="98"/>
        <v>0</v>
      </c>
      <c r="DL102" s="161">
        <f t="shared" si="99"/>
        <v>0</v>
      </c>
      <c r="DM102" s="161">
        <f t="shared" si="100"/>
        <v>0</v>
      </c>
      <c r="DN102" s="161">
        <f t="shared" si="101"/>
        <v>0</v>
      </c>
      <c r="DO102" s="161">
        <f t="shared" si="102"/>
        <v>0</v>
      </c>
      <c r="DP102" s="161">
        <f t="shared" si="103"/>
        <v>0</v>
      </c>
      <c r="DQ102" s="161">
        <f t="shared" si="104"/>
        <v>0</v>
      </c>
      <c r="DR102" s="161">
        <f t="shared" si="105"/>
        <v>0</v>
      </c>
      <c r="DS102" s="161">
        <f t="shared" si="106"/>
        <v>0</v>
      </c>
      <c r="DT102" s="161">
        <f t="shared" si="107"/>
        <v>0</v>
      </c>
      <c r="DU102" s="161">
        <f t="shared" si="108"/>
        <v>0</v>
      </c>
      <c r="DV102" s="161">
        <f t="shared" si="109"/>
        <v>0</v>
      </c>
      <c r="DW102" s="161">
        <f t="shared" si="110"/>
        <v>0</v>
      </c>
      <c r="DX102" s="161">
        <f t="shared" si="111"/>
        <v>0</v>
      </c>
      <c r="DY102" s="161">
        <f t="shared" si="112"/>
        <v>0</v>
      </c>
      <c r="DZ102" s="161">
        <f t="shared" si="113"/>
        <v>0</v>
      </c>
      <c r="EA102" s="161">
        <f t="shared" si="114"/>
        <v>0</v>
      </c>
      <c r="EB102" s="161">
        <f t="shared" si="115"/>
        <v>0</v>
      </c>
      <c r="EC102" s="161">
        <f t="shared" si="116"/>
        <v>0</v>
      </c>
      <c r="ED102" s="161">
        <f t="shared" si="117"/>
        <v>0</v>
      </c>
      <c r="EE102" s="161">
        <f t="shared" si="118"/>
        <v>0</v>
      </c>
      <c r="EF102" s="161">
        <f t="shared" si="119"/>
        <v>0</v>
      </c>
      <c r="EG102" s="161">
        <f t="shared" si="120"/>
        <v>0</v>
      </c>
      <c r="EH102" s="161">
        <f t="shared" si="121"/>
        <v>0</v>
      </c>
      <c r="EI102" s="161">
        <f t="shared" si="122"/>
        <v>0</v>
      </c>
      <c r="EJ102" s="161">
        <f t="shared" si="123"/>
        <v>0</v>
      </c>
      <c r="EK102" s="147">
        <f t="shared" si="53"/>
        <v>0</v>
      </c>
      <c r="EL102" s="149"/>
      <c r="EN102" s="146"/>
      <c r="EO102" s="146"/>
      <c r="EP102" s="139">
        <f t="shared" si="54"/>
        <v>0</v>
      </c>
      <c r="EQ102" s="139">
        <f t="shared" si="55"/>
        <v>0</v>
      </c>
      <c r="ER102" s="139">
        <f t="shared" si="56"/>
        <v>0</v>
      </c>
      <c r="ES102" s="139">
        <f t="shared" si="57"/>
        <v>0</v>
      </c>
      <c r="ET102" s="139">
        <f t="shared" si="58"/>
        <v>0</v>
      </c>
      <c r="EU102" s="139">
        <f t="shared" si="59"/>
        <v>0</v>
      </c>
      <c r="EV102" s="139">
        <f t="shared" si="60"/>
        <v>0</v>
      </c>
      <c r="EW102" s="139">
        <f t="shared" si="61"/>
        <v>0</v>
      </c>
      <c r="EX102" s="139">
        <f t="shared" si="62"/>
        <v>0</v>
      </c>
      <c r="EY102" s="139">
        <f t="shared" si="63"/>
        <v>0</v>
      </c>
      <c r="EZ102" s="139">
        <f t="shared" si="64"/>
        <v>0</v>
      </c>
      <c r="FA102" s="139">
        <f t="shared" si="65"/>
        <v>0</v>
      </c>
      <c r="FB102" s="139">
        <f t="shared" si="66"/>
        <v>0</v>
      </c>
      <c r="FC102" s="139">
        <f t="shared" si="67"/>
        <v>0</v>
      </c>
      <c r="FD102" s="139">
        <f t="shared" si="68"/>
        <v>0</v>
      </c>
      <c r="FE102" s="139">
        <f t="shared" si="69"/>
        <v>0</v>
      </c>
      <c r="FF102" s="139">
        <f t="shared" si="70"/>
        <v>0</v>
      </c>
      <c r="FG102" s="139">
        <f t="shared" si="71"/>
        <v>0</v>
      </c>
      <c r="FH102" s="139">
        <f t="shared" si="72"/>
        <v>0</v>
      </c>
      <c r="FI102" s="139">
        <f t="shared" si="73"/>
        <v>0</v>
      </c>
      <c r="FJ102" s="139">
        <f t="shared" si="74"/>
        <v>0</v>
      </c>
      <c r="FK102" s="139">
        <f t="shared" si="75"/>
        <v>0</v>
      </c>
      <c r="FL102" s="139">
        <f t="shared" si="76"/>
        <v>0</v>
      </c>
      <c r="FM102" s="139">
        <f t="shared" si="77"/>
        <v>0</v>
      </c>
      <c r="FN102" s="139">
        <f t="shared" si="78"/>
        <v>0</v>
      </c>
      <c r="FO102" s="139">
        <f t="shared" si="79"/>
        <v>0</v>
      </c>
      <c r="FP102" s="139">
        <f t="shared" si="80"/>
        <v>0</v>
      </c>
      <c r="FQ102" s="139">
        <f t="shared" si="81"/>
        <v>0</v>
      </c>
      <c r="FR102" s="139">
        <f t="shared" si="82"/>
        <v>0</v>
      </c>
      <c r="FS102" s="139">
        <f t="shared" si="83"/>
        <v>0</v>
      </c>
      <c r="FT102" s="139">
        <f t="shared" si="84"/>
        <v>0</v>
      </c>
      <c r="FU102" s="148">
        <f t="shared" si="85"/>
        <v>0</v>
      </c>
      <c r="FV102" s="149"/>
      <c r="FY102" s="210">
        <v>97</v>
      </c>
      <c r="FZ102">
        <v>33.348337576575737</v>
      </c>
      <c r="GA102">
        <v>42.452353926012108</v>
      </c>
      <c r="GB102">
        <v>3.3603944528938232</v>
      </c>
      <c r="GC102">
        <v>1.2381026607889021</v>
      </c>
      <c r="GD102">
        <v>0.60903879520817394</v>
      </c>
      <c r="GE102">
        <v>0.95190654985711065</v>
      </c>
      <c r="GF102">
        <v>6.768709572459227</v>
      </c>
      <c r="GG102">
        <v>6.8686877019262171</v>
      </c>
      <c r="GH102">
        <v>6.1101836884918832</v>
      </c>
      <c r="GI102">
        <v>8.3039578061792572</v>
      </c>
      <c r="GJ102"/>
      <c r="GK102"/>
      <c r="GL102"/>
      <c r="GM102"/>
    </row>
    <row r="103" spans="1:195" s="7" customFormat="1">
      <c r="A103" s="1"/>
      <c r="B103" s="76">
        <f ca="1">IF(C103="", "", RAND())</f>
        <v>0.94501872885621108</v>
      </c>
      <c r="C103">
        <v>4</v>
      </c>
      <c r="D103">
        <v>39673</v>
      </c>
      <c r="E103">
        <v>0</v>
      </c>
      <c r="F103">
        <v>0</v>
      </c>
      <c r="G103">
        <v>0</v>
      </c>
      <c r="H103">
        <v>10.416666666666666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 s="2"/>
      <c r="AK103" s="80"/>
      <c r="AL103" s="74"/>
      <c r="AM103" s="43">
        <v>87</v>
      </c>
      <c r="AN103">
        <v>135.3291764138857</v>
      </c>
      <c r="AO103">
        <v>9.4303414370489556</v>
      </c>
      <c r="AP103">
        <v>91.25704120096259</v>
      </c>
      <c r="AQ103">
        <v>75.752511190853284</v>
      </c>
      <c r="AR103">
        <v>8.9988512064223318</v>
      </c>
      <c r="AS103">
        <v>151.16678559163978</v>
      </c>
      <c r="AT103">
        <v>5.3518056172947936</v>
      </c>
      <c r="AU103">
        <v>16.223332497503613</v>
      </c>
      <c r="AV103"/>
      <c r="AW103"/>
      <c r="AX103" s="146"/>
      <c r="AY103" s="76">
        <f ca="1">IF(AZ103="", "", RAND())</f>
        <v>0.88519341254810602</v>
      </c>
      <c r="AZ103">
        <v>6</v>
      </c>
      <c r="BA103" s="129">
        <f t="shared" si="125"/>
        <v>39673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 s="147"/>
      <c r="CH103" s="176"/>
      <c r="CJ103" s="146"/>
      <c r="CK103" s="76">
        <f t="shared" ca="1" si="88"/>
        <v>0.22900624046616369</v>
      </c>
      <c r="CL103" s="179">
        <f t="shared" si="89"/>
        <v>6</v>
      </c>
      <c r="CM103" s="180">
        <f t="shared" si="90"/>
        <v>39673</v>
      </c>
      <c r="CN103">
        <v>0</v>
      </c>
      <c r="CO103">
        <v>0</v>
      </c>
      <c r="CP103">
        <v>0</v>
      </c>
      <c r="CQ103">
        <v>1</v>
      </c>
      <c r="CR103">
        <v>0</v>
      </c>
      <c r="CS103">
        <v>0</v>
      </c>
      <c r="CT103">
        <v>0</v>
      </c>
      <c r="CU103">
        <v>0</v>
      </c>
      <c r="CV103" s="160"/>
      <c r="CW103">
        <v>1</v>
      </c>
      <c r="CX103">
        <v>1</v>
      </c>
      <c r="CY103" s="164"/>
      <c r="CZ103" s="177">
        <f t="shared" si="91"/>
        <v>9.6000000000000002E-2</v>
      </c>
      <c r="DB103" s="146"/>
      <c r="DC103" s="76">
        <f t="shared" ca="1" si="49"/>
        <v>0.60410939015968346</v>
      </c>
      <c r="DD103">
        <f>IF(AZ103="", "", AZ103)</f>
        <v>6</v>
      </c>
      <c r="DE103" s="129">
        <f t="shared" si="124"/>
        <v>39673</v>
      </c>
      <c r="DF103" s="161">
        <f t="shared" si="93"/>
        <v>0</v>
      </c>
      <c r="DG103" s="161">
        <f t="shared" si="94"/>
        <v>0</v>
      </c>
      <c r="DH103" s="161">
        <f t="shared" si="95"/>
        <v>0</v>
      </c>
      <c r="DI103" s="161">
        <f t="shared" si="96"/>
        <v>10.416666666666666</v>
      </c>
      <c r="DJ103" s="161">
        <f t="shared" si="97"/>
        <v>0</v>
      </c>
      <c r="DK103" s="161">
        <f t="shared" si="98"/>
        <v>0</v>
      </c>
      <c r="DL103" s="161">
        <f t="shared" si="99"/>
        <v>0</v>
      </c>
      <c r="DM103" s="161">
        <f t="shared" si="100"/>
        <v>0</v>
      </c>
      <c r="DN103" s="161">
        <f t="shared" si="101"/>
        <v>0</v>
      </c>
      <c r="DO103" s="161">
        <f t="shared" si="102"/>
        <v>0</v>
      </c>
      <c r="DP103" s="161">
        <f t="shared" si="103"/>
        <v>0</v>
      </c>
      <c r="DQ103" s="161">
        <f t="shared" si="104"/>
        <v>0</v>
      </c>
      <c r="DR103" s="161">
        <f t="shared" si="105"/>
        <v>0</v>
      </c>
      <c r="DS103" s="161">
        <f t="shared" si="106"/>
        <v>0</v>
      </c>
      <c r="DT103" s="161">
        <f t="shared" si="107"/>
        <v>0</v>
      </c>
      <c r="DU103" s="161">
        <f t="shared" si="108"/>
        <v>0</v>
      </c>
      <c r="DV103" s="161">
        <f t="shared" si="109"/>
        <v>0</v>
      </c>
      <c r="DW103" s="161">
        <f t="shared" si="110"/>
        <v>0</v>
      </c>
      <c r="DX103" s="161">
        <f t="shared" si="111"/>
        <v>0</v>
      </c>
      <c r="DY103" s="161">
        <f t="shared" si="112"/>
        <v>0</v>
      </c>
      <c r="DZ103" s="161">
        <f t="shared" si="113"/>
        <v>0</v>
      </c>
      <c r="EA103" s="161">
        <f t="shared" si="114"/>
        <v>0</v>
      </c>
      <c r="EB103" s="161">
        <f t="shared" si="115"/>
        <v>0</v>
      </c>
      <c r="EC103" s="161">
        <f t="shared" si="116"/>
        <v>0</v>
      </c>
      <c r="ED103" s="161">
        <f t="shared" si="117"/>
        <v>0</v>
      </c>
      <c r="EE103" s="161">
        <f t="shared" si="118"/>
        <v>0</v>
      </c>
      <c r="EF103" s="161">
        <f t="shared" si="119"/>
        <v>0</v>
      </c>
      <c r="EG103" s="161">
        <f t="shared" si="120"/>
        <v>0</v>
      </c>
      <c r="EH103" s="161">
        <f t="shared" si="121"/>
        <v>0</v>
      </c>
      <c r="EI103" s="161">
        <f t="shared" si="122"/>
        <v>0</v>
      </c>
      <c r="EJ103" s="161">
        <f t="shared" si="123"/>
        <v>0</v>
      </c>
      <c r="EK103" s="147">
        <f t="shared" si="53"/>
        <v>10.416666666666666</v>
      </c>
      <c r="EL103" s="149"/>
      <c r="EN103" s="146"/>
      <c r="EO103" s="146"/>
      <c r="EP103" s="139">
        <f t="shared" si="54"/>
        <v>0</v>
      </c>
      <c r="EQ103" s="139">
        <f t="shared" si="55"/>
        <v>0</v>
      </c>
      <c r="ER103" s="139">
        <f t="shared" si="56"/>
        <v>0</v>
      </c>
      <c r="ES103" s="139">
        <f t="shared" si="57"/>
        <v>0.83816158173851918</v>
      </c>
      <c r="ET103" s="139">
        <f t="shared" si="58"/>
        <v>0</v>
      </c>
      <c r="EU103" s="139">
        <f t="shared" si="59"/>
        <v>0</v>
      </c>
      <c r="EV103" s="139">
        <f t="shared" si="60"/>
        <v>0</v>
      </c>
      <c r="EW103" s="139">
        <f t="shared" si="61"/>
        <v>0</v>
      </c>
      <c r="EX103" s="139">
        <f t="shared" si="62"/>
        <v>0</v>
      </c>
      <c r="EY103" s="139">
        <f t="shared" si="63"/>
        <v>0</v>
      </c>
      <c r="EZ103" s="139">
        <f t="shared" si="64"/>
        <v>0</v>
      </c>
      <c r="FA103" s="139">
        <f t="shared" si="65"/>
        <v>0</v>
      </c>
      <c r="FB103" s="139">
        <f t="shared" si="66"/>
        <v>0</v>
      </c>
      <c r="FC103" s="139">
        <f t="shared" si="67"/>
        <v>0</v>
      </c>
      <c r="FD103" s="139">
        <f t="shared" si="68"/>
        <v>0</v>
      </c>
      <c r="FE103" s="139">
        <f t="shared" si="69"/>
        <v>0</v>
      </c>
      <c r="FF103" s="139">
        <f t="shared" si="70"/>
        <v>0</v>
      </c>
      <c r="FG103" s="139">
        <f t="shared" si="71"/>
        <v>0</v>
      </c>
      <c r="FH103" s="139">
        <f t="shared" si="72"/>
        <v>0</v>
      </c>
      <c r="FI103" s="139">
        <f t="shared" si="73"/>
        <v>0</v>
      </c>
      <c r="FJ103" s="139">
        <f t="shared" si="74"/>
        <v>0</v>
      </c>
      <c r="FK103" s="139">
        <f t="shared" si="75"/>
        <v>0</v>
      </c>
      <c r="FL103" s="139">
        <f t="shared" si="76"/>
        <v>0</v>
      </c>
      <c r="FM103" s="139">
        <f t="shared" si="77"/>
        <v>0</v>
      </c>
      <c r="FN103" s="139">
        <f t="shared" si="78"/>
        <v>0</v>
      </c>
      <c r="FO103" s="139">
        <f t="shared" si="79"/>
        <v>0</v>
      </c>
      <c r="FP103" s="139">
        <f t="shared" si="80"/>
        <v>0</v>
      </c>
      <c r="FQ103" s="139">
        <f t="shared" si="81"/>
        <v>0</v>
      </c>
      <c r="FR103" s="139">
        <f t="shared" si="82"/>
        <v>0</v>
      </c>
      <c r="FS103" s="139">
        <f t="shared" si="83"/>
        <v>0</v>
      </c>
      <c r="FT103" s="139">
        <f t="shared" si="84"/>
        <v>0</v>
      </c>
      <c r="FU103" s="148">
        <f t="shared" si="85"/>
        <v>0.83816158173851918</v>
      </c>
      <c r="FV103" s="149"/>
      <c r="FY103" s="210">
        <v>98</v>
      </c>
      <c r="FZ103">
        <v>12.566006386763371</v>
      </c>
      <c r="GA103">
        <v>14.766687445691463</v>
      </c>
      <c r="GB103">
        <v>2.5187347225706089</v>
      </c>
      <c r="GC103">
        <v>1.1700803021747632</v>
      </c>
      <c r="GD103">
        <v>0.86329107775456726</v>
      </c>
      <c r="GE103">
        <v>1.7101625163119791</v>
      </c>
      <c r="GF103">
        <v>5.5040049258629837</v>
      </c>
      <c r="GG103">
        <v>9.4991724528200443</v>
      </c>
      <c r="GH103">
        <v>9.4043289742867273</v>
      </c>
      <c r="GI103">
        <v>5.4573378999394961</v>
      </c>
      <c r="GJ103"/>
      <c r="GK103"/>
      <c r="GL103"/>
      <c r="GM103"/>
    </row>
    <row r="104" spans="1:195" s="7" customFormat="1">
      <c r="A104" s="1"/>
      <c r="B104" s="76">
        <f ca="1">IF(C104="", "", RAND())</f>
        <v>0.25416623484909184</v>
      </c>
      <c r="C104">
        <v>10</v>
      </c>
      <c r="D104">
        <v>39673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 s="2"/>
      <c r="AK104" s="80"/>
      <c r="AL104" s="74"/>
      <c r="AM104" s="43">
        <v>88</v>
      </c>
      <c r="AN104">
        <v>146.61016142633309</v>
      </c>
      <c r="AO104">
        <v>11.119144469731108</v>
      </c>
      <c r="AP104">
        <v>108.31272297976193</v>
      </c>
      <c r="AQ104">
        <v>90.302711077529935</v>
      </c>
      <c r="AR104">
        <v>10.907169454279975</v>
      </c>
      <c r="AS104">
        <v>193.69410335962206</v>
      </c>
      <c r="AT104">
        <v>6.4732800800162309</v>
      </c>
      <c r="AU104">
        <v>43.332126499706298</v>
      </c>
      <c r="AV104"/>
      <c r="AW104"/>
      <c r="AX104" s="146"/>
      <c r="AY104" s="76">
        <f ca="1">IF(AZ104="", "", RAND())</f>
        <v>0.56561651502118715</v>
      </c>
      <c r="AZ104">
        <v>7</v>
      </c>
      <c r="BA104" s="129">
        <f t="shared" si="125"/>
        <v>39673</v>
      </c>
      <c r="BB104" s="225">
        <v>0</v>
      </c>
      <c r="BC104" s="225">
        <v>0</v>
      </c>
      <c r="BD104" s="225">
        <v>0</v>
      </c>
      <c r="BE104" s="225">
        <v>1.4444444444444444</v>
      </c>
      <c r="BF104" s="225">
        <v>10.111111111111111</v>
      </c>
      <c r="BG104" s="225">
        <v>24.555555555555557</v>
      </c>
      <c r="BH104" s="225">
        <v>11.555555555555555</v>
      </c>
      <c r="BI104" s="225">
        <v>4.333333333333333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 s="147"/>
      <c r="CH104" s="176"/>
      <c r="CJ104" s="146"/>
      <c r="CK104" s="76">
        <f t="shared" ca="1" si="88"/>
        <v>0.2345163980846845</v>
      </c>
      <c r="CL104" s="179">
        <f t="shared" si="89"/>
        <v>7</v>
      </c>
      <c r="CM104" s="180">
        <f t="shared" si="90"/>
        <v>39673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 s="160"/>
      <c r="CW104">
        <v>1</v>
      </c>
      <c r="CX104">
        <v>1</v>
      </c>
      <c r="CY104" s="164"/>
      <c r="CZ104" s="177">
        <f t="shared" si="91"/>
        <v>9.6000000000000002E-2</v>
      </c>
      <c r="DB104" s="146"/>
      <c r="DC104" s="76">
        <f t="shared" ca="1" si="49"/>
        <v>0.12191973653797472</v>
      </c>
      <c r="DD104">
        <f>IF(AZ104="", "", AZ104)</f>
        <v>7</v>
      </c>
      <c r="DE104" s="129">
        <f t="shared" si="124"/>
        <v>39673</v>
      </c>
      <c r="DF104" s="161">
        <f t="shared" si="93"/>
        <v>0</v>
      </c>
      <c r="DG104" s="161">
        <f t="shared" si="94"/>
        <v>0</v>
      </c>
      <c r="DH104" s="161">
        <f t="shared" si="95"/>
        <v>0</v>
      </c>
      <c r="DI104" s="161">
        <f t="shared" si="96"/>
        <v>15.046296296296296</v>
      </c>
      <c r="DJ104" s="161">
        <f t="shared" si="97"/>
        <v>105.32407407407406</v>
      </c>
      <c r="DK104" s="161">
        <f t="shared" si="98"/>
        <v>255.78703703703704</v>
      </c>
      <c r="DL104" s="161">
        <f t="shared" si="99"/>
        <v>120.37037037037037</v>
      </c>
      <c r="DM104" s="161">
        <f t="shared" si="100"/>
        <v>45.138888888888886</v>
      </c>
      <c r="DN104" s="161">
        <f t="shared" si="101"/>
        <v>0</v>
      </c>
      <c r="DO104" s="161">
        <f t="shared" si="102"/>
        <v>0</v>
      </c>
      <c r="DP104" s="161">
        <f t="shared" si="103"/>
        <v>0</v>
      </c>
      <c r="DQ104" s="161">
        <f t="shared" si="104"/>
        <v>0</v>
      </c>
      <c r="DR104" s="161">
        <f t="shared" si="105"/>
        <v>0</v>
      </c>
      <c r="DS104" s="161">
        <f t="shared" si="106"/>
        <v>0</v>
      </c>
      <c r="DT104" s="161">
        <f t="shared" si="107"/>
        <v>0</v>
      </c>
      <c r="DU104" s="161">
        <f t="shared" si="108"/>
        <v>0</v>
      </c>
      <c r="DV104" s="161">
        <f t="shared" si="109"/>
        <v>0</v>
      </c>
      <c r="DW104" s="161">
        <f t="shared" si="110"/>
        <v>0</v>
      </c>
      <c r="DX104" s="161">
        <f t="shared" si="111"/>
        <v>0</v>
      </c>
      <c r="DY104" s="161">
        <f t="shared" si="112"/>
        <v>0</v>
      </c>
      <c r="DZ104" s="161">
        <f t="shared" si="113"/>
        <v>0</v>
      </c>
      <c r="EA104" s="161">
        <f t="shared" si="114"/>
        <v>0</v>
      </c>
      <c r="EB104" s="161">
        <f t="shared" si="115"/>
        <v>0</v>
      </c>
      <c r="EC104" s="161">
        <f t="shared" si="116"/>
        <v>0</v>
      </c>
      <c r="ED104" s="161">
        <f t="shared" si="117"/>
        <v>0</v>
      </c>
      <c r="EE104" s="161">
        <f t="shared" si="118"/>
        <v>0</v>
      </c>
      <c r="EF104" s="161">
        <f t="shared" si="119"/>
        <v>0</v>
      </c>
      <c r="EG104" s="161">
        <f t="shared" si="120"/>
        <v>0</v>
      </c>
      <c r="EH104" s="161">
        <f t="shared" si="121"/>
        <v>0</v>
      </c>
      <c r="EI104" s="161">
        <f t="shared" si="122"/>
        <v>0</v>
      </c>
      <c r="EJ104" s="161">
        <f t="shared" si="123"/>
        <v>0</v>
      </c>
      <c r="EK104" s="147">
        <f t="shared" si="53"/>
        <v>541.66666666666663</v>
      </c>
      <c r="EL104" s="149"/>
      <c r="EN104" s="146"/>
      <c r="EO104" s="146"/>
      <c r="EP104" s="139">
        <f t="shared" si="54"/>
        <v>0</v>
      </c>
      <c r="EQ104" s="139">
        <f t="shared" si="55"/>
        <v>0</v>
      </c>
      <c r="ER104" s="139">
        <f t="shared" si="56"/>
        <v>0</v>
      </c>
      <c r="ES104" s="139">
        <f t="shared" si="57"/>
        <v>1.2106778402889722</v>
      </c>
      <c r="ET104" s="139">
        <f t="shared" si="58"/>
        <v>19.003328114904825</v>
      </c>
      <c r="EU104" s="139">
        <f t="shared" si="59"/>
        <v>86.338988203177735</v>
      </c>
      <c r="EV104" s="139">
        <f t="shared" si="60"/>
        <v>67.781281913208076</v>
      </c>
      <c r="EW104" s="139">
        <f t="shared" si="61"/>
        <v>39.179661940766863</v>
      </c>
      <c r="EX104" s="139">
        <f t="shared" si="62"/>
        <v>0</v>
      </c>
      <c r="EY104" s="139">
        <f t="shared" si="63"/>
        <v>0</v>
      </c>
      <c r="EZ104" s="139">
        <f t="shared" si="64"/>
        <v>0</v>
      </c>
      <c r="FA104" s="139">
        <f t="shared" si="65"/>
        <v>0</v>
      </c>
      <c r="FB104" s="139">
        <f t="shared" si="66"/>
        <v>0</v>
      </c>
      <c r="FC104" s="139">
        <f t="shared" si="67"/>
        <v>0</v>
      </c>
      <c r="FD104" s="139">
        <f t="shared" si="68"/>
        <v>0</v>
      </c>
      <c r="FE104" s="139">
        <f t="shared" si="69"/>
        <v>0</v>
      </c>
      <c r="FF104" s="139">
        <f t="shared" si="70"/>
        <v>0</v>
      </c>
      <c r="FG104" s="139">
        <f t="shared" si="71"/>
        <v>0</v>
      </c>
      <c r="FH104" s="139">
        <f t="shared" si="72"/>
        <v>0</v>
      </c>
      <c r="FI104" s="139">
        <f t="shared" si="73"/>
        <v>0</v>
      </c>
      <c r="FJ104" s="139">
        <f t="shared" si="74"/>
        <v>0</v>
      </c>
      <c r="FK104" s="139">
        <f t="shared" si="75"/>
        <v>0</v>
      </c>
      <c r="FL104" s="139">
        <f t="shared" si="76"/>
        <v>0</v>
      </c>
      <c r="FM104" s="139">
        <f t="shared" si="77"/>
        <v>0</v>
      </c>
      <c r="FN104" s="139">
        <f t="shared" si="78"/>
        <v>0</v>
      </c>
      <c r="FO104" s="139">
        <f t="shared" si="79"/>
        <v>0</v>
      </c>
      <c r="FP104" s="139">
        <f t="shared" si="80"/>
        <v>0</v>
      </c>
      <c r="FQ104" s="139">
        <f t="shared" si="81"/>
        <v>0</v>
      </c>
      <c r="FR104" s="139">
        <f t="shared" si="82"/>
        <v>0</v>
      </c>
      <c r="FS104" s="139">
        <f t="shared" si="83"/>
        <v>0</v>
      </c>
      <c r="FT104" s="139">
        <f t="shared" si="84"/>
        <v>0</v>
      </c>
      <c r="FU104" s="148">
        <f t="shared" si="85"/>
        <v>213.51393801234647</v>
      </c>
      <c r="FV104" s="149"/>
      <c r="FY104" s="210">
        <v>99</v>
      </c>
      <c r="FZ104">
        <v>13.25765357453086</v>
      </c>
      <c r="GA104">
        <v>17.206151986371907</v>
      </c>
      <c r="GB104">
        <v>2.8952051173012876</v>
      </c>
      <c r="GC104">
        <v>1.0318199029975976</v>
      </c>
      <c r="GD104">
        <v>0.84617265484970761</v>
      </c>
      <c r="GE104">
        <v>2.6885295654921446</v>
      </c>
      <c r="GF104">
        <v>7.4185083411851309</v>
      </c>
      <c r="GG104">
        <v>6.2355620620716765</v>
      </c>
      <c r="GH104">
        <v>5.8550704213004652</v>
      </c>
      <c r="GI104">
        <v>5.4306189446348396</v>
      </c>
      <c r="GJ104"/>
      <c r="GK104"/>
      <c r="GL104"/>
      <c r="GM104"/>
    </row>
    <row r="105" spans="1:195" s="7" customFormat="1">
      <c r="A105" s="1"/>
      <c r="B105" s="76">
        <f ca="1">IF(C105="", "", RAND())</f>
        <v>0.83585451112033682</v>
      </c>
      <c r="C105">
        <v>3</v>
      </c>
      <c r="D105">
        <v>39673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 s="2"/>
      <c r="AK105" s="80"/>
      <c r="AL105" s="74"/>
      <c r="AM105" s="43">
        <v>89</v>
      </c>
      <c r="AN105">
        <v>114.10947119360824</v>
      </c>
      <c r="AO105">
        <v>7.273615129743372</v>
      </c>
      <c r="AP105">
        <v>61.348325692087869</v>
      </c>
      <c r="AQ105">
        <v>51.97295454256232</v>
      </c>
      <c r="AR105">
        <v>7.4230754856174155</v>
      </c>
      <c r="AS105">
        <v>145.5931059905316</v>
      </c>
      <c r="AT105">
        <v>4.4160955501514376</v>
      </c>
      <c r="AU105">
        <v>22.288338972862991</v>
      </c>
      <c r="AV105"/>
      <c r="AW105"/>
      <c r="AX105" s="146"/>
      <c r="AY105" s="76">
        <f ca="1">IF(AZ105="", "", RAND())</f>
        <v>7.4966162769074529E-3</v>
      </c>
      <c r="AZ105">
        <v>8</v>
      </c>
      <c r="BA105" s="129">
        <f t="shared" si="125"/>
        <v>39673</v>
      </c>
      <c r="BB105" s="226">
        <v>0</v>
      </c>
      <c r="BC105" s="226">
        <v>0</v>
      </c>
      <c r="BD105" s="226">
        <v>4.5</v>
      </c>
      <c r="BE105" s="226">
        <v>7.5</v>
      </c>
      <c r="BF105" s="226">
        <v>13.5</v>
      </c>
      <c r="BG105" s="226">
        <v>7.5</v>
      </c>
      <c r="BH105" s="226">
        <v>9</v>
      </c>
      <c r="BI105" s="226">
        <v>6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 s="147"/>
      <c r="CH105" s="176"/>
      <c r="CJ105" s="146"/>
      <c r="CK105" s="76">
        <f t="shared" ca="1" si="88"/>
        <v>0.93247234798881462</v>
      </c>
      <c r="CL105" s="179">
        <f t="shared" si="89"/>
        <v>8</v>
      </c>
      <c r="CM105" s="180">
        <f t="shared" si="90"/>
        <v>39673</v>
      </c>
      <c r="CN105" s="222">
        <v>0</v>
      </c>
      <c r="CO105" s="222">
        <v>1</v>
      </c>
      <c r="CP105" s="222">
        <v>4</v>
      </c>
      <c r="CQ105" s="222">
        <v>11</v>
      </c>
      <c r="CR105" s="222">
        <v>9</v>
      </c>
      <c r="CS105" s="222">
        <v>0</v>
      </c>
      <c r="CT105">
        <v>0</v>
      </c>
      <c r="CU105">
        <v>0</v>
      </c>
      <c r="CV105" s="160"/>
      <c r="CW105">
        <v>1</v>
      </c>
      <c r="CX105">
        <v>2</v>
      </c>
      <c r="CY105" s="164"/>
      <c r="CZ105" s="177">
        <f t="shared" si="91"/>
        <v>9.6000000000000002E-2</v>
      </c>
      <c r="DB105" s="146"/>
      <c r="DC105" s="76">
        <f t="shared" ca="1" si="49"/>
        <v>0.79128218470422884</v>
      </c>
      <c r="DD105">
        <f>IF(AZ105="", "", AZ105)</f>
        <v>8</v>
      </c>
      <c r="DE105" s="129">
        <f t="shared" si="124"/>
        <v>39673</v>
      </c>
      <c r="DF105" s="161">
        <f t="shared" si="93"/>
        <v>0</v>
      </c>
      <c r="DG105" s="161">
        <f t="shared" si="94"/>
        <v>20.833333333333332</v>
      </c>
      <c r="DH105" s="161">
        <f t="shared" si="95"/>
        <v>130.20833333333334</v>
      </c>
      <c r="DI105" s="161">
        <f t="shared" si="96"/>
        <v>307.29166666666669</v>
      </c>
      <c r="DJ105" s="161">
        <f t="shared" si="97"/>
        <v>328.125</v>
      </c>
      <c r="DK105" s="161">
        <f t="shared" si="98"/>
        <v>78.125</v>
      </c>
      <c r="DL105" s="161">
        <f t="shared" si="99"/>
        <v>93.75</v>
      </c>
      <c r="DM105" s="161">
        <f t="shared" si="100"/>
        <v>62.5</v>
      </c>
      <c r="DN105" s="161">
        <f t="shared" si="101"/>
        <v>0</v>
      </c>
      <c r="DO105" s="161">
        <f t="shared" si="102"/>
        <v>0</v>
      </c>
      <c r="DP105" s="161">
        <f t="shared" si="103"/>
        <v>0</v>
      </c>
      <c r="DQ105" s="161">
        <f t="shared" si="104"/>
        <v>0</v>
      </c>
      <c r="DR105" s="161">
        <f t="shared" si="105"/>
        <v>0</v>
      </c>
      <c r="DS105" s="161">
        <f t="shared" si="106"/>
        <v>0</v>
      </c>
      <c r="DT105" s="161">
        <f t="shared" si="107"/>
        <v>0</v>
      </c>
      <c r="DU105" s="161">
        <f t="shared" si="108"/>
        <v>0</v>
      </c>
      <c r="DV105" s="161">
        <f t="shared" si="109"/>
        <v>0</v>
      </c>
      <c r="DW105" s="161">
        <f t="shared" si="110"/>
        <v>0</v>
      </c>
      <c r="DX105" s="161">
        <f t="shared" si="111"/>
        <v>0</v>
      </c>
      <c r="DY105" s="161">
        <f t="shared" si="112"/>
        <v>0</v>
      </c>
      <c r="DZ105" s="161">
        <f t="shared" si="113"/>
        <v>0</v>
      </c>
      <c r="EA105" s="161">
        <f t="shared" si="114"/>
        <v>0</v>
      </c>
      <c r="EB105" s="161">
        <f t="shared" si="115"/>
        <v>0</v>
      </c>
      <c r="EC105" s="161">
        <f t="shared" si="116"/>
        <v>0</v>
      </c>
      <c r="ED105" s="161">
        <f t="shared" si="117"/>
        <v>0</v>
      </c>
      <c r="EE105" s="161">
        <f t="shared" si="118"/>
        <v>0</v>
      </c>
      <c r="EF105" s="161">
        <f t="shared" si="119"/>
        <v>0</v>
      </c>
      <c r="EG105" s="161">
        <f t="shared" si="120"/>
        <v>0</v>
      </c>
      <c r="EH105" s="161">
        <f t="shared" si="121"/>
        <v>0</v>
      </c>
      <c r="EI105" s="161">
        <f t="shared" si="122"/>
        <v>0</v>
      </c>
      <c r="EJ105" s="161">
        <f t="shared" si="123"/>
        <v>0</v>
      </c>
      <c r="EK105" s="147">
        <f t="shared" si="53"/>
        <v>1020.8333333333334</v>
      </c>
      <c r="EL105" s="149"/>
      <c r="EN105" s="146"/>
      <c r="EO105" s="146"/>
      <c r="EP105" s="139">
        <f t="shared" si="54"/>
        <v>0</v>
      </c>
      <c r="EQ105" s="139">
        <f t="shared" si="55"/>
        <v>7.6749999999999999E-2</v>
      </c>
      <c r="ER105" s="139">
        <f t="shared" si="56"/>
        <v>3.356986535326091</v>
      </c>
      <c r="ES105" s="139">
        <f t="shared" si="57"/>
        <v>24.725766661286318</v>
      </c>
      <c r="ET105" s="139">
        <f t="shared" si="58"/>
        <v>59.202676050280424</v>
      </c>
      <c r="EU105" s="139">
        <f t="shared" si="59"/>
        <v>26.370505446671935</v>
      </c>
      <c r="EV105" s="139">
        <f t="shared" si="60"/>
        <v>52.79119072086398</v>
      </c>
      <c r="EW105" s="139">
        <f t="shared" si="61"/>
        <v>54.24876268721566</v>
      </c>
      <c r="EX105" s="139">
        <f t="shared" si="62"/>
        <v>0</v>
      </c>
      <c r="EY105" s="139">
        <f t="shared" si="63"/>
        <v>0</v>
      </c>
      <c r="EZ105" s="139">
        <f t="shared" si="64"/>
        <v>0</v>
      </c>
      <c r="FA105" s="139">
        <f t="shared" si="65"/>
        <v>0</v>
      </c>
      <c r="FB105" s="139">
        <f t="shared" si="66"/>
        <v>0</v>
      </c>
      <c r="FC105" s="139">
        <f t="shared" si="67"/>
        <v>0</v>
      </c>
      <c r="FD105" s="139">
        <f t="shared" si="68"/>
        <v>0</v>
      </c>
      <c r="FE105" s="139">
        <f t="shared" si="69"/>
        <v>0</v>
      </c>
      <c r="FF105" s="139">
        <f t="shared" si="70"/>
        <v>0</v>
      </c>
      <c r="FG105" s="139">
        <f t="shared" si="71"/>
        <v>0</v>
      </c>
      <c r="FH105" s="139">
        <f t="shared" si="72"/>
        <v>0</v>
      </c>
      <c r="FI105" s="139">
        <f t="shared" si="73"/>
        <v>0</v>
      </c>
      <c r="FJ105" s="139">
        <f t="shared" si="74"/>
        <v>0</v>
      </c>
      <c r="FK105" s="139">
        <f t="shared" si="75"/>
        <v>0</v>
      </c>
      <c r="FL105" s="139">
        <f t="shared" si="76"/>
        <v>0</v>
      </c>
      <c r="FM105" s="139">
        <f t="shared" si="77"/>
        <v>0</v>
      </c>
      <c r="FN105" s="139">
        <f t="shared" si="78"/>
        <v>0</v>
      </c>
      <c r="FO105" s="139">
        <f t="shared" si="79"/>
        <v>0</v>
      </c>
      <c r="FP105" s="139">
        <f t="shared" si="80"/>
        <v>0</v>
      </c>
      <c r="FQ105" s="139">
        <f t="shared" si="81"/>
        <v>0</v>
      </c>
      <c r="FR105" s="139">
        <f t="shared" si="82"/>
        <v>0</v>
      </c>
      <c r="FS105" s="139">
        <f t="shared" si="83"/>
        <v>0</v>
      </c>
      <c r="FT105" s="139">
        <f t="shared" si="84"/>
        <v>0</v>
      </c>
      <c r="FU105" s="148">
        <f t="shared" si="85"/>
        <v>220.77263810164442</v>
      </c>
      <c r="FV105" s="149"/>
      <c r="FY105" s="210">
        <v>100</v>
      </c>
      <c r="FZ105">
        <v>46.161783383969549</v>
      </c>
      <c r="GA105">
        <v>50.879606345871423</v>
      </c>
      <c r="GB105">
        <v>1.2951579490202501</v>
      </c>
      <c r="GC105">
        <v>1.3029638295114963</v>
      </c>
      <c r="GD105">
        <v>1.5778828215323712</v>
      </c>
      <c r="GE105">
        <v>4.7875294485830295</v>
      </c>
      <c r="GF105">
        <v>8.4426051809363543</v>
      </c>
      <c r="GG105">
        <v>11.445733736996374</v>
      </c>
      <c r="GH105">
        <v>12.250613998379354</v>
      </c>
      <c r="GI105">
        <v>11.512141402397475</v>
      </c>
      <c r="GJ105"/>
      <c r="GK105"/>
      <c r="GL105"/>
      <c r="GM105"/>
    </row>
    <row r="106" spans="1:195" s="7" customFormat="1">
      <c r="A106" s="1"/>
      <c r="B106" s="76">
        <f ca="1">IF(C106="", "", RAND())</f>
        <v>0.65045870212232759</v>
      </c>
      <c r="C106">
        <v>1</v>
      </c>
      <c r="D106">
        <v>39673</v>
      </c>
      <c r="E106">
        <v>0</v>
      </c>
      <c r="F106">
        <v>0</v>
      </c>
      <c r="G106">
        <v>0</v>
      </c>
      <c r="H106">
        <v>10.416666666666666</v>
      </c>
      <c r="I106">
        <v>20.833333333333332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 s="2"/>
      <c r="AK106" s="80"/>
      <c r="AL106" s="74"/>
      <c r="AM106" s="43">
        <v>90</v>
      </c>
      <c r="AN106">
        <v>91.88761150415057</v>
      </c>
      <c r="AO106">
        <v>11.558090541262724</v>
      </c>
      <c r="AP106">
        <v>122.1415872066223</v>
      </c>
      <c r="AQ106">
        <v>104.85716547280148</v>
      </c>
      <c r="AR106">
        <v>11.096757613023632</v>
      </c>
      <c r="AS106">
        <v>169.40718091251918</v>
      </c>
      <c r="AT106">
        <v>7.7072605743031533</v>
      </c>
      <c r="AU106">
        <v>9.5705724264591385</v>
      </c>
      <c r="AV106"/>
      <c r="AW106"/>
      <c r="AX106" s="146"/>
      <c r="AY106" s="76">
        <f t="shared" ca="1" si="86"/>
        <v>0.51538346256525003</v>
      </c>
      <c r="AZ106">
        <v>9</v>
      </c>
      <c r="BA106" s="129">
        <f t="shared" si="125"/>
        <v>39673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 s="147"/>
      <c r="CH106" s="176"/>
      <c r="CJ106" s="146"/>
      <c r="CK106" s="76">
        <f t="shared" ca="1" si="88"/>
        <v>0.56158337270609415</v>
      </c>
      <c r="CL106" s="179">
        <f t="shared" si="89"/>
        <v>9</v>
      </c>
      <c r="CM106" s="180">
        <f t="shared" si="90"/>
        <v>39673</v>
      </c>
      <c r="CN106">
        <v>0</v>
      </c>
      <c r="CO106">
        <v>0</v>
      </c>
      <c r="CP106">
        <v>1</v>
      </c>
      <c r="CQ106">
        <v>0</v>
      </c>
      <c r="CR106">
        <v>1</v>
      </c>
      <c r="CS106">
        <v>0</v>
      </c>
      <c r="CT106">
        <v>0</v>
      </c>
      <c r="CU106">
        <v>0</v>
      </c>
      <c r="CV106" s="160"/>
      <c r="CW106">
        <v>1</v>
      </c>
      <c r="CX106">
        <v>1</v>
      </c>
      <c r="CY106" s="164"/>
      <c r="CZ106" s="177">
        <f t="shared" si="91"/>
        <v>9.6000000000000002E-2</v>
      </c>
      <c r="DB106" s="146"/>
      <c r="DC106" s="76">
        <f t="shared" ca="1" si="49"/>
        <v>0.74955396445277622</v>
      </c>
      <c r="DD106">
        <f t="shared" si="92"/>
        <v>9</v>
      </c>
      <c r="DE106" s="129">
        <f t="shared" si="124"/>
        <v>39673</v>
      </c>
      <c r="DF106" s="161">
        <f t="shared" si="93"/>
        <v>0</v>
      </c>
      <c r="DG106" s="161">
        <f t="shared" si="94"/>
        <v>0</v>
      </c>
      <c r="DH106" s="161">
        <f t="shared" si="95"/>
        <v>10.416666666666666</v>
      </c>
      <c r="DI106" s="161">
        <f t="shared" si="96"/>
        <v>0</v>
      </c>
      <c r="DJ106" s="161">
        <f t="shared" si="97"/>
        <v>10.416666666666666</v>
      </c>
      <c r="DK106" s="161">
        <f t="shared" si="98"/>
        <v>0</v>
      </c>
      <c r="DL106" s="161">
        <f t="shared" si="99"/>
        <v>0</v>
      </c>
      <c r="DM106" s="161">
        <f t="shared" si="100"/>
        <v>0</v>
      </c>
      <c r="DN106" s="161">
        <f t="shared" si="101"/>
        <v>0</v>
      </c>
      <c r="DO106" s="161">
        <f t="shared" si="102"/>
        <v>0</v>
      </c>
      <c r="DP106" s="161">
        <f t="shared" si="103"/>
        <v>0</v>
      </c>
      <c r="DQ106" s="161">
        <f t="shared" si="104"/>
        <v>0</v>
      </c>
      <c r="DR106" s="161">
        <f t="shared" si="105"/>
        <v>0</v>
      </c>
      <c r="DS106" s="161">
        <f t="shared" si="106"/>
        <v>0</v>
      </c>
      <c r="DT106" s="161">
        <f t="shared" si="107"/>
        <v>0</v>
      </c>
      <c r="DU106" s="161">
        <f t="shared" si="108"/>
        <v>0</v>
      </c>
      <c r="DV106" s="161">
        <f t="shared" si="109"/>
        <v>0</v>
      </c>
      <c r="DW106" s="161">
        <f t="shared" si="110"/>
        <v>0</v>
      </c>
      <c r="DX106" s="161">
        <f t="shared" si="111"/>
        <v>0</v>
      </c>
      <c r="DY106" s="161">
        <f t="shared" si="112"/>
        <v>0</v>
      </c>
      <c r="DZ106" s="161">
        <f t="shared" si="113"/>
        <v>0</v>
      </c>
      <c r="EA106" s="161">
        <f t="shared" si="114"/>
        <v>0</v>
      </c>
      <c r="EB106" s="161">
        <f t="shared" si="115"/>
        <v>0</v>
      </c>
      <c r="EC106" s="161">
        <f t="shared" si="116"/>
        <v>0</v>
      </c>
      <c r="ED106" s="161">
        <f t="shared" si="117"/>
        <v>0</v>
      </c>
      <c r="EE106" s="161">
        <f t="shared" si="118"/>
        <v>0</v>
      </c>
      <c r="EF106" s="161">
        <f t="shared" si="119"/>
        <v>0</v>
      </c>
      <c r="EG106" s="161">
        <f t="shared" si="120"/>
        <v>0</v>
      </c>
      <c r="EH106" s="161">
        <f t="shared" si="121"/>
        <v>0</v>
      </c>
      <c r="EI106" s="161">
        <f t="shared" si="122"/>
        <v>0</v>
      </c>
      <c r="EJ106" s="161">
        <f t="shared" si="123"/>
        <v>0</v>
      </c>
      <c r="EK106" s="147">
        <f t="shared" si="53"/>
        <v>20.833333333333332</v>
      </c>
      <c r="EL106" s="149"/>
      <c r="EN106" s="146"/>
      <c r="EO106" s="146"/>
      <c r="EP106" s="139">
        <f t="shared" si="54"/>
        <v>0</v>
      </c>
      <c r="EQ106" s="139">
        <f t="shared" si="55"/>
        <v>0</v>
      </c>
      <c r="ER106" s="139">
        <f t="shared" si="56"/>
        <v>0.26855892282608723</v>
      </c>
      <c r="ES106" s="139">
        <f t="shared" si="57"/>
        <v>0</v>
      </c>
      <c r="ET106" s="139">
        <f t="shared" si="58"/>
        <v>1.8794500333422355</v>
      </c>
      <c r="EU106" s="139">
        <f t="shared" si="59"/>
        <v>0</v>
      </c>
      <c r="EV106" s="139">
        <f t="shared" si="60"/>
        <v>0</v>
      </c>
      <c r="EW106" s="139">
        <f t="shared" si="61"/>
        <v>0</v>
      </c>
      <c r="EX106" s="139">
        <f t="shared" si="62"/>
        <v>0</v>
      </c>
      <c r="EY106" s="139">
        <f t="shared" si="63"/>
        <v>0</v>
      </c>
      <c r="EZ106" s="139">
        <f t="shared" si="64"/>
        <v>0</v>
      </c>
      <c r="FA106" s="139">
        <f t="shared" si="65"/>
        <v>0</v>
      </c>
      <c r="FB106" s="139">
        <f t="shared" si="66"/>
        <v>0</v>
      </c>
      <c r="FC106" s="139">
        <f t="shared" si="67"/>
        <v>0</v>
      </c>
      <c r="FD106" s="139">
        <f t="shared" si="68"/>
        <v>0</v>
      </c>
      <c r="FE106" s="139">
        <f t="shared" si="69"/>
        <v>0</v>
      </c>
      <c r="FF106" s="139">
        <f t="shared" si="70"/>
        <v>0</v>
      </c>
      <c r="FG106" s="139">
        <f t="shared" si="71"/>
        <v>0</v>
      </c>
      <c r="FH106" s="139">
        <f t="shared" si="72"/>
        <v>0</v>
      </c>
      <c r="FI106" s="139">
        <f t="shared" si="73"/>
        <v>0</v>
      </c>
      <c r="FJ106" s="139">
        <f t="shared" si="74"/>
        <v>0</v>
      </c>
      <c r="FK106" s="139">
        <f t="shared" si="75"/>
        <v>0</v>
      </c>
      <c r="FL106" s="139">
        <f t="shared" si="76"/>
        <v>0</v>
      </c>
      <c r="FM106" s="139">
        <f t="shared" si="77"/>
        <v>0</v>
      </c>
      <c r="FN106" s="139">
        <f t="shared" si="78"/>
        <v>0</v>
      </c>
      <c r="FO106" s="139">
        <f t="shared" si="79"/>
        <v>0</v>
      </c>
      <c r="FP106" s="139">
        <f t="shared" si="80"/>
        <v>0</v>
      </c>
      <c r="FQ106" s="139">
        <f t="shared" si="81"/>
        <v>0</v>
      </c>
      <c r="FR106" s="139">
        <f t="shared" si="82"/>
        <v>0</v>
      </c>
      <c r="FS106" s="139">
        <f t="shared" si="83"/>
        <v>0</v>
      </c>
      <c r="FT106" s="139">
        <f t="shared" si="84"/>
        <v>0</v>
      </c>
      <c r="FU106" s="148">
        <f t="shared" si="85"/>
        <v>2.1480089561683227</v>
      </c>
      <c r="FV106" s="149"/>
      <c r="FY106" s="210">
        <v>101</v>
      </c>
      <c r="FZ106">
        <v>25.620774579568582</v>
      </c>
      <c r="GA106">
        <v>30.081562341854287</v>
      </c>
      <c r="GB106">
        <v>3.7377512530413108</v>
      </c>
      <c r="GC106">
        <v>1.479830397246646</v>
      </c>
      <c r="GD106">
        <v>1.753112929023271</v>
      </c>
      <c r="GE106">
        <v>4.0328612026395145</v>
      </c>
      <c r="GF106">
        <v>7.451231446028121</v>
      </c>
      <c r="GG106">
        <v>15.462550797538398</v>
      </c>
      <c r="GH106">
        <v>16.04581484372293</v>
      </c>
      <c r="GI106">
        <v>9.6239631810797501</v>
      </c>
      <c r="GJ106"/>
      <c r="GK106"/>
      <c r="GL106"/>
      <c r="GM106"/>
    </row>
    <row r="107" spans="1:195" s="7" customFormat="1">
      <c r="A107" s="1"/>
      <c r="B107" s="76">
        <f ca="1">IF(C107="", "", RAND())</f>
        <v>0.15729110777862942</v>
      </c>
      <c r="C107">
        <v>8</v>
      </c>
      <c r="D107">
        <v>39673</v>
      </c>
      <c r="E107">
        <v>0</v>
      </c>
      <c r="F107">
        <v>20.833333333333332</v>
      </c>
      <c r="G107">
        <v>130.20833333333334</v>
      </c>
      <c r="H107">
        <v>307.29166666666669</v>
      </c>
      <c r="I107">
        <v>328.125</v>
      </c>
      <c r="J107">
        <v>78.125</v>
      </c>
      <c r="K107">
        <v>93.75</v>
      </c>
      <c r="L107">
        <v>62.5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 s="2"/>
      <c r="AK107" s="80"/>
      <c r="AL107" s="74"/>
      <c r="AM107" s="43">
        <v>91</v>
      </c>
      <c r="AN107">
        <v>126.47690806989362</v>
      </c>
      <c r="AO107">
        <v>9.2417595836264148</v>
      </c>
      <c r="AP107">
        <v>91.35562830692551</v>
      </c>
      <c r="AQ107">
        <v>75.064298964027287</v>
      </c>
      <c r="AR107">
        <v>8.7817863819487059</v>
      </c>
      <c r="AS107">
        <v>187.20080659548819</v>
      </c>
      <c r="AT107">
        <v>5.3258238838869589</v>
      </c>
      <c r="AU107">
        <v>20.199647344520599</v>
      </c>
      <c r="AV107"/>
      <c r="AW107"/>
      <c r="AX107" s="146"/>
      <c r="AY107" s="76">
        <f t="shared" ca="1" si="86"/>
        <v>0.3864829729893815</v>
      </c>
      <c r="AZ107">
        <v>10</v>
      </c>
      <c r="BA107" s="129">
        <f t="shared" si="125"/>
        <v>39673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 s="147"/>
      <c r="CH107" s="176"/>
      <c r="CJ107" s="146"/>
      <c r="CK107" s="76">
        <f t="shared" ca="1" si="88"/>
        <v>0.94500769651587735</v>
      </c>
      <c r="CL107" s="179">
        <f t="shared" si="89"/>
        <v>10</v>
      </c>
      <c r="CM107" s="180">
        <f t="shared" si="90"/>
        <v>39673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 s="160"/>
      <c r="CW107">
        <f>18/10</f>
        <v>1.8</v>
      </c>
      <c r="CX107">
        <f>100/7</f>
        <v>14.285714285714286</v>
      </c>
      <c r="CY107" s="164"/>
      <c r="CZ107" s="177">
        <f t="shared" si="91"/>
        <v>9.6000000000000002E-2</v>
      </c>
      <c r="DB107" s="146"/>
      <c r="DC107" s="76">
        <f t="shared" ca="1" si="49"/>
        <v>0.39199380579549548</v>
      </c>
      <c r="DD107">
        <f t="shared" si="92"/>
        <v>10</v>
      </c>
      <c r="DE107" s="129">
        <f t="shared" si="124"/>
        <v>39673</v>
      </c>
      <c r="DF107" s="161">
        <f t="shared" si="93"/>
        <v>0</v>
      </c>
      <c r="DG107" s="161">
        <f t="shared" si="94"/>
        <v>0</v>
      </c>
      <c r="DH107" s="161">
        <f t="shared" si="95"/>
        <v>0</v>
      </c>
      <c r="DI107" s="161">
        <f t="shared" si="96"/>
        <v>0</v>
      </c>
      <c r="DJ107" s="161">
        <f t="shared" si="97"/>
        <v>0</v>
      </c>
      <c r="DK107" s="161">
        <f t="shared" si="98"/>
        <v>0</v>
      </c>
      <c r="DL107" s="161">
        <f t="shared" si="99"/>
        <v>0</v>
      </c>
      <c r="DM107" s="161">
        <f t="shared" si="100"/>
        <v>0</v>
      </c>
      <c r="DN107" s="161">
        <f t="shared" si="101"/>
        <v>0</v>
      </c>
      <c r="DO107" s="161">
        <f t="shared" si="102"/>
        <v>0</v>
      </c>
      <c r="DP107" s="161">
        <f t="shared" si="103"/>
        <v>0</v>
      </c>
      <c r="DQ107" s="161">
        <f t="shared" si="104"/>
        <v>0</v>
      </c>
      <c r="DR107" s="161">
        <f t="shared" si="105"/>
        <v>0</v>
      </c>
      <c r="DS107" s="161">
        <f t="shared" si="106"/>
        <v>0</v>
      </c>
      <c r="DT107" s="161">
        <f t="shared" si="107"/>
        <v>0</v>
      </c>
      <c r="DU107" s="161">
        <f t="shared" si="108"/>
        <v>0</v>
      </c>
      <c r="DV107" s="161">
        <f t="shared" si="109"/>
        <v>0</v>
      </c>
      <c r="DW107" s="161">
        <f t="shared" si="110"/>
        <v>0</v>
      </c>
      <c r="DX107" s="161">
        <f t="shared" si="111"/>
        <v>0</v>
      </c>
      <c r="DY107" s="161">
        <f t="shared" si="112"/>
        <v>0</v>
      </c>
      <c r="DZ107" s="161">
        <f t="shared" si="113"/>
        <v>0</v>
      </c>
      <c r="EA107" s="161">
        <f t="shared" si="114"/>
        <v>0</v>
      </c>
      <c r="EB107" s="161">
        <f t="shared" si="115"/>
        <v>0</v>
      </c>
      <c r="EC107" s="161">
        <f t="shared" si="116"/>
        <v>0</v>
      </c>
      <c r="ED107" s="161">
        <f t="shared" si="117"/>
        <v>0</v>
      </c>
      <c r="EE107" s="161">
        <f t="shared" si="118"/>
        <v>0</v>
      </c>
      <c r="EF107" s="161">
        <f t="shared" si="119"/>
        <v>0</v>
      </c>
      <c r="EG107" s="161">
        <f t="shared" si="120"/>
        <v>0</v>
      </c>
      <c r="EH107" s="161">
        <f t="shared" si="121"/>
        <v>0</v>
      </c>
      <c r="EI107" s="161">
        <f t="shared" si="122"/>
        <v>0</v>
      </c>
      <c r="EJ107" s="161">
        <f t="shared" si="123"/>
        <v>0</v>
      </c>
      <c r="EK107" s="147">
        <f t="shared" si="53"/>
        <v>0</v>
      </c>
      <c r="EL107" s="149"/>
      <c r="EN107" s="146"/>
      <c r="EO107" s="146"/>
      <c r="EP107" s="139">
        <f t="shared" si="54"/>
        <v>0</v>
      </c>
      <c r="EQ107" s="139">
        <f t="shared" si="55"/>
        <v>0</v>
      </c>
      <c r="ER107" s="139">
        <f t="shared" si="56"/>
        <v>0</v>
      </c>
      <c r="ES107" s="139">
        <f t="shared" si="57"/>
        <v>0</v>
      </c>
      <c r="ET107" s="139">
        <f t="shared" si="58"/>
        <v>0</v>
      </c>
      <c r="EU107" s="139">
        <f t="shared" si="59"/>
        <v>0</v>
      </c>
      <c r="EV107" s="139">
        <f t="shared" si="60"/>
        <v>0</v>
      </c>
      <c r="EW107" s="139">
        <f t="shared" si="61"/>
        <v>0</v>
      </c>
      <c r="EX107" s="139">
        <f t="shared" si="62"/>
        <v>0</v>
      </c>
      <c r="EY107" s="139">
        <f t="shared" si="63"/>
        <v>0</v>
      </c>
      <c r="EZ107" s="139">
        <f t="shared" si="64"/>
        <v>0</v>
      </c>
      <c r="FA107" s="139">
        <f t="shared" si="65"/>
        <v>0</v>
      </c>
      <c r="FB107" s="139">
        <f t="shared" si="66"/>
        <v>0</v>
      </c>
      <c r="FC107" s="139">
        <f t="shared" si="67"/>
        <v>0</v>
      </c>
      <c r="FD107" s="139">
        <f t="shared" si="68"/>
        <v>0</v>
      </c>
      <c r="FE107" s="139">
        <f t="shared" si="69"/>
        <v>0</v>
      </c>
      <c r="FF107" s="139">
        <f t="shared" si="70"/>
        <v>0</v>
      </c>
      <c r="FG107" s="139">
        <f t="shared" si="71"/>
        <v>0</v>
      </c>
      <c r="FH107" s="139">
        <f t="shared" si="72"/>
        <v>0</v>
      </c>
      <c r="FI107" s="139">
        <f t="shared" si="73"/>
        <v>0</v>
      </c>
      <c r="FJ107" s="139">
        <f t="shared" si="74"/>
        <v>0</v>
      </c>
      <c r="FK107" s="139">
        <f t="shared" si="75"/>
        <v>0</v>
      </c>
      <c r="FL107" s="139">
        <f t="shared" si="76"/>
        <v>0</v>
      </c>
      <c r="FM107" s="139">
        <f t="shared" si="77"/>
        <v>0</v>
      </c>
      <c r="FN107" s="139">
        <f t="shared" si="78"/>
        <v>0</v>
      </c>
      <c r="FO107" s="139">
        <f t="shared" si="79"/>
        <v>0</v>
      </c>
      <c r="FP107" s="139">
        <f t="shared" si="80"/>
        <v>0</v>
      </c>
      <c r="FQ107" s="139">
        <f t="shared" si="81"/>
        <v>0</v>
      </c>
      <c r="FR107" s="139">
        <f t="shared" si="82"/>
        <v>0</v>
      </c>
      <c r="FS107" s="139">
        <f t="shared" si="83"/>
        <v>0</v>
      </c>
      <c r="FT107" s="139">
        <f t="shared" si="84"/>
        <v>0</v>
      </c>
      <c r="FU107" s="148">
        <f t="shared" si="85"/>
        <v>0</v>
      </c>
      <c r="FV107" s="149"/>
      <c r="FY107" s="210">
        <v>102</v>
      </c>
      <c r="FZ107">
        <v>13.262208871449857</v>
      </c>
      <c r="GA107">
        <v>16.3537924950387</v>
      </c>
      <c r="GB107">
        <v>2.5682541092635178</v>
      </c>
      <c r="GC107">
        <v>0.74995121607906556</v>
      </c>
      <c r="GD107">
        <v>0.56355183920004526</v>
      </c>
      <c r="GE107">
        <v>1.097678542396288</v>
      </c>
      <c r="GF107">
        <v>6.8059510604678781</v>
      </c>
      <c r="GG107">
        <v>12.819180755403481</v>
      </c>
      <c r="GH107">
        <v>11.460160378944307</v>
      </c>
      <c r="GI107">
        <v>5.9652938591934745</v>
      </c>
      <c r="GJ107"/>
      <c r="GK107"/>
      <c r="GL107"/>
      <c r="GM107"/>
    </row>
    <row r="108" spans="1:195" s="7" customFormat="1">
      <c r="A108" s="128"/>
      <c r="B108" s="76">
        <f ca="1">IF(C108="", "", RAND())</f>
        <v>0.55825876778125494</v>
      </c>
      <c r="C108">
        <v>2</v>
      </c>
      <c r="D108">
        <v>39714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10.416666666666666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 s="2"/>
      <c r="AK108" s="80"/>
      <c r="AL108" s="74"/>
      <c r="AM108" s="43">
        <v>92</v>
      </c>
      <c r="AN108">
        <v>54.423303398240009</v>
      </c>
      <c r="AO108">
        <v>4.2902825897290944</v>
      </c>
      <c r="AP108">
        <v>37.782049659149024</v>
      </c>
      <c r="AQ108">
        <v>30.960978685043511</v>
      </c>
      <c r="AR108">
        <v>4.4599477583966198</v>
      </c>
      <c r="AS108">
        <v>82.565420075955799</v>
      </c>
      <c r="AT108">
        <v>2.7771051677615168</v>
      </c>
      <c r="AU108">
        <v>8.8980649768837541</v>
      </c>
      <c r="AV108"/>
      <c r="AW108"/>
      <c r="AX108" s="128"/>
      <c r="AY108" s="76">
        <f t="shared" ca="1" si="86"/>
        <v>0.54486956946333986</v>
      </c>
      <c r="AZ108">
        <v>1</v>
      </c>
      <c r="BA108" s="129">
        <f>IF(AZ108="", "",$C$6)</f>
        <v>39714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 s="147"/>
      <c r="CH108" s="176"/>
      <c r="CJ108" s="128"/>
      <c r="CK108" s="76">
        <f t="shared" ca="1" si="88"/>
        <v>0.69984853157527915</v>
      </c>
      <c r="CL108" s="179">
        <f t="shared" si="89"/>
        <v>1</v>
      </c>
      <c r="CM108" s="180">
        <f t="shared" si="90"/>
        <v>39714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W108">
        <v>1</v>
      </c>
      <c r="CX108">
        <f>300/48</f>
        <v>6.25</v>
      </c>
      <c r="CY108" s="158"/>
      <c r="CZ108" s="177">
        <f t="shared" si="91"/>
        <v>9.6000000000000002E-2</v>
      </c>
      <c r="DB108" s="128"/>
      <c r="DC108" s="76">
        <f t="shared" ca="1" si="49"/>
        <v>0.2352821138476735</v>
      </c>
      <c r="DD108">
        <f t="shared" si="92"/>
        <v>1</v>
      </c>
      <c r="DE108" s="129">
        <f t="shared" ref="DE108:DE117" si="126">IF((DD108)="", "", $C$6)</f>
        <v>39714</v>
      </c>
      <c r="DF108" s="161">
        <f t="shared" si="93"/>
        <v>0</v>
      </c>
      <c r="DG108" s="161">
        <f t="shared" si="94"/>
        <v>0</v>
      </c>
      <c r="DH108" s="161">
        <f t="shared" si="95"/>
        <v>0</v>
      </c>
      <c r="DI108" s="161">
        <f t="shared" si="96"/>
        <v>0</v>
      </c>
      <c r="DJ108" s="161">
        <f t="shared" si="97"/>
        <v>0</v>
      </c>
      <c r="DK108" s="161">
        <f t="shared" si="98"/>
        <v>0</v>
      </c>
      <c r="DL108" s="161">
        <f t="shared" si="99"/>
        <v>0</v>
      </c>
      <c r="DM108" s="161">
        <f t="shared" si="100"/>
        <v>0</v>
      </c>
      <c r="DN108" s="161">
        <f t="shared" si="101"/>
        <v>0</v>
      </c>
      <c r="DO108" s="161">
        <f t="shared" si="102"/>
        <v>0</v>
      </c>
      <c r="DP108" s="161">
        <f t="shared" si="103"/>
        <v>0</v>
      </c>
      <c r="DQ108" s="161">
        <f t="shared" si="104"/>
        <v>0</v>
      </c>
      <c r="DR108" s="161">
        <f t="shared" si="105"/>
        <v>0</v>
      </c>
      <c r="DS108" s="161">
        <f t="shared" si="106"/>
        <v>0</v>
      </c>
      <c r="DT108" s="161">
        <f t="shared" si="107"/>
        <v>0</v>
      </c>
      <c r="DU108" s="161">
        <f t="shared" si="108"/>
        <v>0</v>
      </c>
      <c r="DV108" s="161">
        <f t="shared" si="109"/>
        <v>0</v>
      </c>
      <c r="DW108" s="161">
        <f t="shared" si="110"/>
        <v>0</v>
      </c>
      <c r="DX108" s="161">
        <f t="shared" si="111"/>
        <v>0</v>
      </c>
      <c r="DY108" s="161">
        <f t="shared" si="112"/>
        <v>0</v>
      </c>
      <c r="DZ108" s="161">
        <f t="shared" si="113"/>
        <v>0</v>
      </c>
      <c r="EA108" s="161">
        <f t="shared" si="114"/>
        <v>0</v>
      </c>
      <c r="EB108" s="161">
        <f t="shared" si="115"/>
        <v>0</v>
      </c>
      <c r="EC108" s="161">
        <f t="shared" si="116"/>
        <v>0</v>
      </c>
      <c r="ED108" s="161">
        <f t="shared" si="117"/>
        <v>0</v>
      </c>
      <c r="EE108" s="161">
        <f t="shared" si="118"/>
        <v>0</v>
      </c>
      <c r="EF108" s="161">
        <f t="shared" si="119"/>
        <v>0</v>
      </c>
      <c r="EG108" s="161">
        <f t="shared" si="120"/>
        <v>0</v>
      </c>
      <c r="EH108" s="161">
        <f t="shared" si="121"/>
        <v>0</v>
      </c>
      <c r="EI108" s="161">
        <f t="shared" si="122"/>
        <v>0</v>
      </c>
      <c r="EJ108" s="161">
        <f t="shared" si="123"/>
        <v>0</v>
      </c>
      <c r="EK108" s="147">
        <f t="shared" si="53"/>
        <v>0</v>
      </c>
      <c r="EL108" s="149"/>
      <c r="EN108" s="146"/>
      <c r="EO108" s="146"/>
      <c r="EP108" s="139">
        <f t="shared" si="54"/>
        <v>0</v>
      </c>
      <c r="EQ108" s="139">
        <f t="shared" si="55"/>
        <v>0</v>
      </c>
      <c r="ER108" s="139">
        <f t="shared" si="56"/>
        <v>0</v>
      </c>
      <c r="ES108" s="139">
        <f t="shared" si="57"/>
        <v>0</v>
      </c>
      <c r="ET108" s="139">
        <f t="shared" si="58"/>
        <v>0</v>
      </c>
      <c r="EU108" s="139">
        <f t="shared" si="59"/>
        <v>0</v>
      </c>
      <c r="EV108" s="139">
        <f t="shared" si="60"/>
        <v>0</v>
      </c>
      <c r="EW108" s="139">
        <f t="shared" si="61"/>
        <v>0</v>
      </c>
      <c r="EX108" s="139">
        <f t="shared" si="62"/>
        <v>0</v>
      </c>
      <c r="EY108" s="139">
        <f t="shared" si="63"/>
        <v>0</v>
      </c>
      <c r="EZ108" s="139">
        <f t="shared" si="64"/>
        <v>0</v>
      </c>
      <c r="FA108" s="139">
        <f t="shared" si="65"/>
        <v>0</v>
      </c>
      <c r="FB108" s="139">
        <f t="shared" si="66"/>
        <v>0</v>
      </c>
      <c r="FC108" s="139">
        <f t="shared" si="67"/>
        <v>0</v>
      </c>
      <c r="FD108" s="139">
        <f t="shared" si="68"/>
        <v>0</v>
      </c>
      <c r="FE108" s="139">
        <f t="shared" si="69"/>
        <v>0</v>
      </c>
      <c r="FF108" s="139">
        <f t="shared" si="70"/>
        <v>0</v>
      </c>
      <c r="FG108" s="139">
        <f t="shared" si="71"/>
        <v>0</v>
      </c>
      <c r="FH108" s="139">
        <f t="shared" si="72"/>
        <v>0</v>
      </c>
      <c r="FI108" s="139">
        <f t="shared" si="73"/>
        <v>0</v>
      </c>
      <c r="FJ108" s="139">
        <f t="shared" si="74"/>
        <v>0</v>
      </c>
      <c r="FK108" s="139">
        <f t="shared" si="75"/>
        <v>0</v>
      </c>
      <c r="FL108" s="139">
        <f t="shared" si="76"/>
        <v>0</v>
      </c>
      <c r="FM108" s="139">
        <f t="shared" si="77"/>
        <v>0</v>
      </c>
      <c r="FN108" s="139">
        <f t="shared" si="78"/>
        <v>0</v>
      </c>
      <c r="FO108" s="139">
        <f t="shared" si="79"/>
        <v>0</v>
      </c>
      <c r="FP108" s="139">
        <f t="shared" si="80"/>
        <v>0</v>
      </c>
      <c r="FQ108" s="139">
        <f t="shared" si="81"/>
        <v>0</v>
      </c>
      <c r="FR108" s="139">
        <f t="shared" si="82"/>
        <v>0</v>
      </c>
      <c r="FS108" s="139">
        <f t="shared" si="83"/>
        <v>0</v>
      </c>
      <c r="FT108" s="139">
        <f t="shared" si="84"/>
        <v>0</v>
      </c>
      <c r="FU108" s="148">
        <f t="shared" si="85"/>
        <v>0</v>
      </c>
      <c r="FV108" s="149"/>
      <c r="FY108" s="210">
        <v>103</v>
      </c>
      <c r="FZ108">
        <v>23.637922346682227</v>
      </c>
      <c r="GA108">
        <v>29.769383699023994</v>
      </c>
      <c r="GB108">
        <v>3.1759082508035341</v>
      </c>
      <c r="GC108">
        <v>1.103362638324608</v>
      </c>
      <c r="GD108">
        <v>1.5178827848607352</v>
      </c>
      <c r="GE108">
        <v>3.6748616866455954</v>
      </c>
      <c r="GF108">
        <v>10.803428132248957</v>
      </c>
      <c r="GG108">
        <v>12.302462968567232</v>
      </c>
      <c r="GH108">
        <v>9.1232555862993365</v>
      </c>
      <c r="GI108">
        <v>8.5749726900631789</v>
      </c>
      <c r="GJ108"/>
      <c r="GK108"/>
      <c r="GL108"/>
      <c r="GM108"/>
    </row>
    <row r="109" spans="1:195" s="7" customFormat="1">
      <c r="A109" s="1"/>
      <c r="B109" s="76">
        <f ca="1">IF(C109="", "", RAND())</f>
        <v>0.27864088476601268</v>
      </c>
      <c r="C109">
        <v>1</v>
      </c>
      <c r="D109">
        <v>39714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 s="2"/>
      <c r="AK109" s="80"/>
      <c r="AL109" s="74"/>
      <c r="AM109" s="43">
        <v>93</v>
      </c>
      <c r="AN109">
        <v>146.77625512859635</v>
      </c>
      <c r="AO109">
        <v>18.11792781187139</v>
      </c>
      <c r="AP109">
        <v>197.13243674974743</v>
      </c>
      <c r="AQ109">
        <v>169.81033797154862</v>
      </c>
      <c r="AR109">
        <v>17.514331177549927</v>
      </c>
      <c r="AS109">
        <v>313.60071874269175</v>
      </c>
      <c r="AT109">
        <v>10.861435700894427</v>
      </c>
      <c r="AU109">
        <v>1.499407800737881</v>
      </c>
      <c r="AV109"/>
      <c r="AW109"/>
      <c r="AX109" s="146"/>
      <c r="AY109" s="76">
        <f t="shared" ca="1" si="86"/>
        <v>0.21290619348702933</v>
      </c>
      <c r="AZ109">
        <v>2</v>
      </c>
      <c r="BA109" s="129">
        <f t="shared" ref="BA109:BA117" si="127">IF(AZ109="", "",$C$6)</f>
        <v>39714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 s="147"/>
      <c r="CH109" s="176"/>
      <c r="CJ109" s="146"/>
      <c r="CK109" s="76">
        <f t="shared" ca="1" si="88"/>
        <v>0.6202809136990588</v>
      </c>
      <c r="CL109" s="179">
        <f t="shared" si="89"/>
        <v>2</v>
      </c>
      <c r="CM109" s="180">
        <f t="shared" si="90"/>
        <v>39714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W109">
        <v>1</v>
      </c>
      <c r="CX109">
        <v>1</v>
      </c>
      <c r="CY109" s="158"/>
      <c r="CZ109" s="177">
        <f t="shared" si="91"/>
        <v>9.6000000000000002E-2</v>
      </c>
      <c r="DB109" s="146"/>
      <c r="DC109" s="76">
        <f t="shared" ca="1" si="49"/>
        <v>0.1543611917238632</v>
      </c>
      <c r="DD109">
        <f t="shared" si="92"/>
        <v>2</v>
      </c>
      <c r="DE109" s="129">
        <f t="shared" si="126"/>
        <v>39714</v>
      </c>
      <c r="DF109" s="161">
        <f t="shared" si="93"/>
        <v>0</v>
      </c>
      <c r="DG109" s="161">
        <f t="shared" si="94"/>
        <v>0</v>
      </c>
      <c r="DH109" s="161">
        <f t="shared" si="95"/>
        <v>0</v>
      </c>
      <c r="DI109" s="161">
        <f t="shared" si="96"/>
        <v>0</v>
      </c>
      <c r="DJ109" s="161">
        <f t="shared" si="97"/>
        <v>0</v>
      </c>
      <c r="DK109" s="161">
        <f t="shared" si="98"/>
        <v>0</v>
      </c>
      <c r="DL109" s="161">
        <f t="shared" si="99"/>
        <v>10.416666666666666</v>
      </c>
      <c r="DM109" s="161">
        <f t="shared" si="100"/>
        <v>0</v>
      </c>
      <c r="DN109" s="161">
        <f t="shared" si="101"/>
        <v>0</v>
      </c>
      <c r="DO109" s="161">
        <f t="shared" si="102"/>
        <v>0</v>
      </c>
      <c r="DP109" s="161">
        <f t="shared" si="103"/>
        <v>0</v>
      </c>
      <c r="DQ109" s="161">
        <f t="shared" si="104"/>
        <v>0</v>
      </c>
      <c r="DR109" s="161">
        <f t="shared" si="105"/>
        <v>0</v>
      </c>
      <c r="DS109" s="161">
        <f t="shared" si="106"/>
        <v>0</v>
      </c>
      <c r="DT109" s="161">
        <f t="shared" si="107"/>
        <v>0</v>
      </c>
      <c r="DU109" s="161">
        <f t="shared" si="108"/>
        <v>0</v>
      </c>
      <c r="DV109" s="161">
        <f t="shared" si="109"/>
        <v>0</v>
      </c>
      <c r="DW109" s="161">
        <f t="shared" si="110"/>
        <v>0</v>
      </c>
      <c r="DX109" s="161">
        <f t="shared" si="111"/>
        <v>0</v>
      </c>
      <c r="DY109" s="161">
        <f t="shared" si="112"/>
        <v>0</v>
      </c>
      <c r="DZ109" s="161">
        <f t="shared" si="113"/>
        <v>0</v>
      </c>
      <c r="EA109" s="161">
        <f t="shared" si="114"/>
        <v>0</v>
      </c>
      <c r="EB109" s="161">
        <f t="shared" si="115"/>
        <v>0</v>
      </c>
      <c r="EC109" s="161">
        <f t="shared" si="116"/>
        <v>0</v>
      </c>
      <c r="ED109" s="161">
        <f t="shared" si="117"/>
        <v>0</v>
      </c>
      <c r="EE109" s="161">
        <f t="shared" si="118"/>
        <v>0</v>
      </c>
      <c r="EF109" s="161">
        <f t="shared" si="119"/>
        <v>0</v>
      </c>
      <c r="EG109" s="161">
        <f t="shared" si="120"/>
        <v>0</v>
      </c>
      <c r="EH109" s="161">
        <f t="shared" si="121"/>
        <v>0</v>
      </c>
      <c r="EI109" s="161">
        <f t="shared" si="122"/>
        <v>0</v>
      </c>
      <c r="EJ109" s="161">
        <f t="shared" si="123"/>
        <v>0</v>
      </c>
      <c r="EK109" s="147">
        <f t="shared" si="53"/>
        <v>10.416666666666666</v>
      </c>
      <c r="EL109" s="149"/>
      <c r="EN109" s="146"/>
      <c r="EO109" s="146"/>
      <c r="EP109" s="139">
        <f t="shared" si="54"/>
        <v>0</v>
      </c>
      <c r="EQ109" s="139">
        <f t="shared" si="55"/>
        <v>0</v>
      </c>
      <c r="ER109" s="139">
        <f t="shared" si="56"/>
        <v>0</v>
      </c>
      <c r="ES109" s="139">
        <f t="shared" si="57"/>
        <v>0</v>
      </c>
      <c r="ET109" s="139">
        <f t="shared" si="58"/>
        <v>0</v>
      </c>
      <c r="EU109" s="139">
        <f t="shared" si="59"/>
        <v>0</v>
      </c>
      <c r="EV109" s="139">
        <f t="shared" si="60"/>
        <v>5.865687857873775</v>
      </c>
      <c r="EW109" s="139">
        <f t="shared" si="61"/>
        <v>0</v>
      </c>
      <c r="EX109" s="139">
        <f t="shared" si="62"/>
        <v>0</v>
      </c>
      <c r="EY109" s="139">
        <f t="shared" si="63"/>
        <v>0</v>
      </c>
      <c r="EZ109" s="139">
        <f t="shared" si="64"/>
        <v>0</v>
      </c>
      <c r="FA109" s="139">
        <f t="shared" si="65"/>
        <v>0</v>
      </c>
      <c r="FB109" s="139">
        <f t="shared" si="66"/>
        <v>0</v>
      </c>
      <c r="FC109" s="139">
        <f t="shared" si="67"/>
        <v>0</v>
      </c>
      <c r="FD109" s="139">
        <f t="shared" si="68"/>
        <v>0</v>
      </c>
      <c r="FE109" s="139">
        <f t="shared" si="69"/>
        <v>0</v>
      </c>
      <c r="FF109" s="139">
        <f t="shared" si="70"/>
        <v>0</v>
      </c>
      <c r="FG109" s="139">
        <f t="shared" si="71"/>
        <v>0</v>
      </c>
      <c r="FH109" s="139">
        <f t="shared" si="72"/>
        <v>0</v>
      </c>
      <c r="FI109" s="139">
        <f t="shared" si="73"/>
        <v>0</v>
      </c>
      <c r="FJ109" s="139">
        <f t="shared" si="74"/>
        <v>0</v>
      </c>
      <c r="FK109" s="139">
        <f t="shared" si="75"/>
        <v>0</v>
      </c>
      <c r="FL109" s="139">
        <f t="shared" si="76"/>
        <v>0</v>
      </c>
      <c r="FM109" s="139">
        <f t="shared" si="77"/>
        <v>0</v>
      </c>
      <c r="FN109" s="139">
        <f t="shared" si="78"/>
        <v>0</v>
      </c>
      <c r="FO109" s="139">
        <f t="shared" si="79"/>
        <v>0</v>
      </c>
      <c r="FP109" s="139">
        <f t="shared" si="80"/>
        <v>0</v>
      </c>
      <c r="FQ109" s="139">
        <f t="shared" si="81"/>
        <v>0</v>
      </c>
      <c r="FR109" s="139">
        <f t="shared" si="82"/>
        <v>0</v>
      </c>
      <c r="FS109" s="139">
        <f t="shared" si="83"/>
        <v>0</v>
      </c>
      <c r="FT109" s="139">
        <f t="shared" si="84"/>
        <v>0</v>
      </c>
      <c r="FU109" s="148">
        <f t="shared" si="85"/>
        <v>5.865687857873775</v>
      </c>
      <c r="FV109" s="149"/>
      <c r="FY109" s="210">
        <v>104</v>
      </c>
      <c r="FZ109">
        <v>35.611026021462891</v>
      </c>
      <c r="GA109">
        <v>40.315716996741642</v>
      </c>
      <c r="GB109">
        <v>1.5093167747987342</v>
      </c>
      <c r="GC109">
        <v>0.32504746032919063</v>
      </c>
      <c r="GD109">
        <v>0.36986624639742871</v>
      </c>
      <c r="GE109">
        <v>1.3066832469831873</v>
      </c>
      <c r="GF109">
        <v>3.9026926994820021</v>
      </c>
      <c r="GG109">
        <v>6.7003631547224085</v>
      </c>
      <c r="GH109">
        <v>8.9300272988079836</v>
      </c>
      <c r="GI109">
        <v>7.9641085828506046</v>
      </c>
      <c r="GJ109"/>
      <c r="GK109"/>
      <c r="GL109"/>
      <c r="GM109"/>
    </row>
    <row r="110" spans="1:195" s="7" customFormat="1">
      <c r="A110" s="1"/>
      <c r="B110" s="76">
        <f ca="1">IF(C110="", "", RAND())</f>
        <v>0.57484227653976783</v>
      </c>
      <c r="C110">
        <v>9</v>
      </c>
      <c r="D110">
        <v>39714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10.416666666666666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 s="2"/>
      <c r="AK110" s="80"/>
      <c r="AL110" s="74"/>
      <c r="AM110" s="43">
        <v>94</v>
      </c>
      <c r="AN110">
        <v>78.320541560957736</v>
      </c>
      <c r="AO110">
        <v>4.5137165437190401</v>
      </c>
      <c r="AP110">
        <v>38.430336696843433</v>
      </c>
      <c r="AQ110">
        <v>31.936140480739887</v>
      </c>
      <c r="AR110">
        <v>4.7778167101946565</v>
      </c>
      <c r="AS110">
        <v>97.059973564319407</v>
      </c>
      <c r="AT110">
        <v>2.629268056666159</v>
      </c>
      <c r="AU110">
        <v>17.220287136544897</v>
      </c>
      <c r="AV110"/>
      <c r="AW110"/>
      <c r="AX110" s="146"/>
      <c r="AY110" s="76">
        <f t="shared" ca="1" si="86"/>
        <v>0.40835234322824565</v>
      </c>
      <c r="AZ110">
        <v>3</v>
      </c>
      <c r="BA110" s="129">
        <f t="shared" si="127"/>
        <v>39714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1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 s="147"/>
      <c r="CH110" s="176"/>
      <c r="CJ110" s="146"/>
      <c r="CK110" s="76">
        <f t="shared" ca="1" si="88"/>
        <v>0.4187854872635397</v>
      </c>
      <c r="CL110" s="179">
        <f t="shared" si="89"/>
        <v>3</v>
      </c>
      <c r="CM110" s="180">
        <f t="shared" si="90"/>
        <v>39714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W110">
        <v>1</v>
      </c>
      <c r="CX110">
        <f>300/32</f>
        <v>9.375</v>
      </c>
      <c r="CY110" s="158"/>
      <c r="CZ110" s="177">
        <f t="shared" si="91"/>
        <v>9.6000000000000002E-2</v>
      </c>
      <c r="DB110" s="146"/>
      <c r="DC110" s="76">
        <f t="shared" ca="1" si="49"/>
        <v>6.7408152065192795E-2</v>
      </c>
      <c r="DD110">
        <f t="shared" si="92"/>
        <v>3</v>
      </c>
      <c r="DE110" s="129">
        <f t="shared" si="126"/>
        <v>39714</v>
      </c>
      <c r="DF110" s="161">
        <f t="shared" si="93"/>
        <v>0</v>
      </c>
      <c r="DG110" s="161">
        <f t="shared" si="94"/>
        <v>0</v>
      </c>
      <c r="DH110" s="161">
        <f t="shared" si="95"/>
        <v>0</v>
      </c>
      <c r="DI110" s="161">
        <f t="shared" si="96"/>
        <v>0</v>
      </c>
      <c r="DJ110" s="161">
        <f t="shared" si="97"/>
        <v>0</v>
      </c>
      <c r="DK110" s="161">
        <f t="shared" si="98"/>
        <v>0</v>
      </c>
      <c r="DL110" s="161">
        <f t="shared" si="99"/>
        <v>0</v>
      </c>
      <c r="DM110" s="161">
        <f t="shared" si="100"/>
        <v>10.416666666666666</v>
      </c>
      <c r="DN110" s="161">
        <f t="shared" si="101"/>
        <v>0</v>
      </c>
      <c r="DO110" s="161">
        <f t="shared" si="102"/>
        <v>0</v>
      </c>
      <c r="DP110" s="161">
        <f t="shared" si="103"/>
        <v>0</v>
      </c>
      <c r="DQ110" s="161">
        <f t="shared" si="104"/>
        <v>0</v>
      </c>
      <c r="DR110" s="161">
        <f t="shared" si="105"/>
        <v>0</v>
      </c>
      <c r="DS110" s="161">
        <f t="shared" si="106"/>
        <v>0</v>
      </c>
      <c r="DT110" s="161">
        <f t="shared" si="107"/>
        <v>0</v>
      </c>
      <c r="DU110" s="161">
        <f t="shared" si="108"/>
        <v>0</v>
      </c>
      <c r="DV110" s="161">
        <f t="shared" si="109"/>
        <v>0</v>
      </c>
      <c r="DW110" s="161">
        <f t="shared" si="110"/>
        <v>0</v>
      </c>
      <c r="DX110" s="161">
        <f t="shared" si="111"/>
        <v>0</v>
      </c>
      <c r="DY110" s="161">
        <f t="shared" si="112"/>
        <v>0</v>
      </c>
      <c r="DZ110" s="161">
        <f t="shared" si="113"/>
        <v>0</v>
      </c>
      <c r="EA110" s="161">
        <f t="shared" si="114"/>
        <v>0</v>
      </c>
      <c r="EB110" s="161">
        <f t="shared" si="115"/>
        <v>0</v>
      </c>
      <c r="EC110" s="161">
        <f t="shared" si="116"/>
        <v>0</v>
      </c>
      <c r="ED110" s="161">
        <f t="shared" si="117"/>
        <v>0</v>
      </c>
      <c r="EE110" s="161">
        <f t="shared" si="118"/>
        <v>0</v>
      </c>
      <c r="EF110" s="161">
        <f t="shared" si="119"/>
        <v>0</v>
      </c>
      <c r="EG110" s="161">
        <f t="shared" si="120"/>
        <v>0</v>
      </c>
      <c r="EH110" s="161">
        <f t="shared" si="121"/>
        <v>0</v>
      </c>
      <c r="EI110" s="161">
        <f t="shared" si="122"/>
        <v>0</v>
      </c>
      <c r="EJ110" s="161">
        <f t="shared" si="123"/>
        <v>0</v>
      </c>
      <c r="EK110" s="147">
        <f t="shared" si="53"/>
        <v>10.416666666666666</v>
      </c>
      <c r="EL110" s="149"/>
      <c r="EN110" s="146"/>
      <c r="EO110" s="146"/>
      <c r="EP110" s="139">
        <f t="shared" si="54"/>
        <v>0</v>
      </c>
      <c r="EQ110" s="139">
        <f t="shared" si="55"/>
        <v>0</v>
      </c>
      <c r="ER110" s="139">
        <f t="shared" si="56"/>
        <v>0</v>
      </c>
      <c r="ES110" s="139">
        <f t="shared" si="57"/>
        <v>0</v>
      </c>
      <c r="ET110" s="139">
        <f t="shared" si="58"/>
        <v>0</v>
      </c>
      <c r="EU110" s="139">
        <f t="shared" si="59"/>
        <v>0</v>
      </c>
      <c r="EV110" s="139">
        <f t="shared" si="60"/>
        <v>0</v>
      </c>
      <c r="EW110" s="139">
        <f t="shared" si="61"/>
        <v>9.0414604478692766</v>
      </c>
      <c r="EX110" s="139">
        <f t="shared" si="62"/>
        <v>0</v>
      </c>
      <c r="EY110" s="139">
        <f t="shared" si="63"/>
        <v>0</v>
      </c>
      <c r="EZ110" s="139">
        <f t="shared" si="64"/>
        <v>0</v>
      </c>
      <c r="FA110" s="139">
        <f t="shared" si="65"/>
        <v>0</v>
      </c>
      <c r="FB110" s="139">
        <f t="shared" si="66"/>
        <v>0</v>
      </c>
      <c r="FC110" s="139">
        <f t="shared" si="67"/>
        <v>0</v>
      </c>
      <c r="FD110" s="139">
        <f t="shared" si="68"/>
        <v>0</v>
      </c>
      <c r="FE110" s="139">
        <f t="shared" si="69"/>
        <v>0</v>
      </c>
      <c r="FF110" s="139">
        <f t="shared" si="70"/>
        <v>0</v>
      </c>
      <c r="FG110" s="139">
        <f t="shared" si="71"/>
        <v>0</v>
      </c>
      <c r="FH110" s="139">
        <f t="shared" si="72"/>
        <v>0</v>
      </c>
      <c r="FI110" s="139">
        <f t="shared" si="73"/>
        <v>0</v>
      </c>
      <c r="FJ110" s="139">
        <f t="shared" si="74"/>
        <v>0</v>
      </c>
      <c r="FK110" s="139">
        <f t="shared" si="75"/>
        <v>0</v>
      </c>
      <c r="FL110" s="139">
        <f t="shared" si="76"/>
        <v>0</v>
      </c>
      <c r="FM110" s="139">
        <f t="shared" si="77"/>
        <v>0</v>
      </c>
      <c r="FN110" s="139">
        <f t="shared" si="78"/>
        <v>0</v>
      </c>
      <c r="FO110" s="139">
        <f t="shared" si="79"/>
        <v>0</v>
      </c>
      <c r="FP110" s="139">
        <f t="shared" si="80"/>
        <v>0</v>
      </c>
      <c r="FQ110" s="139">
        <f t="shared" si="81"/>
        <v>0</v>
      </c>
      <c r="FR110" s="139">
        <f t="shared" si="82"/>
        <v>0</v>
      </c>
      <c r="FS110" s="139">
        <f t="shared" si="83"/>
        <v>0</v>
      </c>
      <c r="FT110" s="139">
        <f t="shared" si="84"/>
        <v>0</v>
      </c>
      <c r="FU110" s="148">
        <f t="shared" si="85"/>
        <v>9.0414604478692766</v>
      </c>
      <c r="FV110" s="149"/>
      <c r="FY110" s="210">
        <v>105</v>
      </c>
      <c r="FZ110">
        <v>43.407481071725748</v>
      </c>
      <c r="GA110">
        <v>52.714817198187426</v>
      </c>
      <c r="GB110">
        <v>2.8929466054788193</v>
      </c>
      <c r="GC110">
        <v>1.1593386990563292</v>
      </c>
      <c r="GD110">
        <v>0.14893659610243931</v>
      </c>
      <c r="GE110">
        <v>1.0972198145984691</v>
      </c>
      <c r="GF110">
        <v>8.3921935737495357</v>
      </c>
      <c r="GG110">
        <v>11.030428031557733</v>
      </c>
      <c r="GH110">
        <v>8.6413791762456817</v>
      </c>
      <c r="GI110">
        <v>10.094990600580061</v>
      </c>
      <c r="GJ110"/>
      <c r="GK110"/>
      <c r="GL110"/>
      <c r="GM110"/>
    </row>
    <row r="111" spans="1:195" s="7" customFormat="1">
      <c r="A111" s="1"/>
      <c r="B111" s="76">
        <f ca="1">IF(C111="", "", RAND())</f>
        <v>0.67873234601482824</v>
      </c>
      <c r="C111">
        <v>8</v>
      </c>
      <c r="D111">
        <v>39714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 s="2"/>
      <c r="AK111" s="80"/>
      <c r="AL111" s="74"/>
      <c r="AM111" s="43">
        <v>95</v>
      </c>
      <c r="AN111">
        <v>92.030739501951672</v>
      </c>
      <c r="AO111">
        <v>5.0499770094552865</v>
      </c>
      <c r="AP111">
        <v>48.303528703662593</v>
      </c>
      <c r="AQ111">
        <v>38.172314221472128</v>
      </c>
      <c r="AR111">
        <v>5.086476607259721</v>
      </c>
      <c r="AS111">
        <v>104.17396456116363</v>
      </c>
      <c r="AT111">
        <v>2.8704143263683157</v>
      </c>
      <c r="AU111">
        <v>15.399520616412353</v>
      </c>
      <c r="AV111"/>
      <c r="AW111"/>
      <c r="AX111" s="146"/>
      <c r="AY111" s="76">
        <f t="shared" ca="1" si="86"/>
        <v>0.25171392513479951</v>
      </c>
      <c r="AZ111">
        <v>4</v>
      </c>
      <c r="BA111" s="129">
        <f t="shared" si="127"/>
        <v>39714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2</v>
      </c>
      <c r="BI111">
        <v>1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 s="147"/>
      <c r="CH111" s="176"/>
      <c r="CJ111" s="146"/>
      <c r="CK111" s="76">
        <f t="shared" ca="1" si="88"/>
        <v>0.97858879946271227</v>
      </c>
      <c r="CL111" s="179">
        <f t="shared" si="89"/>
        <v>4</v>
      </c>
      <c r="CM111" s="180">
        <f t="shared" si="90"/>
        <v>39714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W111">
        <v>1</v>
      </c>
      <c r="CX111">
        <v>1</v>
      </c>
      <c r="CY111" s="158"/>
      <c r="CZ111" s="177">
        <f t="shared" si="91"/>
        <v>9.6000000000000002E-2</v>
      </c>
      <c r="DB111" s="146"/>
      <c r="DC111" s="76">
        <f t="shared" ca="1" si="49"/>
        <v>4.7285984260048153E-3</v>
      </c>
      <c r="DD111">
        <f t="shared" si="92"/>
        <v>4</v>
      </c>
      <c r="DE111" s="129">
        <f t="shared" si="126"/>
        <v>39714</v>
      </c>
      <c r="DF111" s="161">
        <f t="shared" si="93"/>
        <v>0</v>
      </c>
      <c r="DG111" s="161">
        <f t="shared" si="94"/>
        <v>0</v>
      </c>
      <c r="DH111" s="161">
        <f t="shared" si="95"/>
        <v>0</v>
      </c>
      <c r="DI111" s="161">
        <f t="shared" si="96"/>
        <v>0</v>
      </c>
      <c r="DJ111" s="161">
        <f t="shared" si="97"/>
        <v>0</v>
      </c>
      <c r="DK111" s="161">
        <f t="shared" si="98"/>
        <v>0</v>
      </c>
      <c r="DL111" s="161">
        <f t="shared" si="99"/>
        <v>20.833333333333332</v>
      </c>
      <c r="DM111" s="161">
        <f t="shared" si="100"/>
        <v>10.416666666666666</v>
      </c>
      <c r="DN111" s="161">
        <f t="shared" si="101"/>
        <v>0</v>
      </c>
      <c r="DO111" s="161">
        <f t="shared" si="102"/>
        <v>0</v>
      </c>
      <c r="DP111" s="161">
        <f t="shared" si="103"/>
        <v>0</v>
      </c>
      <c r="DQ111" s="161">
        <f t="shared" si="104"/>
        <v>0</v>
      </c>
      <c r="DR111" s="161">
        <f t="shared" si="105"/>
        <v>0</v>
      </c>
      <c r="DS111" s="161">
        <f t="shared" si="106"/>
        <v>0</v>
      </c>
      <c r="DT111" s="161">
        <f t="shared" si="107"/>
        <v>0</v>
      </c>
      <c r="DU111" s="161">
        <f t="shared" si="108"/>
        <v>0</v>
      </c>
      <c r="DV111" s="161">
        <f t="shared" si="109"/>
        <v>0</v>
      </c>
      <c r="DW111" s="161">
        <f t="shared" si="110"/>
        <v>0</v>
      </c>
      <c r="DX111" s="161">
        <f t="shared" si="111"/>
        <v>0</v>
      </c>
      <c r="DY111" s="161">
        <f t="shared" si="112"/>
        <v>0</v>
      </c>
      <c r="DZ111" s="161">
        <f t="shared" si="113"/>
        <v>0</v>
      </c>
      <c r="EA111" s="161">
        <f t="shared" si="114"/>
        <v>0</v>
      </c>
      <c r="EB111" s="161">
        <f t="shared" si="115"/>
        <v>0</v>
      </c>
      <c r="EC111" s="161">
        <f t="shared" si="116"/>
        <v>0</v>
      </c>
      <c r="ED111" s="161">
        <f t="shared" si="117"/>
        <v>0</v>
      </c>
      <c r="EE111" s="161">
        <f t="shared" si="118"/>
        <v>0</v>
      </c>
      <c r="EF111" s="161">
        <f t="shared" si="119"/>
        <v>0</v>
      </c>
      <c r="EG111" s="161">
        <f t="shared" si="120"/>
        <v>0</v>
      </c>
      <c r="EH111" s="161">
        <f t="shared" si="121"/>
        <v>0</v>
      </c>
      <c r="EI111" s="161">
        <f t="shared" si="122"/>
        <v>0</v>
      </c>
      <c r="EJ111" s="161">
        <f t="shared" si="123"/>
        <v>0</v>
      </c>
      <c r="EK111" s="147">
        <f t="shared" si="53"/>
        <v>31.25</v>
      </c>
      <c r="EL111" s="149"/>
      <c r="EN111" s="146"/>
      <c r="EO111" s="146"/>
      <c r="EP111" s="139">
        <f t="shared" si="54"/>
        <v>0</v>
      </c>
      <c r="EQ111" s="139">
        <f t="shared" si="55"/>
        <v>0</v>
      </c>
      <c r="ER111" s="139">
        <f t="shared" si="56"/>
        <v>0</v>
      </c>
      <c r="ES111" s="139">
        <f t="shared" si="57"/>
        <v>0</v>
      </c>
      <c r="ET111" s="139">
        <f t="shared" si="58"/>
        <v>0</v>
      </c>
      <c r="EU111" s="139">
        <f t="shared" si="59"/>
        <v>0</v>
      </c>
      <c r="EV111" s="139">
        <f t="shared" si="60"/>
        <v>11.73137571574755</v>
      </c>
      <c r="EW111" s="139">
        <f t="shared" si="61"/>
        <v>9.0414604478692766</v>
      </c>
      <c r="EX111" s="139">
        <f t="shared" si="62"/>
        <v>0</v>
      </c>
      <c r="EY111" s="139">
        <f t="shared" si="63"/>
        <v>0</v>
      </c>
      <c r="EZ111" s="139">
        <f t="shared" si="64"/>
        <v>0</v>
      </c>
      <c r="FA111" s="139">
        <f t="shared" si="65"/>
        <v>0</v>
      </c>
      <c r="FB111" s="139">
        <f t="shared" si="66"/>
        <v>0</v>
      </c>
      <c r="FC111" s="139">
        <f t="shared" si="67"/>
        <v>0</v>
      </c>
      <c r="FD111" s="139">
        <f t="shared" si="68"/>
        <v>0</v>
      </c>
      <c r="FE111" s="139">
        <f t="shared" si="69"/>
        <v>0</v>
      </c>
      <c r="FF111" s="139">
        <f t="shared" si="70"/>
        <v>0</v>
      </c>
      <c r="FG111" s="139">
        <f t="shared" si="71"/>
        <v>0</v>
      </c>
      <c r="FH111" s="139">
        <f t="shared" si="72"/>
        <v>0</v>
      </c>
      <c r="FI111" s="139">
        <f t="shared" si="73"/>
        <v>0</v>
      </c>
      <c r="FJ111" s="139">
        <f t="shared" si="74"/>
        <v>0</v>
      </c>
      <c r="FK111" s="139">
        <f t="shared" si="75"/>
        <v>0</v>
      </c>
      <c r="FL111" s="139">
        <f t="shared" si="76"/>
        <v>0</v>
      </c>
      <c r="FM111" s="139">
        <f t="shared" si="77"/>
        <v>0</v>
      </c>
      <c r="FN111" s="139">
        <f t="shared" si="78"/>
        <v>0</v>
      </c>
      <c r="FO111" s="139">
        <f t="shared" si="79"/>
        <v>0</v>
      </c>
      <c r="FP111" s="139">
        <f t="shared" si="80"/>
        <v>0</v>
      </c>
      <c r="FQ111" s="139">
        <f t="shared" si="81"/>
        <v>0</v>
      </c>
      <c r="FR111" s="139">
        <f t="shared" si="82"/>
        <v>0</v>
      </c>
      <c r="FS111" s="139">
        <f t="shared" si="83"/>
        <v>0</v>
      </c>
      <c r="FT111" s="139">
        <f t="shared" si="84"/>
        <v>0</v>
      </c>
      <c r="FU111" s="148">
        <f t="shared" si="85"/>
        <v>20.772836163616827</v>
      </c>
      <c r="FV111" s="149"/>
      <c r="FY111" s="210">
        <v>106</v>
      </c>
      <c r="FZ111">
        <v>24.801808719033687</v>
      </c>
      <c r="GA111">
        <v>27.971686515579183</v>
      </c>
      <c r="GB111">
        <v>3.0616999115944115</v>
      </c>
      <c r="GC111">
        <v>1.3465737043739499</v>
      </c>
      <c r="GD111">
        <v>0.69916359346248758</v>
      </c>
      <c r="GE111">
        <v>3.7314704344175951</v>
      </c>
      <c r="GF111">
        <v>10.839874022983562</v>
      </c>
      <c r="GG111">
        <v>12.444664363424426</v>
      </c>
      <c r="GH111">
        <v>13.44979800336775</v>
      </c>
      <c r="GI111">
        <v>8.9180148296911916</v>
      </c>
      <c r="GJ111"/>
      <c r="GK111"/>
      <c r="GL111"/>
      <c r="GM111"/>
    </row>
    <row r="112" spans="1:195" s="7" customFormat="1">
      <c r="A112" s="1"/>
      <c r="B112" s="76">
        <f ca="1">IF(C112="", "", RAND())</f>
        <v>0.25216391643851255</v>
      </c>
      <c r="C112">
        <v>3</v>
      </c>
      <c r="D112">
        <v>39714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10.416666666666666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 s="2"/>
      <c r="AK112" s="80"/>
      <c r="AL112" s="74"/>
      <c r="AM112" s="43">
        <v>96</v>
      </c>
      <c r="AN112">
        <v>151.47307678019598</v>
      </c>
      <c r="AO112">
        <v>7.3140835116489828</v>
      </c>
      <c r="AP112">
        <v>66.061818249033593</v>
      </c>
      <c r="AQ112">
        <v>53.350787767911804</v>
      </c>
      <c r="AR112">
        <v>7.1094899064011603</v>
      </c>
      <c r="AS112">
        <v>154.68833099045798</v>
      </c>
      <c r="AT112">
        <v>4.1520711344727728</v>
      </c>
      <c r="AU112">
        <v>19.119126157016016</v>
      </c>
      <c r="AV112"/>
      <c r="AW112"/>
      <c r="AX112" s="146"/>
      <c r="AY112" s="76">
        <f t="shared" ca="1" si="86"/>
        <v>0.58659030690066416</v>
      </c>
      <c r="AZ112">
        <v>5</v>
      </c>
      <c r="BA112" s="129">
        <f t="shared" si="127"/>
        <v>39714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 s="147"/>
      <c r="CH112" s="176"/>
      <c r="CJ112" s="146"/>
      <c r="CK112" s="76">
        <f t="shared" ca="1" si="88"/>
        <v>0.68355074964523843</v>
      </c>
      <c r="CL112" s="179">
        <f t="shared" si="89"/>
        <v>5</v>
      </c>
      <c r="CM112" s="180">
        <f t="shared" si="90"/>
        <v>39714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W112">
        <v>1</v>
      </c>
      <c r="CX112">
        <v>1</v>
      </c>
      <c r="CY112" s="158"/>
      <c r="CZ112" s="177">
        <f t="shared" si="91"/>
        <v>9.6000000000000002E-2</v>
      </c>
      <c r="DB112" s="146"/>
      <c r="DC112" s="76">
        <f t="shared" ca="1" si="49"/>
        <v>0.93393604184383006</v>
      </c>
      <c r="DD112">
        <f t="shared" si="92"/>
        <v>5</v>
      </c>
      <c r="DE112" s="129">
        <f t="shared" si="126"/>
        <v>39714</v>
      </c>
      <c r="DF112" s="161">
        <f t="shared" si="93"/>
        <v>0</v>
      </c>
      <c r="DG112" s="161">
        <f t="shared" si="94"/>
        <v>0</v>
      </c>
      <c r="DH112" s="161">
        <f t="shared" si="95"/>
        <v>0</v>
      </c>
      <c r="DI112" s="161">
        <f t="shared" si="96"/>
        <v>0</v>
      </c>
      <c r="DJ112" s="161">
        <f t="shared" si="97"/>
        <v>0</v>
      </c>
      <c r="DK112" s="161">
        <f t="shared" si="98"/>
        <v>0</v>
      </c>
      <c r="DL112" s="161">
        <f t="shared" si="99"/>
        <v>0</v>
      </c>
      <c r="DM112" s="161">
        <f t="shared" si="100"/>
        <v>0</v>
      </c>
      <c r="DN112" s="161">
        <f t="shared" si="101"/>
        <v>0</v>
      </c>
      <c r="DO112" s="161">
        <f t="shared" si="102"/>
        <v>0</v>
      </c>
      <c r="DP112" s="161">
        <f t="shared" si="103"/>
        <v>0</v>
      </c>
      <c r="DQ112" s="161">
        <f t="shared" si="104"/>
        <v>0</v>
      </c>
      <c r="DR112" s="161">
        <f t="shared" si="105"/>
        <v>0</v>
      </c>
      <c r="DS112" s="161">
        <f t="shared" si="106"/>
        <v>0</v>
      </c>
      <c r="DT112" s="161">
        <f t="shared" si="107"/>
        <v>0</v>
      </c>
      <c r="DU112" s="161">
        <f t="shared" si="108"/>
        <v>0</v>
      </c>
      <c r="DV112" s="161">
        <f t="shared" si="109"/>
        <v>0</v>
      </c>
      <c r="DW112" s="161">
        <f t="shared" si="110"/>
        <v>0</v>
      </c>
      <c r="DX112" s="161">
        <f t="shared" si="111"/>
        <v>0</v>
      </c>
      <c r="DY112" s="161">
        <f t="shared" si="112"/>
        <v>0</v>
      </c>
      <c r="DZ112" s="161">
        <f t="shared" si="113"/>
        <v>0</v>
      </c>
      <c r="EA112" s="161">
        <f t="shared" si="114"/>
        <v>0</v>
      </c>
      <c r="EB112" s="161">
        <f t="shared" si="115"/>
        <v>0</v>
      </c>
      <c r="EC112" s="161">
        <f t="shared" si="116"/>
        <v>0</v>
      </c>
      <c r="ED112" s="161">
        <f t="shared" si="117"/>
        <v>0</v>
      </c>
      <c r="EE112" s="161">
        <f t="shared" si="118"/>
        <v>0</v>
      </c>
      <c r="EF112" s="161">
        <f t="shared" si="119"/>
        <v>0</v>
      </c>
      <c r="EG112" s="161">
        <f t="shared" si="120"/>
        <v>0</v>
      </c>
      <c r="EH112" s="161">
        <f t="shared" si="121"/>
        <v>0</v>
      </c>
      <c r="EI112" s="161">
        <f t="shared" si="122"/>
        <v>0</v>
      </c>
      <c r="EJ112" s="161">
        <f t="shared" si="123"/>
        <v>0</v>
      </c>
      <c r="EK112" s="147">
        <f t="shared" si="53"/>
        <v>0</v>
      </c>
      <c r="EL112" s="149"/>
      <c r="EN112" s="146"/>
      <c r="EO112" s="146"/>
      <c r="EP112" s="139">
        <f t="shared" si="54"/>
        <v>0</v>
      </c>
      <c r="EQ112" s="139">
        <f t="shared" si="55"/>
        <v>0</v>
      </c>
      <c r="ER112" s="139">
        <f t="shared" si="56"/>
        <v>0</v>
      </c>
      <c r="ES112" s="139">
        <f t="shared" si="57"/>
        <v>0</v>
      </c>
      <c r="ET112" s="139">
        <f t="shared" si="58"/>
        <v>0</v>
      </c>
      <c r="EU112" s="139">
        <f t="shared" si="59"/>
        <v>0</v>
      </c>
      <c r="EV112" s="139">
        <f t="shared" si="60"/>
        <v>0</v>
      </c>
      <c r="EW112" s="139">
        <f t="shared" si="61"/>
        <v>0</v>
      </c>
      <c r="EX112" s="139">
        <f t="shared" si="62"/>
        <v>0</v>
      </c>
      <c r="EY112" s="139">
        <f t="shared" si="63"/>
        <v>0</v>
      </c>
      <c r="EZ112" s="139">
        <f t="shared" si="64"/>
        <v>0</v>
      </c>
      <c r="FA112" s="139">
        <f t="shared" si="65"/>
        <v>0</v>
      </c>
      <c r="FB112" s="139">
        <f t="shared" si="66"/>
        <v>0</v>
      </c>
      <c r="FC112" s="139">
        <f t="shared" si="67"/>
        <v>0</v>
      </c>
      <c r="FD112" s="139">
        <f t="shared" si="68"/>
        <v>0</v>
      </c>
      <c r="FE112" s="139">
        <f t="shared" si="69"/>
        <v>0</v>
      </c>
      <c r="FF112" s="139">
        <f t="shared" si="70"/>
        <v>0</v>
      </c>
      <c r="FG112" s="139">
        <f t="shared" si="71"/>
        <v>0</v>
      </c>
      <c r="FH112" s="139">
        <f t="shared" si="72"/>
        <v>0</v>
      </c>
      <c r="FI112" s="139">
        <f t="shared" si="73"/>
        <v>0</v>
      </c>
      <c r="FJ112" s="139">
        <f t="shared" si="74"/>
        <v>0</v>
      </c>
      <c r="FK112" s="139">
        <f t="shared" si="75"/>
        <v>0</v>
      </c>
      <c r="FL112" s="139">
        <f t="shared" si="76"/>
        <v>0</v>
      </c>
      <c r="FM112" s="139">
        <f t="shared" si="77"/>
        <v>0</v>
      </c>
      <c r="FN112" s="139">
        <f t="shared" si="78"/>
        <v>0</v>
      </c>
      <c r="FO112" s="139">
        <f t="shared" si="79"/>
        <v>0</v>
      </c>
      <c r="FP112" s="139">
        <f t="shared" si="80"/>
        <v>0</v>
      </c>
      <c r="FQ112" s="139">
        <f t="shared" si="81"/>
        <v>0</v>
      </c>
      <c r="FR112" s="139">
        <f t="shared" si="82"/>
        <v>0</v>
      </c>
      <c r="FS112" s="139">
        <f t="shared" si="83"/>
        <v>0</v>
      </c>
      <c r="FT112" s="139">
        <f t="shared" si="84"/>
        <v>0</v>
      </c>
      <c r="FU112" s="148">
        <f t="shared" si="85"/>
        <v>0</v>
      </c>
      <c r="FV112" s="149"/>
      <c r="FY112" s="210">
        <v>107</v>
      </c>
      <c r="FZ112">
        <v>0.89559669232410122</v>
      </c>
      <c r="GA112">
        <v>3.3336447621396328</v>
      </c>
      <c r="GB112">
        <v>4.3551517747665285</v>
      </c>
      <c r="GC112">
        <v>1.7858974174335214</v>
      </c>
      <c r="GD112">
        <v>1.2843489056330077</v>
      </c>
      <c r="GE112">
        <v>3.8996619163793635</v>
      </c>
      <c r="GF112">
        <v>7.2130401244031486</v>
      </c>
      <c r="GG112">
        <v>14.421589428179328</v>
      </c>
      <c r="GH112">
        <v>17.692326016596056</v>
      </c>
      <c r="GI112">
        <v>6.0654074283231258</v>
      </c>
      <c r="GJ112"/>
      <c r="GK112"/>
      <c r="GL112"/>
      <c r="GM112"/>
    </row>
    <row r="113" spans="1:195" s="7" customFormat="1">
      <c r="A113" s="1"/>
      <c r="B113" s="76">
        <f ca="1">IF(C113="", "", RAND())</f>
        <v>0.12205474538162164</v>
      </c>
      <c r="C113">
        <v>5</v>
      </c>
      <c r="D113">
        <v>39714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 s="2"/>
      <c r="AK113" s="80"/>
      <c r="AL113" s="74"/>
      <c r="AM113" s="43">
        <v>97</v>
      </c>
      <c r="AN113">
        <v>107.95037265408489</v>
      </c>
      <c r="AO113">
        <v>12.042160803462966</v>
      </c>
      <c r="AP113">
        <v>130.04794019558108</v>
      </c>
      <c r="AQ113">
        <v>110.01167273039246</v>
      </c>
      <c r="AR113">
        <v>11.59948961672624</v>
      </c>
      <c r="AS113">
        <v>155.59059481074087</v>
      </c>
      <c r="AT113">
        <v>7.0162229895761596</v>
      </c>
      <c r="AU113">
        <v>13.366160385693515</v>
      </c>
      <c r="AV113"/>
      <c r="AW113"/>
      <c r="AX113" s="146"/>
      <c r="AY113" s="76">
        <f t="shared" ca="1" si="86"/>
        <v>0.29173482775716408</v>
      </c>
      <c r="AZ113">
        <v>6</v>
      </c>
      <c r="BA113" s="129">
        <f t="shared" si="127"/>
        <v>39714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 s="147"/>
      <c r="CH113" s="176"/>
      <c r="CJ113" s="146"/>
      <c r="CK113" s="76">
        <f t="shared" ca="1" si="88"/>
        <v>4.9872451592458678E-2</v>
      </c>
      <c r="CL113" s="179">
        <f t="shared" si="89"/>
        <v>6</v>
      </c>
      <c r="CM113" s="180">
        <f t="shared" si="90"/>
        <v>39714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 s="160"/>
      <c r="CW113">
        <v>1</v>
      </c>
      <c r="CX113">
        <v>1</v>
      </c>
      <c r="CY113" s="164"/>
      <c r="CZ113" s="177">
        <f t="shared" si="91"/>
        <v>9.6000000000000002E-2</v>
      </c>
      <c r="DB113" s="146"/>
      <c r="DC113" s="76">
        <f t="shared" ca="1" si="49"/>
        <v>0.60815318356697134</v>
      </c>
      <c r="DD113">
        <f t="shared" si="92"/>
        <v>6</v>
      </c>
      <c r="DE113" s="129">
        <f t="shared" si="126"/>
        <v>39714</v>
      </c>
      <c r="DF113" s="161">
        <f t="shared" si="93"/>
        <v>0</v>
      </c>
      <c r="DG113" s="161">
        <f t="shared" si="94"/>
        <v>0</v>
      </c>
      <c r="DH113" s="161">
        <f t="shared" si="95"/>
        <v>0</v>
      </c>
      <c r="DI113" s="161">
        <f t="shared" si="96"/>
        <v>0</v>
      </c>
      <c r="DJ113" s="161">
        <f t="shared" si="97"/>
        <v>0</v>
      </c>
      <c r="DK113" s="161">
        <f t="shared" si="98"/>
        <v>0</v>
      </c>
      <c r="DL113" s="161">
        <f t="shared" si="99"/>
        <v>0</v>
      </c>
      <c r="DM113" s="161">
        <f t="shared" si="100"/>
        <v>0</v>
      </c>
      <c r="DN113" s="161">
        <f t="shared" si="101"/>
        <v>0</v>
      </c>
      <c r="DO113" s="161">
        <f t="shared" si="102"/>
        <v>0</v>
      </c>
      <c r="DP113" s="161">
        <f t="shared" si="103"/>
        <v>0</v>
      </c>
      <c r="DQ113" s="161">
        <f t="shared" si="104"/>
        <v>0</v>
      </c>
      <c r="DR113" s="161">
        <f t="shared" si="105"/>
        <v>0</v>
      </c>
      <c r="DS113" s="161">
        <f t="shared" si="106"/>
        <v>0</v>
      </c>
      <c r="DT113" s="161">
        <f t="shared" si="107"/>
        <v>0</v>
      </c>
      <c r="DU113" s="161">
        <f t="shared" si="108"/>
        <v>0</v>
      </c>
      <c r="DV113" s="161">
        <f t="shared" si="109"/>
        <v>0</v>
      </c>
      <c r="DW113" s="161">
        <f t="shared" si="110"/>
        <v>0</v>
      </c>
      <c r="DX113" s="161">
        <f t="shared" si="111"/>
        <v>0</v>
      </c>
      <c r="DY113" s="161">
        <f t="shared" si="112"/>
        <v>0</v>
      </c>
      <c r="DZ113" s="161">
        <f t="shared" si="113"/>
        <v>0</v>
      </c>
      <c r="EA113" s="161">
        <f t="shared" si="114"/>
        <v>0</v>
      </c>
      <c r="EB113" s="161">
        <f t="shared" si="115"/>
        <v>0</v>
      </c>
      <c r="EC113" s="161">
        <f t="shared" si="116"/>
        <v>0</v>
      </c>
      <c r="ED113" s="161">
        <f t="shared" si="117"/>
        <v>0</v>
      </c>
      <c r="EE113" s="161">
        <f t="shared" si="118"/>
        <v>0</v>
      </c>
      <c r="EF113" s="161">
        <f t="shared" si="119"/>
        <v>0</v>
      </c>
      <c r="EG113" s="161">
        <f t="shared" si="120"/>
        <v>0</v>
      </c>
      <c r="EH113" s="161">
        <f t="shared" si="121"/>
        <v>0</v>
      </c>
      <c r="EI113" s="161">
        <f t="shared" si="122"/>
        <v>0</v>
      </c>
      <c r="EJ113" s="161">
        <f t="shared" si="123"/>
        <v>0</v>
      </c>
      <c r="EK113" s="147">
        <f t="shared" si="53"/>
        <v>0</v>
      </c>
      <c r="EL113" s="149"/>
      <c r="EN113" s="146"/>
      <c r="EO113" s="146"/>
      <c r="EP113" s="139">
        <f t="shared" si="54"/>
        <v>0</v>
      </c>
      <c r="EQ113" s="139">
        <f t="shared" si="55"/>
        <v>0</v>
      </c>
      <c r="ER113" s="139">
        <f t="shared" si="56"/>
        <v>0</v>
      </c>
      <c r="ES113" s="139">
        <f t="shared" si="57"/>
        <v>0</v>
      </c>
      <c r="ET113" s="139">
        <f t="shared" si="58"/>
        <v>0</v>
      </c>
      <c r="EU113" s="139">
        <f t="shared" si="59"/>
        <v>0</v>
      </c>
      <c r="EV113" s="139">
        <f t="shared" si="60"/>
        <v>0</v>
      </c>
      <c r="EW113" s="139">
        <f t="shared" si="61"/>
        <v>0</v>
      </c>
      <c r="EX113" s="139">
        <f t="shared" si="62"/>
        <v>0</v>
      </c>
      <c r="EY113" s="139">
        <f t="shared" si="63"/>
        <v>0</v>
      </c>
      <c r="EZ113" s="139">
        <f t="shared" si="64"/>
        <v>0</v>
      </c>
      <c r="FA113" s="139">
        <f t="shared" si="65"/>
        <v>0</v>
      </c>
      <c r="FB113" s="139">
        <f t="shared" si="66"/>
        <v>0</v>
      </c>
      <c r="FC113" s="139">
        <f t="shared" si="67"/>
        <v>0</v>
      </c>
      <c r="FD113" s="139">
        <f t="shared" si="68"/>
        <v>0</v>
      </c>
      <c r="FE113" s="139">
        <f t="shared" si="69"/>
        <v>0</v>
      </c>
      <c r="FF113" s="139">
        <f t="shared" si="70"/>
        <v>0</v>
      </c>
      <c r="FG113" s="139">
        <f t="shared" si="71"/>
        <v>0</v>
      </c>
      <c r="FH113" s="139">
        <f t="shared" si="72"/>
        <v>0</v>
      </c>
      <c r="FI113" s="139">
        <f t="shared" si="73"/>
        <v>0</v>
      </c>
      <c r="FJ113" s="139">
        <f t="shared" si="74"/>
        <v>0</v>
      </c>
      <c r="FK113" s="139">
        <f t="shared" si="75"/>
        <v>0</v>
      </c>
      <c r="FL113" s="139">
        <f t="shared" si="76"/>
        <v>0</v>
      </c>
      <c r="FM113" s="139">
        <f t="shared" si="77"/>
        <v>0</v>
      </c>
      <c r="FN113" s="139">
        <f t="shared" si="78"/>
        <v>0</v>
      </c>
      <c r="FO113" s="139">
        <f t="shared" si="79"/>
        <v>0</v>
      </c>
      <c r="FP113" s="139">
        <f t="shared" si="80"/>
        <v>0</v>
      </c>
      <c r="FQ113" s="139">
        <f t="shared" si="81"/>
        <v>0</v>
      </c>
      <c r="FR113" s="139">
        <f t="shared" si="82"/>
        <v>0</v>
      </c>
      <c r="FS113" s="139">
        <f t="shared" si="83"/>
        <v>0</v>
      </c>
      <c r="FT113" s="139">
        <f t="shared" si="84"/>
        <v>0</v>
      </c>
      <c r="FU113" s="148">
        <f t="shared" si="85"/>
        <v>0</v>
      </c>
      <c r="FV113" s="149"/>
      <c r="FY113" s="210">
        <v>108</v>
      </c>
      <c r="FZ113">
        <v>2.6619294690741055</v>
      </c>
      <c r="GA113">
        <v>4.5057870857472757</v>
      </c>
      <c r="GB113">
        <v>3.204398099752904</v>
      </c>
      <c r="GC113">
        <v>0.97430937033183351</v>
      </c>
      <c r="GD113">
        <v>1.2617422539160863</v>
      </c>
      <c r="GE113">
        <v>3.1445663639079795</v>
      </c>
      <c r="GF113">
        <v>4.2289501465178212</v>
      </c>
      <c r="GG113">
        <v>7.6750428382745177</v>
      </c>
      <c r="GH113">
        <v>10.068468073954801</v>
      </c>
      <c r="GI113">
        <v>4.2690298893520131</v>
      </c>
      <c r="GJ113"/>
      <c r="GK113"/>
      <c r="GL113"/>
      <c r="GM113"/>
    </row>
    <row r="114" spans="1:195" s="7" customFormat="1">
      <c r="A114" s="1"/>
      <c r="B114" s="76">
        <f ca="1">IF(C114="", "", RAND())</f>
        <v>0.48498357093825728</v>
      </c>
      <c r="C114">
        <v>10</v>
      </c>
      <c r="D114">
        <v>39714</v>
      </c>
      <c r="E114">
        <v>0</v>
      </c>
      <c r="F114">
        <v>0</v>
      </c>
      <c r="G114">
        <v>89.285714285714278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 s="2"/>
      <c r="AK114" s="80"/>
      <c r="AL114" s="74"/>
      <c r="AM114" s="43">
        <v>98</v>
      </c>
      <c r="AN114">
        <v>86.190179651285746</v>
      </c>
      <c r="AO114">
        <v>7.7817137526249294</v>
      </c>
      <c r="AP114">
        <v>75.708927898584193</v>
      </c>
      <c r="AQ114">
        <v>63.45980670417601</v>
      </c>
      <c r="AR114">
        <v>7.5778380551337632</v>
      </c>
      <c r="AS114">
        <v>119.84547659680791</v>
      </c>
      <c r="AT114">
        <v>4.7346785194705996</v>
      </c>
      <c r="AU114">
        <v>10.022352335653624</v>
      </c>
      <c r="AV114"/>
      <c r="AW114"/>
      <c r="AX114" s="146"/>
      <c r="AY114" s="76">
        <f t="shared" ca="1" si="86"/>
        <v>0.29903135801229741</v>
      </c>
      <c r="AZ114">
        <v>7</v>
      </c>
      <c r="BA114" s="129">
        <f t="shared" si="127"/>
        <v>39714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 s="147"/>
      <c r="CH114" s="176"/>
      <c r="CJ114" s="146"/>
      <c r="CK114" s="76">
        <f t="shared" ca="1" si="88"/>
        <v>0.95992613326232679</v>
      </c>
      <c r="CL114" s="179">
        <f t="shared" si="89"/>
        <v>7</v>
      </c>
      <c r="CM114" s="180">
        <f t="shared" si="90"/>
        <v>39714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 s="160"/>
      <c r="CW114">
        <v>1</v>
      </c>
      <c r="CX114">
        <v>1</v>
      </c>
      <c r="CY114" s="164"/>
      <c r="CZ114" s="177">
        <f t="shared" si="91"/>
        <v>9.6000000000000002E-2</v>
      </c>
      <c r="DB114" s="146"/>
      <c r="DC114" s="76">
        <f t="shared" ca="1" si="49"/>
        <v>6.5258573493281569E-2</v>
      </c>
      <c r="DD114">
        <f t="shared" si="92"/>
        <v>7</v>
      </c>
      <c r="DE114" s="129">
        <f t="shared" si="126"/>
        <v>39714</v>
      </c>
      <c r="DF114" s="161">
        <f t="shared" si="93"/>
        <v>0</v>
      </c>
      <c r="DG114" s="161">
        <f t="shared" si="94"/>
        <v>0</v>
      </c>
      <c r="DH114" s="161">
        <f t="shared" si="95"/>
        <v>0</v>
      </c>
      <c r="DI114" s="161">
        <f t="shared" si="96"/>
        <v>0</v>
      </c>
      <c r="DJ114" s="161">
        <f t="shared" si="97"/>
        <v>0</v>
      </c>
      <c r="DK114" s="161">
        <f t="shared" si="98"/>
        <v>0</v>
      </c>
      <c r="DL114" s="161">
        <f t="shared" si="99"/>
        <v>0</v>
      </c>
      <c r="DM114" s="161">
        <f t="shared" si="100"/>
        <v>0</v>
      </c>
      <c r="DN114" s="161">
        <f t="shared" si="101"/>
        <v>0</v>
      </c>
      <c r="DO114" s="161">
        <f t="shared" si="102"/>
        <v>0</v>
      </c>
      <c r="DP114" s="161">
        <f t="shared" si="103"/>
        <v>0</v>
      </c>
      <c r="DQ114" s="161">
        <f t="shared" si="104"/>
        <v>0</v>
      </c>
      <c r="DR114" s="161">
        <f t="shared" si="105"/>
        <v>0</v>
      </c>
      <c r="DS114" s="161">
        <f t="shared" si="106"/>
        <v>0</v>
      </c>
      <c r="DT114" s="161">
        <f t="shared" si="107"/>
        <v>0</v>
      </c>
      <c r="DU114" s="161">
        <f t="shared" si="108"/>
        <v>0</v>
      </c>
      <c r="DV114" s="161">
        <f t="shared" si="109"/>
        <v>0</v>
      </c>
      <c r="DW114" s="161">
        <f t="shared" si="110"/>
        <v>0</v>
      </c>
      <c r="DX114" s="161">
        <f t="shared" si="111"/>
        <v>0</v>
      </c>
      <c r="DY114" s="161">
        <f t="shared" si="112"/>
        <v>0</v>
      </c>
      <c r="DZ114" s="161">
        <f t="shared" si="113"/>
        <v>0</v>
      </c>
      <c r="EA114" s="161">
        <f t="shared" si="114"/>
        <v>0</v>
      </c>
      <c r="EB114" s="161">
        <f t="shared" si="115"/>
        <v>0</v>
      </c>
      <c r="EC114" s="161">
        <f t="shared" si="116"/>
        <v>0</v>
      </c>
      <c r="ED114" s="161">
        <f t="shared" si="117"/>
        <v>0</v>
      </c>
      <c r="EE114" s="161">
        <f t="shared" si="118"/>
        <v>0</v>
      </c>
      <c r="EF114" s="161">
        <f t="shared" si="119"/>
        <v>0</v>
      </c>
      <c r="EG114" s="161">
        <f t="shared" si="120"/>
        <v>0</v>
      </c>
      <c r="EH114" s="161">
        <f t="shared" si="121"/>
        <v>0</v>
      </c>
      <c r="EI114" s="161">
        <f t="shared" si="122"/>
        <v>0</v>
      </c>
      <c r="EJ114" s="161">
        <f t="shared" si="123"/>
        <v>0</v>
      </c>
      <c r="EK114" s="147">
        <f t="shared" si="53"/>
        <v>0</v>
      </c>
      <c r="EL114" s="149"/>
      <c r="EN114" s="146"/>
      <c r="EO114" s="146"/>
      <c r="EP114" s="139">
        <f t="shared" si="54"/>
        <v>0</v>
      </c>
      <c r="EQ114" s="139">
        <f t="shared" si="55"/>
        <v>0</v>
      </c>
      <c r="ER114" s="139">
        <f t="shared" si="56"/>
        <v>0</v>
      </c>
      <c r="ES114" s="139">
        <f t="shared" si="57"/>
        <v>0</v>
      </c>
      <c r="ET114" s="139">
        <f t="shared" si="58"/>
        <v>0</v>
      </c>
      <c r="EU114" s="139">
        <f t="shared" si="59"/>
        <v>0</v>
      </c>
      <c r="EV114" s="139">
        <f t="shared" si="60"/>
        <v>0</v>
      </c>
      <c r="EW114" s="139">
        <f t="shared" si="61"/>
        <v>0</v>
      </c>
      <c r="EX114" s="139">
        <f t="shared" si="62"/>
        <v>0</v>
      </c>
      <c r="EY114" s="139">
        <f t="shared" si="63"/>
        <v>0</v>
      </c>
      <c r="EZ114" s="139">
        <f t="shared" si="64"/>
        <v>0</v>
      </c>
      <c r="FA114" s="139">
        <f t="shared" si="65"/>
        <v>0</v>
      </c>
      <c r="FB114" s="139">
        <f t="shared" si="66"/>
        <v>0</v>
      </c>
      <c r="FC114" s="139">
        <f t="shared" si="67"/>
        <v>0</v>
      </c>
      <c r="FD114" s="139">
        <f t="shared" si="68"/>
        <v>0</v>
      </c>
      <c r="FE114" s="139">
        <f t="shared" si="69"/>
        <v>0</v>
      </c>
      <c r="FF114" s="139">
        <f t="shared" si="70"/>
        <v>0</v>
      </c>
      <c r="FG114" s="139">
        <f t="shared" si="71"/>
        <v>0</v>
      </c>
      <c r="FH114" s="139">
        <f t="shared" si="72"/>
        <v>0</v>
      </c>
      <c r="FI114" s="139">
        <f t="shared" si="73"/>
        <v>0</v>
      </c>
      <c r="FJ114" s="139">
        <f t="shared" si="74"/>
        <v>0</v>
      </c>
      <c r="FK114" s="139">
        <f t="shared" si="75"/>
        <v>0</v>
      </c>
      <c r="FL114" s="139">
        <f t="shared" si="76"/>
        <v>0</v>
      </c>
      <c r="FM114" s="139">
        <f t="shared" si="77"/>
        <v>0</v>
      </c>
      <c r="FN114" s="139">
        <f t="shared" si="78"/>
        <v>0</v>
      </c>
      <c r="FO114" s="139">
        <f t="shared" si="79"/>
        <v>0</v>
      </c>
      <c r="FP114" s="139">
        <f t="shared" si="80"/>
        <v>0</v>
      </c>
      <c r="FQ114" s="139">
        <f t="shared" si="81"/>
        <v>0</v>
      </c>
      <c r="FR114" s="139">
        <f t="shared" si="82"/>
        <v>0</v>
      </c>
      <c r="FS114" s="139">
        <f t="shared" si="83"/>
        <v>0</v>
      </c>
      <c r="FT114" s="139">
        <f t="shared" si="84"/>
        <v>0</v>
      </c>
      <c r="FU114" s="148">
        <f t="shared" si="85"/>
        <v>0</v>
      </c>
      <c r="FV114" s="149"/>
      <c r="FY114" s="210">
        <v>109</v>
      </c>
      <c r="FZ114">
        <v>35.583184527011532</v>
      </c>
      <c r="GA114">
        <v>38.853661977475696</v>
      </c>
      <c r="GB114">
        <v>1.9641689634992585</v>
      </c>
      <c r="GC114">
        <v>1.1206468334326021</v>
      </c>
      <c r="GD114">
        <v>1.1736397472649127</v>
      </c>
      <c r="GE114">
        <v>3.831114240382433</v>
      </c>
      <c r="GF114">
        <v>4.4256029364045091</v>
      </c>
      <c r="GG114">
        <v>3.1237740319434395</v>
      </c>
      <c r="GH114">
        <v>5.5898180569568376</v>
      </c>
      <c r="GI114">
        <v>8.1019505377329537</v>
      </c>
      <c r="GJ114"/>
      <c r="GK114"/>
      <c r="GL114"/>
      <c r="GM114"/>
    </row>
    <row r="115" spans="1:195" s="7" customFormat="1">
      <c r="A115" s="1"/>
      <c r="B115" s="76">
        <f ca="1">IF(C115="", "", RAND())</f>
        <v>6.2284510553119121E-2</v>
      </c>
      <c r="C115">
        <v>4</v>
      </c>
      <c r="D115">
        <v>39714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20.833333333333332</v>
      </c>
      <c r="L115">
        <v>10.416666666666666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 s="2"/>
      <c r="AK115" s="80"/>
      <c r="AL115" s="74"/>
      <c r="AM115" s="43">
        <v>99</v>
      </c>
      <c r="AN115">
        <v>106.37553854771326</v>
      </c>
      <c r="AO115">
        <v>7.64619722666062</v>
      </c>
      <c r="AP115">
        <v>74.971654125497921</v>
      </c>
      <c r="AQ115">
        <v>62.865292570735626</v>
      </c>
      <c r="AR115">
        <v>7.4459111156095643</v>
      </c>
      <c r="AS115">
        <v>118.76829824943452</v>
      </c>
      <c r="AT115">
        <v>4.3311957790984197</v>
      </c>
      <c r="AU115">
        <v>8.6460668562978196</v>
      </c>
      <c r="AV115"/>
      <c r="AW115"/>
      <c r="AX115" s="146"/>
      <c r="AY115" s="76">
        <f t="shared" ca="1" si="86"/>
        <v>0.99272169466027971</v>
      </c>
      <c r="AZ115">
        <v>8</v>
      </c>
      <c r="BA115" s="129">
        <f t="shared" si="127"/>
        <v>39714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 s="147"/>
      <c r="CH115" s="176"/>
      <c r="CJ115" s="146"/>
      <c r="CK115" s="76">
        <f t="shared" ca="1" si="88"/>
        <v>0.64917028574190905</v>
      </c>
      <c r="CL115" s="179">
        <f t="shared" si="89"/>
        <v>8</v>
      </c>
      <c r="CM115" s="180">
        <f t="shared" si="90"/>
        <v>39714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 s="160"/>
      <c r="CW115">
        <v>1</v>
      </c>
      <c r="CX115">
        <v>1</v>
      </c>
      <c r="CY115" s="164"/>
      <c r="CZ115" s="177">
        <f t="shared" si="91"/>
        <v>9.6000000000000002E-2</v>
      </c>
      <c r="DB115" s="146"/>
      <c r="DC115" s="76">
        <f t="shared" ca="1" si="49"/>
        <v>0.33390264062478092</v>
      </c>
      <c r="DD115">
        <f t="shared" si="92"/>
        <v>8</v>
      </c>
      <c r="DE115" s="129">
        <f t="shared" si="126"/>
        <v>39714</v>
      </c>
      <c r="DF115" s="161">
        <f t="shared" si="93"/>
        <v>0</v>
      </c>
      <c r="DG115" s="161">
        <f t="shared" si="94"/>
        <v>0</v>
      </c>
      <c r="DH115" s="161">
        <f t="shared" si="95"/>
        <v>0</v>
      </c>
      <c r="DI115" s="161">
        <f t="shared" si="96"/>
        <v>0</v>
      </c>
      <c r="DJ115" s="161">
        <f t="shared" si="97"/>
        <v>0</v>
      </c>
      <c r="DK115" s="161">
        <f t="shared" si="98"/>
        <v>0</v>
      </c>
      <c r="DL115" s="161">
        <f t="shared" si="99"/>
        <v>0</v>
      </c>
      <c r="DM115" s="161">
        <f t="shared" si="100"/>
        <v>0</v>
      </c>
      <c r="DN115" s="161">
        <f t="shared" si="101"/>
        <v>0</v>
      </c>
      <c r="DO115" s="161">
        <f t="shared" si="102"/>
        <v>0</v>
      </c>
      <c r="DP115" s="161">
        <f t="shared" si="103"/>
        <v>0</v>
      </c>
      <c r="DQ115" s="161">
        <f t="shared" si="104"/>
        <v>0</v>
      </c>
      <c r="DR115" s="161">
        <f t="shared" si="105"/>
        <v>0</v>
      </c>
      <c r="DS115" s="161">
        <f t="shared" si="106"/>
        <v>0</v>
      </c>
      <c r="DT115" s="161">
        <f t="shared" si="107"/>
        <v>0</v>
      </c>
      <c r="DU115" s="161">
        <f t="shared" si="108"/>
        <v>0</v>
      </c>
      <c r="DV115" s="161">
        <f t="shared" si="109"/>
        <v>0</v>
      </c>
      <c r="DW115" s="161">
        <f t="shared" si="110"/>
        <v>0</v>
      </c>
      <c r="DX115" s="161">
        <f t="shared" si="111"/>
        <v>0</v>
      </c>
      <c r="DY115" s="161">
        <f t="shared" si="112"/>
        <v>0</v>
      </c>
      <c r="DZ115" s="161">
        <f t="shared" si="113"/>
        <v>0</v>
      </c>
      <c r="EA115" s="161">
        <f t="shared" si="114"/>
        <v>0</v>
      </c>
      <c r="EB115" s="161">
        <f t="shared" si="115"/>
        <v>0</v>
      </c>
      <c r="EC115" s="161">
        <f t="shared" si="116"/>
        <v>0</v>
      </c>
      <c r="ED115" s="161">
        <f t="shared" si="117"/>
        <v>0</v>
      </c>
      <c r="EE115" s="161">
        <f t="shared" si="118"/>
        <v>0</v>
      </c>
      <c r="EF115" s="161">
        <f t="shared" si="119"/>
        <v>0</v>
      </c>
      <c r="EG115" s="161">
        <f t="shared" si="120"/>
        <v>0</v>
      </c>
      <c r="EH115" s="161">
        <f t="shared" si="121"/>
        <v>0</v>
      </c>
      <c r="EI115" s="161">
        <f t="shared" si="122"/>
        <v>0</v>
      </c>
      <c r="EJ115" s="161">
        <f t="shared" si="123"/>
        <v>0</v>
      </c>
      <c r="EK115" s="147">
        <f t="shared" si="53"/>
        <v>0</v>
      </c>
      <c r="EL115" s="149"/>
      <c r="EN115" s="146"/>
      <c r="EO115" s="146"/>
      <c r="EP115" s="139">
        <f t="shared" si="54"/>
        <v>0</v>
      </c>
      <c r="EQ115" s="139">
        <f t="shared" si="55"/>
        <v>0</v>
      </c>
      <c r="ER115" s="139">
        <f t="shared" si="56"/>
        <v>0</v>
      </c>
      <c r="ES115" s="139">
        <f t="shared" si="57"/>
        <v>0</v>
      </c>
      <c r="ET115" s="139">
        <f t="shared" si="58"/>
        <v>0</v>
      </c>
      <c r="EU115" s="139">
        <f t="shared" si="59"/>
        <v>0</v>
      </c>
      <c r="EV115" s="139">
        <f t="shared" si="60"/>
        <v>0</v>
      </c>
      <c r="EW115" s="139">
        <f t="shared" si="61"/>
        <v>0</v>
      </c>
      <c r="EX115" s="139">
        <f t="shared" si="62"/>
        <v>0</v>
      </c>
      <c r="EY115" s="139">
        <f t="shared" si="63"/>
        <v>0</v>
      </c>
      <c r="EZ115" s="139">
        <f t="shared" si="64"/>
        <v>0</v>
      </c>
      <c r="FA115" s="139">
        <f t="shared" si="65"/>
        <v>0</v>
      </c>
      <c r="FB115" s="139">
        <f t="shared" si="66"/>
        <v>0</v>
      </c>
      <c r="FC115" s="139">
        <f t="shared" si="67"/>
        <v>0</v>
      </c>
      <c r="FD115" s="139">
        <f t="shared" si="68"/>
        <v>0</v>
      </c>
      <c r="FE115" s="139">
        <f t="shared" si="69"/>
        <v>0</v>
      </c>
      <c r="FF115" s="139">
        <f t="shared" si="70"/>
        <v>0</v>
      </c>
      <c r="FG115" s="139">
        <f t="shared" si="71"/>
        <v>0</v>
      </c>
      <c r="FH115" s="139">
        <f t="shared" si="72"/>
        <v>0</v>
      </c>
      <c r="FI115" s="139">
        <f t="shared" si="73"/>
        <v>0</v>
      </c>
      <c r="FJ115" s="139">
        <f t="shared" si="74"/>
        <v>0</v>
      </c>
      <c r="FK115" s="139">
        <f t="shared" si="75"/>
        <v>0</v>
      </c>
      <c r="FL115" s="139">
        <f t="shared" si="76"/>
        <v>0</v>
      </c>
      <c r="FM115" s="139">
        <f t="shared" si="77"/>
        <v>0</v>
      </c>
      <c r="FN115" s="139">
        <f t="shared" si="78"/>
        <v>0</v>
      </c>
      <c r="FO115" s="139">
        <f t="shared" si="79"/>
        <v>0</v>
      </c>
      <c r="FP115" s="139">
        <f t="shared" si="80"/>
        <v>0</v>
      </c>
      <c r="FQ115" s="139">
        <f t="shared" si="81"/>
        <v>0</v>
      </c>
      <c r="FR115" s="139">
        <f t="shared" si="82"/>
        <v>0</v>
      </c>
      <c r="FS115" s="139">
        <f t="shared" si="83"/>
        <v>0</v>
      </c>
      <c r="FT115" s="139">
        <f t="shared" si="84"/>
        <v>0</v>
      </c>
      <c r="FU115" s="148">
        <f t="shared" si="85"/>
        <v>0</v>
      </c>
      <c r="FV115" s="149"/>
      <c r="FY115" s="210">
        <v>110</v>
      </c>
      <c r="FZ115">
        <v>14.41336806977097</v>
      </c>
      <c r="GA115">
        <v>16.590127572185636</v>
      </c>
      <c r="GB115">
        <v>2.6482599133766609</v>
      </c>
      <c r="GC115">
        <v>0.49528269342123571</v>
      </c>
      <c r="GD115">
        <v>0.71522208563199763</v>
      </c>
      <c r="GE115">
        <v>2.290534864092308</v>
      </c>
      <c r="GF115">
        <v>3.8865059736161665</v>
      </c>
      <c r="GG115">
        <v>4.4516643448274902</v>
      </c>
      <c r="GH115">
        <v>5.9234032766109905</v>
      </c>
      <c r="GI115">
        <v>4.8406812829899106</v>
      </c>
      <c r="GJ115"/>
      <c r="GK115"/>
      <c r="GL115"/>
      <c r="GM115"/>
    </row>
    <row r="116" spans="1:195" s="7" customFormat="1">
      <c r="A116" s="1"/>
      <c r="B116" s="76">
        <f ca="1">IF(C116="", "", RAND())</f>
        <v>0.66719344041921502</v>
      </c>
      <c r="C116">
        <v>6</v>
      </c>
      <c r="D116">
        <v>39714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 s="2"/>
      <c r="AK116" s="80"/>
      <c r="AL116" s="74"/>
      <c r="AM116" s="43">
        <v>100</v>
      </c>
      <c r="AN116">
        <v>171.55340129184194</v>
      </c>
      <c r="AO116">
        <v>16.816865100689064</v>
      </c>
      <c r="AP116">
        <v>171.40774855695031</v>
      </c>
      <c r="AQ116">
        <v>149.65601809719769</v>
      </c>
      <c r="AR116">
        <v>15.897666384911394</v>
      </c>
      <c r="AS116">
        <v>226.46231985626972</v>
      </c>
      <c r="AT116">
        <v>9.8491794348172554</v>
      </c>
      <c r="AU116">
        <v>29.555823566377555</v>
      </c>
      <c r="AV116"/>
      <c r="AW116"/>
      <c r="AX116" s="146"/>
      <c r="AY116" s="76">
        <f t="shared" ca="1" si="86"/>
        <v>0.16437997807270932</v>
      </c>
      <c r="AZ116">
        <v>9</v>
      </c>
      <c r="BA116" s="129">
        <f t="shared" si="127"/>
        <v>39714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1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 s="147"/>
      <c r="CH116" s="176"/>
      <c r="CJ116" s="146"/>
      <c r="CK116" s="76">
        <f t="shared" ca="1" si="88"/>
        <v>0.94664145560067103</v>
      </c>
      <c r="CL116" s="179">
        <f t="shared" si="89"/>
        <v>9</v>
      </c>
      <c r="CM116" s="180">
        <f t="shared" si="90"/>
        <v>39714</v>
      </c>
      <c r="CN116" s="219">
        <v>0</v>
      </c>
      <c r="CO116" s="219">
        <v>0</v>
      </c>
      <c r="CP116" s="219">
        <v>0</v>
      </c>
      <c r="CQ116" s="219">
        <v>0</v>
      </c>
      <c r="CR116" s="219">
        <v>0</v>
      </c>
      <c r="CS116" s="219">
        <v>0</v>
      </c>
      <c r="CT116">
        <v>0</v>
      </c>
      <c r="CU116">
        <v>0</v>
      </c>
      <c r="CV116" s="160"/>
      <c r="CW116">
        <v>1</v>
      </c>
      <c r="CX116">
        <f>300/31</f>
        <v>9.67741935483871</v>
      </c>
      <c r="CY116" s="164"/>
      <c r="CZ116" s="177">
        <f t="shared" si="91"/>
        <v>9.6000000000000002E-2</v>
      </c>
      <c r="DB116" s="146"/>
      <c r="DC116" s="76">
        <f t="shared" ca="1" si="49"/>
        <v>0.64568358912491708</v>
      </c>
      <c r="DD116">
        <f t="shared" si="92"/>
        <v>9</v>
      </c>
      <c r="DE116" s="129">
        <f t="shared" si="126"/>
        <v>39714</v>
      </c>
      <c r="DF116" s="161">
        <f t="shared" si="93"/>
        <v>0</v>
      </c>
      <c r="DG116" s="161">
        <f t="shared" si="94"/>
        <v>0</v>
      </c>
      <c r="DH116" s="161">
        <f t="shared" si="95"/>
        <v>0</v>
      </c>
      <c r="DI116" s="161">
        <f t="shared" si="96"/>
        <v>0</v>
      </c>
      <c r="DJ116" s="161">
        <f t="shared" si="97"/>
        <v>0</v>
      </c>
      <c r="DK116" s="161">
        <f t="shared" si="98"/>
        <v>10.416666666666666</v>
      </c>
      <c r="DL116" s="161">
        <f t="shared" si="99"/>
        <v>0</v>
      </c>
      <c r="DM116" s="161">
        <f t="shared" si="100"/>
        <v>0</v>
      </c>
      <c r="DN116" s="161">
        <f t="shared" si="101"/>
        <v>0</v>
      </c>
      <c r="DO116" s="161">
        <f t="shared" si="102"/>
        <v>0</v>
      </c>
      <c r="DP116" s="161">
        <f t="shared" si="103"/>
        <v>0</v>
      </c>
      <c r="DQ116" s="161">
        <f t="shared" si="104"/>
        <v>0</v>
      </c>
      <c r="DR116" s="161">
        <f t="shared" si="105"/>
        <v>0</v>
      </c>
      <c r="DS116" s="161">
        <f t="shared" si="106"/>
        <v>0</v>
      </c>
      <c r="DT116" s="161">
        <f t="shared" si="107"/>
        <v>0</v>
      </c>
      <c r="DU116" s="161">
        <f t="shared" si="108"/>
        <v>0</v>
      </c>
      <c r="DV116" s="161">
        <f t="shared" si="109"/>
        <v>0</v>
      </c>
      <c r="DW116" s="161">
        <f t="shared" si="110"/>
        <v>0</v>
      </c>
      <c r="DX116" s="161">
        <f t="shared" si="111"/>
        <v>0</v>
      </c>
      <c r="DY116" s="161">
        <f t="shared" si="112"/>
        <v>0</v>
      </c>
      <c r="DZ116" s="161">
        <f t="shared" si="113"/>
        <v>0</v>
      </c>
      <c r="EA116" s="161">
        <f t="shared" si="114"/>
        <v>0</v>
      </c>
      <c r="EB116" s="161">
        <f t="shared" si="115"/>
        <v>0</v>
      </c>
      <c r="EC116" s="161">
        <f t="shared" si="116"/>
        <v>0</v>
      </c>
      <c r="ED116" s="161">
        <f t="shared" si="117"/>
        <v>0</v>
      </c>
      <c r="EE116" s="161">
        <f t="shared" si="118"/>
        <v>0</v>
      </c>
      <c r="EF116" s="161">
        <f t="shared" si="119"/>
        <v>0</v>
      </c>
      <c r="EG116" s="161">
        <f t="shared" si="120"/>
        <v>0</v>
      </c>
      <c r="EH116" s="161">
        <f t="shared" si="121"/>
        <v>0</v>
      </c>
      <c r="EI116" s="161">
        <f t="shared" si="122"/>
        <v>0</v>
      </c>
      <c r="EJ116" s="161">
        <f t="shared" si="123"/>
        <v>0</v>
      </c>
      <c r="EK116" s="147">
        <f t="shared" si="53"/>
        <v>10.416666666666666</v>
      </c>
      <c r="EL116" s="149"/>
      <c r="EN116" s="146"/>
      <c r="EO116" s="146"/>
      <c r="EP116" s="139">
        <f t="shared" si="54"/>
        <v>0</v>
      </c>
      <c r="EQ116" s="139">
        <f t="shared" si="55"/>
        <v>0</v>
      </c>
      <c r="ER116" s="139">
        <f t="shared" si="56"/>
        <v>0</v>
      </c>
      <c r="ES116" s="139">
        <f t="shared" si="57"/>
        <v>0</v>
      </c>
      <c r="ET116" s="139">
        <f t="shared" si="58"/>
        <v>0</v>
      </c>
      <c r="EU116" s="139">
        <f t="shared" si="59"/>
        <v>3.5160673928895911</v>
      </c>
      <c r="EV116" s="139">
        <f t="shared" si="60"/>
        <v>0</v>
      </c>
      <c r="EW116" s="139">
        <f t="shared" si="61"/>
        <v>0</v>
      </c>
      <c r="EX116" s="139">
        <f t="shared" si="62"/>
        <v>0</v>
      </c>
      <c r="EY116" s="139">
        <f t="shared" si="63"/>
        <v>0</v>
      </c>
      <c r="EZ116" s="139">
        <f t="shared" si="64"/>
        <v>0</v>
      </c>
      <c r="FA116" s="139">
        <f t="shared" si="65"/>
        <v>0</v>
      </c>
      <c r="FB116" s="139">
        <f t="shared" si="66"/>
        <v>0</v>
      </c>
      <c r="FC116" s="139">
        <f t="shared" si="67"/>
        <v>0</v>
      </c>
      <c r="FD116" s="139">
        <f t="shared" si="68"/>
        <v>0</v>
      </c>
      <c r="FE116" s="139">
        <f t="shared" si="69"/>
        <v>0</v>
      </c>
      <c r="FF116" s="139">
        <f t="shared" si="70"/>
        <v>0</v>
      </c>
      <c r="FG116" s="139">
        <f t="shared" si="71"/>
        <v>0</v>
      </c>
      <c r="FH116" s="139">
        <f t="shared" si="72"/>
        <v>0</v>
      </c>
      <c r="FI116" s="139">
        <f t="shared" si="73"/>
        <v>0</v>
      </c>
      <c r="FJ116" s="139">
        <f t="shared" si="74"/>
        <v>0</v>
      </c>
      <c r="FK116" s="139">
        <f t="shared" si="75"/>
        <v>0</v>
      </c>
      <c r="FL116" s="139">
        <f t="shared" si="76"/>
        <v>0</v>
      </c>
      <c r="FM116" s="139">
        <f t="shared" si="77"/>
        <v>0</v>
      </c>
      <c r="FN116" s="139">
        <f t="shared" si="78"/>
        <v>0</v>
      </c>
      <c r="FO116" s="139">
        <f t="shared" si="79"/>
        <v>0</v>
      </c>
      <c r="FP116" s="139">
        <f t="shared" si="80"/>
        <v>0</v>
      </c>
      <c r="FQ116" s="139">
        <f t="shared" si="81"/>
        <v>0</v>
      </c>
      <c r="FR116" s="139">
        <f t="shared" si="82"/>
        <v>0</v>
      </c>
      <c r="FS116" s="139">
        <f t="shared" si="83"/>
        <v>0</v>
      </c>
      <c r="FT116" s="139">
        <f t="shared" si="84"/>
        <v>0</v>
      </c>
      <c r="FU116" s="148">
        <f t="shared" si="85"/>
        <v>3.5160673928895911</v>
      </c>
      <c r="FV116" s="149"/>
      <c r="FY116" s="210">
        <v>111</v>
      </c>
      <c r="FZ116">
        <v>33.038410435849634</v>
      </c>
      <c r="GA116">
        <v>40.445008327649049</v>
      </c>
      <c r="GB116">
        <v>3.3579663170245428</v>
      </c>
      <c r="GC116">
        <v>1.7191008099827016</v>
      </c>
      <c r="GD116">
        <v>1.4407955178454608</v>
      </c>
      <c r="GE116">
        <v>2.957376579138518</v>
      </c>
      <c r="GF116">
        <v>3.4239950092495914</v>
      </c>
      <c r="GG116">
        <v>3.5410337296791292</v>
      </c>
      <c r="GH116">
        <v>4.9395623860851554</v>
      </c>
      <c r="GI116">
        <v>7.9517451161281283</v>
      </c>
      <c r="GJ116"/>
      <c r="GK116"/>
      <c r="GL116"/>
      <c r="GM116"/>
    </row>
    <row r="117" spans="1:195" s="7" customFormat="1">
      <c r="A117" s="1"/>
      <c r="B117" s="76">
        <f ca="1">IF(C117="", "", RAND())</f>
        <v>0.11648040884810973</v>
      </c>
      <c r="C117">
        <v>7</v>
      </c>
      <c r="D117">
        <v>39714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 s="2"/>
      <c r="AK117" s="80"/>
      <c r="AL117" s="74"/>
      <c r="AM117" s="43">
        <v>101</v>
      </c>
      <c r="AN117">
        <v>161.55036729929537</v>
      </c>
      <c r="AO117">
        <v>13.938527388804218</v>
      </c>
      <c r="AP117">
        <v>135.31321821788342</v>
      </c>
      <c r="AQ117">
        <v>115.2894529717428</v>
      </c>
      <c r="AR117">
        <v>13.338625910549052</v>
      </c>
      <c r="AS117">
        <v>217.53016954149689</v>
      </c>
      <c r="AT117">
        <v>7.6544594647499125</v>
      </c>
      <c r="AU117">
        <v>60.773718679688329</v>
      </c>
      <c r="AV117"/>
      <c r="AW117"/>
      <c r="AX117" s="146"/>
      <c r="AY117" s="76">
        <f t="shared" ca="1" si="86"/>
        <v>0.80112601072231926</v>
      </c>
      <c r="AZ117">
        <v>10</v>
      </c>
      <c r="BA117" s="129">
        <f t="shared" si="127"/>
        <v>39714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 s="147"/>
      <c r="CH117" s="176"/>
      <c r="CJ117" s="146"/>
      <c r="CK117" s="76">
        <f t="shared" ca="1" si="88"/>
        <v>0.39080847916952166</v>
      </c>
      <c r="CL117" s="179">
        <f t="shared" si="89"/>
        <v>10</v>
      </c>
      <c r="CM117" s="180">
        <f t="shared" si="90"/>
        <v>39714</v>
      </c>
      <c r="CN117">
        <v>0</v>
      </c>
      <c r="CO117">
        <v>0</v>
      </c>
      <c r="CP117">
        <v>1</v>
      </c>
      <c r="CQ117">
        <v>0</v>
      </c>
      <c r="CR117">
        <v>0</v>
      </c>
      <c r="CS117">
        <v>0</v>
      </c>
      <c r="CT117">
        <v>0</v>
      </c>
      <c r="CU117">
        <v>0</v>
      </c>
      <c r="CV117" s="160"/>
      <c r="CW117">
        <v>1</v>
      </c>
      <c r="CX117">
        <f>300/35</f>
        <v>8.5714285714285712</v>
      </c>
      <c r="CY117" s="164"/>
      <c r="CZ117" s="177">
        <f t="shared" si="91"/>
        <v>9.6000000000000002E-2</v>
      </c>
      <c r="DB117" s="146"/>
      <c r="DC117" s="76">
        <f t="shared" ca="1" si="49"/>
        <v>0.10512354540224944</v>
      </c>
      <c r="DD117">
        <f t="shared" si="92"/>
        <v>10</v>
      </c>
      <c r="DE117" s="129">
        <f t="shared" si="126"/>
        <v>39714</v>
      </c>
      <c r="DF117" s="161">
        <f t="shared" si="93"/>
        <v>0</v>
      </c>
      <c r="DG117" s="161">
        <f t="shared" si="94"/>
        <v>0</v>
      </c>
      <c r="DH117" s="161">
        <f t="shared" si="95"/>
        <v>89.285714285714278</v>
      </c>
      <c r="DI117" s="161">
        <f t="shared" si="96"/>
        <v>0</v>
      </c>
      <c r="DJ117" s="161">
        <f t="shared" si="97"/>
        <v>0</v>
      </c>
      <c r="DK117" s="161">
        <f t="shared" si="98"/>
        <v>0</v>
      </c>
      <c r="DL117" s="161">
        <f t="shared" si="99"/>
        <v>0</v>
      </c>
      <c r="DM117" s="161">
        <f t="shared" si="100"/>
        <v>0</v>
      </c>
      <c r="DN117" s="161">
        <f t="shared" si="101"/>
        <v>0</v>
      </c>
      <c r="DO117" s="161">
        <f t="shared" si="102"/>
        <v>0</v>
      </c>
      <c r="DP117" s="161">
        <f t="shared" si="103"/>
        <v>0</v>
      </c>
      <c r="DQ117" s="161">
        <f t="shared" si="104"/>
        <v>0</v>
      </c>
      <c r="DR117" s="161">
        <f t="shared" si="105"/>
        <v>0</v>
      </c>
      <c r="DS117" s="161">
        <f t="shared" si="106"/>
        <v>0</v>
      </c>
      <c r="DT117" s="161">
        <f t="shared" si="107"/>
        <v>0</v>
      </c>
      <c r="DU117" s="161">
        <f t="shared" si="108"/>
        <v>0</v>
      </c>
      <c r="DV117" s="161">
        <f t="shared" si="109"/>
        <v>0</v>
      </c>
      <c r="DW117" s="161">
        <f t="shared" si="110"/>
        <v>0</v>
      </c>
      <c r="DX117" s="161">
        <f t="shared" si="111"/>
        <v>0</v>
      </c>
      <c r="DY117" s="161">
        <f t="shared" si="112"/>
        <v>0</v>
      </c>
      <c r="DZ117" s="161">
        <f t="shared" si="113"/>
        <v>0</v>
      </c>
      <c r="EA117" s="161">
        <f t="shared" si="114"/>
        <v>0</v>
      </c>
      <c r="EB117" s="161">
        <f t="shared" si="115"/>
        <v>0</v>
      </c>
      <c r="EC117" s="161">
        <f t="shared" si="116"/>
        <v>0</v>
      </c>
      <c r="ED117" s="161">
        <f t="shared" si="117"/>
        <v>0</v>
      </c>
      <c r="EE117" s="161">
        <f t="shared" si="118"/>
        <v>0</v>
      </c>
      <c r="EF117" s="161">
        <f t="shared" si="119"/>
        <v>0</v>
      </c>
      <c r="EG117" s="161">
        <f t="shared" si="120"/>
        <v>0</v>
      </c>
      <c r="EH117" s="161">
        <f t="shared" si="121"/>
        <v>0</v>
      </c>
      <c r="EI117" s="161">
        <f t="shared" si="122"/>
        <v>0</v>
      </c>
      <c r="EJ117" s="161">
        <f t="shared" si="123"/>
        <v>0</v>
      </c>
      <c r="EK117" s="147">
        <f t="shared" si="53"/>
        <v>89.285714285714278</v>
      </c>
      <c r="EL117" s="149"/>
      <c r="EN117" s="146"/>
      <c r="EO117" s="146"/>
      <c r="EP117" s="139">
        <f t="shared" si="54"/>
        <v>0</v>
      </c>
      <c r="EQ117" s="139">
        <f t="shared" si="55"/>
        <v>0</v>
      </c>
      <c r="ER117" s="139">
        <f t="shared" si="56"/>
        <v>2.3019336242236048</v>
      </c>
      <c r="ES117" s="139">
        <f t="shared" si="57"/>
        <v>0</v>
      </c>
      <c r="ET117" s="139">
        <f t="shared" si="58"/>
        <v>0</v>
      </c>
      <c r="EU117" s="139">
        <f t="shared" si="59"/>
        <v>0</v>
      </c>
      <c r="EV117" s="139">
        <f t="shared" si="60"/>
        <v>0</v>
      </c>
      <c r="EW117" s="139">
        <f t="shared" si="61"/>
        <v>0</v>
      </c>
      <c r="EX117" s="139">
        <f t="shared" si="62"/>
        <v>0</v>
      </c>
      <c r="EY117" s="139">
        <f t="shared" si="63"/>
        <v>0</v>
      </c>
      <c r="EZ117" s="139">
        <f t="shared" si="64"/>
        <v>0</v>
      </c>
      <c r="FA117" s="139">
        <f t="shared" si="65"/>
        <v>0</v>
      </c>
      <c r="FB117" s="139">
        <f t="shared" si="66"/>
        <v>0</v>
      </c>
      <c r="FC117" s="139">
        <f t="shared" si="67"/>
        <v>0</v>
      </c>
      <c r="FD117" s="139">
        <f t="shared" si="68"/>
        <v>0</v>
      </c>
      <c r="FE117" s="139">
        <f t="shared" si="69"/>
        <v>0</v>
      </c>
      <c r="FF117" s="139">
        <f t="shared" si="70"/>
        <v>0</v>
      </c>
      <c r="FG117" s="139">
        <f t="shared" si="71"/>
        <v>0</v>
      </c>
      <c r="FH117" s="139">
        <f t="shared" si="72"/>
        <v>0</v>
      </c>
      <c r="FI117" s="139">
        <f t="shared" si="73"/>
        <v>0</v>
      </c>
      <c r="FJ117" s="139">
        <f t="shared" si="74"/>
        <v>0</v>
      </c>
      <c r="FK117" s="139">
        <f t="shared" si="75"/>
        <v>0</v>
      </c>
      <c r="FL117" s="139">
        <f t="shared" si="76"/>
        <v>0</v>
      </c>
      <c r="FM117" s="139">
        <f t="shared" si="77"/>
        <v>0</v>
      </c>
      <c r="FN117" s="139">
        <f t="shared" si="78"/>
        <v>0</v>
      </c>
      <c r="FO117" s="139">
        <f t="shared" si="79"/>
        <v>0</v>
      </c>
      <c r="FP117" s="139">
        <f t="shared" si="80"/>
        <v>0</v>
      </c>
      <c r="FQ117" s="139">
        <f t="shared" si="81"/>
        <v>0</v>
      </c>
      <c r="FR117" s="139">
        <f t="shared" si="82"/>
        <v>0</v>
      </c>
      <c r="FS117" s="139">
        <f t="shared" si="83"/>
        <v>0</v>
      </c>
      <c r="FT117" s="139">
        <f t="shared" si="84"/>
        <v>0</v>
      </c>
      <c r="FU117" s="148">
        <f t="shared" si="85"/>
        <v>2.3019336242236048</v>
      </c>
      <c r="FV117" s="149"/>
      <c r="FY117" s="210">
        <v>112</v>
      </c>
      <c r="FZ117">
        <v>23.351155997384176</v>
      </c>
      <c r="GA117">
        <v>26.981281950904226</v>
      </c>
      <c r="GB117">
        <v>3.1258701853546365</v>
      </c>
      <c r="GC117">
        <v>1.6767414033715897</v>
      </c>
      <c r="GD117">
        <v>0.4324905629097785</v>
      </c>
      <c r="GE117">
        <v>0.87051803760904645</v>
      </c>
      <c r="GF117">
        <v>3.8150242483112309</v>
      </c>
      <c r="GG117">
        <v>7.7935556411330893</v>
      </c>
      <c r="GH117">
        <v>10.565887977657093</v>
      </c>
      <c r="GI117">
        <v>6.8327983330840754</v>
      </c>
      <c r="GJ117"/>
      <c r="GK117"/>
      <c r="GL117"/>
      <c r="GM117"/>
    </row>
    <row r="118" spans="1:195" s="7" customFormat="1">
      <c r="A118" s="128"/>
      <c r="B118" s="76">
        <f ca="1">IF(C118="", "", RAND())</f>
        <v>0.49566007858473071</v>
      </c>
      <c r="C118">
        <v>6</v>
      </c>
      <c r="D118">
        <v>39747</v>
      </c>
      <c r="E118">
        <v>0</v>
      </c>
      <c r="F118">
        <v>0</v>
      </c>
      <c r="G118">
        <v>325.52083333333331</v>
      </c>
      <c r="H118">
        <v>0</v>
      </c>
      <c r="I118">
        <v>65.104166666666671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 s="2"/>
      <c r="AK118" s="80"/>
      <c r="AL118" s="74"/>
      <c r="AM118" s="43">
        <v>102</v>
      </c>
      <c r="AN118">
        <v>127.83759566481532</v>
      </c>
      <c r="AO118">
        <v>8.5555624187568551</v>
      </c>
      <c r="AP118">
        <v>86.732375390215282</v>
      </c>
      <c r="AQ118">
        <v>71.646023127436621</v>
      </c>
      <c r="AR118">
        <v>8.2964972608479695</v>
      </c>
      <c r="AS118">
        <v>140.1404196273055</v>
      </c>
      <c r="AT118">
        <v>4.8378243032081212</v>
      </c>
      <c r="AU118">
        <v>46.355493392476248</v>
      </c>
      <c r="AV118"/>
      <c r="AW118"/>
      <c r="AX118" s="128"/>
      <c r="AY118" s="76">
        <f t="shared" ca="1" si="86"/>
        <v>0.392720299675416</v>
      </c>
      <c r="AZ118">
        <v>1</v>
      </c>
      <c r="BA118" s="129">
        <f>IF(AZ118="", "",$C$7)</f>
        <v>39747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 s="147"/>
      <c r="CH118" s="176"/>
      <c r="CJ118" s="128"/>
      <c r="CK118" s="76">
        <f t="shared" ca="1" si="88"/>
        <v>0.26104650907343085</v>
      </c>
      <c r="CL118" s="179">
        <f t="shared" si="89"/>
        <v>1</v>
      </c>
      <c r="CM118" s="180">
        <f t="shared" si="90"/>
        <v>39747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 s="160"/>
      <c r="CW118">
        <v>1</v>
      </c>
      <c r="CX118">
        <f>350/42</f>
        <v>8.3333333333333339</v>
      </c>
      <c r="CY118" s="160"/>
      <c r="CZ118" s="177">
        <f t="shared" si="91"/>
        <v>9.6000000000000002E-2</v>
      </c>
      <c r="DB118" s="128"/>
      <c r="DC118" s="76">
        <f t="shared" ca="1" si="49"/>
        <v>0.9720790514453741</v>
      </c>
      <c r="DD118">
        <f t="shared" si="92"/>
        <v>1</v>
      </c>
      <c r="DE118" s="129">
        <f t="shared" ref="DE118:DE127" si="128">IF((DD118)="", "", $C$7)</f>
        <v>39747</v>
      </c>
      <c r="DF118" s="161">
        <f t="shared" si="93"/>
        <v>0</v>
      </c>
      <c r="DG118" s="161">
        <f t="shared" si="94"/>
        <v>0</v>
      </c>
      <c r="DH118" s="161">
        <f t="shared" si="95"/>
        <v>0</v>
      </c>
      <c r="DI118" s="161">
        <f t="shared" si="96"/>
        <v>0</v>
      </c>
      <c r="DJ118" s="161">
        <f t="shared" si="97"/>
        <v>0</v>
      </c>
      <c r="DK118" s="161">
        <f t="shared" si="98"/>
        <v>0</v>
      </c>
      <c r="DL118" s="161">
        <f t="shared" si="99"/>
        <v>0</v>
      </c>
      <c r="DM118" s="161">
        <f t="shared" si="100"/>
        <v>0</v>
      </c>
      <c r="DN118" s="161">
        <f t="shared" si="101"/>
        <v>0</v>
      </c>
      <c r="DO118" s="161">
        <f t="shared" si="102"/>
        <v>0</v>
      </c>
      <c r="DP118" s="161">
        <f t="shared" si="103"/>
        <v>0</v>
      </c>
      <c r="DQ118" s="161">
        <f t="shared" si="104"/>
        <v>0</v>
      </c>
      <c r="DR118" s="161">
        <f t="shared" si="105"/>
        <v>0</v>
      </c>
      <c r="DS118" s="161">
        <f t="shared" si="106"/>
        <v>0</v>
      </c>
      <c r="DT118" s="161">
        <f t="shared" si="107"/>
        <v>0</v>
      </c>
      <c r="DU118" s="161">
        <f t="shared" si="108"/>
        <v>0</v>
      </c>
      <c r="DV118" s="161">
        <f t="shared" si="109"/>
        <v>0</v>
      </c>
      <c r="DW118" s="161">
        <f t="shared" si="110"/>
        <v>0</v>
      </c>
      <c r="DX118" s="161">
        <f t="shared" si="111"/>
        <v>0</v>
      </c>
      <c r="DY118" s="161">
        <f t="shared" si="112"/>
        <v>0</v>
      </c>
      <c r="DZ118" s="161">
        <f t="shared" si="113"/>
        <v>0</v>
      </c>
      <c r="EA118" s="161">
        <f t="shared" si="114"/>
        <v>0</v>
      </c>
      <c r="EB118" s="161">
        <f t="shared" si="115"/>
        <v>0</v>
      </c>
      <c r="EC118" s="161">
        <f t="shared" si="116"/>
        <v>0</v>
      </c>
      <c r="ED118" s="161">
        <f t="shared" si="117"/>
        <v>0</v>
      </c>
      <c r="EE118" s="161">
        <f t="shared" si="118"/>
        <v>0</v>
      </c>
      <c r="EF118" s="161">
        <f t="shared" si="119"/>
        <v>0</v>
      </c>
      <c r="EG118" s="161">
        <f t="shared" si="120"/>
        <v>0</v>
      </c>
      <c r="EH118" s="161">
        <f t="shared" si="121"/>
        <v>0</v>
      </c>
      <c r="EI118" s="161">
        <f t="shared" si="122"/>
        <v>0</v>
      </c>
      <c r="EJ118" s="161">
        <f t="shared" si="123"/>
        <v>0</v>
      </c>
      <c r="EK118" s="147">
        <f t="shared" si="53"/>
        <v>0</v>
      </c>
      <c r="EL118" s="149"/>
      <c r="EN118" s="146"/>
      <c r="EO118" s="146"/>
      <c r="EP118" s="139">
        <f t="shared" si="54"/>
        <v>0</v>
      </c>
      <c r="EQ118" s="139">
        <f t="shared" si="55"/>
        <v>0</v>
      </c>
      <c r="ER118" s="139">
        <f t="shared" si="56"/>
        <v>0</v>
      </c>
      <c r="ES118" s="139">
        <f t="shared" si="57"/>
        <v>0</v>
      </c>
      <c r="ET118" s="139">
        <f t="shared" si="58"/>
        <v>0</v>
      </c>
      <c r="EU118" s="139">
        <f t="shared" si="59"/>
        <v>0</v>
      </c>
      <c r="EV118" s="139">
        <f t="shared" si="60"/>
        <v>0</v>
      </c>
      <c r="EW118" s="139">
        <f t="shared" si="61"/>
        <v>0</v>
      </c>
      <c r="EX118" s="139">
        <f t="shared" si="62"/>
        <v>0</v>
      </c>
      <c r="EY118" s="139">
        <f t="shared" si="63"/>
        <v>0</v>
      </c>
      <c r="EZ118" s="139">
        <f t="shared" si="64"/>
        <v>0</v>
      </c>
      <c r="FA118" s="139">
        <f t="shared" si="65"/>
        <v>0</v>
      </c>
      <c r="FB118" s="139">
        <f t="shared" si="66"/>
        <v>0</v>
      </c>
      <c r="FC118" s="139">
        <f t="shared" si="67"/>
        <v>0</v>
      </c>
      <c r="FD118" s="139">
        <f t="shared" si="68"/>
        <v>0</v>
      </c>
      <c r="FE118" s="139">
        <f t="shared" si="69"/>
        <v>0</v>
      </c>
      <c r="FF118" s="139">
        <f t="shared" si="70"/>
        <v>0</v>
      </c>
      <c r="FG118" s="139">
        <f t="shared" si="71"/>
        <v>0</v>
      </c>
      <c r="FH118" s="139">
        <f t="shared" si="72"/>
        <v>0</v>
      </c>
      <c r="FI118" s="139">
        <f t="shared" si="73"/>
        <v>0</v>
      </c>
      <c r="FJ118" s="139">
        <f t="shared" si="74"/>
        <v>0</v>
      </c>
      <c r="FK118" s="139">
        <f t="shared" si="75"/>
        <v>0</v>
      </c>
      <c r="FL118" s="139">
        <f t="shared" si="76"/>
        <v>0</v>
      </c>
      <c r="FM118" s="139">
        <f t="shared" si="77"/>
        <v>0</v>
      </c>
      <c r="FN118" s="139">
        <f t="shared" si="78"/>
        <v>0</v>
      </c>
      <c r="FO118" s="139">
        <f t="shared" si="79"/>
        <v>0</v>
      </c>
      <c r="FP118" s="139">
        <f t="shared" si="80"/>
        <v>0</v>
      </c>
      <c r="FQ118" s="139">
        <f t="shared" si="81"/>
        <v>0</v>
      </c>
      <c r="FR118" s="139">
        <f t="shared" si="82"/>
        <v>0</v>
      </c>
      <c r="FS118" s="139">
        <f t="shared" si="83"/>
        <v>0</v>
      </c>
      <c r="FT118" s="139">
        <f t="shared" si="84"/>
        <v>0</v>
      </c>
      <c r="FU118" s="148">
        <f t="shared" si="85"/>
        <v>0</v>
      </c>
      <c r="FV118" s="149"/>
      <c r="FY118" s="210">
        <v>113</v>
      </c>
      <c r="FZ118">
        <v>22.098351470218695</v>
      </c>
      <c r="GA118">
        <v>28.107265352992286</v>
      </c>
      <c r="GB118">
        <v>3.9441279860144256</v>
      </c>
      <c r="GC118">
        <v>1.6420345097190991</v>
      </c>
      <c r="GD118">
        <v>0.5270669123890106</v>
      </c>
      <c r="GE118">
        <v>4.5669071565003465</v>
      </c>
      <c r="GF118">
        <v>10.700033632375678</v>
      </c>
      <c r="GG118">
        <v>7.1886869326942051</v>
      </c>
      <c r="GH118">
        <v>6.6452112929210081</v>
      </c>
      <c r="GI118">
        <v>7.520687787250468</v>
      </c>
      <c r="GJ118"/>
      <c r="GK118"/>
      <c r="GL118"/>
      <c r="GM118"/>
    </row>
    <row r="119" spans="1:195" s="7" customFormat="1">
      <c r="A119" s="1"/>
      <c r="B119" s="76">
        <f ca="1">IF(C119="", "", RAND())</f>
        <v>0.86829394118502545</v>
      </c>
      <c r="C119">
        <v>1</v>
      </c>
      <c r="D119">
        <v>39747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 s="2"/>
      <c r="AK119" s="80"/>
      <c r="AL119" s="74"/>
      <c r="AM119" s="43">
        <v>103</v>
      </c>
      <c r="AN119">
        <v>127.67669951600524</v>
      </c>
      <c r="AO119">
        <v>12.430433332156422</v>
      </c>
      <c r="AP119">
        <v>122.51062327385985</v>
      </c>
      <c r="AQ119">
        <v>103.68344078351939</v>
      </c>
      <c r="AR119">
        <v>11.880168747886515</v>
      </c>
      <c r="AS119">
        <v>203.22605911915349</v>
      </c>
      <c r="AT119">
        <v>7.1945122266200059</v>
      </c>
      <c r="AU119">
        <v>43.659434293078235</v>
      </c>
      <c r="AV119"/>
      <c r="AW119"/>
      <c r="AX119" s="146"/>
      <c r="AY119" s="76">
        <f t="shared" ca="1" si="86"/>
        <v>0.32247815749656139</v>
      </c>
      <c r="AZ119">
        <v>2</v>
      </c>
      <c r="BA119" s="129">
        <f t="shared" ref="BA119:BA127" si="129">IF(AZ119="", "",$C$7)</f>
        <v>39747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 s="147"/>
      <c r="CH119" s="176"/>
      <c r="CJ119" s="146"/>
      <c r="CK119" s="76">
        <f t="shared" ca="1" si="88"/>
        <v>0.17032126383767188</v>
      </c>
      <c r="CL119" s="179">
        <f t="shared" si="89"/>
        <v>2</v>
      </c>
      <c r="CM119" s="180">
        <f t="shared" si="90"/>
        <v>39747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 s="160"/>
      <c r="CW119">
        <f>20/8</f>
        <v>2.5</v>
      </c>
      <c r="CX119">
        <f>350/40</f>
        <v>8.75</v>
      </c>
      <c r="CY119" s="160"/>
      <c r="CZ119" s="177">
        <f t="shared" si="91"/>
        <v>9.6000000000000002E-2</v>
      </c>
      <c r="DB119" s="146"/>
      <c r="DC119" s="76">
        <f t="shared" ca="1" si="49"/>
        <v>0.32063124329140869</v>
      </c>
      <c r="DD119">
        <f t="shared" si="92"/>
        <v>2</v>
      </c>
      <c r="DE119" s="129">
        <f t="shared" si="128"/>
        <v>39747</v>
      </c>
      <c r="DF119" s="161">
        <f t="shared" si="93"/>
        <v>0</v>
      </c>
      <c r="DG119" s="161">
        <f t="shared" si="94"/>
        <v>0</v>
      </c>
      <c r="DH119" s="161">
        <f t="shared" si="95"/>
        <v>0</v>
      </c>
      <c r="DI119" s="161">
        <f t="shared" si="96"/>
        <v>0</v>
      </c>
      <c r="DJ119" s="161">
        <f t="shared" si="97"/>
        <v>0</v>
      </c>
      <c r="DK119" s="161">
        <f t="shared" si="98"/>
        <v>0</v>
      </c>
      <c r="DL119" s="161">
        <f t="shared" si="99"/>
        <v>0</v>
      </c>
      <c r="DM119" s="161">
        <f t="shared" si="100"/>
        <v>0</v>
      </c>
      <c r="DN119" s="161">
        <f t="shared" si="101"/>
        <v>0</v>
      </c>
      <c r="DO119" s="161">
        <f t="shared" si="102"/>
        <v>0</v>
      </c>
      <c r="DP119" s="161">
        <f t="shared" si="103"/>
        <v>0</v>
      </c>
      <c r="DQ119" s="161">
        <f t="shared" si="104"/>
        <v>0</v>
      </c>
      <c r="DR119" s="161">
        <f t="shared" si="105"/>
        <v>0</v>
      </c>
      <c r="DS119" s="161">
        <f t="shared" si="106"/>
        <v>0</v>
      </c>
      <c r="DT119" s="161">
        <f t="shared" si="107"/>
        <v>0</v>
      </c>
      <c r="DU119" s="161">
        <f t="shared" si="108"/>
        <v>0</v>
      </c>
      <c r="DV119" s="161">
        <f t="shared" si="109"/>
        <v>0</v>
      </c>
      <c r="DW119" s="161">
        <f t="shared" si="110"/>
        <v>0</v>
      </c>
      <c r="DX119" s="161">
        <f t="shared" si="111"/>
        <v>0</v>
      </c>
      <c r="DY119" s="161">
        <f t="shared" si="112"/>
        <v>0</v>
      </c>
      <c r="DZ119" s="161">
        <f t="shared" si="113"/>
        <v>0</v>
      </c>
      <c r="EA119" s="161">
        <f t="shared" si="114"/>
        <v>0</v>
      </c>
      <c r="EB119" s="161">
        <f t="shared" si="115"/>
        <v>0</v>
      </c>
      <c r="EC119" s="161">
        <f t="shared" si="116"/>
        <v>0</v>
      </c>
      <c r="ED119" s="161">
        <f t="shared" si="117"/>
        <v>0</v>
      </c>
      <c r="EE119" s="161">
        <f t="shared" si="118"/>
        <v>0</v>
      </c>
      <c r="EF119" s="161">
        <f t="shared" si="119"/>
        <v>0</v>
      </c>
      <c r="EG119" s="161">
        <f t="shared" si="120"/>
        <v>0</v>
      </c>
      <c r="EH119" s="161">
        <f t="shared" si="121"/>
        <v>0</v>
      </c>
      <c r="EI119" s="161">
        <f t="shared" si="122"/>
        <v>0</v>
      </c>
      <c r="EJ119" s="161">
        <f t="shared" si="123"/>
        <v>0</v>
      </c>
      <c r="EK119" s="147">
        <f t="shared" si="53"/>
        <v>0</v>
      </c>
      <c r="EL119" s="149"/>
      <c r="EN119" s="146"/>
      <c r="EO119" s="146"/>
      <c r="EP119" s="139">
        <f t="shared" si="54"/>
        <v>0</v>
      </c>
      <c r="EQ119" s="139">
        <f t="shared" si="55"/>
        <v>0</v>
      </c>
      <c r="ER119" s="139">
        <f t="shared" si="56"/>
        <v>0</v>
      </c>
      <c r="ES119" s="139">
        <f t="shared" si="57"/>
        <v>0</v>
      </c>
      <c r="ET119" s="139">
        <f t="shared" si="58"/>
        <v>0</v>
      </c>
      <c r="EU119" s="139">
        <f t="shared" si="59"/>
        <v>0</v>
      </c>
      <c r="EV119" s="139">
        <f t="shared" si="60"/>
        <v>0</v>
      </c>
      <c r="EW119" s="139">
        <f t="shared" si="61"/>
        <v>0</v>
      </c>
      <c r="EX119" s="139">
        <f t="shared" si="62"/>
        <v>0</v>
      </c>
      <c r="EY119" s="139">
        <f t="shared" si="63"/>
        <v>0</v>
      </c>
      <c r="EZ119" s="139">
        <f t="shared" si="64"/>
        <v>0</v>
      </c>
      <c r="FA119" s="139">
        <f t="shared" si="65"/>
        <v>0</v>
      </c>
      <c r="FB119" s="139">
        <f t="shared" si="66"/>
        <v>0</v>
      </c>
      <c r="FC119" s="139">
        <f t="shared" si="67"/>
        <v>0</v>
      </c>
      <c r="FD119" s="139">
        <f t="shared" si="68"/>
        <v>0</v>
      </c>
      <c r="FE119" s="139">
        <f t="shared" si="69"/>
        <v>0</v>
      </c>
      <c r="FF119" s="139">
        <f t="shared" si="70"/>
        <v>0</v>
      </c>
      <c r="FG119" s="139">
        <f t="shared" si="71"/>
        <v>0</v>
      </c>
      <c r="FH119" s="139">
        <f t="shared" si="72"/>
        <v>0</v>
      </c>
      <c r="FI119" s="139">
        <f t="shared" si="73"/>
        <v>0</v>
      </c>
      <c r="FJ119" s="139">
        <f t="shared" si="74"/>
        <v>0</v>
      </c>
      <c r="FK119" s="139">
        <f t="shared" si="75"/>
        <v>0</v>
      </c>
      <c r="FL119" s="139">
        <f t="shared" si="76"/>
        <v>0</v>
      </c>
      <c r="FM119" s="139">
        <f t="shared" si="77"/>
        <v>0</v>
      </c>
      <c r="FN119" s="139">
        <f t="shared" si="78"/>
        <v>0</v>
      </c>
      <c r="FO119" s="139">
        <f t="shared" si="79"/>
        <v>0</v>
      </c>
      <c r="FP119" s="139">
        <f t="shared" si="80"/>
        <v>0</v>
      </c>
      <c r="FQ119" s="139">
        <f t="shared" si="81"/>
        <v>0</v>
      </c>
      <c r="FR119" s="139">
        <f t="shared" si="82"/>
        <v>0</v>
      </c>
      <c r="FS119" s="139">
        <f t="shared" si="83"/>
        <v>0</v>
      </c>
      <c r="FT119" s="139">
        <f t="shared" si="84"/>
        <v>0</v>
      </c>
      <c r="FU119" s="148">
        <f t="shared" si="85"/>
        <v>0</v>
      </c>
      <c r="FV119" s="149"/>
      <c r="FY119" s="210">
        <v>114</v>
      </c>
      <c r="FZ119">
        <v>13.015853968182908</v>
      </c>
      <c r="GA119">
        <v>14.226181605682967</v>
      </c>
      <c r="GB119">
        <v>2.0963210515967567</v>
      </c>
      <c r="GC119">
        <v>1.4962687218729847</v>
      </c>
      <c r="GD119">
        <v>1.212774580507769</v>
      </c>
      <c r="GE119">
        <v>2.5770294493774499</v>
      </c>
      <c r="GF119">
        <v>2.7235464392858932</v>
      </c>
      <c r="GG119">
        <v>6.0623368858239122</v>
      </c>
      <c r="GH119">
        <v>10.870752746939282</v>
      </c>
      <c r="GI119">
        <v>5.3551069151838844</v>
      </c>
      <c r="GJ119"/>
      <c r="GK119"/>
      <c r="GL119"/>
      <c r="GM119"/>
    </row>
    <row r="120" spans="1:195" s="7" customFormat="1">
      <c r="A120" s="1"/>
      <c r="B120" s="76">
        <f ca="1">IF(C120="", "", RAND())</f>
        <v>0.90126459345937548</v>
      </c>
      <c r="C120">
        <v>5</v>
      </c>
      <c r="D120">
        <v>39747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 s="2"/>
      <c r="AK120" s="80"/>
      <c r="AL120" s="74"/>
      <c r="AM120" s="43">
        <v>104</v>
      </c>
      <c r="AN120">
        <v>96.710991836134326</v>
      </c>
      <c r="AO120">
        <v>11.361218218151061</v>
      </c>
      <c r="AP120">
        <v>124.79399484882249</v>
      </c>
      <c r="AQ120">
        <v>106.93484848257607</v>
      </c>
      <c r="AR120">
        <v>11.108529083293613</v>
      </c>
      <c r="AS120">
        <v>153.22665398158469</v>
      </c>
      <c r="AT120">
        <v>7.0721284144809813</v>
      </c>
      <c r="AU120">
        <v>72.605537314504744</v>
      </c>
      <c r="AV120"/>
      <c r="AW120"/>
      <c r="AX120" s="146"/>
      <c r="AY120" s="76">
        <f t="shared" ca="1" si="86"/>
        <v>0.69454837948673642</v>
      </c>
      <c r="AZ120">
        <v>3</v>
      </c>
      <c r="BA120" s="129">
        <f t="shared" si="129"/>
        <v>39747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 s="147"/>
      <c r="CH120" s="176"/>
      <c r="CJ120" s="146"/>
      <c r="CK120" s="76">
        <f t="shared" ca="1" si="88"/>
        <v>0.34646118069868814</v>
      </c>
      <c r="CL120" s="179">
        <f t="shared" si="89"/>
        <v>3</v>
      </c>
      <c r="CM120" s="180">
        <f t="shared" si="90"/>
        <v>39747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 s="160"/>
      <c r="CW120">
        <v>1</v>
      </c>
      <c r="CX120">
        <v>1</v>
      </c>
      <c r="CY120" s="160"/>
      <c r="CZ120" s="177">
        <f t="shared" si="91"/>
        <v>9.6000000000000002E-2</v>
      </c>
      <c r="DB120" s="146"/>
      <c r="DC120" s="76">
        <f t="shared" ca="1" si="49"/>
        <v>0.49300986478595465</v>
      </c>
      <c r="DD120">
        <f t="shared" si="92"/>
        <v>3</v>
      </c>
      <c r="DE120" s="129">
        <f t="shared" si="128"/>
        <v>39747</v>
      </c>
      <c r="DF120" s="161">
        <f t="shared" si="93"/>
        <v>0</v>
      </c>
      <c r="DG120" s="161">
        <f t="shared" si="94"/>
        <v>0</v>
      </c>
      <c r="DH120" s="161">
        <f t="shared" si="95"/>
        <v>0</v>
      </c>
      <c r="DI120" s="161">
        <f t="shared" si="96"/>
        <v>0</v>
      </c>
      <c r="DJ120" s="161">
        <f t="shared" si="97"/>
        <v>0</v>
      </c>
      <c r="DK120" s="161">
        <f t="shared" si="98"/>
        <v>0</v>
      </c>
      <c r="DL120" s="161">
        <f t="shared" si="99"/>
        <v>0</v>
      </c>
      <c r="DM120" s="161">
        <f t="shared" si="100"/>
        <v>0</v>
      </c>
      <c r="DN120" s="161">
        <f t="shared" si="101"/>
        <v>0</v>
      </c>
      <c r="DO120" s="161">
        <f t="shared" si="102"/>
        <v>0</v>
      </c>
      <c r="DP120" s="161">
        <f t="shared" si="103"/>
        <v>0</v>
      </c>
      <c r="DQ120" s="161">
        <f t="shared" si="104"/>
        <v>0</v>
      </c>
      <c r="DR120" s="161">
        <f t="shared" si="105"/>
        <v>0</v>
      </c>
      <c r="DS120" s="161">
        <f t="shared" si="106"/>
        <v>0</v>
      </c>
      <c r="DT120" s="161">
        <f t="shared" si="107"/>
        <v>0</v>
      </c>
      <c r="DU120" s="161">
        <f t="shared" si="108"/>
        <v>0</v>
      </c>
      <c r="DV120" s="161">
        <f t="shared" si="109"/>
        <v>0</v>
      </c>
      <c r="DW120" s="161">
        <f t="shared" si="110"/>
        <v>0</v>
      </c>
      <c r="DX120" s="161">
        <f t="shared" si="111"/>
        <v>0</v>
      </c>
      <c r="DY120" s="161">
        <f t="shared" si="112"/>
        <v>0</v>
      </c>
      <c r="DZ120" s="161">
        <f t="shared" si="113"/>
        <v>0</v>
      </c>
      <c r="EA120" s="161">
        <f t="shared" si="114"/>
        <v>0</v>
      </c>
      <c r="EB120" s="161">
        <f t="shared" si="115"/>
        <v>0</v>
      </c>
      <c r="EC120" s="161">
        <f t="shared" si="116"/>
        <v>0</v>
      </c>
      <c r="ED120" s="161">
        <f t="shared" si="117"/>
        <v>0</v>
      </c>
      <c r="EE120" s="161">
        <f t="shared" si="118"/>
        <v>0</v>
      </c>
      <c r="EF120" s="161">
        <f t="shared" si="119"/>
        <v>0</v>
      </c>
      <c r="EG120" s="161">
        <f t="shared" si="120"/>
        <v>0</v>
      </c>
      <c r="EH120" s="161">
        <f t="shared" si="121"/>
        <v>0</v>
      </c>
      <c r="EI120" s="161">
        <f t="shared" si="122"/>
        <v>0</v>
      </c>
      <c r="EJ120" s="161">
        <f t="shared" si="123"/>
        <v>0</v>
      </c>
      <c r="EK120" s="147">
        <f t="shared" ref="EK120:EK147" si="130">IF(DF120="", "", SUM(DF120:EJ120))</f>
        <v>0</v>
      </c>
      <c r="EL120" s="149"/>
      <c r="EN120" s="146"/>
      <c r="EO120" s="146"/>
      <c r="EP120" s="139">
        <f t="shared" ref="EP120:EP151" si="131">IF(DF120="", "", DF120*G$36)</f>
        <v>0</v>
      </c>
      <c r="EQ120" s="139">
        <f t="shared" ref="EQ120:EQ151" si="132">IF(DG120="", "", DG120*H$36)</f>
        <v>0</v>
      </c>
      <c r="ER120" s="139">
        <f t="shared" ref="ER120:ER151" si="133">IF(DH120="", "", DH120*I$36)</f>
        <v>0</v>
      </c>
      <c r="ES120" s="139">
        <f t="shared" ref="ES120:ES151" si="134">IF(DI120="", "", DI120*J$36)</f>
        <v>0</v>
      </c>
      <c r="ET120" s="139">
        <f t="shared" ref="ET120:ET151" si="135">IF(DJ120="", "", DJ120*K$36)</f>
        <v>0</v>
      </c>
      <c r="EU120" s="139">
        <f t="shared" ref="EU120:EU151" si="136">IF(DK120="", "", DK120*L$36)</f>
        <v>0</v>
      </c>
      <c r="EV120" s="139">
        <f t="shared" ref="EV120:EV151" si="137">IF(DL120="", "", DL120*M$36)</f>
        <v>0</v>
      </c>
      <c r="EW120" s="139">
        <f t="shared" ref="EW120:EW151" si="138">IF(DM120="", "", DM120*N$36)</f>
        <v>0</v>
      </c>
      <c r="EX120" s="139">
        <f t="shared" ref="EX120:EX151" si="139">IF(DN120="", "", DN120*O$36)</f>
        <v>0</v>
      </c>
      <c r="EY120" s="139">
        <f t="shared" ref="EY120:EY151" si="140">IF(DO120="", "", DO120*P$36)</f>
        <v>0</v>
      </c>
      <c r="EZ120" s="139">
        <f t="shared" ref="EZ120:EZ151" si="141">IF(DP120="", "", DP120*Q$36)</f>
        <v>0</v>
      </c>
      <c r="FA120" s="139">
        <f t="shared" ref="FA120:FA151" si="142">IF(DQ120="", "", DQ120*R$36)</f>
        <v>0</v>
      </c>
      <c r="FB120" s="139">
        <f t="shared" ref="FB120:FB151" si="143">IF(DR120="", "", DR120*S$36)</f>
        <v>0</v>
      </c>
      <c r="FC120" s="139">
        <f t="shared" ref="FC120:FC151" si="144">IF(DS120="", "", DS120*T$36)</f>
        <v>0</v>
      </c>
      <c r="FD120" s="139">
        <f t="shared" ref="FD120:FD151" si="145">IF(DT120="", "", DT120*U$36)</f>
        <v>0</v>
      </c>
      <c r="FE120" s="139">
        <f t="shared" ref="FE120:FE151" si="146">IF(DU120="", "", DU120*V$36)</f>
        <v>0</v>
      </c>
      <c r="FF120" s="139">
        <f t="shared" ref="FF120:FF151" si="147">IF(DV120="", "", DV120*W$36)</f>
        <v>0</v>
      </c>
      <c r="FG120" s="139">
        <f t="shared" ref="FG120:FG151" si="148">IF(DW120="", "", DW120*X$36)</f>
        <v>0</v>
      </c>
      <c r="FH120" s="139">
        <f t="shared" ref="FH120:FH151" si="149">IF(DX120="", "", DX120*Y$36)</f>
        <v>0</v>
      </c>
      <c r="FI120" s="139">
        <f t="shared" ref="FI120:FI151" si="150">IF(DY120="", "", DY120*Z$36)</f>
        <v>0</v>
      </c>
      <c r="FJ120" s="139">
        <f t="shared" ref="FJ120:FJ151" si="151">IF(DZ120="", "", DZ120*AA$36)</f>
        <v>0</v>
      </c>
      <c r="FK120" s="139">
        <f t="shared" ref="FK120:FK151" si="152">IF(EA120="", "", EA120*AB$36)</f>
        <v>0</v>
      </c>
      <c r="FL120" s="139">
        <f t="shared" ref="FL120:FL151" si="153">IF(EB120="", "", EB120*AC$36)</f>
        <v>0</v>
      </c>
      <c r="FM120" s="139">
        <f t="shared" ref="FM120:FM151" si="154">IF(EC120="", "", EC120*AD$36)</f>
        <v>0</v>
      </c>
      <c r="FN120" s="139">
        <f t="shared" ref="FN120:FN151" si="155">IF(ED120="", "", ED120*AE$36)</f>
        <v>0</v>
      </c>
      <c r="FO120" s="139">
        <f t="shared" ref="FO120:FO151" si="156">IF(EE120="", "", EE120*AF$36)</f>
        <v>0</v>
      </c>
      <c r="FP120" s="139">
        <f t="shared" ref="FP120:FP151" si="157">IF(EF120="", "", EF120*AG$36)</f>
        <v>0</v>
      </c>
      <c r="FQ120" s="139">
        <f t="shared" ref="FQ120:FQ151" si="158">IF(EG120="", "", EG120*AH$36)</f>
        <v>0</v>
      </c>
      <c r="FR120" s="139">
        <f t="shared" ref="FR120:FR151" si="159">IF(EH120="", "", EH120*AI$36)</f>
        <v>0</v>
      </c>
      <c r="FS120" s="139">
        <f t="shared" ref="FS120:FS151" si="160">IF(EI120="", "", EI120*AJ$36)</f>
        <v>0</v>
      </c>
      <c r="FT120" s="139">
        <f t="shared" ref="FT120:FT151" si="161">IF(EJ120="", "", EJ120*AK$36)</f>
        <v>0</v>
      </c>
      <c r="FU120" s="148">
        <f t="shared" ref="FU120:FU151" si="162">IF(EP120="","",SUM(EP120:FT120))</f>
        <v>0</v>
      </c>
      <c r="FV120" s="149"/>
      <c r="FY120" s="210">
        <v>115</v>
      </c>
      <c r="FZ120">
        <v>24.035521233022177</v>
      </c>
      <c r="GA120">
        <v>26.607236712813847</v>
      </c>
      <c r="GB120">
        <v>2.1621329942327554</v>
      </c>
      <c r="GC120">
        <v>1.2685289119272714</v>
      </c>
      <c r="GD120">
        <v>0.47284866328794661</v>
      </c>
      <c r="GE120">
        <v>1.6472770618618022</v>
      </c>
      <c r="GF120">
        <v>8.0914040487575303</v>
      </c>
      <c r="GG120">
        <v>17.992367823498444</v>
      </c>
      <c r="GH120">
        <v>19.129659650417533</v>
      </c>
      <c r="GI120">
        <v>8.8385385077251506</v>
      </c>
      <c r="GJ120"/>
      <c r="GK120"/>
      <c r="GL120"/>
      <c r="GM120"/>
    </row>
    <row r="121" spans="1:195" s="7" customFormat="1">
      <c r="A121" s="1"/>
      <c r="B121" s="76">
        <f ca="1">IF(C121="", "", RAND())</f>
        <v>0.44913080129522065</v>
      </c>
      <c r="C121">
        <v>10</v>
      </c>
      <c r="D121">
        <v>39747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 s="2"/>
      <c r="AK121" s="80"/>
      <c r="AL121" s="74"/>
      <c r="AM121" s="43">
        <v>105</v>
      </c>
      <c r="AN121">
        <v>140.42548674582287</v>
      </c>
      <c r="AO121">
        <v>14.99266733067382</v>
      </c>
      <c r="AP121">
        <v>164.30157698224025</v>
      </c>
      <c r="AQ121">
        <v>139.57973136728225</v>
      </c>
      <c r="AR121">
        <v>14.051904992643308</v>
      </c>
      <c r="AS121">
        <v>205.87579768040362</v>
      </c>
      <c r="AT121" t="e">
        <v>#DIV/0!</v>
      </c>
      <c r="AU121" t="e">
        <v>#DIV/0!</v>
      </c>
      <c r="AV121"/>
      <c r="AW121"/>
      <c r="AX121" s="146"/>
      <c r="AY121" s="76">
        <f t="shared" ca="1" si="86"/>
        <v>0.80377757897114677</v>
      </c>
      <c r="AZ121">
        <v>4</v>
      </c>
      <c r="BA121" s="129">
        <f t="shared" si="129"/>
        <v>39747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 s="147"/>
      <c r="CH121" s="176"/>
      <c r="CJ121" s="146"/>
      <c r="CK121" s="76">
        <f t="shared" ca="1" si="88"/>
        <v>0.22709572114000753</v>
      </c>
      <c r="CL121" s="179">
        <f t="shared" si="89"/>
        <v>4</v>
      </c>
      <c r="CM121" s="180">
        <f t="shared" si="90"/>
        <v>39747</v>
      </c>
      <c r="CN121">
        <v>0</v>
      </c>
      <c r="CO121">
        <v>0</v>
      </c>
      <c r="CP121">
        <v>4</v>
      </c>
      <c r="CQ121">
        <v>2</v>
      </c>
      <c r="CR121">
        <v>0</v>
      </c>
      <c r="CS121">
        <v>0</v>
      </c>
      <c r="CT121">
        <v>0</v>
      </c>
      <c r="CU121">
        <v>0</v>
      </c>
      <c r="CV121" s="160"/>
      <c r="CW121" s="178">
        <f>30/11</f>
        <v>2.7272727272727271</v>
      </c>
      <c r="CX121">
        <f>350/58</f>
        <v>6.0344827586206895</v>
      </c>
      <c r="CY121" s="160"/>
      <c r="CZ121" s="177">
        <f t="shared" si="91"/>
        <v>9.6000000000000002E-2</v>
      </c>
      <c r="DB121" s="146"/>
      <c r="DC121" s="76">
        <f t="shared" ca="1" si="49"/>
        <v>0.26862173373116871</v>
      </c>
      <c r="DD121">
        <f t="shared" si="92"/>
        <v>4</v>
      </c>
      <c r="DE121" s="129">
        <f t="shared" si="128"/>
        <v>39747</v>
      </c>
      <c r="DF121" s="161">
        <f t="shared" si="93"/>
        <v>0</v>
      </c>
      <c r="DG121" s="161">
        <f t="shared" si="94"/>
        <v>0</v>
      </c>
      <c r="DH121" s="161">
        <f t="shared" si="95"/>
        <v>251.43678160919538</v>
      </c>
      <c r="DI121" s="161">
        <f t="shared" si="96"/>
        <v>125.71839080459769</v>
      </c>
      <c r="DJ121" s="161">
        <f t="shared" si="97"/>
        <v>0</v>
      </c>
      <c r="DK121" s="161">
        <f t="shared" si="98"/>
        <v>0</v>
      </c>
      <c r="DL121" s="161">
        <f t="shared" si="99"/>
        <v>0</v>
      </c>
      <c r="DM121" s="161">
        <f t="shared" si="100"/>
        <v>0</v>
      </c>
      <c r="DN121" s="161">
        <f t="shared" si="101"/>
        <v>0</v>
      </c>
      <c r="DO121" s="161">
        <f t="shared" si="102"/>
        <v>0</v>
      </c>
      <c r="DP121" s="161">
        <f t="shared" si="103"/>
        <v>0</v>
      </c>
      <c r="DQ121" s="161">
        <f t="shared" si="104"/>
        <v>0</v>
      </c>
      <c r="DR121" s="161">
        <f t="shared" si="105"/>
        <v>0</v>
      </c>
      <c r="DS121" s="161">
        <f t="shared" si="106"/>
        <v>0</v>
      </c>
      <c r="DT121" s="161">
        <f t="shared" si="107"/>
        <v>0</v>
      </c>
      <c r="DU121" s="161">
        <f t="shared" si="108"/>
        <v>0</v>
      </c>
      <c r="DV121" s="161">
        <f t="shared" si="109"/>
        <v>0</v>
      </c>
      <c r="DW121" s="161">
        <f t="shared" si="110"/>
        <v>0</v>
      </c>
      <c r="DX121" s="161">
        <f t="shared" si="111"/>
        <v>0</v>
      </c>
      <c r="DY121" s="161">
        <f t="shared" si="112"/>
        <v>0</v>
      </c>
      <c r="DZ121" s="161">
        <f t="shared" si="113"/>
        <v>0</v>
      </c>
      <c r="EA121" s="161">
        <f t="shared" si="114"/>
        <v>0</v>
      </c>
      <c r="EB121" s="161">
        <f t="shared" si="115"/>
        <v>0</v>
      </c>
      <c r="EC121" s="161">
        <f t="shared" si="116"/>
        <v>0</v>
      </c>
      <c r="ED121" s="161">
        <f t="shared" si="117"/>
        <v>0</v>
      </c>
      <c r="EE121" s="161">
        <f t="shared" si="118"/>
        <v>0</v>
      </c>
      <c r="EF121" s="161">
        <f t="shared" si="119"/>
        <v>0</v>
      </c>
      <c r="EG121" s="161">
        <f t="shared" si="120"/>
        <v>0</v>
      </c>
      <c r="EH121" s="161">
        <f t="shared" si="121"/>
        <v>0</v>
      </c>
      <c r="EI121" s="161">
        <f t="shared" si="122"/>
        <v>0</v>
      </c>
      <c r="EJ121" s="161">
        <f t="shared" si="123"/>
        <v>0</v>
      </c>
      <c r="EK121" s="147">
        <f t="shared" si="130"/>
        <v>377.15517241379308</v>
      </c>
      <c r="EL121" s="149"/>
      <c r="EN121" s="146"/>
      <c r="EO121" s="146"/>
      <c r="EP121" s="139">
        <f t="shared" si="131"/>
        <v>0</v>
      </c>
      <c r="EQ121" s="139">
        <f t="shared" si="132"/>
        <v>0</v>
      </c>
      <c r="ER121" s="139">
        <f t="shared" si="133"/>
        <v>6.4824567578710708</v>
      </c>
      <c r="ES121" s="139">
        <f t="shared" si="134"/>
        <v>10.11574322787868</v>
      </c>
      <c r="ET121" s="139">
        <f t="shared" si="135"/>
        <v>0</v>
      </c>
      <c r="EU121" s="139">
        <f t="shared" si="136"/>
        <v>0</v>
      </c>
      <c r="EV121" s="139">
        <f t="shared" si="137"/>
        <v>0</v>
      </c>
      <c r="EW121" s="139">
        <f t="shared" si="138"/>
        <v>0</v>
      </c>
      <c r="EX121" s="139">
        <f t="shared" si="139"/>
        <v>0</v>
      </c>
      <c r="EY121" s="139">
        <f t="shared" si="140"/>
        <v>0</v>
      </c>
      <c r="EZ121" s="139">
        <f t="shared" si="141"/>
        <v>0</v>
      </c>
      <c r="FA121" s="139">
        <f t="shared" si="142"/>
        <v>0</v>
      </c>
      <c r="FB121" s="139">
        <f t="shared" si="143"/>
        <v>0</v>
      </c>
      <c r="FC121" s="139">
        <f t="shared" si="144"/>
        <v>0</v>
      </c>
      <c r="FD121" s="139">
        <f t="shared" si="145"/>
        <v>0</v>
      </c>
      <c r="FE121" s="139">
        <f t="shared" si="146"/>
        <v>0</v>
      </c>
      <c r="FF121" s="139">
        <f t="shared" si="147"/>
        <v>0</v>
      </c>
      <c r="FG121" s="139">
        <f t="shared" si="148"/>
        <v>0</v>
      </c>
      <c r="FH121" s="139">
        <f t="shared" si="149"/>
        <v>0</v>
      </c>
      <c r="FI121" s="139">
        <f t="shared" si="150"/>
        <v>0</v>
      </c>
      <c r="FJ121" s="139">
        <f t="shared" si="151"/>
        <v>0</v>
      </c>
      <c r="FK121" s="139">
        <f t="shared" si="152"/>
        <v>0</v>
      </c>
      <c r="FL121" s="139">
        <f t="shared" si="153"/>
        <v>0</v>
      </c>
      <c r="FM121" s="139">
        <f t="shared" si="154"/>
        <v>0</v>
      </c>
      <c r="FN121" s="139">
        <f t="shared" si="155"/>
        <v>0</v>
      </c>
      <c r="FO121" s="139">
        <f t="shared" si="156"/>
        <v>0</v>
      </c>
      <c r="FP121" s="139">
        <f t="shared" si="157"/>
        <v>0</v>
      </c>
      <c r="FQ121" s="139">
        <f t="shared" si="158"/>
        <v>0</v>
      </c>
      <c r="FR121" s="139">
        <f t="shared" si="159"/>
        <v>0</v>
      </c>
      <c r="FS121" s="139">
        <f t="shared" si="160"/>
        <v>0</v>
      </c>
      <c r="FT121" s="139">
        <f t="shared" si="161"/>
        <v>0</v>
      </c>
      <c r="FU121" s="148">
        <f t="shared" si="162"/>
        <v>16.598199985749751</v>
      </c>
      <c r="FV121" s="149"/>
      <c r="FY121" s="210">
        <v>116</v>
      </c>
      <c r="FZ121">
        <v>21.648552680543933</v>
      </c>
      <c r="GA121">
        <v>27.70149470699921</v>
      </c>
      <c r="GB121">
        <v>2.8603675332969889</v>
      </c>
      <c r="GC121">
        <v>1.3677605594076843</v>
      </c>
      <c r="GD121">
        <v>1.3932502070782733</v>
      </c>
      <c r="GE121">
        <v>2.0617971467162626</v>
      </c>
      <c r="GF121">
        <v>8.9571542691564723</v>
      </c>
      <c r="GG121">
        <v>10.035942004248888</v>
      </c>
      <c r="GH121">
        <v>6.2165695151180485</v>
      </c>
      <c r="GI121">
        <v>7.3248125585739681</v>
      </c>
      <c r="GJ121"/>
      <c r="GK121"/>
      <c r="GL121"/>
      <c r="GM121"/>
    </row>
    <row r="122" spans="1:195" s="7" customFormat="1">
      <c r="A122" s="1"/>
      <c r="B122" s="76">
        <f ca="1">IF(C122="", "", RAND())</f>
        <v>0.89253977432141252</v>
      </c>
      <c r="C122">
        <v>2</v>
      </c>
      <c r="D122">
        <v>39747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 s="2"/>
      <c r="AK122" s="80"/>
      <c r="AL122" s="74"/>
      <c r="AM122" s="43">
        <v>106</v>
      </c>
      <c r="AN122">
        <v>163.6714118797226</v>
      </c>
      <c r="AO122">
        <v>12.641106834624642</v>
      </c>
      <c r="AP122">
        <v>127.48939343300417</v>
      </c>
      <c r="AQ122">
        <v>107.26475409792823</v>
      </c>
      <c r="AR122">
        <v>12.229273529514295</v>
      </c>
      <c r="AS122">
        <v>223.75312322795767</v>
      </c>
      <c r="AT122">
        <v>7.6733698168865274</v>
      </c>
      <c r="AU122">
        <v>51.099685948499058</v>
      </c>
      <c r="AV122"/>
      <c r="AW122"/>
      <c r="AX122" s="146"/>
      <c r="AY122" s="76">
        <f t="shared" ca="1" si="86"/>
        <v>0.375175144463608</v>
      </c>
      <c r="AZ122">
        <v>5</v>
      </c>
      <c r="BA122" s="129">
        <f t="shared" si="129"/>
        <v>39747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 s="147"/>
      <c r="CH122" s="176"/>
      <c r="CJ122" s="146"/>
      <c r="CK122" s="76">
        <f t="shared" ca="1" si="88"/>
        <v>0.80044606804378682</v>
      </c>
      <c r="CL122" s="179">
        <f t="shared" si="89"/>
        <v>5</v>
      </c>
      <c r="CM122" s="180">
        <f t="shared" si="90"/>
        <v>39747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 s="160"/>
      <c r="CW122" s="178">
        <v>1</v>
      </c>
      <c r="CX122">
        <f>350/33</f>
        <v>10.606060606060606</v>
      </c>
      <c r="CY122" s="160"/>
      <c r="CZ122" s="177">
        <f t="shared" si="91"/>
        <v>9.6000000000000002E-2</v>
      </c>
      <c r="DB122" s="146"/>
      <c r="DC122" s="76">
        <f t="shared" ca="1" si="49"/>
        <v>0.19942180383675168</v>
      </c>
      <c r="DD122">
        <f t="shared" si="92"/>
        <v>5</v>
      </c>
      <c r="DE122" s="129">
        <f t="shared" si="128"/>
        <v>39747</v>
      </c>
      <c r="DF122" s="161">
        <f t="shared" si="93"/>
        <v>0</v>
      </c>
      <c r="DG122" s="161">
        <f t="shared" si="94"/>
        <v>0</v>
      </c>
      <c r="DH122" s="161">
        <f t="shared" si="95"/>
        <v>0</v>
      </c>
      <c r="DI122" s="161">
        <f t="shared" si="96"/>
        <v>0</v>
      </c>
      <c r="DJ122" s="161">
        <f t="shared" si="97"/>
        <v>0</v>
      </c>
      <c r="DK122" s="161">
        <f t="shared" si="98"/>
        <v>0</v>
      </c>
      <c r="DL122" s="161">
        <f t="shared" si="99"/>
        <v>0</v>
      </c>
      <c r="DM122" s="161">
        <f t="shared" si="100"/>
        <v>0</v>
      </c>
      <c r="DN122" s="161">
        <f t="shared" si="101"/>
        <v>0</v>
      </c>
      <c r="DO122" s="161">
        <f t="shared" si="102"/>
        <v>0</v>
      </c>
      <c r="DP122" s="161">
        <f t="shared" si="103"/>
        <v>0</v>
      </c>
      <c r="DQ122" s="161">
        <f t="shared" si="104"/>
        <v>0</v>
      </c>
      <c r="DR122" s="161">
        <f t="shared" si="105"/>
        <v>0</v>
      </c>
      <c r="DS122" s="161">
        <f t="shared" si="106"/>
        <v>0</v>
      </c>
      <c r="DT122" s="161">
        <f t="shared" si="107"/>
        <v>0</v>
      </c>
      <c r="DU122" s="161">
        <f t="shared" si="108"/>
        <v>0</v>
      </c>
      <c r="DV122" s="161">
        <f t="shared" si="109"/>
        <v>0</v>
      </c>
      <c r="DW122" s="161">
        <f t="shared" si="110"/>
        <v>0</v>
      </c>
      <c r="DX122" s="161">
        <f t="shared" si="111"/>
        <v>0</v>
      </c>
      <c r="DY122" s="161">
        <f t="shared" si="112"/>
        <v>0</v>
      </c>
      <c r="DZ122" s="161">
        <f t="shared" si="113"/>
        <v>0</v>
      </c>
      <c r="EA122" s="161">
        <f t="shared" si="114"/>
        <v>0</v>
      </c>
      <c r="EB122" s="161">
        <f t="shared" si="115"/>
        <v>0</v>
      </c>
      <c r="EC122" s="161">
        <f t="shared" si="116"/>
        <v>0</v>
      </c>
      <c r="ED122" s="161">
        <f t="shared" si="117"/>
        <v>0</v>
      </c>
      <c r="EE122" s="161">
        <f t="shared" si="118"/>
        <v>0</v>
      </c>
      <c r="EF122" s="161">
        <f t="shared" si="119"/>
        <v>0</v>
      </c>
      <c r="EG122" s="161">
        <f t="shared" si="120"/>
        <v>0</v>
      </c>
      <c r="EH122" s="161">
        <f t="shared" si="121"/>
        <v>0</v>
      </c>
      <c r="EI122" s="161">
        <f t="shared" si="122"/>
        <v>0</v>
      </c>
      <c r="EJ122" s="161">
        <f t="shared" si="123"/>
        <v>0</v>
      </c>
      <c r="EK122" s="147">
        <f t="shared" si="130"/>
        <v>0</v>
      </c>
      <c r="EL122" s="149"/>
      <c r="EN122" s="146"/>
      <c r="EO122" s="146"/>
      <c r="EP122" s="139">
        <f t="shared" si="131"/>
        <v>0</v>
      </c>
      <c r="EQ122" s="139">
        <f t="shared" si="132"/>
        <v>0</v>
      </c>
      <c r="ER122" s="139">
        <f t="shared" si="133"/>
        <v>0</v>
      </c>
      <c r="ES122" s="139">
        <f t="shared" si="134"/>
        <v>0</v>
      </c>
      <c r="ET122" s="139">
        <f t="shared" si="135"/>
        <v>0</v>
      </c>
      <c r="EU122" s="139">
        <f t="shared" si="136"/>
        <v>0</v>
      </c>
      <c r="EV122" s="139">
        <f t="shared" si="137"/>
        <v>0</v>
      </c>
      <c r="EW122" s="139">
        <f t="shared" si="138"/>
        <v>0</v>
      </c>
      <c r="EX122" s="139">
        <f t="shared" si="139"/>
        <v>0</v>
      </c>
      <c r="EY122" s="139">
        <f t="shared" si="140"/>
        <v>0</v>
      </c>
      <c r="EZ122" s="139">
        <f t="shared" si="141"/>
        <v>0</v>
      </c>
      <c r="FA122" s="139">
        <f t="shared" si="142"/>
        <v>0</v>
      </c>
      <c r="FB122" s="139">
        <f t="shared" si="143"/>
        <v>0</v>
      </c>
      <c r="FC122" s="139">
        <f t="shared" si="144"/>
        <v>0</v>
      </c>
      <c r="FD122" s="139">
        <f t="shared" si="145"/>
        <v>0</v>
      </c>
      <c r="FE122" s="139">
        <f t="shared" si="146"/>
        <v>0</v>
      </c>
      <c r="FF122" s="139">
        <f t="shared" si="147"/>
        <v>0</v>
      </c>
      <c r="FG122" s="139">
        <f t="shared" si="148"/>
        <v>0</v>
      </c>
      <c r="FH122" s="139">
        <f t="shared" si="149"/>
        <v>0</v>
      </c>
      <c r="FI122" s="139">
        <f t="shared" si="150"/>
        <v>0</v>
      </c>
      <c r="FJ122" s="139">
        <f t="shared" si="151"/>
        <v>0</v>
      </c>
      <c r="FK122" s="139">
        <f t="shared" si="152"/>
        <v>0</v>
      </c>
      <c r="FL122" s="139">
        <f t="shared" si="153"/>
        <v>0</v>
      </c>
      <c r="FM122" s="139">
        <f t="shared" si="154"/>
        <v>0</v>
      </c>
      <c r="FN122" s="139">
        <f t="shared" si="155"/>
        <v>0</v>
      </c>
      <c r="FO122" s="139">
        <f t="shared" si="156"/>
        <v>0</v>
      </c>
      <c r="FP122" s="139">
        <f t="shared" si="157"/>
        <v>0</v>
      </c>
      <c r="FQ122" s="139">
        <f t="shared" si="158"/>
        <v>0</v>
      </c>
      <c r="FR122" s="139">
        <f t="shared" si="159"/>
        <v>0</v>
      </c>
      <c r="FS122" s="139">
        <f t="shared" si="160"/>
        <v>0</v>
      </c>
      <c r="FT122" s="139">
        <f t="shared" si="161"/>
        <v>0</v>
      </c>
      <c r="FU122" s="148">
        <f t="shared" si="162"/>
        <v>0</v>
      </c>
      <c r="FV122" s="149"/>
      <c r="FY122" s="210">
        <v>117</v>
      </c>
      <c r="FZ122">
        <v>21.723197648174025</v>
      </c>
      <c r="GA122">
        <v>26.093446100932688</v>
      </c>
      <c r="GB122">
        <v>2.2137745111515645</v>
      </c>
      <c r="GC122">
        <v>1.483440856273883</v>
      </c>
      <c r="GD122">
        <v>0.51801960101368671</v>
      </c>
      <c r="GE122">
        <v>1.5491030577495477</v>
      </c>
      <c r="GF122">
        <v>6.1171296056478734</v>
      </c>
      <c r="GG122">
        <v>8.9401096377509379</v>
      </c>
      <c r="GH122">
        <v>11.653999418573854</v>
      </c>
      <c r="GI122">
        <v>7.0022620306746548</v>
      </c>
      <c r="GJ122"/>
      <c r="GK122"/>
      <c r="GL122"/>
      <c r="GM122"/>
    </row>
    <row r="123" spans="1:195" s="7" customFormat="1">
      <c r="A123" s="1"/>
      <c r="B123" s="76">
        <f ca="1">IF(C123="", "", RAND())</f>
        <v>0.27982538777988508</v>
      </c>
      <c r="C123">
        <v>9</v>
      </c>
      <c r="D123">
        <v>39747</v>
      </c>
      <c r="E123">
        <v>0</v>
      </c>
      <c r="F123">
        <v>0</v>
      </c>
      <c r="G123">
        <v>0</v>
      </c>
      <c r="H123">
        <v>88.922764227642276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 s="2"/>
      <c r="AK123" s="80"/>
      <c r="AL123" s="74"/>
      <c r="AM123" s="43">
        <v>107</v>
      </c>
      <c r="AN123">
        <v>141.30075911495157</v>
      </c>
      <c r="AO123">
        <v>8.5861357156665115</v>
      </c>
      <c r="AP123">
        <v>74.646390791920624</v>
      </c>
      <c r="AQ123">
        <v>60.946664466177808</v>
      </c>
      <c r="AR123">
        <v>8.2972014127178273</v>
      </c>
      <c r="AS123">
        <v>152.80998893270032</v>
      </c>
      <c r="AT123">
        <v>4.7945989409951304</v>
      </c>
      <c r="AU123">
        <v>26.897475051897572</v>
      </c>
      <c r="AV123"/>
      <c r="AW123"/>
      <c r="AX123" s="146"/>
      <c r="AY123" s="76">
        <f t="shared" ca="1" si="86"/>
        <v>0.45818809140777295</v>
      </c>
      <c r="AZ123">
        <v>6</v>
      </c>
      <c r="BA123" s="129">
        <f t="shared" si="129"/>
        <v>39747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 s="147"/>
      <c r="CH123" s="176"/>
      <c r="CJ123" s="146"/>
      <c r="CK123" s="76">
        <f t="shared" ca="1" si="88"/>
        <v>0.10184666258059494</v>
      </c>
      <c r="CL123" s="179">
        <f t="shared" si="89"/>
        <v>6</v>
      </c>
      <c r="CM123" s="180">
        <f t="shared" si="90"/>
        <v>39747</v>
      </c>
      <c r="CN123" s="217">
        <v>0</v>
      </c>
      <c r="CO123" s="217">
        <v>0</v>
      </c>
      <c r="CP123" s="217">
        <v>5</v>
      </c>
      <c r="CQ123" s="217">
        <v>0</v>
      </c>
      <c r="CR123" s="217">
        <v>1</v>
      </c>
      <c r="CS123">
        <v>0</v>
      </c>
      <c r="CT123">
        <v>0</v>
      </c>
      <c r="CU123">
        <v>0</v>
      </c>
      <c r="CV123" s="160"/>
      <c r="CW123" s="178">
        <v>1</v>
      </c>
      <c r="CX123">
        <f>375/60</f>
        <v>6.25</v>
      </c>
      <c r="CY123" s="160"/>
      <c r="CZ123" s="177">
        <f t="shared" si="91"/>
        <v>9.6000000000000002E-2</v>
      </c>
      <c r="DB123" s="146"/>
      <c r="DC123" s="76">
        <f t="shared" ca="1" si="49"/>
        <v>0.17372598170882458</v>
      </c>
      <c r="DD123">
        <f t="shared" si="92"/>
        <v>6</v>
      </c>
      <c r="DE123" s="129">
        <f t="shared" si="128"/>
        <v>39747</v>
      </c>
      <c r="DF123" s="161">
        <f t="shared" si="93"/>
        <v>0</v>
      </c>
      <c r="DG123" s="161">
        <f t="shared" si="94"/>
        <v>0</v>
      </c>
      <c r="DH123" s="161">
        <f t="shared" si="95"/>
        <v>325.52083333333331</v>
      </c>
      <c r="DI123" s="161">
        <f t="shared" si="96"/>
        <v>0</v>
      </c>
      <c r="DJ123" s="161">
        <f t="shared" si="97"/>
        <v>65.104166666666671</v>
      </c>
      <c r="DK123" s="161">
        <f t="shared" si="98"/>
        <v>0</v>
      </c>
      <c r="DL123" s="161">
        <f t="shared" si="99"/>
        <v>0</v>
      </c>
      <c r="DM123" s="161">
        <f t="shared" si="100"/>
        <v>0</v>
      </c>
      <c r="DN123" s="161">
        <f t="shared" si="101"/>
        <v>0</v>
      </c>
      <c r="DO123" s="161">
        <f t="shared" si="102"/>
        <v>0</v>
      </c>
      <c r="DP123" s="161">
        <f t="shared" si="103"/>
        <v>0</v>
      </c>
      <c r="DQ123" s="161">
        <f t="shared" si="104"/>
        <v>0</v>
      </c>
      <c r="DR123" s="161">
        <f t="shared" si="105"/>
        <v>0</v>
      </c>
      <c r="DS123" s="161">
        <f t="shared" si="106"/>
        <v>0</v>
      </c>
      <c r="DT123" s="161">
        <f t="shared" si="107"/>
        <v>0</v>
      </c>
      <c r="DU123" s="161">
        <f t="shared" si="108"/>
        <v>0</v>
      </c>
      <c r="DV123" s="161">
        <f t="shared" si="109"/>
        <v>0</v>
      </c>
      <c r="DW123" s="161">
        <f t="shared" si="110"/>
        <v>0</v>
      </c>
      <c r="DX123" s="161">
        <f t="shared" si="111"/>
        <v>0</v>
      </c>
      <c r="DY123" s="161">
        <f t="shared" si="112"/>
        <v>0</v>
      </c>
      <c r="DZ123" s="161">
        <f t="shared" si="113"/>
        <v>0</v>
      </c>
      <c r="EA123" s="161">
        <f t="shared" si="114"/>
        <v>0</v>
      </c>
      <c r="EB123" s="161">
        <f t="shared" si="115"/>
        <v>0</v>
      </c>
      <c r="EC123" s="161">
        <f t="shared" si="116"/>
        <v>0</v>
      </c>
      <c r="ED123" s="161">
        <f t="shared" si="117"/>
        <v>0</v>
      </c>
      <c r="EE123" s="161">
        <f t="shared" si="118"/>
        <v>0</v>
      </c>
      <c r="EF123" s="161">
        <f t="shared" si="119"/>
        <v>0</v>
      </c>
      <c r="EG123" s="161">
        <f t="shared" si="120"/>
        <v>0</v>
      </c>
      <c r="EH123" s="161">
        <f t="shared" si="121"/>
        <v>0</v>
      </c>
      <c r="EI123" s="161">
        <f t="shared" si="122"/>
        <v>0</v>
      </c>
      <c r="EJ123" s="161">
        <f t="shared" si="123"/>
        <v>0</v>
      </c>
      <c r="EK123" s="147">
        <f t="shared" si="130"/>
        <v>390.625</v>
      </c>
      <c r="EL123" s="149"/>
      <c r="EN123" s="146"/>
      <c r="EO123" s="146"/>
      <c r="EP123" s="139">
        <f t="shared" si="131"/>
        <v>0</v>
      </c>
      <c r="EQ123" s="139">
        <f t="shared" si="132"/>
        <v>0</v>
      </c>
      <c r="ER123" s="139">
        <f t="shared" si="133"/>
        <v>8.3924663383152271</v>
      </c>
      <c r="ES123" s="139">
        <f t="shared" si="134"/>
        <v>0</v>
      </c>
      <c r="ET123" s="139">
        <f t="shared" si="135"/>
        <v>11.746562708388973</v>
      </c>
      <c r="EU123" s="139">
        <f t="shared" si="136"/>
        <v>0</v>
      </c>
      <c r="EV123" s="139">
        <f t="shared" si="137"/>
        <v>0</v>
      </c>
      <c r="EW123" s="139">
        <f t="shared" si="138"/>
        <v>0</v>
      </c>
      <c r="EX123" s="139">
        <f t="shared" si="139"/>
        <v>0</v>
      </c>
      <c r="EY123" s="139">
        <f t="shared" si="140"/>
        <v>0</v>
      </c>
      <c r="EZ123" s="139">
        <f t="shared" si="141"/>
        <v>0</v>
      </c>
      <c r="FA123" s="139">
        <f t="shared" si="142"/>
        <v>0</v>
      </c>
      <c r="FB123" s="139">
        <f t="shared" si="143"/>
        <v>0</v>
      </c>
      <c r="FC123" s="139">
        <f t="shared" si="144"/>
        <v>0</v>
      </c>
      <c r="FD123" s="139">
        <f t="shared" si="145"/>
        <v>0</v>
      </c>
      <c r="FE123" s="139">
        <f t="shared" si="146"/>
        <v>0</v>
      </c>
      <c r="FF123" s="139">
        <f t="shared" si="147"/>
        <v>0</v>
      </c>
      <c r="FG123" s="139">
        <f t="shared" si="148"/>
        <v>0</v>
      </c>
      <c r="FH123" s="139">
        <f t="shared" si="149"/>
        <v>0</v>
      </c>
      <c r="FI123" s="139">
        <f t="shared" si="150"/>
        <v>0</v>
      </c>
      <c r="FJ123" s="139">
        <f t="shared" si="151"/>
        <v>0</v>
      </c>
      <c r="FK123" s="139">
        <f t="shared" si="152"/>
        <v>0</v>
      </c>
      <c r="FL123" s="139">
        <f t="shared" si="153"/>
        <v>0</v>
      </c>
      <c r="FM123" s="139">
        <f t="shared" si="154"/>
        <v>0</v>
      </c>
      <c r="FN123" s="139">
        <f t="shared" si="155"/>
        <v>0</v>
      </c>
      <c r="FO123" s="139">
        <f t="shared" si="156"/>
        <v>0</v>
      </c>
      <c r="FP123" s="139">
        <f t="shared" si="157"/>
        <v>0</v>
      </c>
      <c r="FQ123" s="139">
        <f t="shared" si="158"/>
        <v>0</v>
      </c>
      <c r="FR123" s="139">
        <f t="shared" si="159"/>
        <v>0</v>
      </c>
      <c r="FS123" s="139">
        <f t="shared" si="160"/>
        <v>0</v>
      </c>
      <c r="FT123" s="139">
        <f t="shared" si="161"/>
        <v>0</v>
      </c>
      <c r="FU123" s="148">
        <f t="shared" si="162"/>
        <v>20.139029046704202</v>
      </c>
      <c r="FV123" s="149"/>
      <c r="FY123" s="210">
        <v>118</v>
      </c>
      <c r="FZ123">
        <v>11.565358468984005</v>
      </c>
      <c r="GA123">
        <v>14.816748948503527</v>
      </c>
      <c r="GB123">
        <v>2.456249965215592</v>
      </c>
      <c r="GC123">
        <v>1.2325455042176137</v>
      </c>
      <c r="GD123">
        <v>0.9390584248810564</v>
      </c>
      <c r="GE123">
        <v>4.0696635148652147</v>
      </c>
      <c r="GF123">
        <v>6.7794114685989424</v>
      </c>
      <c r="GG123">
        <v>10.001585183273191</v>
      </c>
      <c r="GH123">
        <v>12.298720635695567</v>
      </c>
      <c r="GI123">
        <v>6.0305608824334405</v>
      </c>
      <c r="GJ123"/>
      <c r="GK123"/>
      <c r="GL123"/>
      <c r="GM123"/>
    </row>
    <row r="124" spans="1:195" s="7" customFormat="1">
      <c r="A124" s="1"/>
      <c r="B124" s="76">
        <f ca="1">IF(C124="", "", RAND())</f>
        <v>0.67713578019334353</v>
      </c>
      <c r="C124">
        <v>8</v>
      </c>
      <c r="D124">
        <v>39747</v>
      </c>
      <c r="E124">
        <v>0</v>
      </c>
      <c r="F124">
        <v>0</v>
      </c>
      <c r="G124">
        <v>70.112179487179489</v>
      </c>
      <c r="H124">
        <v>70.112179487179489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 s="2"/>
      <c r="AK124" s="80"/>
      <c r="AL124" s="74"/>
      <c r="AM124" s="43">
        <v>108</v>
      </c>
      <c r="AN124">
        <v>94.719752871655331</v>
      </c>
      <c r="AO124">
        <v>5.8586018435825826</v>
      </c>
      <c r="AP124">
        <v>50.594068152328965</v>
      </c>
      <c r="AQ124">
        <v>41.994223590829336</v>
      </c>
      <c r="AR124">
        <v>5.8579872434313032</v>
      </c>
      <c r="AS124">
        <v>111.10932908664819</v>
      </c>
      <c r="AT124">
        <v>3.2907199262879003</v>
      </c>
      <c r="AU124">
        <v>12.688255852268693</v>
      </c>
      <c r="AV124"/>
      <c r="AW124"/>
      <c r="AX124" s="146"/>
      <c r="AY124" s="76">
        <f t="shared" ca="1" si="86"/>
        <v>0.12654455471065962</v>
      </c>
      <c r="AZ124">
        <v>7</v>
      </c>
      <c r="BA124" s="129">
        <f t="shared" si="129"/>
        <v>39747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 s="147"/>
      <c r="CH124" s="176"/>
      <c r="CJ124" s="146"/>
      <c r="CK124" s="76">
        <f t="shared" ca="1" si="88"/>
        <v>0.87011696773327118</v>
      </c>
      <c r="CL124" s="179">
        <f t="shared" si="89"/>
        <v>7</v>
      </c>
      <c r="CM124" s="180">
        <f t="shared" si="90"/>
        <v>39747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 s="160"/>
      <c r="CW124" s="178">
        <v>1</v>
      </c>
      <c r="CX124">
        <f>350/49</f>
        <v>7.1428571428571432</v>
      </c>
      <c r="CY124" s="164"/>
      <c r="CZ124" s="177">
        <f t="shared" si="91"/>
        <v>9.6000000000000002E-2</v>
      </c>
      <c r="DB124" s="146"/>
      <c r="DC124" s="76">
        <f t="shared" ca="1" si="49"/>
        <v>6.2626829564530917E-2</v>
      </c>
      <c r="DD124">
        <f t="shared" si="92"/>
        <v>7</v>
      </c>
      <c r="DE124" s="129">
        <f t="shared" si="128"/>
        <v>39747</v>
      </c>
      <c r="DF124" s="161">
        <f t="shared" si="93"/>
        <v>0</v>
      </c>
      <c r="DG124" s="161">
        <f t="shared" si="94"/>
        <v>0</v>
      </c>
      <c r="DH124" s="161">
        <f t="shared" si="95"/>
        <v>0</v>
      </c>
      <c r="DI124" s="161">
        <f t="shared" si="96"/>
        <v>0</v>
      </c>
      <c r="DJ124" s="161">
        <f t="shared" si="97"/>
        <v>0</v>
      </c>
      <c r="DK124" s="161">
        <f t="shared" si="98"/>
        <v>0</v>
      </c>
      <c r="DL124" s="161">
        <f t="shared" si="99"/>
        <v>0</v>
      </c>
      <c r="DM124" s="161">
        <f t="shared" si="100"/>
        <v>0</v>
      </c>
      <c r="DN124" s="161">
        <f t="shared" si="101"/>
        <v>0</v>
      </c>
      <c r="DO124" s="161">
        <f t="shared" si="102"/>
        <v>0</v>
      </c>
      <c r="DP124" s="161">
        <f t="shared" si="103"/>
        <v>0</v>
      </c>
      <c r="DQ124" s="161">
        <f t="shared" si="104"/>
        <v>0</v>
      </c>
      <c r="DR124" s="161">
        <f t="shared" si="105"/>
        <v>0</v>
      </c>
      <c r="DS124" s="161">
        <f t="shared" si="106"/>
        <v>0</v>
      </c>
      <c r="DT124" s="161">
        <f t="shared" si="107"/>
        <v>0</v>
      </c>
      <c r="DU124" s="161">
        <f t="shared" si="108"/>
        <v>0</v>
      </c>
      <c r="DV124" s="161">
        <f t="shared" si="109"/>
        <v>0</v>
      </c>
      <c r="DW124" s="161">
        <f t="shared" si="110"/>
        <v>0</v>
      </c>
      <c r="DX124" s="161">
        <f t="shared" si="111"/>
        <v>0</v>
      </c>
      <c r="DY124" s="161">
        <f t="shared" si="112"/>
        <v>0</v>
      </c>
      <c r="DZ124" s="161">
        <f t="shared" si="113"/>
        <v>0</v>
      </c>
      <c r="EA124" s="161">
        <f t="shared" si="114"/>
        <v>0</v>
      </c>
      <c r="EB124" s="161">
        <f t="shared" si="115"/>
        <v>0</v>
      </c>
      <c r="EC124" s="161">
        <f t="shared" si="116"/>
        <v>0</v>
      </c>
      <c r="ED124" s="161">
        <f t="shared" si="117"/>
        <v>0</v>
      </c>
      <c r="EE124" s="161">
        <f t="shared" si="118"/>
        <v>0</v>
      </c>
      <c r="EF124" s="161">
        <f t="shared" si="119"/>
        <v>0</v>
      </c>
      <c r="EG124" s="161">
        <f t="shared" si="120"/>
        <v>0</v>
      </c>
      <c r="EH124" s="161">
        <f t="shared" si="121"/>
        <v>0</v>
      </c>
      <c r="EI124" s="161">
        <f t="shared" si="122"/>
        <v>0</v>
      </c>
      <c r="EJ124" s="161">
        <f t="shared" si="123"/>
        <v>0</v>
      </c>
      <c r="EK124" s="147">
        <f t="shared" si="130"/>
        <v>0</v>
      </c>
      <c r="EL124" s="149"/>
      <c r="EN124" s="146"/>
      <c r="EO124" s="146"/>
      <c r="EP124" s="139">
        <f t="shared" si="131"/>
        <v>0</v>
      </c>
      <c r="EQ124" s="139">
        <f t="shared" si="132"/>
        <v>0</v>
      </c>
      <c r="ER124" s="139">
        <f t="shared" si="133"/>
        <v>0</v>
      </c>
      <c r="ES124" s="139">
        <f t="shared" si="134"/>
        <v>0</v>
      </c>
      <c r="ET124" s="139">
        <f t="shared" si="135"/>
        <v>0</v>
      </c>
      <c r="EU124" s="139">
        <f t="shared" si="136"/>
        <v>0</v>
      </c>
      <c r="EV124" s="139">
        <f t="shared" si="137"/>
        <v>0</v>
      </c>
      <c r="EW124" s="139">
        <f t="shared" si="138"/>
        <v>0</v>
      </c>
      <c r="EX124" s="139">
        <f t="shared" si="139"/>
        <v>0</v>
      </c>
      <c r="EY124" s="139">
        <f t="shared" si="140"/>
        <v>0</v>
      </c>
      <c r="EZ124" s="139">
        <f t="shared" si="141"/>
        <v>0</v>
      </c>
      <c r="FA124" s="139">
        <f t="shared" si="142"/>
        <v>0</v>
      </c>
      <c r="FB124" s="139">
        <f t="shared" si="143"/>
        <v>0</v>
      </c>
      <c r="FC124" s="139">
        <f t="shared" si="144"/>
        <v>0</v>
      </c>
      <c r="FD124" s="139">
        <f t="shared" si="145"/>
        <v>0</v>
      </c>
      <c r="FE124" s="139">
        <f t="shared" si="146"/>
        <v>0</v>
      </c>
      <c r="FF124" s="139">
        <f t="shared" si="147"/>
        <v>0</v>
      </c>
      <c r="FG124" s="139">
        <f t="shared" si="148"/>
        <v>0</v>
      </c>
      <c r="FH124" s="139">
        <f t="shared" si="149"/>
        <v>0</v>
      </c>
      <c r="FI124" s="139">
        <f t="shared" si="150"/>
        <v>0</v>
      </c>
      <c r="FJ124" s="139">
        <f t="shared" si="151"/>
        <v>0</v>
      </c>
      <c r="FK124" s="139">
        <f t="shared" si="152"/>
        <v>0</v>
      </c>
      <c r="FL124" s="139">
        <f t="shared" si="153"/>
        <v>0</v>
      </c>
      <c r="FM124" s="139">
        <f t="shared" si="154"/>
        <v>0</v>
      </c>
      <c r="FN124" s="139">
        <f t="shared" si="155"/>
        <v>0</v>
      </c>
      <c r="FO124" s="139">
        <f t="shared" si="156"/>
        <v>0</v>
      </c>
      <c r="FP124" s="139">
        <f t="shared" si="157"/>
        <v>0</v>
      </c>
      <c r="FQ124" s="139">
        <f t="shared" si="158"/>
        <v>0</v>
      </c>
      <c r="FR124" s="139">
        <f t="shared" si="159"/>
        <v>0</v>
      </c>
      <c r="FS124" s="139">
        <f t="shared" si="160"/>
        <v>0</v>
      </c>
      <c r="FT124" s="139">
        <f t="shared" si="161"/>
        <v>0</v>
      </c>
      <c r="FU124" s="148">
        <f t="shared" si="162"/>
        <v>0</v>
      </c>
      <c r="FV124" s="149"/>
      <c r="FY124" s="210">
        <v>119</v>
      </c>
      <c r="FZ124">
        <v>17.711225251977474</v>
      </c>
      <c r="GA124">
        <v>14.264080989450257</v>
      </c>
      <c r="GB124">
        <v>1.3507697851689642</v>
      </c>
      <c r="GC124">
        <v>0.77026437025682792</v>
      </c>
      <c r="GD124">
        <v>1.59404121103882</v>
      </c>
      <c r="GE124">
        <v>5.6909186301997989</v>
      </c>
      <c r="GF124">
        <v>7.1265869821557333</v>
      </c>
      <c r="GG124">
        <v>8.8907143824792669</v>
      </c>
      <c r="GH124">
        <v>11.023419144018254</v>
      </c>
      <c r="GI124">
        <v>6.9140205165431361</v>
      </c>
      <c r="GJ124"/>
      <c r="GK124"/>
      <c r="GL124"/>
      <c r="GM124"/>
    </row>
    <row r="125" spans="1:195" s="7" customFormat="1">
      <c r="A125" s="1"/>
      <c r="B125" s="76">
        <f ca="1">IF(C125="", "", RAND())</f>
        <v>1.5802173024418664E-2</v>
      </c>
      <c r="C125">
        <v>3</v>
      </c>
      <c r="D125">
        <v>39747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 s="2"/>
      <c r="AK125" s="80"/>
      <c r="AL125" s="74"/>
      <c r="AM125" s="43">
        <v>109</v>
      </c>
      <c r="AN125">
        <v>103.27037378358298</v>
      </c>
      <c r="AO125">
        <v>11.555136442050207</v>
      </c>
      <c r="AP125">
        <v>118.15210334055037</v>
      </c>
      <c r="AQ125">
        <v>103.76756185210417</v>
      </c>
      <c r="AR125">
        <v>11.200539930515863</v>
      </c>
      <c r="AS125">
        <v>167.51660408503199</v>
      </c>
      <c r="AT125">
        <v>7.1564103220006592</v>
      </c>
      <c r="AU125">
        <v>54.721126863802212</v>
      </c>
      <c r="AV125"/>
      <c r="AW125"/>
      <c r="AX125" s="146"/>
      <c r="AY125" s="76">
        <f t="shared" ca="1" si="86"/>
        <v>0.43849843015051881</v>
      </c>
      <c r="AZ125">
        <v>8</v>
      </c>
      <c r="BA125" s="129">
        <f t="shared" si="129"/>
        <v>39747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 s="147"/>
      <c r="CH125" s="176"/>
      <c r="CJ125" s="146"/>
      <c r="CK125" s="76">
        <f t="shared" ca="1" si="88"/>
        <v>0.11678235832621109</v>
      </c>
      <c r="CL125" s="179">
        <f t="shared" si="89"/>
        <v>8</v>
      </c>
      <c r="CM125" s="180">
        <f t="shared" si="90"/>
        <v>39747</v>
      </c>
      <c r="CN125">
        <v>0</v>
      </c>
      <c r="CO125">
        <v>0</v>
      </c>
      <c r="CP125">
        <v>1</v>
      </c>
      <c r="CQ125">
        <v>1</v>
      </c>
      <c r="CR125">
        <v>0</v>
      </c>
      <c r="CS125">
        <v>0</v>
      </c>
      <c r="CT125">
        <v>0</v>
      </c>
      <c r="CU125">
        <v>0</v>
      </c>
      <c r="CV125" s="160"/>
      <c r="CW125" s="178">
        <v>1</v>
      </c>
      <c r="CX125">
        <f>350/52</f>
        <v>6.7307692307692308</v>
      </c>
      <c r="CY125" s="164"/>
      <c r="CZ125" s="177">
        <f t="shared" si="91"/>
        <v>9.6000000000000002E-2</v>
      </c>
      <c r="DB125" s="146"/>
      <c r="DC125" s="76">
        <f t="shared" ca="1" si="49"/>
        <v>0.4129582907240581</v>
      </c>
      <c r="DD125">
        <f t="shared" si="92"/>
        <v>8</v>
      </c>
      <c r="DE125" s="129">
        <f t="shared" si="128"/>
        <v>39747</v>
      </c>
      <c r="DF125" s="161">
        <f t="shared" si="93"/>
        <v>0</v>
      </c>
      <c r="DG125" s="161">
        <f t="shared" si="94"/>
        <v>0</v>
      </c>
      <c r="DH125" s="161">
        <f t="shared" si="95"/>
        <v>70.112179487179489</v>
      </c>
      <c r="DI125" s="161">
        <f t="shared" si="96"/>
        <v>70.112179487179489</v>
      </c>
      <c r="DJ125" s="161">
        <f t="shared" si="97"/>
        <v>0</v>
      </c>
      <c r="DK125" s="161">
        <f t="shared" si="98"/>
        <v>0</v>
      </c>
      <c r="DL125" s="161">
        <f t="shared" si="99"/>
        <v>0</v>
      </c>
      <c r="DM125" s="161">
        <f t="shared" si="100"/>
        <v>0</v>
      </c>
      <c r="DN125" s="161">
        <f t="shared" si="101"/>
        <v>0</v>
      </c>
      <c r="DO125" s="161">
        <f t="shared" si="102"/>
        <v>0</v>
      </c>
      <c r="DP125" s="161">
        <f t="shared" si="103"/>
        <v>0</v>
      </c>
      <c r="DQ125" s="161">
        <f t="shared" si="104"/>
        <v>0</v>
      </c>
      <c r="DR125" s="161">
        <f t="shared" si="105"/>
        <v>0</v>
      </c>
      <c r="DS125" s="161">
        <f t="shared" si="106"/>
        <v>0</v>
      </c>
      <c r="DT125" s="161">
        <f t="shared" si="107"/>
        <v>0</v>
      </c>
      <c r="DU125" s="161">
        <f t="shared" si="108"/>
        <v>0</v>
      </c>
      <c r="DV125" s="161">
        <f t="shared" si="109"/>
        <v>0</v>
      </c>
      <c r="DW125" s="161">
        <f t="shared" si="110"/>
        <v>0</v>
      </c>
      <c r="DX125" s="161">
        <f t="shared" si="111"/>
        <v>0</v>
      </c>
      <c r="DY125" s="161">
        <f t="shared" si="112"/>
        <v>0</v>
      </c>
      <c r="DZ125" s="161">
        <f t="shared" si="113"/>
        <v>0</v>
      </c>
      <c r="EA125" s="161">
        <f t="shared" si="114"/>
        <v>0</v>
      </c>
      <c r="EB125" s="161">
        <f t="shared" si="115"/>
        <v>0</v>
      </c>
      <c r="EC125" s="161">
        <f t="shared" si="116"/>
        <v>0</v>
      </c>
      <c r="ED125" s="161">
        <f t="shared" si="117"/>
        <v>0</v>
      </c>
      <c r="EE125" s="161">
        <f t="shared" si="118"/>
        <v>0</v>
      </c>
      <c r="EF125" s="161">
        <f t="shared" si="119"/>
        <v>0</v>
      </c>
      <c r="EG125" s="161">
        <f t="shared" si="120"/>
        <v>0</v>
      </c>
      <c r="EH125" s="161">
        <f t="shared" si="121"/>
        <v>0</v>
      </c>
      <c r="EI125" s="161">
        <f t="shared" si="122"/>
        <v>0</v>
      </c>
      <c r="EJ125" s="161">
        <f t="shared" si="123"/>
        <v>0</v>
      </c>
      <c r="EK125" s="147">
        <f t="shared" si="130"/>
        <v>140.22435897435898</v>
      </c>
      <c r="EL125" s="149"/>
      <c r="EN125" s="146"/>
      <c r="EO125" s="146"/>
      <c r="EP125" s="139">
        <f t="shared" si="131"/>
        <v>0</v>
      </c>
      <c r="EQ125" s="139">
        <f t="shared" si="132"/>
        <v>0</v>
      </c>
      <c r="ER125" s="139">
        <f t="shared" si="133"/>
        <v>1.8076081344063566</v>
      </c>
      <c r="ES125" s="139">
        <f t="shared" si="134"/>
        <v>5.641472184778495</v>
      </c>
      <c r="ET125" s="139">
        <f t="shared" si="135"/>
        <v>0</v>
      </c>
      <c r="EU125" s="139">
        <f t="shared" si="136"/>
        <v>0</v>
      </c>
      <c r="EV125" s="139">
        <f t="shared" si="137"/>
        <v>0</v>
      </c>
      <c r="EW125" s="139">
        <f t="shared" si="138"/>
        <v>0</v>
      </c>
      <c r="EX125" s="139">
        <f t="shared" si="139"/>
        <v>0</v>
      </c>
      <c r="EY125" s="139">
        <f t="shared" si="140"/>
        <v>0</v>
      </c>
      <c r="EZ125" s="139">
        <f t="shared" si="141"/>
        <v>0</v>
      </c>
      <c r="FA125" s="139">
        <f t="shared" si="142"/>
        <v>0</v>
      </c>
      <c r="FB125" s="139">
        <f t="shared" si="143"/>
        <v>0</v>
      </c>
      <c r="FC125" s="139">
        <f t="shared" si="144"/>
        <v>0</v>
      </c>
      <c r="FD125" s="139">
        <f t="shared" si="145"/>
        <v>0</v>
      </c>
      <c r="FE125" s="139">
        <f t="shared" si="146"/>
        <v>0</v>
      </c>
      <c r="FF125" s="139">
        <f t="shared" si="147"/>
        <v>0</v>
      </c>
      <c r="FG125" s="139">
        <f t="shared" si="148"/>
        <v>0</v>
      </c>
      <c r="FH125" s="139">
        <f t="shared" si="149"/>
        <v>0</v>
      </c>
      <c r="FI125" s="139">
        <f t="shared" si="150"/>
        <v>0</v>
      </c>
      <c r="FJ125" s="139">
        <f t="shared" si="151"/>
        <v>0</v>
      </c>
      <c r="FK125" s="139">
        <f t="shared" si="152"/>
        <v>0</v>
      </c>
      <c r="FL125" s="139">
        <f t="shared" si="153"/>
        <v>0</v>
      </c>
      <c r="FM125" s="139">
        <f t="shared" si="154"/>
        <v>0</v>
      </c>
      <c r="FN125" s="139">
        <f t="shared" si="155"/>
        <v>0</v>
      </c>
      <c r="FO125" s="139">
        <f t="shared" si="156"/>
        <v>0</v>
      </c>
      <c r="FP125" s="139">
        <f t="shared" si="157"/>
        <v>0</v>
      </c>
      <c r="FQ125" s="139">
        <f t="shared" si="158"/>
        <v>0</v>
      </c>
      <c r="FR125" s="139">
        <f t="shared" si="159"/>
        <v>0</v>
      </c>
      <c r="FS125" s="139">
        <f t="shared" si="160"/>
        <v>0</v>
      </c>
      <c r="FT125" s="139">
        <f t="shared" si="161"/>
        <v>0</v>
      </c>
      <c r="FU125" s="148">
        <f t="shared" si="162"/>
        <v>7.4490803191848514</v>
      </c>
      <c r="FV125" s="149"/>
      <c r="FY125" s="210">
        <v>120</v>
      </c>
      <c r="FZ125">
        <v>26.449918575906477</v>
      </c>
      <c r="GA125">
        <v>26.963506288720325</v>
      </c>
      <c r="GB125">
        <v>3.7225196796411799</v>
      </c>
      <c r="GC125">
        <v>1.8800922772406694</v>
      </c>
      <c r="GD125">
        <v>1.0244601808510774</v>
      </c>
      <c r="GE125">
        <v>2.8963039018296248</v>
      </c>
      <c r="GF125">
        <v>6.8097965592587828</v>
      </c>
      <c r="GG125">
        <v>9.6596895385026293</v>
      </c>
      <c r="GH125">
        <v>10.451796542852833</v>
      </c>
      <c r="GI125">
        <v>8.3027037968950808</v>
      </c>
      <c r="GJ125"/>
      <c r="GK125"/>
      <c r="GL125"/>
      <c r="GM125"/>
    </row>
    <row r="126" spans="1:195" s="7" customFormat="1">
      <c r="A126" s="1"/>
      <c r="B126" s="76">
        <f ca="1">IF(C126="", "", RAND())</f>
        <v>0.56072135956539104</v>
      </c>
      <c r="C126">
        <v>4</v>
      </c>
      <c r="D126">
        <v>39747</v>
      </c>
      <c r="E126">
        <v>0</v>
      </c>
      <c r="F126">
        <v>0</v>
      </c>
      <c r="G126">
        <v>251.43678160919538</v>
      </c>
      <c r="H126">
        <v>125.71839080459769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 s="2"/>
      <c r="AK126" s="80"/>
      <c r="AL126" s="74"/>
      <c r="AM126" s="43">
        <v>110</v>
      </c>
      <c r="AN126">
        <v>60.243333542730078</v>
      </c>
      <c r="AO126">
        <v>6.6478375732372585</v>
      </c>
      <c r="AP126">
        <v>66.783371241101833</v>
      </c>
      <c r="AQ126">
        <v>56.255050076523375</v>
      </c>
      <c r="AR126">
        <v>6.7073236315106746</v>
      </c>
      <c r="AS126">
        <v>121.79707504389214</v>
      </c>
      <c r="AT126">
        <v>4.1524357310142541</v>
      </c>
      <c r="AU126">
        <v>7.5662956982852814</v>
      </c>
      <c r="AV126"/>
      <c r="AW126"/>
      <c r="AX126" s="146"/>
      <c r="AY126" s="76">
        <f t="shared" ca="1" si="86"/>
        <v>7.0682796271928083E-2</v>
      </c>
      <c r="AZ126">
        <v>9</v>
      </c>
      <c r="BA126" s="129">
        <f t="shared" si="129"/>
        <v>39747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 s="147"/>
      <c r="CH126" s="176"/>
      <c r="CJ126" s="146"/>
      <c r="CK126" s="76">
        <f t="shared" ca="1" si="88"/>
        <v>0.29707476161744206</v>
      </c>
      <c r="CL126" s="179">
        <f t="shared" si="89"/>
        <v>9</v>
      </c>
      <c r="CM126" s="180">
        <f t="shared" si="90"/>
        <v>39747</v>
      </c>
      <c r="CN126">
        <v>0</v>
      </c>
      <c r="CO126">
        <v>0</v>
      </c>
      <c r="CP126">
        <v>0</v>
      </c>
      <c r="CQ126">
        <v>1</v>
      </c>
      <c r="CR126">
        <v>0</v>
      </c>
      <c r="CS126">
        <v>0</v>
      </c>
      <c r="CT126">
        <v>0</v>
      </c>
      <c r="CU126">
        <v>0</v>
      </c>
      <c r="CV126" s="160"/>
      <c r="CW126" s="178">
        <v>1</v>
      </c>
      <c r="CX126">
        <f>350/41</f>
        <v>8.536585365853659</v>
      </c>
      <c r="CY126" s="164"/>
      <c r="CZ126" s="177">
        <f t="shared" si="91"/>
        <v>9.6000000000000002E-2</v>
      </c>
      <c r="DB126" s="146"/>
      <c r="DC126" s="76">
        <f t="shared" ca="1" si="49"/>
        <v>0.96791314473645285</v>
      </c>
      <c r="DD126">
        <f t="shared" si="92"/>
        <v>9</v>
      </c>
      <c r="DE126" s="129">
        <f t="shared" si="128"/>
        <v>39747</v>
      </c>
      <c r="DF126" s="161">
        <f t="shared" si="93"/>
        <v>0</v>
      </c>
      <c r="DG126" s="161">
        <f t="shared" si="94"/>
        <v>0</v>
      </c>
      <c r="DH126" s="161">
        <f t="shared" si="95"/>
        <v>0</v>
      </c>
      <c r="DI126" s="161">
        <f t="shared" si="96"/>
        <v>88.922764227642276</v>
      </c>
      <c r="DJ126" s="161">
        <f t="shared" si="97"/>
        <v>0</v>
      </c>
      <c r="DK126" s="161">
        <f t="shared" si="98"/>
        <v>0</v>
      </c>
      <c r="DL126" s="161">
        <f t="shared" si="99"/>
        <v>0</v>
      </c>
      <c r="DM126" s="161">
        <f t="shared" si="100"/>
        <v>0</v>
      </c>
      <c r="DN126" s="161">
        <f t="shared" si="101"/>
        <v>0</v>
      </c>
      <c r="DO126" s="161">
        <f t="shared" si="102"/>
        <v>0</v>
      </c>
      <c r="DP126" s="161">
        <f t="shared" si="103"/>
        <v>0</v>
      </c>
      <c r="DQ126" s="161">
        <f t="shared" si="104"/>
        <v>0</v>
      </c>
      <c r="DR126" s="161">
        <f t="shared" si="105"/>
        <v>0</v>
      </c>
      <c r="DS126" s="161">
        <f t="shared" si="106"/>
        <v>0</v>
      </c>
      <c r="DT126" s="161">
        <f t="shared" si="107"/>
        <v>0</v>
      </c>
      <c r="DU126" s="161">
        <f t="shared" si="108"/>
        <v>0</v>
      </c>
      <c r="DV126" s="161">
        <f t="shared" si="109"/>
        <v>0</v>
      </c>
      <c r="DW126" s="161">
        <f t="shared" si="110"/>
        <v>0</v>
      </c>
      <c r="DX126" s="161">
        <f t="shared" si="111"/>
        <v>0</v>
      </c>
      <c r="DY126" s="161">
        <f t="shared" si="112"/>
        <v>0</v>
      </c>
      <c r="DZ126" s="161">
        <f t="shared" si="113"/>
        <v>0</v>
      </c>
      <c r="EA126" s="161">
        <f t="shared" si="114"/>
        <v>0</v>
      </c>
      <c r="EB126" s="161">
        <f t="shared" si="115"/>
        <v>0</v>
      </c>
      <c r="EC126" s="161">
        <f t="shared" si="116"/>
        <v>0</v>
      </c>
      <c r="ED126" s="161">
        <f t="shared" si="117"/>
        <v>0</v>
      </c>
      <c r="EE126" s="161">
        <f t="shared" si="118"/>
        <v>0</v>
      </c>
      <c r="EF126" s="161">
        <f t="shared" si="119"/>
        <v>0</v>
      </c>
      <c r="EG126" s="161">
        <f t="shared" si="120"/>
        <v>0</v>
      </c>
      <c r="EH126" s="161">
        <f t="shared" si="121"/>
        <v>0</v>
      </c>
      <c r="EI126" s="161">
        <f t="shared" si="122"/>
        <v>0</v>
      </c>
      <c r="EJ126" s="161">
        <f t="shared" si="123"/>
        <v>0</v>
      </c>
      <c r="EK126" s="147">
        <f t="shared" si="130"/>
        <v>88.922764227642276</v>
      </c>
      <c r="EL126" s="149"/>
      <c r="EN126" s="146"/>
      <c r="EO126" s="146"/>
      <c r="EP126" s="139">
        <f t="shared" si="131"/>
        <v>0</v>
      </c>
      <c r="EQ126" s="139">
        <f t="shared" si="132"/>
        <v>0</v>
      </c>
      <c r="ER126" s="139">
        <f t="shared" si="133"/>
        <v>0</v>
      </c>
      <c r="ES126" s="139">
        <f t="shared" si="134"/>
        <v>7.1550378928897977</v>
      </c>
      <c r="ET126" s="139">
        <f t="shared" si="135"/>
        <v>0</v>
      </c>
      <c r="EU126" s="139">
        <f t="shared" si="136"/>
        <v>0</v>
      </c>
      <c r="EV126" s="139">
        <f t="shared" si="137"/>
        <v>0</v>
      </c>
      <c r="EW126" s="139">
        <f t="shared" si="138"/>
        <v>0</v>
      </c>
      <c r="EX126" s="139">
        <f t="shared" si="139"/>
        <v>0</v>
      </c>
      <c r="EY126" s="139">
        <f t="shared" si="140"/>
        <v>0</v>
      </c>
      <c r="EZ126" s="139">
        <f t="shared" si="141"/>
        <v>0</v>
      </c>
      <c r="FA126" s="139">
        <f t="shared" si="142"/>
        <v>0</v>
      </c>
      <c r="FB126" s="139">
        <f t="shared" si="143"/>
        <v>0</v>
      </c>
      <c r="FC126" s="139">
        <f t="shared" si="144"/>
        <v>0</v>
      </c>
      <c r="FD126" s="139">
        <f t="shared" si="145"/>
        <v>0</v>
      </c>
      <c r="FE126" s="139">
        <f t="shared" si="146"/>
        <v>0</v>
      </c>
      <c r="FF126" s="139">
        <f t="shared" si="147"/>
        <v>0</v>
      </c>
      <c r="FG126" s="139">
        <f t="shared" si="148"/>
        <v>0</v>
      </c>
      <c r="FH126" s="139">
        <f t="shared" si="149"/>
        <v>0</v>
      </c>
      <c r="FI126" s="139">
        <f t="shared" si="150"/>
        <v>0</v>
      </c>
      <c r="FJ126" s="139">
        <f t="shared" si="151"/>
        <v>0</v>
      </c>
      <c r="FK126" s="139">
        <f t="shared" si="152"/>
        <v>0</v>
      </c>
      <c r="FL126" s="139">
        <f t="shared" si="153"/>
        <v>0</v>
      </c>
      <c r="FM126" s="139">
        <f t="shared" si="154"/>
        <v>0</v>
      </c>
      <c r="FN126" s="139">
        <f t="shared" si="155"/>
        <v>0</v>
      </c>
      <c r="FO126" s="139">
        <f t="shared" si="156"/>
        <v>0</v>
      </c>
      <c r="FP126" s="139">
        <f t="shared" si="157"/>
        <v>0</v>
      </c>
      <c r="FQ126" s="139">
        <f t="shared" si="158"/>
        <v>0</v>
      </c>
      <c r="FR126" s="139">
        <f t="shared" si="159"/>
        <v>0</v>
      </c>
      <c r="FS126" s="139">
        <f t="shared" si="160"/>
        <v>0</v>
      </c>
      <c r="FT126" s="139">
        <f t="shared" si="161"/>
        <v>0</v>
      </c>
      <c r="FU126" s="148">
        <f t="shared" si="162"/>
        <v>7.1550378928897977</v>
      </c>
      <c r="FV126" s="149"/>
      <c r="FY126" s="210">
        <v>121</v>
      </c>
      <c r="FZ126">
        <v>2.4859956568179542</v>
      </c>
      <c r="GA126">
        <v>3.1811725940127387</v>
      </c>
      <c r="GB126">
        <v>1.7998361888652219</v>
      </c>
      <c r="GC126">
        <v>0.3300812182837044</v>
      </c>
      <c r="GD126">
        <v>0.58674686712556157</v>
      </c>
      <c r="GE126">
        <v>3.0003081302805419</v>
      </c>
      <c r="GF126">
        <v>7.6551621686354885</v>
      </c>
      <c r="GG126">
        <v>10.704573001706683</v>
      </c>
      <c r="GH126">
        <v>12.578607971469017</v>
      </c>
      <c r="GI126">
        <v>4.5415836133078304</v>
      </c>
      <c r="GJ126"/>
      <c r="GK126"/>
      <c r="GL126"/>
      <c r="GM126"/>
    </row>
    <row r="127" spans="1:195" s="7" customFormat="1">
      <c r="A127" s="1"/>
      <c r="B127" s="76">
        <f ca="1">IF(C127="", "", RAND())</f>
        <v>0.7516614699233195</v>
      </c>
      <c r="C127">
        <v>7</v>
      </c>
      <c r="D127">
        <v>39747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 s="2"/>
      <c r="AK127" s="80"/>
      <c r="AL127" s="74"/>
      <c r="AM127" s="43">
        <v>111</v>
      </c>
      <c r="AN127">
        <v>88.871263952033175</v>
      </c>
      <c r="AO127">
        <v>11.649452536161538</v>
      </c>
      <c r="AP127">
        <v>118.01465734165035</v>
      </c>
      <c r="AQ127">
        <v>102.81499422863192</v>
      </c>
      <c r="AR127">
        <v>11.085062280386381</v>
      </c>
      <c r="AS127">
        <v>185.45463986333436</v>
      </c>
      <c r="AT127">
        <v>6.8290723250427208</v>
      </c>
      <c r="AU127">
        <v>6.8586074671455153</v>
      </c>
      <c r="AV127"/>
      <c r="AW127"/>
      <c r="AX127" s="146"/>
      <c r="AY127" s="76">
        <f t="shared" ca="1" si="86"/>
        <v>0.35972193503540506</v>
      </c>
      <c r="AZ127">
        <v>10</v>
      </c>
      <c r="BA127" s="129">
        <f t="shared" si="129"/>
        <v>39747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 s="147"/>
      <c r="CH127" s="176"/>
      <c r="CJ127" s="146"/>
      <c r="CK127" s="76">
        <f t="shared" ca="1" si="88"/>
        <v>0.91107613973229196</v>
      </c>
      <c r="CL127" s="179">
        <f t="shared" si="89"/>
        <v>10</v>
      </c>
      <c r="CM127" s="180">
        <f t="shared" si="90"/>
        <v>39747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 s="160"/>
      <c r="CW127" s="178">
        <v>1</v>
      </c>
      <c r="CX127">
        <f>350/56</f>
        <v>6.25</v>
      </c>
      <c r="CY127" s="164"/>
      <c r="CZ127" s="177">
        <f t="shared" si="91"/>
        <v>9.6000000000000002E-2</v>
      </c>
      <c r="DB127" s="146"/>
      <c r="DC127" s="76">
        <f t="shared" ca="1" si="49"/>
        <v>0.66583499094061538</v>
      </c>
      <c r="DD127">
        <f t="shared" si="92"/>
        <v>10</v>
      </c>
      <c r="DE127" s="129">
        <f t="shared" si="128"/>
        <v>39747</v>
      </c>
      <c r="DF127" s="161">
        <f t="shared" si="93"/>
        <v>0</v>
      </c>
      <c r="DG127" s="161">
        <f t="shared" si="94"/>
        <v>0</v>
      </c>
      <c r="DH127" s="161">
        <f t="shared" si="95"/>
        <v>0</v>
      </c>
      <c r="DI127" s="161">
        <f t="shared" si="96"/>
        <v>0</v>
      </c>
      <c r="DJ127" s="161">
        <f t="shared" si="97"/>
        <v>0</v>
      </c>
      <c r="DK127" s="161">
        <f t="shared" si="98"/>
        <v>0</v>
      </c>
      <c r="DL127" s="161">
        <f t="shared" si="99"/>
        <v>0</v>
      </c>
      <c r="DM127" s="161">
        <f t="shared" si="100"/>
        <v>0</v>
      </c>
      <c r="DN127" s="161">
        <f t="shared" si="101"/>
        <v>0</v>
      </c>
      <c r="DO127" s="161">
        <f t="shared" si="102"/>
        <v>0</v>
      </c>
      <c r="DP127" s="161">
        <f t="shared" si="103"/>
        <v>0</v>
      </c>
      <c r="DQ127" s="161">
        <f t="shared" si="104"/>
        <v>0</v>
      </c>
      <c r="DR127" s="161">
        <f t="shared" si="105"/>
        <v>0</v>
      </c>
      <c r="DS127" s="161">
        <f t="shared" si="106"/>
        <v>0</v>
      </c>
      <c r="DT127" s="161">
        <f t="shared" si="107"/>
        <v>0</v>
      </c>
      <c r="DU127" s="161">
        <f t="shared" si="108"/>
        <v>0</v>
      </c>
      <c r="DV127" s="161">
        <f t="shared" si="109"/>
        <v>0</v>
      </c>
      <c r="DW127" s="161">
        <f t="shared" si="110"/>
        <v>0</v>
      </c>
      <c r="DX127" s="161">
        <f t="shared" si="111"/>
        <v>0</v>
      </c>
      <c r="DY127" s="161">
        <f t="shared" si="112"/>
        <v>0</v>
      </c>
      <c r="DZ127" s="161">
        <f t="shared" si="113"/>
        <v>0</v>
      </c>
      <c r="EA127" s="161">
        <f t="shared" si="114"/>
        <v>0</v>
      </c>
      <c r="EB127" s="161">
        <f t="shared" si="115"/>
        <v>0</v>
      </c>
      <c r="EC127" s="161">
        <f t="shared" si="116"/>
        <v>0</v>
      </c>
      <c r="ED127" s="161">
        <f t="shared" si="117"/>
        <v>0</v>
      </c>
      <c r="EE127" s="161">
        <f t="shared" si="118"/>
        <v>0</v>
      </c>
      <c r="EF127" s="161">
        <f t="shared" si="119"/>
        <v>0</v>
      </c>
      <c r="EG127" s="161">
        <f t="shared" si="120"/>
        <v>0</v>
      </c>
      <c r="EH127" s="161">
        <f t="shared" si="121"/>
        <v>0</v>
      </c>
      <c r="EI127" s="161">
        <f t="shared" si="122"/>
        <v>0</v>
      </c>
      <c r="EJ127" s="161">
        <f t="shared" si="123"/>
        <v>0</v>
      </c>
      <c r="EK127" s="147">
        <f t="shared" si="130"/>
        <v>0</v>
      </c>
      <c r="EL127" s="149"/>
      <c r="EN127" s="146"/>
      <c r="EO127" s="146"/>
      <c r="EP127" s="139">
        <f t="shared" si="131"/>
        <v>0</v>
      </c>
      <c r="EQ127" s="139">
        <f t="shared" si="132"/>
        <v>0</v>
      </c>
      <c r="ER127" s="139">
        <f t="shared" si="133"/>
        <v>0</v>
      </c>
      <c r="ES127" s="139">
        <f t="shared" si="134"/>
        <v>0</v>
      </c>
      <c r="ET127" s="139">
        <f t="shared" si="135"/>
        <v>0</v>
      </c>
      <c r="EU127" s="139">
        <f t="shared" si="136"/>
        <v>0</v>
      </c>
      <c r="EV127" s="139">
        <f t="shared" si="137"/>
        <v>0</v>
      </c>
      <c r="EW127" s="139">
        <f t="shared" si="138"/>
        <v>0</v>
      </c>
      <c r="EX127" s="139">
        <f t="shared" si="139"/>
        <v>0</v>
      </c>
      <c r="EY127" s="139">
        <f t="shared" si="140"/>
        <v>0</v>
      </c>
      <c r="EZ127" s="139">
        <f t="shared" si="141"/>
        <v>0</v>
      </c>
      <c r="FA127" s="139">
        <f t="shared" si="142"/>
        <v>0</v>
      </c>
      <c r="FB127" s="139">
        <f t="shared" si="143"/>
        <v>0</v>
      </c>
      <c r="FC127" s="139">
        <f t="shared" si="144"/>
        <v>0</v>
      </c>
      <c r="FD127" s="139">
        <f t="shared" si="145"/>
        <v>0</v>
      </c>
      <c r="FE127" s="139">
        <f t="shared" si="146"/>
        <v>0</v>
      </c>
      <c r="FF127" s="139">
        <f t="shared" si="147"/>
        <v>0</v>
      </c>
      <c r="FG127" s="139">
        <f t="shared" si="148"/>
        <v>0</v>
      </c>
      <c r="FH127" s="139">
        <f t="shared" si="149"/>
        <v>0</v>
      </c>
      <c r="FI127" s="139">
        <f t="shared" si="150"/>
        <v>0</v>
      </c>
      <c r="FJ127" s="139">
        <f t="shared" si="151"/>
        <v>0</v>
      </c>
      <c r="FK127" s="139">
        <f t="shared" si="152"/>
        <v>0</v>
      </c>
      <c r="FL127" s="139">
        <f t="shared" si="153"/>
        <v>0</v>
      </c>
      <c r="FM127" s="139">
        <f t="shared" si="154"/>
        <v>0</v>
      </c>
      <c r="FN127" s="139">
        <f t="shared" si="155"/>
        <v>0</v>
      </c>
      <c r="FO127" s="139">
        <f t="shared" si="156"/>
        <v>0</v>
      </c>
      <c r="FP127" s="139">
        <f t="shared" si="157"/>
        <v>0</v>
      </c>
      <c r="FQ127" s="139">
        <f t="shared" si="158"/>
        <v>0</v>
      </c>
      <c r="FR127" s="139">
        <f t="shared" si="159"/>
        <v>0</v>
      </c>
      <c r="FS127" s="139">
        <f t="shared" si="160"/>
        <v>0</v>
      </c>
      <c r="FT127" s="139">
        <f t="shared" si="161"/>
        <v>0</v>
      </c>
      <c r="FU127" s="148">
        <f t="shared" si="162"/>
        <v>0</v>
      </c>
      <c r="FV127" s="149"/>
      <c r="FY127" s="210">
        <v>122</v>
      </c>
      <c r="FZ127">
        <v>13.094572342409375</v>
      </c>
      <c r="GA127">
        <v>13.871953661455565</v>
      </c>
      <c r="GB127">
        <v>1.8157875421413225</v>
      </c>
      <c r="GC127">
        <v>1.1092994705844967</v>
      </c>
      <c r="GD127">
        <v>0.69773534684254468</v>
      </c>
      <c r="GE127">
        <v>1.915769694145516</v>
      </c>
      <c r="GF127">
        <v>6.1474430055945399</v>
      </c>
      <c r="GG127">
        <v>9.210095644601866</v>
      </c>
      <c r="GH127">
        <v>9.4411815682769369</v>
      </c>
      <c r="GI127">
        <v>5.3831400724515968</v>
      </c>
      <c r="GJ127"/>
      <c r="GK127"/>
      <c r="GL127"/>
      <c r="GM127"/>
    </row>
    <row r="128" spans="1:195" s="7" customFormat="1">
      <c r="A128" s="128"/>
      <c r="B128" s="76">
        <f ca="1">IF(C128="", "", RAND())</f>
        <v>0.50548688716559198</v>
      </c>
      <c r="C128">
        <v>8</v>
      </c>
      <c r="D128">
        <v>39775</v>
      </c>
      <c r="E128">
        <v>0</v>
      </c>
      <c r="F128">
        <v>52.083333333333336</v>
      </c>
      <c r="G128">
        <v>260.41666666666669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 s="2"/>
      <c r="AK128" s="80"/>
      <c r="AL128" s="74"/>
      <c r="AM128" s="43">
        <v>112</v>
      </c>
      <c r="AN128">
        <v>97.093534034404485</v>
      </c>
      <c r="AO128">
        <v>9.7370485476628428</v>
      </c>
      <c r="AP128">
        <v>101.35608671541102</v>
      </c>
      <c r="AQ128">
        <v>85.445324337718944</v>
      </c>
      <c r="AR128">
        <v>9.5212126727782085</v>
      </c>
      <c r="AS128">
        <v>155.18093956987437</v>
      </c>
      <c r="AT128">
        <v>5.7137438420798619</v>
      </c>
      <c r="AU128">
        <v>22.895909450045746</v>
      </c>
      <c r="AV128"/>
      <c r="AW128"/>
      <c r="AX128" s="128"/>
      <c r="AY128" s="76">
        <f t="shared" ca="1" si="86"/>
        <v>0.61559450952719907</v>
      </c>
      <c r="AZ128">
        <v>1</v>
      </c>
      <c r="BA128" s="129">
        <f>IF(AZ128="", "",$C$8)</f>
        <v>39775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 s="147"/>
      <c r="CH128" s="176"/>
      <c r="CJ128" s="128"/>
      <c r="CK128" s="76">
        <f t="shared" ca="1" si="88"/>
        <v>0.73654358860672886</v>
      </c>
      <c r="CL128" s="179">
        <f t="shared" si="89"/>
        <v>1</v>
      </c>
      <c r="CM128" s="180">
        <f t="shared" si="90"/>
        <v>39775</v>
      </c>
      <c r="CN128">
        <v>0</v>
      </c>
      <c r="CO128">
        <v>0</v>
      </c>
      <c r="CP128">
        <v>2</v>
      </c>
      <c r="CQ128">
        <v>0</v>
      </c>
      <c r="CR128">
        <v>0</v>
      </c>
      <c r="CS128">
        <v>0</v>
      </c>
      <c r="CT128">
        <v>0</v>
      </c>
      <c r="CU128">
        <v>0</v>
      </c>
      <c r="CV128" s="160"/>
      <c r="CW128">
        <f>40/13</f>
        <v>3.0769230769230771</v>
      </c>
      <c r="CX128">
        <f>21/10</f>
        <v>2.1</v>
      </c>
      <c r="CY128" s="160"/>
      <c r="CZ128" s="177">
        <f t="shared" si="91"/>
        <v>9.6000000000000002E-2</v>
      </c>
      <c r="DB128" s="128"/>
      <c r="DC128" s="76">
        <f t="shared" ca="1" si="49"/>
        <v>0.60054564199573335</v>
      </c>
      <c r="DD128">
        <f t="shared" si="92"/>
        <v>1</v>
      </c>
      <c r="DE128" s="129">
        <f t="shared" ref="DE128:DE137" si="163">IF((DD128)="", "", $C$8)</f>
        <v>39775</v>
      </c>
      <c r="DF128" s="161">
        <f t="shared" si="93"/>
        <v>0</v>
      </c>
      <c r="DG128" s="161">
        <f t="shared" si="94"/>
        <v>0</v>
      </c>
      <c r="DH128" s="161">
        <f t="shared" si="95"/>
        <v>43.75</v>
      </c>
      <c r="DI128" s="161">
        <f t="shared" si="96"/>
        <v>0</v>
      </c>
      <c r="DJ128" s="161">
        <f t="shared" si="97"/>
        <v>0</v>
      </c>
      <c r="DK128" s="161">
        <f t="shared" si="98"/>
        <v>0</v>
      </c>
      <c r="DL128" s="161">
        <f t="shared" si="99"/>
        <v>0</v>
      </c>
      <c r="DM128" s="161">
        <f t="shared" si="100"/>
        <v>0</v>
      </c>
      <c r="DN128" s="161">
        <f t="shared" si="101"/>
        <v>0</v>
      </c>
      <c r="DO128" s="161">
        <f t="shared" si="102"/>
        <v>0</v>
      </c>
      <c r="DP128" s="161">
        <f t="shared" si="103"/>
        <v>0</v>
      </c>
      <c r="DQ128" s="161">
        <f t="shared" si="104"/>
        <v>0</v>
      </c>
      <c r="DR128" s="161">
        <f t="shared" si="105"/>
        <v>0</v>
      </c>
      <c r="DS128" s="161">
        <f t="shared" si="106"/>
        <v>0</v>
      </c>
      <c r="DT128" s="161">
        <f t="shared" si="107"/>
        <v>0</v>
      </c>
      <c r="DU128" s="161">
        <f t="shared" si="108"/>
        <v>0</v>
      </c>
      <c r="DV128" s="161">
        <f t="shared" si="109"/>
        <v>0</v>
      </c>
      <c r="DW128" s="161">
        <f t="shared" si="110"/>
        <v>0</v>
      </c>
      <c r="DX128" s="161">
        <f t="shared" si="111"/>
        <v>0</v>
      </c>
      <c r="DY128" s="161">
        <f t="shared" si="112"/>
        <v>0</v>
      </c>
      <c r="DZ128" s="161">
        <f t="shared" si="113"/>
        <v>0</v>
      </c>
      <c r="EA128" s="161">
        <f t="shared" si="114"/>
        <v>0</v>
      </c>
      <c r="EB128" s="161">
        <f t="shared" si="115"/>
        <v>0</v>
      </c>
      <c r="EC128" s="161">
        <f t="shared" si="116"/>
        <v>0</v>
      </c>
      <c r="ED128" s="161">
        <f t="shared" si="117"/>
        <v>0</v>
      </c>
      <c r="EE128" s="161">
        <f t="shared" si="118"/>
        <v>0</v>
      </c>
      <c r="EF128" s="161">
        <f t="shared" si="119"/>
        <v>0</v>
      </c>
      <c r="EG128" s="161">
        <f t="shared" si="120"/>
        <v>0</v>
      </c>
      <c r="EH128" s="161">
        <f t="shared" si="121"/>
        <v>0</v>
      </c>
      <c r="EI128" s="161">
        <f t="shared" si="122"/>
        <v>0</v>
      </c>
      <c r="EJ128" s="161">
        <f t="shared" si="123"/>
        <v>0</v>
      </c>
      <c r="EK128" s="147">
        <f t="shared" si="130"/>
        <v>43.75</v>
      </c>
      <c r="EL128" s="149"/>
      <c r="EN128" s="146"/>
      <c r="EO128" s="146"/>
      <c r="EP128" s="139">
        <f t="shared" si="131"/>
        <v>0</v>
      </c>
      <c r="EQ128" s="139">
        <f t="shared" si="132"/>
        <v>0</v>
      </c>
      <c r="ER128" s="139">
        <f t="shared" si="133"/>
        <v>1.1279474758695665</v>
      </c>
      <c r="ES128" s="139">
        <f t="shared" si="134"/>
        <v>0</v>
      </c>
      <c r="ET128" s="139">
        <f t="shared" si="135"/>
        <v>0</v>
      </c>
      <c r="EU128" s="139">
        <f t="shared" si="136"/>
        <v>0</v>
      </c>
      <c r="EV128" s="139">
        <f t="shared" si="137"/>
        <v>0</v>
      </c>
      <c r="EW128" s="139">
        <f t="shared" si="138"/>
        <v>0</v>
      </c>
      <c r="EX128" s="139">
        <f t="shared" si="139"/>
        <v>0</v>
      </c>
      <c r="EY128" s="139">
        <f t="shared" si="140"/>
        <v>0</v>
      </c>
      <c r="EZ128" s="139">
        <f t="shared" si="141"/>
        <v>0</v>
      </c>
      <c r="FA128" s="139">
        <f t="shared" si="142"/>
        <v>0</v>
      </c>
      <c r="FB128" s="139">
        <f t="shared" si="143"/>
        <v>0</v>
      </c>
      <c r="FC128" s="139">
        <f t="shared" si="144"/>
        <v>0</v>
      </c>
      <c r="FD128" s="139">
        <f t="shared" si="145"/>
        <v>0</v>
      </c>
      <c r="FE128" s="139">
        <f t="shared" si="146"/>
        <v>0</v>
      </c>
      <c r="FF128" s="139">
        <f t="shared" si="147"/>
        <v>0</v>
      </c>
      <c r="FG128" s="139">
        <f t="shared" si="148"/>
        <v>0</v>
      </c>
      <c r="FH128" s="139">
        <f t="shared" si="149"/>
        <v>0</v>
      </c>
      <c r="FI128" s="139">
        <f t="shared" si="150"/>
        <v>0</v>
      </c>
      <c r="FJ128" s="139">
        <f t="shared" si="151"/>
        <v>0</v>
      </c>
      <c r="FK128" s="139">
        <f t="shared" si="152"/>
        <v>0</v>
      </c>
      <c r="FL128" s="139">
        <f t="shared" si="153"/>
        <v>0</v>
      </c>
      <c r="FM128" s="139">
        <f t="shared" si="154"/>
        <v>0</v>
      </c>
      <c r="FN128" s="139">
        <f t="shared" si="155"/>
        <v>0</v>
      </c>
      <c r="FO128" s="139">
        <f t="shared" si="156"/>
        <v>0</v>
      </c>
      <c r="FP128" s="139">
        <f t="shared" si="157"/>
        <v>0</v>
      </c>
      <c r="FQ128" s="139">
        <f t="shared" si="158"/>
        <v>0</v>
      </c>
      <c r="FR128" s="139">
        <f t="shared" si="159"/>
        <v>0</v>
      </c>
      <c r="FS128" s="139">
        <f t="shared" si="160"/>
        <v>0</v>
      </c>
      <c r="FT128" s="139">
        <f t="shared" si="161"/>
        <v>0</v>
      </c>
      <c r="FU128" s="148">
        <f t="shared" si="162"/>
        <v>1.1279474758695665</v>
      </c>
      <c r="FV128" s="149"/>
      <c r="FY128" s="210">
        <v>123</v>
      </c>
      <c r="FZ128">
        <v>35.408905158614793</v>
      </c>
      <c r="GA128">
        <v>41.041603492063061</v>
      </c>
      <c r="GB128">
        <v>3.4125634312633917</v>
      </c>
      <c r="GC128">
        <v>1.3122952635633258</v>
      </c>
      <c r="GD128">
        <v>1.2352137746776557</v>
      </c>
      <c r="GE128">
        <v>2.9358029968320314</v>
      </c>
      <c r="GF128">
        <v>7.8270586976189342</v>
      </c>
      <c r="GG128">
        <v>10.339738299107548</v>
      </c>
      <c r="GH128">
        <v>8.2799163275718559</v>
      </c>
      <c r="GI128">
        <v>9.5221872812234345</v>
      </c>
      <c r="GJ128"/>
      <c r="GK128"/>
      <c r="GL128"/>
      <c r="GM128"/>
    </row>
    <row r="129" spans="1:195" s="7" customFormat="1">
      <c r="A129" s="1"/>
      <c r="B129" s="76">
        <f ca="1">IF(C129="", "", RAND())</f>
        <v>0.7858872428164303</v>
      </c>
      <c r="C129">
        <v>2</v>
      </c>
      <c r="D129">
        <v>39775</v>
      </c>
      <c r="E129">
        <v>0</v>
      </c>
      <c r="F129">
        <v>0</v>
      </c>
      <c r="G129">
        <v>18.939393939393938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 s="2"/>
      <c r="AK129" s="80"/>
      <c r="AL129" s="74"/>
      <c r="AM129" s="43">
        <v>113</v>
      </c>
      <c r="AN129">
        <v>150.19706848317205</v>
      </c>
      <c r="AO129">
        <v>10.977469208653989</v>
      </c>
      <c r="AP129">
        <v>109.85923011990431</v>
      </c>
      <c r="AQ129">
        <v>92.940373033075232</v>
      </c>
      <c r="AR129">
        <v>10.205317964599777</v>
      </c>
      <c r="AS129">
        <v>178.71432893457271</v>
      </c>
      <c r="AT129">
        <v>6.9892299998137508</v>
      </c>
      <c r="AU129">
        <v>2.324472473652647</v>
      </c>
      <c r="AV129"/>
      <c r="AW129"/>
      <c r="AX129" s="146"/>
      <c r="AY129" s="76">
        <f t="shared" ca="1" si="86"/>
        <v>0.9692255684388309</v>
      </c>
      <c r="AZ129">
        <v>2</v>
      </c>
      <c r="BA129" s="129">
        <f t="shared" ref="BA129:BA137" si="164">IF(AZ129="", "",$C$8)</f>
        <v>39775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 s="147"/>
      <c r="CH129" s="176"/>
      <c r="CJ129" s="146"/>
      <c r="CK129" s="76">
        <f t="shared" ca="1" si="88"/>
        <v>0.84852824912437952</v>
      </c>
      <c r="CL129" s="179">
        <f t="shared" si="89"/>
        <v>2</v>
      </c>
      <c r="CM129" s="180">
        <f t="shared" si="90"/>
        <v>39775</v>
      </c>
      <c r="CN129">
        <v>0</v>
      </c>
      <c r="CO129">
        <v>0</v>
      </c>
      <c r="CP129">
        <v>1</v>
      </c>
      <c r="CQ129">
        <v>0</v>
      </c>
      <c r="CR129">
        <v>0</v>
      </c>
      <c r="CS129">
        <v>0</v>
      </c>
      <c r="CT129">
        <v>0</v>
      </c>
      <c r="CU129">
        <v>0</v>
      </c>
      <c r="CV129" s="160"/>
      <c r="CW129">
        <v>1</v>
      </c>
      <c r="CX129">
        <f>20/11</f>
        <v>1.8181818181818181</v>
      </c>
      <c r="CY129" s="160"/>
      <c r="CZ129" s="177">
        <f t="shared" si="91"/>
        <v>9.6000000000000002E-2</v>
      </c>
      <c r="DB129" s="146"/>
      <c r="DC129" s="76">
        <f t="shared" ca="1" si="49"/>
        <v>0.84556203405514818</v>
      </c>
      <c r="DD129">
        <f t="shared" si="92"/>
        <v>2</v>
      </c>
      <c r="DE129" s="129">
        <f t="shared" si="163"/>
        <v>39775</v>
      </c>
      <c r="DF129" s="161">
        <f t="shared" si="93"/>
        <v>0</v>
      </c>
      <c r="DG129" s="161">
        <f t="shared" si="94"/>
        <v>0</v>
      </c>
      <c r="DH129" s="161">
        <f t="shared" si="95"/>
        <v>18.939393939393938</v>
      </c>
      <c r="DI129" s="161">
        <f t="shared" si="96"/>
        <v>0</v>
      </c>
      <c r="DJ129" s="161">
        <f t="shared" si="97"/>
        <v>0</v>
      </c>
      <c r="DK129" s="161">
        <f t="shared" si="98"/>
        <v>0</v>
      </c>
      <c r="DL129" s="161">
        <f t="shared" si="99"/>
        <v>0</v>
      </c>
      <c r="DM129" s="161">
        <f t="shared" si="100"/>
        <v>0</v>
      </c>
      <c r="DN129" s="161">
        <f t="shared" si="101"/>
        <v>0</v>
      </c>
      <c r="DO129" s="161">
        <f t="shared" si="102"/>
        <v>0</v>
      </c>
      <c r="DP129" s="161">
        <f t="shared" si="103"/>
        <v>0</v>
      </c>
      <c r="DQ129" s="161">
        <f t="shared" si="104"/>
        <v>0</v>
      </c>
      <c r="DR129" s="161">
        <f t="shared" si="105"/>
        <v>0</v>
      </c>
      <c r="DS129" s="161">
        <f t="shared" si="106"/>
        <v>0</v>
      </c>
      <c r="DT129" s="161">
        <f t="shared" si="107"/>
        <v>0</v>
      </c>
      <c r="DU129" s="161">
        <f t="shared" si="108"/>
        <v>0</v>
      </c>
      <c r="DV129" s="161">
        <f t="shared" si="109"/>
        <v>0</v>
      </c>
      <c r="DW129" s="161">
        <f t="shared" si="110"/>
        <v>0</v>
      </c>
      <c r="DX129" s="161">
        <f t="shared" si="111"/>
        <v>0</v>
      </c>
      <c r="DY129" s="161">
        <f t="shared" si="112"/>
        <v>0</v>
      </c>
      <c r="DZ129" s="161">
        <f t="shared" si="113"/>
        <v>0</v>
      </c>
      <c r="EA129" s="161">
        <f t="shared" si="114"/>
        <v>0</v>
      </c>
      <c r="EB129" s="161">
        <f t="shared" si="115"/>
        <v>0</v>
      </c>
      <c r="EC129" s="161">
        <f t="shared" si="116"/>
        <v>0</v>
      </c>
      <c r="ED129" s="161">
        <f t="shared" si="117"/>
        <v>0</v>
      </c>
      <c r="EE129" s="161">
        <f t="shared" si="118"/>
        <v>0</v>
      </c>
      <c r="EF129" s="161">
        <f t="shared" si="119"/>
        <v>0</v>
      </c>
      <c r="EG129" s="161">
        <f t="shared" si="120"/>
        <v>0</v>
      </c>
      <c r="EH129" s="161">
        <f t="shared" si="121"/>
        <v>0</v>
      </c>
      <c r="EI129" s="161">
        <f t="shared" si="122"/>
        <v>0</v>
      </c>
      <c r="EJ129" s="161">
        <f t="shared" si="123"/>
        <v>0</v>
      </c>
      <c r="EK129" s="147">
        <f t="shared" si="130"/>
        <v>18.939393939393938</v>
      </c>
      <c r="EL129" s="149"/>
      <c r="EN129" s="146"/>
      <c r="EO129" s="146"/>
      <c r="EP129" s="139">
        <f t="shared" si="131"/>
        <v>0</v>
      </c>
      <c r="EQ129" s="139">
        <f t="shared" si="132"/>
        <v>0</v>
      </c>
      <c r="ER129" s="139">
        <f t="shared" si="133"/>
        <v>0.48828895059288591</v>
      </c>
      <c r="ES129" s="139">
        <f t="shared" si="134"/>
        <v>0</v>
      </c>
      <c r="ET129" s="139">
        <f t="shared" si="135"/>
        <v>0</v>
      </c>
      <c r="EU129" s="139">
        <f t="shared" si="136"/>
        <v>0</v>
      </c>
      <c r="EV129" s="139">
        <f t="shared" si="137"/>
        <v>0</v>
      </c>
      <c r="EW129" s="139">
        <f t="shared" si="138"/>
        <v>0</v>
      </c>
      <c r="EX129" s="139">
        <f t="shared" si="139"/>
        <v>0</v>
      </c>
      <c r="EY129" s="139">
        <f t="shared" si="140"/>
        <v>0</v>
      </c>
      <c r="EZ129" s="139">
        <f t="shared" si="141"/>
        <v>0</v>
      </c>
      <c r="FA129" s="139">
        <f t="shared" si="142"/>
        <v>0</v>
      </c>
      <c r="FB129" s="139">
        <f t="shared" si="143"/>
        <v>0</v>
      </c>
      <c r="FC129" s="139">
        <f t="shared" si="144"/>
        <v>0</v>
      </c>
      <c r="FD129" s="139">
        <f t="shared" si="145"/>
        <v>0</v>
      </c>
      <c r="FE129" s="139">
        <f t="shared" si="146"/>
        <v>0</v>
      </c>
      <c r="FF129" s="139">
        <f t="shared" si="147"/>
        <v>0</v>
      </c>
      <c r="FG129" s="139">
        <f t="shared" si="148"/>
        <v>0</v>
      </c>
      <c r="FH129" s="139">
        <f t="shared" si="149"/>
        <v>0</v>
      </c>
      <c r="FI129" s="139">
        <f t="shared" si="150"/>
        <v>0</v>
      </c>
      <c r="FJ129" s="139">
        <f t="shared" si="151"/>
        <v>0</v>
      </c>
      <c r="FK129" s="139">
        <f t="shared" si="152"/>
        <v>0</v>
      </c>
      <c r="FL129" s="139">
        <f t="shared" si="153"/>
        <v>0</v>
      </c>
      <c r="FM129" s="139">
        <f t="shared" si="154"/>
        <v>0</v>
      </c>
      <c r="FN129" s="139">
        <f t="shared" si="155"/>
        <v>0</v>
      </c>
      <c r="FO129" s="139">
        <f t="shared" si="156"/>
        <v>0</v>
      </c>
      <c r="FP129" s="139">
        <f t="shared" si="157"/>
        <v>0</v>
      </c>
      <c r="FQ129" s="139">
        <f t="shared" si="158"/>
        <v>0</v>
      </c>
      <c r="FR129" s="139">
        <f t="shared" si="159"/>
        <v>0</v>
      </c>
      <c r="FS129" s="139">
        <f t="shared" si="160"/>
        <v>0</v>
      </c>
      <c r="FT129" s="139">
        <f t="shared" si="161"/>
        <v>0</v>
      </c>
      <c r="FU129" s="148">
        <f t="shared" si="162"/>
        <v>0.48828895059288591</v>
      </c>
      <c r="FV129" s="149"/>
      <c r="FY129" s="210">
        <v>124</v>
      </c>
      <c r="FZ129">
        <v>54.632723887768805</v>
      </c>
      <c r="GA129">
        <v>64.841191509204023</v>
      </c>
      <c r="GB129">
        <v>3.9557750406181502</v>
      </c>
      <c r="GC129">
        <v>1.6731362421652363</v>
      </c>
      <c r="GD129">
        <v>0.576442353100726</v>
      </c>
      <c r="GE129">
        <v>1.2658215905627328</v>
      </c>
      <c r="GF129">
        <v>7.2135086269400102</v>
      </c>
      <c r="GG129">
        <v>12.086330843205159</v>
      </c>
      <c r="GH129">
        <v>10.958977397942117</v>
      </c>
      <c r="GI129">
        <v>12.410380746554351</v>
      </c>
      <c r="GJ129"/>
      <c r="GK129"/>
      <c r="GL129"/>
      <c r="GM129"/>
    </row>
    <row r="130" spans="1:195" s="7" customFormat="1">
      <c r="A130" s="1"/>
      <c r="B130" s="76">
        <f ca="1">IF(C130="", "", RAND())</f>
        <v>0.82835931135901775</v>
      </c>
      <c r="C130">
        <v>5</v>
      </c>
      <c r="D130">
        <v>39775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 s="2"/>
      <c r="AK130" s="80"/>
      <c r="AL130" s="74"/>
      <c r="AM130" s="43">
        <v>114</v>
      </c>
      <c r="AN130">
        <v>108.56823050885949</v>
      </c>
      <c r="AO130">
        <v>7.4267494278245163</v>
      </c>
      <c r="AP130">
        <v>69.00002106638803</v>
      </c>
      <c r="AQ130">
        <v>59.636172364453799</v>
      </c>
      <c r="AR130">
        <v>7.3855202428511886</v>
      </c>
      <c r="AS130">
        <v>118.49731686965056</v>
      </c>
      <c r="AT130">
        <v>4.3457175272153439</v>
      </c>
      <c r="AU130">
        <v>12.649139951056053</v>
      </c>
      <c r="AV130"/>
      <c r="AW130"/>
      <c r="AX130" s="146"/>
      <c r="AY130" s="76">
        <f t="shared" ca="1" si="86"/>
        <v>0.71172197607204701</v>
      </c>
      <c r="AZ130">
        <v>3</v>
      </c>
      <c r="BA130" s="129">
        <f t="shared" si="164"/>
        <v>39775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 s="147"/>
      <c r="CH130" s="176"/>
      <c r="CJ130" s="146"/>
      <c r="CK130" s="76">
        <f t="shared" ca="1" si="88"/>
        <v>0.95246741494577991</v>
      </c>
      <c r="CL130" s="179">
        <f t="shared" si="89"/>
        <v>3</v>
      </c>
      <c r="CM130" s="180">
        <f t="shared" si="90"/>
        <v>39775</v>
      </c>
      <c r="CN130" s="224">
        <v>0</v>
      </c>
      <c r="CO130" s="224">
        <v>0</v>
      </c>
      <c r="CP130" s="224">
        <v>0</v>
      </c>
      <c r="CQ130" s="224">
        <v>0</v>
      </c>
      <c r="CR130" s="224">
        <v>0</v>
      </c>
      <c r="CS130">
        <v>0</v>
      </c>
      <c r="CT130">
        <v>0</v>
      </c>
      <c r="CU130">
        <v>0</v>
      </c>
      <c r="CV130" s="160"/>
      <c r="CW130">
        <v>1</v>
      </c>
      <c r="CX130">
        <f>50/10</f>
        <v>5</v>
      </c>
      <c r="CY130" s="160"/>
      <c r="CZ130" s="177">
        <f t="shared" si="91"/>
        <v>9.6000000000000002E-2</v>
      </c>
      <c r="DB130" s="146"/>
      <c r="DC130" s="76">
        <f t="shared" ca="1" si="49"/>
        <v>0.88013890528918548</v>
      </c>
      <c r="DD130">
        <f t="shared" si="92"/>
        <v>3</v>
      </c>
      <c r="DE130" s="129">
        <f t="shared" si="163"/>
        <v>39775</v>
      </c>
      <c r="DF130" s="161">
        <f t="shared" si="93"/>
        <v>0</v>
      </c>
      <c r="DG130" s="161">
        <f t="shared" si="94"/>
        <v>0</v>
      </c>
      <c r="DH130" s="161">
        <f t="shared" si="95"/>
        <v>0</v>
      </c>
      <c r="DI130" s="161">
        <f t="shared" si="96"/>
        <v>0</v>
      </c>
      <c r="DJ130" s="161">
        <f t="shared" si="97"/>
        <v>0</v>
      </c>
      <c r="DK130" s="161">
        <f t="shared" si="98"/>
        <v>0</v>
      </c>
      <c r="DL130" s="161">
        <f t="shared" si="99"/>
        <v>0</v>
      </c>
      <c r="DM130" s="161">
        <f t="shared" si="100"/>
        <v>0</v>
      </c>
      <c r="DN130" s="161">
        <f t="shared" si="101"/>
        <v>0</v>
      </c>
      <c r="DO130" s="161">
        <f t="shared" si="102"/>
        <v>0</v>
      </c>
      <c r="DP130" s="161">
        <f t="shared" si="103"/>
        <v>0</v>
      </c>
      <c r="DQ130" s="161">
        <f t="shared" si="104"/>
        <v>0</v>
      </c>
      <c r="DR130" s="161">
        <f t="shared" si="105"/>
        <v>0</v>
      </c>
      <c r="DS130" s="161">
        <f t="shared" si="106"/>
        <v>0</v>
      </c>
      <c r="DT130" s="161">
        <f t="shared" si="107"/>
        <v>0</v>
      </c>
      <c r="DU130" s="161">
        <f t="shared" si="108"/>
        <v>0</v>
      </c>
      <c r="DV130" s="161">
        <f t="shared" si="109"/>
        <v>0</v>
      </c>
      <c r="DW130" s="161">
        <f t="shared" si="110"/>
        <v>0</v>
      </c>
      <c r="DX130" s="161">
        <f t="shared" si="111"/>
        <v>0</v>
      </c>
      <c r="DY130" s="161">
        <f t="shared" si="112"/>
        <v>0</v>
      </c>
      <c r="DZ130" s="161">
        <f t="shared" si="113"/>
        <v>0</v>
      </c>
      <c r="EA130" s="161">
        <f t="shared" si="114"/>
        <v>0</v>
      </c>
      <c r="EB130" s="161">
        <f t="shared" si="115"/>
        <v>0</v>
      </c>
      <c r="EC130" s="161">
        <f t="shared" si="116"/>
        <v>0</v>
      </c>
      <c r="ED130" s="161">
        <f t="shared" si="117"/>
        <v>0</v>
      </c>
      <c r="EE130" s="161">
        <f t="shared" si="118"/>
        <v>0</v>
      </c>
      <c r="EF130" s="161">
        <f t="shared" si="119"/>
        <v>0</v>
      </c>
      <c r="EG130" s="161">
        <f t="shared" si="120"/>
        <v>0</v>
      </c>
      <c r="EH130" s="161">
        <f t="shared" si="121"/>
        <v>0</v>
      </c>
      <c r="EI130" s="161">
        <f t="shared" si="122"/>
        <v>0</v>
      </c>
      <c r="EJ130" s="161">
        <f t="shared" si="123"/>
        <v>0</v>
      </c>
      <c r="EK130" s="147">
        <f t="shared" si="130"/>
        <v>0</v>
      </c>
      <c r="EL130" s="149"/>
      <c r="EN130" s="146"/>
      <c r="EO130" s="146"/>
      <c r="EP130" s="139">
        <f t="shared" si="131"/>
        <v>0</v>
      </c>
      <c r="EQ130" s="139">
        <f t="shared" si="132"/>
        <v>0</v>
      </c>
      <c r="ER130" s="139">
        <f t="shared" si="133"/>
        <v>0</v>
      </c>
      <c r="ES130" s="139">
        <f t="shared" si="134"/>
        <v>0</v>
      </c>
      <c r="ET130" s="139">
        <f t="shared" si="135"/>
        <v>0</v>
      </c>
      <c r="EU130" s="139">
        <f t="shared" si="136"/>
        <v>0</v>
      </c>
      <c r="EV130" s="139">
        <f t="shared" si="137"/>
        <v>0</v>
      </c>
      <c r="EW130" s="139">
        <f t="shared" si="138"/>
        <v>0</v>
      </c>
      <c r="EX130" s="139">
        <f t="shared" si="139"/>
        <v>0</v>
      </c>
      <c r="EY130" s="139">
        <f t="shared" si="140"/>
        <v>0</v>
      </c>
      <c r="EZ130" s="139">
        <f t="shared" si="141"/>
        <v>0</v>
      </c>
      <c r="FA130" s="139">
        <f t="shared" si="142"/>
        <v>0</v>
      </c>
      <c r="FB130" s="139">
        <f t="shared" si="143"/>
        <v>0</v>
      </c>
      <c r="FC130" s="139">
        <f t="shared" si="144"/>
        <v>0</v>
      </c>
      <c r="FD130" s="139">
        <f t="shared" si="145"/>
        <v>0</v>
      </c>
      <c r="FE130" s="139">
        <f t="shared" si="146"/>
        <v>0</v>
      </c>
      <c r="FF130" s="139">
        <f t="shared" si="147"/>
        <v>0</v>
      </c>
      <c r="FG130" s="139">
        <f t="shared" si="148"/>
        <v>0</v>
      </c>
      <c r="FH130" s="139">
        <f t="shared" si="149"/>
        <v>0</v>
      </c>
      <c r="FI130" s="139">
        <f t="shared" si="150"/>
        <v>0</v>
      </c>
      <c r="FJ130" s="139">
        <f t="shared" si="151"/>
        <v>0</v>
      </c>
      <c r="FK130" s="139">
        <f t="shared" si="152"/>
        <v>0</v>
      </c>
      <c r="FL130" s="139">
        <f t="shared" si="153"/>
        <v>0</v>
      </c>
      <c r="FM130" s="139">
        <f t="shared" si="154"/>
        <v>0</v>
      </c>
      <c r="FN130" s="139">
        <f t="shared" si="155"/>
        <v>0</v>
      </c>
      <c r="FO130" s="139">
        <f t="shared" si="156"/>
        <v>0</v>
      </c>
      <c r="FP130" s="139">
        <f t="shared" si="157"/>
        <v>0</v>
      </c>
      <c r="FQ130" s="139">
        <f t="shared" si="158"/>
        <v>0</v>
      </c>
      <c r="FR130" s="139">
        <f t="shared" si="159"/>
        <v>0</v>
      </c>
      <c r="FS130" s="139">
        <f t="shared" si="160"/>
        <v>0</v>
      </c>
      <c r="FT130" s="139">
        <f t="shared" si="161"/>
        <v>0</v>
      </c>
      <c r="FU130" s="148">
        <f t="shared" si="162"/>
        <v>0</v>
      </c>
      <c r="FV130" s="149"/>
      <c r="FY130" s="210">
        <v>125</v>
      </c>
      <c r="FZ130">
        <v>12.761484410255221</v>
      </c>
      <c r="GA130">
        <v>14.21387123574163</v>
      </c>
      <c r="GB130">
        <v>2.2945447555434941</v>
      </c>
      <c r="GC130">
        <v>1.2503838098133433</v>
      </c>
      <c r="GD130">
        <v>0.80968390859593309</v>
      </c>
      <c r="GE130">
        <v>1.787324207998402</v>
      </c>
      <c r="GF130">
        <v>6.9747073444545018</v>
      </c>
      <c r="GG130">
        <v>9.4261454396118438</v>
      </c>
      <c r="GH130">
        <v>8.6074850061356045</v>
      </c>
      <c r="GI130">
        <v>5.5488204420766465</v>
      </c>
      <c r="GJ130"/>
      <c r="GK130"/>
      <c r="GL130"/>
      <c r="GM130"/>
    </row>
    <row r="131" spans="1:195" s="7" customFormat="1">
      <c r="A131" s="1"/>
      <c r="B131" s="76">
        <f ca="1">IF(C131="", "", RAND())</f>
        <v>0.44626056985004237</v>
      </c>
      <c r="C131">
        <v>6</v>
      </c>
      <c r="D131">
        <v>39775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 s="2"/>
      <c r="AK131" s="80"/>
      <c r="AL131" s="74"/>
      <c r="AM131" s="43">
        <v>115</v>
      </c>
      <c r="AN131">
        <v>183.89685087673644</v>
      </c>
      <c r="AO131">
        <v>12.791411299362682</v>
      </c>
      <c r="AP131">
        <v>131.26938054956275</v>
      </c>
      <c r="AQ131">
        <v>110.24551560754445</v>
      </c>
      <c r="AR131">
        <v>12.236355083110736</v>
      </c>
      <c r="AS131">
        <v>226.04826600827508</v>
      </c>
      <c r="AT131">
        <v>7.1856296887700966</v>
      </c>
      <c r="AU131">
        <v>71.91922348769387</v>
      </c>
      <c r="AV131"/>
      <c r="AW131"/>
      <c r="AX131" s="146"/>
      <c r="AY131" s="76">
        <f t="shared" ca="1" si="86"/>
        <v>0.8381791532652525</v>
      </c>
      <c r="AZ131">
        <v>4</v>
      </c>
      <c r="BA131" s="129">
        <f t="shared" si="164"/>
        <v>39775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 s="147"/>
      <c r="CH131" s="176"/>
      <c r="CJ131" s="146"/>
      <c r="CK131" s="76">
        <f t="shared" ca="1" si="88"/>
        <v>0.41007710261100128</v>
      </c>
      <c r="CL131" s="179">
        <f t="shared" si="89"/>
        <v>4</v>
      </c>
      <c r="CM131" s="180">
        <f t="shared" si="90"/>
        <v>39775</v>
      </c>
      <c r="CN131">
        <v>0</v>
      </c>
      <c r="CO131">
        <v>1</v>
      </c>
      <c r="CP131">
        <v>6</v>
      </c>
      <c r="CQ131">
        <v>3</v>
      </c>
      <c r="CR131">
        <v>0</v>
      </c>
      <c r="CS131">
        <v>0</v>
      </c>
      <c r="CT131">
        <v>0</v>
      </c>
      <c r="CU131">
        <v>0</v>
      </c>
      <c r="CV131" s="160"/>
      <c r="CW131">
        <v>1</v>
      </c>
      <c r="CX131">
        <v>1</v>
      </c>
      <c r="CY131" s="160"/>
      <c r="CZ131" s="177">
        <f t="shared" si="91"/>
        <v>9.6000000000000002E-2</v>
      </c>
      <c r="DB131" s="146"/>
      <c r="DC131" s="76">
        <f t="shared" ca="1" si="49"/>
        <v>0.78041804525909209</v>
      </c>
      <c r="DD131">
        <f t="shared" si="92"/>
        <v>4</v>
      </c>
      <c r="DE131" s="129">
        <f t="shared" si="163"/>
        <v>39775</v>
      </c>
      <c r="DF131" s="161">
        <f t="shared" si="93"/>
        <v>0</v>
      </c>
      <c r="DG131" s="161">
        <f t="shared" si="94"/>
        <v>10.416666666666666</v>
      </c>
      <c r="DH131" s="161">
        <f t="shared" si="95"/>
        <v>62.5</v>
      </c>
      <c r="DI131" s="161">
        <f t="shared" si="96"/>
        <v>31.25</v>
      </c>
      <c r="DJ131" s="161">
        <f t="shared" si="97"/>
        <v>0</v>
      </c>
      <c r="DK131" s="161">
        <f t="shared" si="98"/>
        <v>0</v>
      </c>
      <c r="DL131" s="161">
        <f t="shared" si="99"/>
        <v>0</v>
      </c>
      <c r="DM131" s="161">
        <f t="shared" si="100"/>
        <v>0</v>
      </c>
      <c r="DN131" s="161">
        <f t="shared" si="101"/>
        <v>0</v>
      </c>
      <c r="DO131" s="161">
        <f t="shared" si="102"/>
        <v>0</v>
      </c>
      <c r="DP131" s="161">
        <f t="shared" si="103"/>
        <v>0</v>
      </c>
      <c r="DQ131" s="161">
        <f t="shared" si="104"/>
        <v>0</v>
      </c>
      <c r="DR131" s="161">
        <f t="shared" si="105"/>
        <v>0</v>
      </c>
      <c r="DS131" s="161">
        <f t="shared" si="106"/>
        <v>0</v>
      </c>
      <c r="DT131" s="161">
        <f t="shared" si="107"/>
        <v>0</v>
      </c>
      <c r="DU131" s="161">
        <f t="shared" si="108"/>
        <v>0</v>
      </c>
      <c r="DV131" s="161">
        <f t="shared" si="109"/>
        <v>0</v>
      </c>
      <c r="DW131" s="161">
        <f t="shared" si="110"/>
        <v>0</v>
      </c>
      <c r="DX131" s="161">
        <f t="shared" si="111"/>
        <v>0</v>
      </c>
      <c r="DY131" s="161">
        <f t="shared" si="112"/>
        <v>0</v>
      </c>
      <c r="DZ131" s="161">
        <f t="shared" si="113"/>
        <v>0</v>
      </c>
      <c r="EA131" s="161">
        <f t="shared" si="114"/>
        <v>0</v>
      </c>
      <c r="EB131" s="161">
        <f t="shared" si="115"/>
        <v>0</v>
      </c>
      <c r="EC131" s="161">
        <f t="shared" si="116"/>
        <v>0</v>
      </c>
      <c r="ED131" s="161">
        <f t="shared" si="117"/>
        <v>0</v>
      </c>
      <c r="EE131" s="161">
        <f t="shared" si="118"/>
        <v>0</v>
      </c>
      <c r="EF131" s="161">
        <f t="shared" si="119"/>
        <v>0</v>
      </c>
      <c r="EG131" s="161">
        <f t="shared" si="120"/>
        <v>0</v>
      </c>
      <c r="EH131" s="161">
        <f t="shared" si="121"/>
        <v>0</v>
      </c>
      <c r="EI131" s="161">
        <f t="shared" si="122"/>
        <v>0</v>
      </c>
      <c r="EJ131" s="161">
        <f t="shared" si="123"/>
        <v>0</v>
      </c>
      <c r="EK131" s="147">
        <f t="shared" si="130"/>
        <v>104.16666666666667</v>
      </c>
      <c r="EL131" s="149"/>
      <c r="EN131" s="146"/>
      <c r="EO131" s="146"/>
      <c r="EP131" s="139">
        <f t="shared" si="131"/>
        <v>0</v>
      </c>
      <c r="EQ131" s="139">
        <f t="shared" si="132"/>
        <v>3.8374999999999999E-2</v>
      </c>
      <c r="ER131" s="139">
        <f t="shared" si="133"/>
        <v>1.6113535369565235</v>
      </c>
      <c r="ES131" s="139">
        <f t="shared" si="134"/>
        <v>2.5144847452155576</v>
      </c>
      <c r="ET131" s="139">
        <f t="shared" si="135"/>
        <v>0</v>
      </c>
      <c r="EU131" s="139">
        <f t="shared" si="136"/>
        <v>0</v>
      </c>
      <c r="EV131" s="139">
        <f t="shared" si="137"/>
        <v>0</v>
      </c>
      <c r="EW131" s="139">
        <f t="shared" si="138"/>
        <v>0</v>
      </c>
      <c r="EX131" s="139">
        <f t="shared" si="139"/>
        <v>0</v>
      </c>
      <c r="EY131" s="139">
        <f t="shared" si="140"/>
        <v>0</v>
      </c>
      <c r="EZ131" s="139">
        <f t="shared" si="141"/>
        <v>0</v>
      </c>
      <c r="FA131" s="139">
        <f t="shared" si="142"/>
        <v>0</v>
      </c>
      <c r="FB131" s="139">
        <f t="shared" si="143"/>
        <v>0</v>
      </c>
      <c r="FC131" s="139">
        <f t="shared" si="144"/>
        <v>0</v>
      </c>
      <c r="FD131" s="139">
        <f t="shared" si="145"/>
        <v>0</v>
      </c>
      <c r="FE131" s="139">
        <f t="shared" si="146"/>
        <v>0</v>
      </c>
      <c r="FF131" s="139">
        <f t="shared" si="147"/>
        <v>0</v>
      </c>
      <c r="FG131" s="139">
        <f t="shared" si="148"/>
        <v>0</v>
      </c>
      <c r="FH131" s="139">
        <f t="shared" si="149"/>
        <v>0</v>
      </c>
      <c r="FI131" s="139">
        <f t="shared" si="150"/>
        <v>0</v>
      </c>
      <c r="FJ131" s="139">
        <f t="shared" si="151"/>
        <v>0</v>
      </c>
      <c r="FK131" s="139">
        <f t="shared" si="152"/>
        <v>0</v>
      </c>
      <c r="FL131" s="139">
        <f t="shared" si="153"/>
        <v>0</v>
      </c>
      <c r="FM131" s="139">
        <f t="shared" si="154"/>
        <v>0</v>
      </c>
      <c r="FN131" s="139">
        <f t="shared" si="155"/>
        <v>0</v>
      </c>
      <c r="FO131" s="139">
        <f t="shared" si="156"/>
        <v>0</v>
      </c>
      <c r="FP131" s="139">
        <f t="shared" si="157"/>
        <v>0</v>
      </c>
      <c r="FQ131" s="139">
        <f t="shared" si="158"/>
        <v>0</v>
      </c>
      <c r="FR131" s="139">
        <f t="shared" si="159"/>
        <v>0</v>
      </c>
      <c r="FS131" s="139">
        <f t="shared" si="160"/>
        <v>0</v>
      </c>
      <c r="FT131" s="139">
        <f t="shared" si="161"/>
        <v>0</v>
      </c>
      <c r="FU131" s="148">
        <f t="shared" si="162"/>
        <v>4.1642132821720814</v>
      </c>
      <c r="FV131" s="149"/>
      <c r="FY131" s="210">
        <v>126</v>
      </c>
      <c r="FZ131">
        <v>43.324207400580278</v>
      </c>
      <c r="GA131">
        <v>52.242073356164369</v>
      </c>
      <c r="GB131">
        <v>1.7018344885313239</v>
      </c>
      <c r="GC131">
        <v>0.93821461496531966</v>
      </c>
      <c r="GD131">
        <v>0.79682988961120982</v>
      </c>
      <c r="GE131">
        <v>1.8973176815375101</v>
      </c>
      <c r="GF131">
        <v>1.9730132233370203</v>
      </c>
      <c r="GG131">
        <v>3.0720448929363622</v>
      </c>
      <c r="GH131">
        <v>5.4419886730182485</v>
      </c>
      <c r="GI131">
        <v>8.4974786753056701</v>
      </c>
      <c r="GJ131"/>
      <c r="GK131"/>
      <c r="GL131"/>
      <c r="GM131"/>
    </row>
    <row r="132" spans="1:195" s="7" customFormat="1">
      <c r="A132" s="1"/>
      <c r="B132" s="76">
        <f ca="1">IF(C132="", "", RAND())</f>
        <v>0.49640884168593757</v>
      </c>
      <c r="C132">
        <v>1</v>
      </c>
      <c r="D132">
        <v>39775</v>
      </c>
      <c r="E132">
        <v>0</v>
      </c>
      <c r="F132">
        <v>0</v>
      </c>
      <c r="G132">
        <v>43.75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 s="2"/>
      <c r="AK132" s="80"/>
      <c r="AL132" s="74"/>
      <c r="AM132" s="43">
        <v>116</v>
      </c>
      <c r="AN132">
        <v>100.49962505687833</v>
      </c>
      <c r="AO132">
        <v>10.661415184272178</v>
      </c>
      <c r="AP132">
        <v>105.82165251900057</v>
      </c>
      <c r="AQ132">
        <v>89.567701181139725</v>
      </c>
      <c r="AR132">
        <v>10.233616651756101</v>
      </c>
      <c r="AS132">
        <v>174.90787147086294</v>
      </c>
      <c r="AT132">
        <v>6.6574402594733995</v>
      </c>
      <c r="AU132">
        <v>15.427302479041758</v>
      </c>
      <c r="AV132"/>
      <c r="AW132"/>
      <c r="AX132" s="146"/>
      <c r="AY132" s="76">
        <f t="shared" ca="1" si="86"/>
        <v>0.40963965839705274</v>
      </c>
      <c r="AZ132">
        <v>5</v>
      </c>
      <c r="BA132" s="129">
        <f t="shared" si="164"/>
        <v>39775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 s="147"/>
      <c r="CH132" s="176"/>
      <c r="CJ132" s="146"/>
      <c r="CK132" s="76">
        <f t="shared" ca="1" si="88"/>
        <v>0.28544037048685089</v>
      </c>
      <c r="CL132" s="179">
        <f t="shared" si="89"/>
        <v>5</v>
      </c>
      <c r="CM132" s="180">
        <f t="shared" si="90"/>
        <v>39775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 s="160"/>
      <c r="CW132">
        <v>1</v>
      </c>
      <c r="CX132">
        <f>20/7</f>
        <v>2.8571428571428572</v>
      </c>
      <c r="CY132" s="160"/>
      <c r="CZ132" s="177">
        <f t="shared" si="91"/>
        <v>9.6000000000000002E-2</v>
      </c>
      <c r="DB132" s="146"/>
      <c r="DC132" s="76">
        <f t="shared" ca="1" si="49"/>
        <v>0.41642515710974171</v>
      </c>
      <c r="DD132">
        <f t="shared" si="92"/>
        <v>5</v>
      </c>
      <c r="DE132" s="129">
        <f t="shared" si="163"/>
        <v>39775</v>
      </c>
      <c r="DF132" s="161">
        <f t="shared" si="93"/>
        <v>0</v>
      </c>
      <c r="DG132" s="161">
        <f t="shared" si="94"/>
        <v>0</v>
      </c>
      <c r="DH132" s="161">
        <f t="shared" si="95"/>
        <v>0</v>
      </c>
      <c r="DI132" s="161">
        <f t="shared" si="96"/>
        <v>0</v>
      </c>
      <c r="DJ132" s="161">
        <f t="shared" si="97"/>
        <v>0</v>
      </c>
      <c r="DK132" s="161">
        <f t="shared" si="98"/>
        <v>0</v>
      </c>
      <c r="DL132" s="161">
        <f t="shared" si="99"/>
        <v>0</v>
      </c>
      <c r="DM132" s="161">
        <f t="shared" si="100"/>
        <v>0</v>
      </c>
      <c r="DN132" s="161">
        <f t="shared" si="101"/>
        <v>0</v>
      </c>
      <c r="DO132" s="161">
        <f t="shared" si="102"/>
        <v>0</v>
      </c>
      <c r="DP132" s="161">
        <f t="shared" si="103"/>
        <v>0</v>
      </c>
      <c r="DQ132" s="161">
        <f t="shared" si="104"/>
        <v>0</v>
      </c>
      <c r="DR132" s="161">
        <f t="shared" si="105"/>
        <v>0</v>
      </c>
      <c r="DS132" s="161">
        <f t="shared" si="106"/>
        <v>0</v>
      </c>
      <c r="DT132" s="161">
        <f t="shared" si="107"/>
        <v>0</v>
      </c>
      <c r="DU132" s="161">
        <f t="shared" si="108"/>
        <v>0</v>
      </c>
      <c r="DV132" s="161">
        <f t="shared" si="109"/>
        <v>0</v>
      </c>
      <c r="DW132" s="161">
        <f t="shared" si="110"/>
        <v>0</v>
      </c>
      <c r="DX132" s="161">
        <f t="shared" si="111"/>
        <v>0</v>
      </c>
      <c r="DY132" s="161">
        <f t="shared" si="112"/>
        <v>0</v>
      </c>
      <c r="DZ132" s="161">
        <f t="shared" si="113"/>
        <v>0</v>
      </c>
      <c r="EA132" s="161">
        <f t="shared" si="114"/>
        <v>0</v>
      </c>
      <c r="EB132" s="161">
        <f t="shared" si="115"/>
        <v>0</v>
      </c>
      <c r="EC132" s="161">
        <f t="shared" si="116"/>
        <v>0</v>
      </c>
      <c r="ED132" s="161">
        <f t="shared" si="117"/>
        <v>0</v>
      </c>
      <c r="EE132" s="161">
        <f t="shared" si="118"/>
        <v>0</v>
      </c>
      <c r="EF132" s="161">
        <f t="shared" si="119"/>
        <v>0</v>
      </c>
      <c r="EG132" s="161">
        <f t="shared" si="120"/>
        <v>0</v>
      </c>
      <c r="EH132" s="161">
        <f t="shared" si="121"/>
        <v>0</v>
      </c>
      <c r="EI132" s="161">
        <f t="shared" si="122"/>
        <v>0</v>
      </c>
      <c r="EJ132" s="161">
        <f t="shared" si="123"/>
        <v>0</v>
      </c>
      <c r="EK132" s="147">
        <f t="shared" si="130"/>
        <v>0</v>
      </c>
      <c r="EL132" s="149"/>
      <c r="EN132" s="146"/>
      <c r="EO132" s="146"/>
      <c r="EP132" s="139">
        <f t="shared" si="131"/>
        <v>0</v>
      </c>
      <c r="EQ132" s="139">
        <f t="shared" si="132"/>
        <v>0</v>
      </c>
      <c r="ER132" s="139">
        <f t="shared" si="133"/>
        <v>0</v>
      </c>
      <c r="ES132" s="139">
        <f t="shared" si="134"/>
        <v>0</v>
      </c>
      <c r="ET132" s="139">
        <f t="shared" si="135"/>
        <v>0</v>
      </c>
      <c r="EU132" s="139">
        <f t="shared" si="136"/>
        <v>0</v>
      </c>
      <c r="EV132" s="139">
        <f t="shared" si="137"/>
        <v>0</v>
      </c>
      <c r="EW132" s="139">
        <f t="shared" si="138"/>
        <v>0</v>
      </c>
      <c r="EX132" s="139">
        <f t="shared" si="139"/>
        <v>0</v>
      </c>
      <c r="EY132" s="139">
        <f t="shared" si="140"/>
        <v>0</v>
      </c>
      <c r="EZ132" s="139">
        <f t="shared" si="141"/>
        <v>0</v>
      </c>
      <c r="FA132" s="139">
        <f t="shared" si="142"/>
        <v>0</v>
      </c>
      <c r="FB132" s="139">
        <f t="shared" si="143"/>
        <v>0</v>
      </c>
      <c r="FC132" s="139">
        <f t="shared" si="144"/>
        <v>0</v>
      </c>
      <c r="FD132" s="139">
        <f t="shared" si="145"/>
        <v>0</v>
      </c>
      <c r="FE132" s="139">
        <f t="shared" si="146"/>
        <v>0</v>
      </c>
      <c r="FF132" s="139">
        <f t="shared" si="147"/>
        <v>0</v>
      </c>
      <c r="FG132" s="139">
        <f t="shared" si="148"/>
        <v>0</v>
      </c>
      <c r="FH132" s="139">
        <f t="shared" si="149"/>
        <v>0</v>
      </c>
      <c r="FI132" s="139">
        <f t="shared" si="150"/>
        <v>0</v>
      </c>
      <c r="FJ132" s="139">
        <f t="shared" si="151"/>
        <v>0</v>
      </c>
      <c r="FK132" s="139">
        <f t="shared" si="152"/>
        <v>0</v>
      </c>
      <c r="FL132" s="139">
        <f t="shared" si="153"/>
        <v>0</v>
      </c>
      <c r="FM132" s="139">
        <f t="shared" si="154"/>
        <v>0</v>
      </c>
      <c r="FN132" s="139">
        <f t="shared" si="155"/>
        <v>0</v>
      </c>
      <c r="FO132" s="139">
        <f t="shared" si="156"/>
        <v>0</v>
      </c>
      <c r="FP132" s="139">
        <f t="shared" si="157"/>
        <v>0</v>
      </c>
      <c r="FQ132" s="139">
        <f t="shared" si="158"/>
        <v>0</v>
      </c>
      <c r="FR132" s="139">
        <f t="shared" si="159"/>
        <v>0</v>
      </c>
      <c r="FS132" s="139">
        <f t="shared" si="160"/>
        <v>0</v>
      </c>
      <c r="FT132" s="139">
        <f t="shared" si="161"/>
        <v>0</v>
      </c>
      <c r="FU132" s="148">
        <f t="shared" si="162"/>
        <v>0</v>
      </c>
      <c r="FV132" s="149"/>
      <c r="FY132" s="210">
        <v>127</v>
      </c>
      <c r="FZ132">
        <v>34.25698144141613</v>
      </c>
      <c r="GA132">
        <v>40.819378758526057</v>
      </c>
      <c r="GB132">
        <v>2.0876189784575292</v>
      </c>
      <c r="GC132">
        <v>0.63707566552521855</v>
      </c>
      <c r="GD132">
        <v>1.031303470233794</v>
      </c>
      <c r="GE132">
        <v>2.9124459010191526</v>
      </c>
      <c r="GF132">
        <v>14.665089579295353</v>
      </c>
      <c r="GG132">
        <v>20.670838286086237</v>
      </c>
      <c r="GH132">
        <v>15.862149790700217</v>
      </c>
      <c r="GI132">
        <v>11.332606786929306</v>
      </c>
      <c r="GJ132"/>
      <c r="GK132"/>
      <c r="GL132"/>
      <c r="GM132"/>
    </row>
    <row r="133" spans="1:195" s="7" customFormat="1">
      <c r="A133" s="1"/>
      <c r="B133" s="76">
        <f ca="1">IF(C133="", "", RAND())</f>
        <v>0.39635423174903117</v>
      </c>
      <c r="C133">
        <v>4</v>
      </c>
      <c r="D133">
        <v>39775</v>
      </c>
      <c r="E133">
        <v>0</v>
      </c>
      <c r="F133">
        <v>10.416666666666666</v>
      </c>
      <c r="G133">
        <v>62.5</v>
      </c>
      <c r="H133">
        <v>31.25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 s="2"/>
      <c r="AK133" s="80"/>
      <c r="AL133" s="74"/>
      <c r="AM133" s="43">
        <v>117</v>
      </c>
      <c r="AN133">
        <v>113.68851101709349</v>
      </c>
      <c r="AO133">
        <v>10.021888929048931</v>
      </c>
      <c r="AP133">
        <v>103.39296276480657</v>
      </c>
      <c r="AQ133">
        <v>87.294482467942728</v>
      </c>
      <c r="AR133">
        <v>9.6920673776397734</v>
      </c>
      <c r="AS133">
        <v>167.23733052601315</v>
      </c>
      <c r="AT133">
        <v>5.8245035269500098</v>
      </c>
      <c r="AU133">
        <v>27.063354972076901</v>
      </c>
      <c r="AV133"/>
      <c r="AW133"/>
      <c r="AX133" s="146"/>
      <c r="AY133" s="76">
        <f t="shared" ca="1" si="86"/>
        <v>0.77497402150979533</v>
      </c>
      <c r="AZ133">
        <v>6</v>
      </c>
      <c r="BA133" s="129">
        <f t="shared" si="164"/>
        <v>39775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 s="147"/>
      <c r="CH133" s="176"/>
      <c r="CJ133" s="146"/>
      <c r="CK133" s="76">
        <f t="shared" ca="1" si="88"/>
        <v>0.96308837544270576</v>
      </c>
      <c r="CL133" s="179">
        <f t="shared" si="89"/>
        <v>6</v>
      </c>
      <c r="CM133" s="180">
        <f t="shared" si="90"/>
        <v>39775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 s="160"/>
      <c r="CW133">
        <v>1</v>
      </c>
      <c r="CX133">
        <v>1</v>
      </c>
      <c r="CY133" s="164"/>
      <c r="CZ133" s="177">
        <f t="shared" si="91"/>
        <v>9.6000000000000002E-2</v>
      </c>
      <c r="DB133" s="146"/>
      <c r="DC133" s="76">
        <f t="shared" ca="1" si="49"/>
        <v>0.6765454180339292</v>
      </c>
      <c r="DD133">
        <f t="shared" si="92"/>
        <v>6</v>
      </c>
      <c r="DE133" s="129">
        <f t="shared" si="163"/>
        <v>39775</v>
      </c>
      <c r="DF133" s="161">
        <f t="shared" si="93"/>
        <v>0</v>
      </c>
      <c r="DG133" s="161">
        <f t="shared" si="94"/>
        <v>0</v>
      </c>
      <c r="DH133" s="161">
        <f t="shared" si="95"/>
        <v>0</v>
      </c>
      <c r="DI133" s="161">
        <f t="shared" si="96"/>
        <v>0</v>
      </c>
      <c r="DJ133" s="161">
        <f t="shared" si="97"/>
        <v>0</v>
      </c>
      <c r="DK133" s="161">
        <f t="shared" si="98"/>
        <v>0</v>
      </c>
      <c r="DL133" s="161">
        <f t="shared" si="99"/>
        <v>0</v>
      </c>
      <c r="DM133" s="161">
        <f t="shared" si="100"/>
        <v>0</v>
      </c>
      <c r="DN133" s="161">
        <f t="shared" si="101"/>
        <v>0</v>
      </c>
      <c r="DO133" s="161">
        <f t="shared" si="102"/>
        <v>0</v>
      </c>
      <c r="DP133" s="161">
        <f t="shared" si="103"/>
        <v>0</v>
      </c>
      <c r="DQ133" s="161">
        <f t="shared" si="104"/>
        <v>0</v>
      </c>
      <c r="DR133" s="161">
        <f t="shared" si="105"/>
        <v>0</v>
      </c>
      <c r="DS133" s="161">
        <f t="shared" si="106"/>
        <v>0</v>
      </c>
      <c r="DT133" s="161">
        <f t="shared" si="107"/>
        <v>0</v>
      </c>
      <c r="DU133" s="161">
        <f t="shared" si="108"/>
        <v>0</v>
      </c>
      <c r="DV133" s="161">
        <f t="shared" si="109"/>
        <v>0</v>
      </c>
      <c r="DW133" s="161">
        <f t="shared" si="110"/>
        <v>0</v>
      </c>
      <c r="DX133" s="161">
        <f t="shared" si="111"/>
        <v>0</v>
      </c>
      <c r="DY133" s="161">
        <f t="shared" si="112"/>
        <v>0</v>
      </c>
      <c r="DZ133" s="161">
        <f t="shared" si="113"/>
        <v>0</v>
      </c>
      <c r="EA133" s="161">
        <f t="shared" si="114"/>
        <v>0</v>
      </c>
      <c r="EB133" s="161">
        <f t="shared" si="115"/>
        <v>0</v>
      </c>
      <c r="EC133" s="161">
        <f t="shared" si="116"/>
        <v>0</v>
      </c>
      <c r="ED133" s="161">
        <f t="shared" si="117"/>
        <v>0</v>
      </c>
      <c r="EE133" s="161">
        <f t="shared" si="118"/>
        <v>0</v>
      </c>
      <c r="EF133" s="161">
        <f t="shared" si="119"/>
        <v>0</v>
      </c>
      <c r="EG133" s="161">
        <f t="shared" si="120"/>
        <v>0</v>
      </c>
      <c r="EH133" s="161">
        <f t="shared" si="121"/>
        <v>0</v>
      </c>
      <c r="EI133" s="161">
        <f t="shared" si="122"/>
        <v>0</v>
      </c>
      <c r="EJ133" s="161">
        <f t="shared" si="123"/>
        <v>0</v>
      </c>
      <c r="EK133" s="147">
        <f t="shared" si="130"/>
        <v>0</v>
      </c>
      <c r="EL133" s="149"/>
      <c r="EN133" s="146"/>
      <c r="EO133" s="146"/>
      <c r="EP133" s="139">
        <f t="shared" si="131"/>
        <v>0</v>
      </c>
      <c r="EQ133" s="139">
        <f t="shared" si="132"/>
        <v>0</v>
      </c>
      <c r="ER133" s="139">
        <f t="shared" si="133"/>
        <v>0</v>
      </c>
      <c r="ES133" s="139">
        <f t="shared" si="134"/>
        <v>0</v>
      </c>
      <c r="ET133" s="139">
        <f t="shared" si="135"/>
        <v>0</v>
      </c>
      <c r="EU133" s="139">
        <f t="shared" si="136"/>
        <v>0</v>
      </c>
      <c r="EV133" s="139">
        <f t="shared" si="137"/>
        <v>0</v>
      </c>
      <c r="EW133" s="139">
        <f t="shared" si="138"/>
        <v>0</v>
      </c>
      <c r="EX133" s="139">
        <f t="shared" si="139"/>
        <v>0</v>
      </c>
      <c r="EY133" s="139">
        <f t="shared" si="140"/>
        <v>0</v>
      </c>
      <c r="EZ133" s="139">
        <f t="shared" si="141"/>
        <v>0</v>
      </c>
      <c r="FA133" s="139">
        <f t="shared" si="142"/>
        <v>0</v>
      </c>
      <c r="FB133" s="139">
        <f t="shared" si="143"/>
        <v>0</v>
      </c>
      <c r="FC133" s="139">
        <f t="shared" si="144"/>
        <v>0</v>
      </c>
      <c r="FD133" s="139">
        <f t="shared" si="145"/>
        <v>0</v>
      </c>
      <c r="FE133" s="139">
        <f t="shared" si="146"/>
        <v>0</v>
      </c>
      <c r="FF133" s="139">
        <f t="shared" si="147"/>
        <v>0</v>
      </c>
      <c r="FG133" s="139">
        <f t="shared" si="148"/>
        <v>0</v>
      </c>
      <c r="FH133" s="139">
        <f t="shared" si="149"/>
        <v>0</v>
      </c>
      <c r="FI133" s="139">
        <f t="shared" si="150"/>
        <v>0</v>
      </c>
      <c r="FJ133" s="139">
        <f t="shared" si="151"/>
        <v>0</v>
      </c>
      <c r="FK133" s="139">
        <f t="shared" si="152"/>
        <v>0</v>
      </c>
      <c r="FL133" s="139">
        <f t="shared" si="153"/>
        <v>0</v>
      </c>
      <c r="FM133" s="139">
        <f t="shared" si="154"/>
        <v>0</v>
      </c>
      <c r="FN133" s="139">
        <f t="shared" si="155"/>
        <v>0</v>
      </c>
      <c r="FO133" s="139">
        <f t="shared" si="156"/>
        <v>0</v>
      </c>
      <c r="FP133" s="139">
        <f t="shared" si="157"/>
        <v>0</v>
      </c>
      <c r="FQ133" s="139">
        <f t="shared" si="158"/>
        <v>0</v>
      </c>
      <c r="FR133" s="139">
        <f t="shared" si="159"/>
        <v>0</v>
      </c>
      <c r="FS133" s="139">
        <f t="shared" si="160"/>
        <v>0</v>
      </c>
      <c r="FT133" s="139">
        <f t="shared" si="161"/>
        <v>0</v>
      </c>
      <c r="FU133" s="148">
        <f t="shared" si="162"/>
        <v>0</v>
      </c>
      <c r="FV133" s="149"/>
      <c r="FY133" s="210">
        <v>128</v>
      </c>
      <c r="FZ133">
        <v>11.003913831645018</v>
      </c>
      <c r="GA133">
        <v>15.648449599201511</v>
      </c>
      <c r="GB133">
        <v>4.1899353285385512</v>
      </c>
      <c r="GC133">
        <v>2.275490594704749</v>
      </c>
      <c r="GD133">
        <v>1.3280554488445009</v>
      </c>
      <c r="GE133">
        <v>2.6339937701461138</v>
      </c>
      <c r="GF133">
        <v>6.5808938850045209</v>
      </c>
      <c r="GG133">
        <v>8.3427324311427906</v>
      </c>
      <c r="GH133">
        <v>8.7911149449499781</v>
      </c>
      <c r="GI133">
        <v>6.0040057868609562</v>
      </c>
      <c r="GJ133"/>
      <c r="GK133"/>
      <c r="GL133"/>
      <c r="GM133"/>
    </row>
    <row r="134" spans="1:195" s="7" customFormat="1">
      <c r="A134" s="1"/>
      <c r="B134" s="76">
        <f ca="1">IF(C134="", "", RAND())</f>
        <v>0.49465592578704776</v>
      </c>
      <c r="C134">
        <v>7</v>
      </c>
      <c r="D134">
        <v>39775</v>
      </c>
      <c r="E134">
        <v>0</v>
      </c>
      <c r="F134">
        <v>0</v>
      </c>
      <c r="G134">
        <v>83.64898989898991</v>
      </c>
      <c r="H134">
        <v>46.296296296296298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 s="2"/>
      <c r="AK134" s="80"/>
      <c r="AL134" s="74"/>
      <c r="AM134" s="43">
        <v>118</v>
      </c>
      <c r="AN134">
        <v>129.77050380356215</v>
      </c>
      <c r="AO134">
        <v>8.7892951205341685</v>
      </c>
      <c r="AP134">
        <v>82.731106281024836</v>
      </c>
      <c r="AQ134">
        <v>70.189902996668138</v>
      </c>
      <c r="AR134">
        <v>8.1855391863262152</v>
      </c>
      <c r="AS134">
        <v>133.93888257235437</v>
      </c>
      <c r="AT134">
        <v>4.8123469759414119</v>
      </c>
      <c r="AU134">
        <v>85.319403402771485</v>
      </c>
      <c r="AV134"/>
      <c r="AW134"/>
      <c r="AX134" s="146"/>
      <c r="AY134" s="76">
        <f t="shared" ca="1" si="86"/>
        <v>0.73263975476608723</v>
      </c>
      <c r="AZ134">
        <v>7</v>
      </c>
      <c r="BA134" s="129">
        <f t="shared" si="164"/>
        <v>39775</v>
      </c>
      <c r="BB134">
        <v>0</v>
      </c>
      <c r="BC134">
        <v>0</v>
      </c>
      <c r="BD134">
        <v>1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 s="147"/>
      <c r="CH134" s="176"/>
      <c r="CJ134" s="146"/>
      <c r="CK134" s="76">
        <f t="shared" ca="1" si="88"/>
        <v>0.32078248985069235</v>
      </c>
      <c r="CL134" s="179">
        <f t="shared" si="89"/>
        <v>7</v>
      </c>
      <c r="CM134" s="180">
        <f t="shared" si="90"/>
        <v>39775</v>
      </c>
      <c r="CN134">
        <v>0</v>
      </c>
      <c r="CO134">
        <v>0</v>
      </c>
      <c r="CP134">
        <v>3</v>
      </c>
      <c r="CQ134">
        <v>2</v>
      </c>
      <c r="CR134">
        <v>0</v>
      </c>
      <c r="CS134">
        <v>0</v>
      </c>
      <c r="CT134">
        <v>0</v>
      </c>
      <c r="CU134">
        <v>0</v>
      </c>
      <c r="CV134" s="160"/>
      <c r="CW134">
        <f>30/22</f>
        <v>1.3636363636363635</v>
      </c>
      <c r="CX134">
        <f>20/9</f>
        <v>2.2222222222222223</v>
      </c>
      <c r="CY134" s="164"/>
      <c r="CZ134" s="177">
        <f t="shared" si="91"/>
        <v>9.6000000000000002E-2</v>
      </c>
      <c r="DB134" s="146"/>
      <c r="DC134" s="76">
        <f t="shared" ca="1" si="49"/>
        <v>0.3921754431352853</v>
      </c>
      <c r="DD134">
        <f t="shared" si="92"/>
        <v>7</v>
      </c>
      <c r="DE134" s="129">
        <f t="shared" si="163"/>
        <v>39775</v>
      </c>
      <c r="DF134" s="161">
        <f t="shared" si="93"/>
        <v>0</v>
      </c>
      <c r="DG134" s="161">
        <f t="shared" si="94"/>
        <v>0</v>
      </c>
      <c r="DH134" s="161">
        <f t="shared" si="95"/>
        <v>83.64898989898991</v>
      </c>
      <c r="DI134" s="161">
        <f t="shared" si="96"/>
        <v>46.296296296296298</v>
      </c>
      <c r="DJ134" s="161">
        <f t="shared" si="97"/>
        <v>0</v>
      </c>
      <c r="DK134" s="161">
        <f t="shared" si="98"/>
        <v>0</v>
      </c>
      <c r="DL134" s="161">
        <f t="shared" si="99"/>
        <v>0</v>
      </c>
      <c r="DM134" s="161">
        <f t="shared" si="100"/>
        <v>0</v>
      </c>
      <c r="DN134" s="161">
        <f t="shared" si="101"/>
        <v>0</v>
      </c>
      <c r="DO134" s="161">
        <f t="shared" si="102"/>
        <v>0</v>
      </c>
      <c r="DP134" s="161">
        <f t="shared" si="103"/>
        <v>0</v>
      </c>
      <c r="DQ134" s="161">
        <f t="shared" si="104"/>
        <v>0</v>
      </c>
      <c r="DR134" s="161">
        <f t="shared" si="105"/>
        <v>0</v>
      </c>
      <c r="DS134" s="161">
        <f t="shared" si="106"/>
        <v>0</v>
      </c>
      <c r="DT134" s="161">
        <f t="shared" si="107"/>
        <v>0</v>
      </c>
      <c r="DU134" s="161">
        <f t="shared" si="108"/>
        <v>0</v>
      </c>
      <c r="DV134" s="161">
        <f t="shared" si="109"/>
        <v>0</v>
      </c>
      <c r="DW134" s="161">
        <f t="shared" si="110"/>
        <v>0</v>
      </c>
      <c r="DX134" s="161">
        <f t="shared" si="111"/>
        <v>0</v>
      </c>
      <c r="DY134" s="161">
        <f t="shared" si="112"/>
        <v>0</v>
      </c>
      <c r="DZ134" s="161">
        <f t="shared" si="113"/>
        <v>0</v>
      </c>
      <c r="EA134" s="161">
        <f t="shared" si="114"/>
        <v>0</v>
      </c>
      <c r="EB134" s="161">
        <f t="shared" si="115"/>
        <v>0</v>
      </c>
      <c r="EC134" s="161">
        <f t="shared" si="116"/>
        <v>0</v>
      </c>
      <c r="ED134" s="161">
        <f t="shared" si="117"/>
        <v>0</v>
      </c>
      <c r="EE134" s="161">
        <f t="shared" si="118"/>
        <v>0</v>
      </c>
      <c r="EF134" s="161">
        <f t="shared" si="119"/>
        <v>0</v>
      </c>
      <c r="EG134" s="161">
        <f t="shared" si="120"/>
        <v>0</v>
      </c>
      <c r="EH134" s="161">
        <f t="shared" si="121"/>
        <v>0</v>
      </c>
      <c r="EI134" s="161">
        <f t="shared" si="122"/>
        <v>0</v>
      </c>
      <c r="EJ134" s="161">
        <f t="shared" si="123"/>
        <v>0</v>
      </c>
      <c r="EK134" s="147">
        <f t="shared" si="130"/>
        <v>129.9452861952862</v>
      </c>
      <c r="EL134" s="149"/>
      <c r="EN134" s="146"/>
      <c r="EO134" s="146"/>
      <c r="EP134" s="139">
        <f t="shared" si="131"/>
        <v>0</v>
      </c>
      <c r="EQ134" s="139">
        <f t="shared" si="132"/>
        <v>0</v>
      </c>
      <c r="ER134" s="139">
        <f t="shared" si="133"/>
        <v>2.1566095317852465</v>
      </c>
      <c r="ES134" s="139">
        <f t="shared" si="134"/>
        <v>3.7251625855045298</v>
      </c>
      <c r="ET134" s="139">
        <f t="shared" si="135"/>
        <v>0</v>
      </c>
      <c r="EU134" s="139">
        <f t="shared" si="136"/>
        <v>0</v>
      </c>
      <c r="EV134" s="139">
        <f t="shared" si="137"/>
        <v>0</v>
      </c>
      <c r="EW134" s="139">
        <f t="shared" si="138"/>
        <v>0</v>
      </c>
      <c r="EX134" s="139">
        <f t="shared" si="139"/>
        <v>0</v>
      </c>
      <c r="EY134" s="139">
        <f t="shared" si="140"/>
        <v>0</v>
      </c>
      <c r="EZ134" s="139">
        <f t="shared" si="141"/>
        <v>0</v>
      </c>
      <c r="FA134" s="139">
        <f t="shared" si="142"/>
        <v>0</v>
      </c>
      <c r="FB134" s="139">
        <f t="shared" si="143"/>
        <v>0</v>
      </c>
      <c r="FC134" s="139">
        <f t="shared" si="144"/>
        <v>0</v>
      </c>
      <c r="FD134" s="139">
        <f t="shared" si="145"/>
        <v>0</v>
      </c>
      <c r="FE134" s="139">
        <f t="shared" si="146"/>
        <v>0</v>
      </c>
      <c r="FF134" s="139">
        <f t="shared" si="147"/>
        <v>0</v>
      </c>
      <c r="FG134" s="139">
        <f t="shared" si="148"/>
        <v>0</v>
      </c>
      <c r="FH134" s="139">
        <f t="shared" si="149"/>
        <v>0</v>
      </c>
      <c r="FI134" s="139">
        <f t="shared" si="150"/>
        <v>0</v>
      </c>
      <c r="FJ134" s="139">
        <f t="shared" si="151"/>
        <v>0</v>
      </c>
      <c r="FK134" s="139">
        <f t="shared" si="152"/>
        <v>0</v>
      </c>
      <c r="FL134" s="139">
        <f t="shared" si="153"/>
        <v>0</v>
      </c>
      <c r="FM134" s="139">
        <f t="shared" si="154"/>
        <v>0</v>
      </c>
      <c r="FN134" s="139">
        <f t="shared" si="155"/>
        <v>0</v>
      </c>
      <c r="FO134" s="139">
        <f t="shared" si="156"/>
        <v>0</v>
      </c>
      <c r="FP134" s="139">
        <f t="shared" si="157"/>
        <v>0</v>
      </c>
      <c r="FQ134" s="139">
        <f t="shared" si="158"/>
        <v>0</v>
      </c>
      <c r="FR134" s="139">
        <f t="shared" si="159"/>
        <v>0</v>
      </c>
      <c r="FS134" s="139">
        <f t="shared" si="160"/>
        <v>0</v>
      </c>
      <c r="FT134" s="139">
        <f t="shared" si="161"/>
        <v>0</v>
      </c>
      <c r="FU134" s="148">
        <f t="shared" si="162"/>
        <v>5.8817721172897759</v>
      </c>
      <c r="FV134" s="149"/>
      <c r="FY134" s="210">
        <v>129</v>
      </c>
      <c r="FZ134">
        <v>11.672400227984456</v>
      </c>
      <c r="GA134">
        <v>15.95637789341075</v>
      </c>
      <c r="GB134">
        <v>2.2496440228900534</v>
      </c>
      <c r="GC134">
        <v>0.63537668180005702</v>
      </c>
      <c r="GD134">
        <v>0.99388300078599423</v>
      </c>
      <c r="GE134">
        <v>3.6768398953368098</v>
      </c>
      <c r="GF134">
        <v>5.6812616406439194</v>
      </c>
      <c r="GG134">
        <v>7.7612295653938643</v>
      </c>
      <c r="GH134">
        <v>9.603392413023057</v>
      </c>
      <c r="GI134">
        <v>5.4093275589307241</v>
      </c>
      <c r="GJ134"/>
      <c r="GK134"/>
      <c r="GL134"/>
      <c r="GM134"/>
    </row>
    <row r="135" spans="1:195" s="7" customFormat="1">
      <c r="A135" s="1"/>
      <c r="B135" s="76">
        <f ca="1">IF(C135="", "", RAND())</f>
        <v>0.25551679262421789</v>
      </c>
      <c r="C135">
        <v>3</v>
      </c>
      <c r="D135">
        <v>39775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 s="2"/>
      <c r="AK135" s="80"/>
      <c r="AL135" s="74"/>
      <c r="AM135" s="43">
        <v>119</v>
      </c>
      <c r="AN135">
        <v>137.66477272236952</v>
      </c>
      <c r="AO135">
        <v>9.5083035450735416</v>
      </c>
      <c r="AP135">
        <v>85.87491705343183</v>
      </c>
      <c r="AQ135">
        <v>75.336041263288521</v>
      </c>
      <c r="AR135">
        <v>9.4178681994231859</v>
      </c>
      <c r="AS135">
        <v>163.08450039134979</v>
      </c>
      <c r="AT135">
        <v>5.5807234657595037</v>
      </c>
      <c r="AU135">
        <v>16.458884933932062</v>
      </c>
      <c r="AV135"/>
      <c r="AW135"/>
      <c r="AX135" s="146"/>
      <c r="AY135" s="76">
        <f t="shared" ca="1" si="86"/>
        <v>0.96128584533513117</v>
      </c>
      <c r="AZ135">
        <v>8</v>
      </c>
      <c r="BA135" s="129">
        <f t="shared" si="164"/>
        <v>39775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 s="147"/>
      <c r="CH135" s="176"/>
      <c r="CJ135" s="146"/>
      <c r="CK135" s="76">
        <f t="shared" ca="1" si="88"/>
        <v>0.43310338010569804</v>
      </c>
      <c r="CL135" s="179">
        <f t="shared" si="89"/>
        <v>8</v>
      </c>
      <c r="CM135" s="180">
        <f t="shared" si="90"/>
        <v>39775</v>
      </c>
      <c r="CN135">
        <v>0</v>
      </c>
      <c r="CO135">
        <v>1</v>
      </c>
      <c r="CP135">
        <v>5</v>
      </c>
      <c r="CQ135">
        <v>0</v>
      </c>
      <c r="CR135">
        <v>0</v>
      </c>
      <c r="CS135">
        <v>0</v>
      </c>
      <c r="CT135">
        <v>0</v>
      </c>
      <c r="CU135">
        <v>0</v>
      </c>
      <c r="CV135" s="160"/>
      <c r="CW135">
        <f>30/9</f>
        <v>3.3333333333333335</v>
      </c>
      <c r="CX135">
        <f>40/8</f>
        <v>5</v>
      </c>
      <c r="CY135" s="164"/>
      <c r="CZ135" s="177">
        <f t="shared" si="91"/>
        <v>9.6000000000000002E-2</v>
      </c>
      <c r="DB135" s="146"/>
      <c r="DC135" s="76">
        <f t="shared" ca="1" si="49"/>
        <v>0.30826469084247465</v>
      </c>
      <c r="DD135">
        <f t="shared" si="92"/>
        <v>8</v>
      </c>
      <c r="DE135" s="129">
        <f t="shared" si="163"/>
        <v>39775</v>
      </c>
      <c r="DF135" s="161">
        <f t="shared" si="93"/>
        <v>0</v>
      </c>
      <c r="DG135" s="161">
        <f t="shared" si="94"/>
        <v>52.083333333333336</v>
      </c>
      <c r="DH135" s="161">
        <f t="shared" si="95"/>
        <v>260.41666666666669</v>
      </c>
      <c r="DI135" s="161">
        <f t="shared" si="96"/>
        <v>0</v>
      </c>
      <c r="DJ135" s="161">
        <f t="shared" si="97"/>
        <v>0</v>
      </c>
      <c r="DK135" s="161">
        <f t="shared" si="98"/>
        <v>0</v>
      </c>
      <c r="DL135" s="161">
        <f t="shared" si="99"/>
        <v>0</v>
      </c>
      <c r="DM135" s="161">
        <f t="shared" si="100"/>
        <v>0</v>
      </c>
      <c r="DN135" s="161">
        <f t="shared" si="101"/>
        <v>0</v>
      </c>
      <c r="DO135" s="161">
        <f t="shared" si="102"/>
        <v>0</v>
      </c>
      <c r="DP135" s="161">
        <f t="shared" si="103"/>
        <v>0</v>
      </c>
      <c r="DQ135" s="161">
        <f t="shared" si="104"/>
        <v>0</v>
      </c>
      <c r="DR135" s="161">
        <f t="shared" si="105"/>
        <v>0</v>
      </c>
      <c r="DS135" s="161">
        <f t="shared" si="106"/>
        <v>0</v>
      </c>
      <c r="DT135" s="161">
        <f t="shared" si="107"/>
        <v>0</v>
      </c>
      <c r="DU135" s="161">
        <f t="shared" si="108"/>
        <v>0</v>
      </c>
      <c r="DV135" s="161">
        <f t="shared" si="109"/>
        <v>0</v>
      </c>
      <c r="DW135" s="161">
        <f t="shared" si="110"/>
        <v>0</v>
      </c>
      <c r="DX135" s="161">
        <f t="shared" si="111"/>
        <v>0</v>
      </c>
      <c r="DY135" s="161">
        <f t="shared" si="112"/>
        <v>0</v>
      </c>
      <c r="DZ135" s="161">
        <f t="shared" si="113"/>
        <v>0</v>
      </c>
      <c r="EA135" s="161">
        <f t="shared" si="114"/>
        <v>0</v>
      </c>
      <c r="EB135" s="161">
        <f t="shared" si="115"/>
        <v>0</v>
      </c>
      <c r="EC135" s="161">
        <f t="shared" si="116"/>
        <v>0</v>
      </c>
      <c r="ED135" s="161">
        <f t="shared" si="117"/>
        <v>0</v>
      </c>
      <c r="EE135" s="161">
        <f t="shared" si="118"/>
        <v>0</v>
      </c>
      <c r="EF135" s="161">
        <f t="shared" si="119"/>
        <v>0</v>
      </c>
      <c r="EG135" s="161">
        <f t="shared" si="120"/>
        <v>0</v>
      </c>
      <c r="EH135" s="161">
        <f t="shared" si="121"/>
        <v>0</v>
      </c>
      <c r="EI135" s="161">
        <f t="shared" si="122"/>
        <v>0</v>
      </c>
      <c r="EJ135" s="161">
        <f t="shared" si="123"/>
        <v>0</v>
      </c>
      <c r="EK135" s="147">
        <f t="shared" si="130"/>
        <v>312.5</v>
      </c>
      <c r="EL135" s="149"/>
      <c r="EN135" s="146"/>
      <c r="EO135" s="146"/>
      <c r="EP135" s="139">
        <f t="shared" si="131"/>
        <v>0</v>
      </c>
      <c r="EQ135" s="139">
        <f t="shared" si="132"/>
        <v>0.19187500000000002</v>
      </c>
      <c r="ER135" s="139">
        <f t="shared" si="133"/>
        <v>6.7139730706521821</v>
      </c>
      <c r="ES135" s="139">
        <f t="shared" si="134"/>
        <v>0</v>
      </c>
      <c r="ET135" s="139">
        <f t="shared" si="135"/>
        <v>0</v>
      </c>
      <c r="EU135" s="139">
        <f t="shared" si="136"/>
        <v>0</v>
      </c>
      <c r="EV135" s="139">
        <f t="shared" si="137"/>
        <v>0</v>
      </c>
      <c r="EW135" s="139">
        <f t="shared" si="138"/>
        <v>0</v>
      </c>
      <c r="EX135" s="139">
        <f t="shared" si="139"/>
        <v>0</v>
      </c>
      <c r="EY135" s="139">
        <f t="shared" si="140"/>
        <v>0</v>
      </c>
      <c r="EZ135" s="139">
        <f t="shared" si="141"/>
        <v>0</v>
      </c>
      <c r="FA135" s="139">
        <f t="shared" si="142"/>
        <v>0</v>
      </c>
      <c r="FB135" s="139">
        <f t="shared" si="143"/>
        <v>0</v>
      </c>
      <c r="FC135" s="139">
        <f t="shared" si="144"/>
        <v>0</v>
      </c>
      <c r="FD135" s="139">
        <f t="shared" si="145"/>
        <v>0</v>
      </c>
      <c r="FE135" s="139">
        <f t="shared" si="146"/>
        <v>0</v>
      </c>
      <c r="FF135" s="139">
        <f t="shared" si="147"/>
        <v>0</v>
      </c>
      <c r="FG135" s="139">
        <f t="shared" si="148"/>
        <v>0</v>
      </c>
      <c r="FH135" s="139">
        <f t="shared" si="149"/>
        <v>0</v>
      </c>
      <c r="FI135" s="139">
        <f t="shared" si="150"/>
        <v>0</v>
      </c>
      <c r="FJ135" s="139">
        <f t="shared" si="151"/>
        <v>0</v>
      </c>
      <c r="FK135" s="139">
        <f t="shared" si="152"/>
        <v>0</v>
      </c>
      <c r="FL135" s="139">
        <f t="shared" si="153"/>
        <v>0</v>
      </c>
      <c r="FM135" s="139">
        <f t="shared" si="154"/>
        <v>0</v>
      </c>
      <c r="FN135" s="139">
        <f t="shared" si="155"/>
        <v>0</v>
      </c>
      <c r="FO135" s="139">
        <f t="shared" si="156"/>
        <v>0</v>
      </c>
      <c r="FP135" s="139">
        <f t="shared" si="157"/>
        <v>0</v>
      </c>
      <c r="FQ135" s="139">
        <f t="shared" si="158"/>
        <v>0</v>
      </c>
      <c r="FR135" s="139">
        <f t="shared" si="159"/>
        <v>0</v>
      </c>
      <c r="FS135" s="139">
        <f t="shared" si="160"/>
        <v>0</v>
      </c>
      <c r="FT135" s="139">
        <f t="shared" si="161"/>
        <v>0</v>
      </c>
      <c r="FU135" s="148">
        <f t="shared" si="162"/>
        <v>6.9058480706521816</v>
      </c>
      <c r="FV135" s="149"/>
      <c r="FY135" s="210">
        <v>130</v>
      </c>
      <c r="FZ135">
        <v>14.114639065320119</v>
      </c>
      <c r="GA135">
        <v>13.537185727772348</v>
      </c>
      <c r="GB135">
        <v>2.5842018659226036</v>
      </c>
      <c r="GC135">
        <v>1.6537345758418993</v>
      </c>
      <c r="GD135">
        <v>1.2635228158975518</v>
      </c>
      <c r="GE135">
        <v>2.0834829234861303</v>
      </c>
      <c r="GF135">
        <v>3.1690703780023006</v>
      </c>
      <c r="GG135">
        <v>9.8456635829472816</v>
      </c>
      <c r="GH135">
        <v>12.832372983068982</v>
      </c>
      <c r="GI135">
        <v>6.0635984890377008</v>
      </c>
      <c r="GJ135"/>
      <c r="GK135"/>
      <c r="GL135"/>
      <c r="GM135"/>
    </row>
    <row r="136" spans="1:195" s="7" customFormat="1">
      <c r="A136" s="1"/>
      <c r="B136" s="76">
        <f ca="1">IF(C136="", "", RAND())</f>
        <v>0.83695479066580636</v>
      </c>
      <c r="C136">
        <v>9</v>
      </c>
      <c r="D136">
        <v>39775</v>
      </c>
      <c r="E136">
        <v>0</v>
      </c>
      <c r="F136">
        <v>0</v>
      </c>
      <c r="G136">
        <v>20.833333333333332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 s="2"/>
      <c r="AK136" s="80"/>
      <c r="AL136" s="74"/>
      <c r="AM136" s="43">
        <v>120</v>
      </c>
      <c r="AN136">
        <v>134.18478986889249</v>
      </c>
      <c r="AO136">
        <v>11.649537613737953</v>
      </c>
      <c r="AP136">
        <v>115.19736788458302</v>
      </c>
      <c r="AQ136">
        <v>98.160787341698693</v>
      </c>
      <c r="AR136">
        <v>11.515685997073888</v>
      </c>
      <c r="AS136">
        <v>202.90532974467496</v>
      </c>
      <c r="AT136">
        <v>7.231406913455861</v>
      </c>
      <c r="AU136">
        <v>51.845340266331775</v>
      </c>
      <c r="AV136"/>
      <c r="AW136"/>
      <c r="AX136" s="146"/>
      <c r="AY136" s="76">
        <f t="shared" ca="1" si="86"/>
        <v>0.8016147369740898</v>
      </c>
      <c r="AZ136">
        <v>9</v>
      </c>
      <c r="BA136" s="129">
        <f t="shared" si="164"/>
        <v>39775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 s="147"/>
      <c r="CH136" s="176"/>
      <c r="CJ136" s="146"/>
      <c r="CK136" s="76">
        <f t="shared" ca="1" si="88"/>
        <v>0.75332371517628194</v>
      </c>
      <c r="CL136" s="179">
        <f t="shared" si="89"/>
        <v>9</v>
      </c>
      <c r="CM136" s="180">
        <f t="shared" si="90"/>
        <v>39775</v>
      </c>
      <c r="CN136" s="224">
        <v>0</v>
      </c>
      <c r="CO136">
        <v>0</v>
      </c>
      <c r="CP136">
        <v>2</v>
      </c>
      <c r="CQ136">
        <v>0</v>
      </c>
      <c r="CR136">
        <v>0</v>
      </c>
      <c r="CS136">
        <v>0</v>
      </c>
      <c r="CT136">
        <v>0</v>
      </c>
      <c r="CU136">
        <v>0</v>
      </c>
      <c r="CV136" s="160"/>
      <c r="CW136">
        <v>1</v>
      </c>
      <c r="CX136">
        <v>1</v>
      </c>
      <c r="CY136" s="164"/>
      <c r="CZ136" s="177">
        <f t="shared" si="91"/>
        <v>9.6000000000000002E-2</v>
      </c>
      <c r="DB136" s="146"/>
      <c r="DC136" s="76">
        <f t="shared" ca="1" si="49"/>
        <v>0.99664040355136763</v>
      </c>
      <c r="DD136">
        <f t="shared" si="92"/>
        <v>9</v>
      </c>
      <c r="DE136" s="129">
        <f t="shared" si="163"/>
        <v>39775</v>
      </c>
      <c r="DF136" s="161">
        <f t="shared" si="93"/>
        <v>0</v>
      </c>
      <c r="DG136" s="161">
        <f t="shared" si="94"/>
        <v>0</v>
      </c>
      <c r="DH136" s="161">
        <f t="shared" si="95"/>
        <v>20.833333333333332</v>
      </c>
      <c r="DI136" s="161">
        <f t="shared" si="96"/>
        <v>0</v>
      </c>
      <c r="DJ136" s="161">
        <f t="shared" si="97"/>
        <v>0</v>
      </c>
      <c r="DK136" s="161">
        <f t="shared" si="98"/>
        <v>0</v>
      </c>
      <c r="DL136" s="161">
        <f t="shared" si="99"/>
        <v>0</v>
      </c>
      <c r="DM136" s="161">
        <f t="shared" si="100"/>
        <v>0</v>
      </c>
      <c r="DN136" s="161">
        <f t="shared" si="101"/>
        <v>0</v>
      </c>
      <c r="DO136" s="161">
        <f t="shared" si="102"/>
        <v>0</v>
      </c>
      <c r="DP136" s="161">
        <f t="shared" si="103"/>
        <v>0</v>
      </c>
      <c r="DQ136" s="161">
        <f t="shared" si="104"/>
        <v>0</v>
      </c>
      <c r="DR136" s="161">
        <f t="shared" si="105"/>
        <v>0</v>
      </c>
      <c r="DS136" s="161">
        <f t="shared" si="106"/>
        <v>0</v>
      </c>
      <c r="DT136" s="161">
        <f t="shared" si="107"/>
        <v>0</v>
      </c>
      <c r="DU136" s="161">
        <f t="shared" si="108"/>
        <v>0</v>
      </c>
      <c r="DV136" s="161">
        <f t="shared" si="109"/>
        <v>0</v>
      </c>
      <c r="DW136" s="161">
        <f t="shared" si="110"/>
        <v>0</v>
      </c>
      <c r="DX136" s="161">
        <f t="shared" si="111"/>
        <v>0</v>
      </c>
      <c r="DY136" s="161">
        <f t="shared" si="112"/>
        <v>0</v>
      </c>
      <c r="DZ136" s="161">
        <f t="shared" si="113"/>
        <v>0</v>
      </c>
      <c r="EA136" s="161">
        <f t="shared" si="114"/>
        <v>0</v>
      </c>
      <c r="EB136" s="161">
        <f t="shared" si="115"/>
        <v>0</v>
      </c>
      <c r="EC136" s="161">
        <f t="shared" si="116"/>
        <v>0</v>
      </c>
      <c r="ED136" s="161">
        <f t="shared" si="117"/>
        <v>0</v>
      </c>
      <c r="EE136" s="161">
        <f t="shared" si="118"/>
        <v>0</v>
      </c>
      <c r="EF136" s="161">
        <f t="shared" si="119"/>
        <v>0</v>
      </c>
      <c r="EG136" s="161">
        <f t="shared" si="120"/>
        <v>0</v>
      </c>
      <c r="EH136" s="161">
        <f t="shared" si="121"/>
        <v>0</v>
      </c>
      <c r="EI136" s="161">
        <f t="shared" si="122"/>
        <v>0</v>
      </c>
      <c r="EJ136" s="161">
        <f t="shared" si="123"/>
        <v>0</v>
      </c>
      <c r="EK136" s="147">
        <f t="shared" si="130"/>
        <v>20.833333333333332</v>
      </c>
      <c r="EL136" s="149"/>
      <c r="EN136" s="146"/>
      <c r="EO136" s="146"/>
      <c r="EP136" s="139">
        <f t="shared" si="131"/>
        <v>0</v>
      </c>
      <c r="EQ136" s="139">
        <f t="shared" si="132"/>
        <v>0</v>
      </c>
      <c r="ER136" s="139">
        <f t="shared" si="133"/>
        <v>0.53711784565217446</v>
      </c>
      <c r="ES136" s="139">
        <f t="shared" si="134"/>
        <v>0</v>
      </c>
      <c r="ET136" s="139">
        <f t="shared" si="135"/>
        <v>0</v>
      </c>
      <c r="EU136" s="139">
        <f t="shared" si="136"/>
        <v>0</v>
      </c>
      <c r="EV136" s="139">
        <f t="shared" si="137"/>
        <v>0</v>
      </c>
      <c r="EW136" s="139">
        <f t="shared" si="138"/>
        <v>0</v>
      </c>
      <c r="EX136" s="139">
        <f t="shared" si="139"/>
        <v>0</v>
      </c>
      <c r="EY136" s="139">
        <f t="shared" si="140"/>
        <v>0</v>
      </c>
      <c r="EZ136" s="139">
        <f t="shared" si="141"/>
        <v>0</v>
      </c>
      <c r="FA136" s="139">
        <f t="shared" si="142"/>
        <v>0</v>
      </c>
      <c r="FB136" s="139">
        <f t="shared" si="143"/>
        <v>0</v>
      </c>
      <c r="FC136" s="139">
        <f t="shared" si="144"/>
        <v>0</v>
      </c>
      <c r="FD136" s="139">
        <f t="shared" si="145"/>
        <v>0</v>
      </c>
      <c r="FE136" s="139">
        <f t="shared" si="146"/>
        <v>0</v>
      </c>
      <c r="FF136" s="139">
        <f t="shared" si="147"/>
        <v>0</v>
      </c>
      <c r="FG136" s="139">
        <f t="shared" si="148"/>
        <v>0</v>
      </c>
      <c r="FH136" s="139">
        <f t="shared" si="149"/>
        <v>0</v>
      </c>
      <c r="FI136" s="139">
        <f t="shared" si="150"/>
        <v>0</v>
      </c>
      <c r="FJ136" s="139">
        <f t="shared" si="151"/>
        <v>0</v>
      </c>
      <c r="FK136" s="139">
        <f t="shared" si="152"/>
        <v>0</v>
      </c>
      <c r="FL136" s="139">
        <f t="shared" si="153"/>
        <v>0</v>
      </c>
      <c r="FM136" s="139">
        <f t="shared" si="154"/>
        <v>0</v>
      </c>
      <c r="FN136" s="139">
        <f t="shared" si="155"/>
        <v>0</v>
      </c>
      <c r="FO136" s="139">
        <f t="shared" si="156"/>
        <v>0</v>
      </c>
      <c r="FP136" s="139">
        <f t="shared" si="157"/>
        <v>0</v>
      </c>
      <c r="FQ136" s="139">
        <f t="shared" si="158"/>
        <v>0</v>
      </c>
      <c r="FR136" s="139">
        <f t="shared" si="159"/>
        <v>0</v>
      </c>
      <c r="FS136" s="139">
        <f t="shared" si="160"/>
        <v>0</v>
      </c>
      <c r="FT136" s="139">
        <f t="shared" si="161"/>
        <v>0</v>
      </c>
      <c r="FU136" s="148">
        <f t="shared" si="162"/>
        <v>0.53711784565217446</v>
      </c>
      <c r="FV136" s="149"/>
      <c r="FY136" s="210">
        <v>131</v>
      </c>
      <c r="FZ136">
        <v>23.652146742121378</v>
      </c>
      <c r="GA136">
        <v>29.300820635717571</v>
      </c>
      <c r="GB136">
        <v>1.9953130965348669</v>
      </c>
      <c r="GC136">
        <v>0.2582505630940472</v>
      </c>
      <c r="GD136">
        <v>0.3508445151273859</v>
      </c>
      <c r="GE136">
        <v>1.1813018479033388</v>
      </c>
      <c r="GF136">
        <v>10.982888843778568</v>
      </c>
      <c r="GG136">
        <v>12.514871312610977</v>
      </c>
      <c r="GH136">
        <v>6.8921889494382995</v>
      </c>
      <c r="GI136">
        <v>7.2763230145948103</v>
      </c>
      <c r="GJ136"/>
      <c r="GK136"/>
      <c r="GL136"/>
      <c r="GM136"/>
    </row>
    <row r="137" spans="1:195" s="7" customFormat="1">
      <c r="A137" s="1"/>
      <c r="B137" s="76">
        <f ca="1">IF(C137="", "", RAND())</f>
        <v>0.32613687423028437</v>
      </c>
      <c r="C137">
        <v>10</v>
      </c>
      <c r="D137">
        <v>39775</v>
      </c>
      <c r="E137">
        <v>0</v>
      </c>
      <c r="F137">
        <v>20.833333333333332</v>
      </c>
      <c r="G137">
        <v>20.833333333333332</v>
      </c>
      <c r="H137">
        <v>10.416666666666666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 s="2"/>
      <c r="AK137" s="80"/>
      <c r="AL137" s="74"/>
      <c r="AM137" s="43">
        <v>121</v>
      </c>
      <c r="AN137">
        <v>98.228123522943093</v>
      </c>
      <c r="AO137">
        <v>6.2005813208291425</v>
      </c>
      <c r="AP137">
        <v>57.812954831641136</v>
      </c>
      <c r="AQ137">
        <v>46.864067410504745</v>
      </c>
      <c r="AR137">
        <v>6.1717680808720576</v>
      </c>
      <c r="AS137">
        <v>112.33998778819473</v>
      </c>
      <c r="AT137">
        <v>3.5736986629253695</v>
      </c>
      <c r="AU137">
        <v>32.758119415604746</v>
      </c>
      <c r="AV137"/>
      <c r="AW137"/>
      <c r="AX137" s="146"/>
      <c r="AY137" s="76">
        <f t="shared" ca="1" si="86"/>
        <v>0.50465756991796251</v>
      </c>
      <c r="AZ137">
        <v>10</v>
      </c>
      <c r="BA137" s="129">
        <f t="shared" si="164"/>
        <v>39775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 s="147"/>
      <c r="CH137" s="176"/>
      <c r="CJ137" s="146"/>
      <c r="CK137" s="76">
        <f t="shared" ca="1" si="88"/>
        <v>0.79908190922439903</v>
      </c>
      <c r="CL137" s="179">
        <f t="shared" si="89"/>
        <v>10</v>
      </c>
      <c r="CM137" s="180">
        <f t="shared" si="90"/>
        <v>39775</v>
      </c>
      <c r="CN137" s="223">
        <v>0</v>
      </c>
      <c r="CO137" s="223">
        <v>2</v>
      </c>
      <c r="CP137" s="223">
        <v>2</v>
      </c>
      <c r="CQ137" s="223">
        <v>1</v>
      </c>
      <c r="CR137" s="223">
        <v>0</v>
      </c>
      <c r="CS137">
        <v>0</v>
      </c>
      <c r="CT137">
        <v>0</v>
      </c>
      <c r="CU137">
        <v>0</v>
      </c>
      <c r="CV137" s="160"/>
      <c r="CW137">
        <v>1</v>
      </c>
      <c r="CX137">
        <v>1</v>
      </c>
      <c r="CY137" s="164"/>
      <c r="CZ137" s="177">
        <f t="shared" si="91"/>
        <v>9.6000000000000002E-2</v>
      </c>
      <c r="DB137" s="146"/>
      <c r="DC137" s="76">
        <f t="shared" ca="1" si="49"/>
        <v>8.9480542516098494E-2</v>
      </c>
      <c r="DD137">
        <f t="shared" si="92"/>
        <v>10</v>
      </c>
      <c r="DE137" s="129">
        <f t="shared" si="163"/>
        <v>39775</v>
      </c>
      <c r="DF137" s="161">
        <f t="shared" si="93"/>
        <v>0</v>
      </c>
      <c r="DG137" s="161">
        <f t="shared" si="94"/>
        <v>20.833333333333332</v>
      </c>
      <c r="DH137" s="161">
        <f t="shared" si="95"/>
        <v>20.833333333333332</v>
      </c>
      <c r="DI137" s="161">
        <f t="shared" si="96"/>
        <v>10.416666666666666</v>
      </c>
      <c r="DJ137" s="161">
        <f t="shared" si="97"/>
        <v>0</v>
      </c>
      <c r="DK137" s="161">
        <f t="shared" si="98"/>
        <v>0</v>
      </c>
      <c r="DL137" s="161">
        <f t="shared" si="99"/>
        <v>0</v>
      </c>
      <c r="DM137" s="161">
        <f t="shared" si="100"/>
        <v>0</v>
      </c>
      <c r="DN137" s="161">
        <f t="shared" si="101"/>
        <v>0</v>
      </c>
      <c r="DO137" s="161">
        <f t="shared" si="102"/>
        <v>0</v>
      </c>
      <c r="DP137" s="161">
        <f t="shared" si="103"/>
        <v>0</v>
      </c>
      <c r="DQ137" s="161">
        <f t="shared" si="104"/>
        <v>0</v>
      </c>
      <c r="DR137" s="161">
        <f t="shared" si="105"/>
        <v>0</v>
      </c>
      <c r="DS137" s="161">
        <f t="shared" si="106"/>
        <v>0</v>
      </c>
      <c r="DT137" s="161">
        <f t="shared" si="107"/>
        <v>0</v>
      </c>
      <c r="DU137" s="161">
        <f t="shared" si="108"/>
        <v>0</v>
      </c>
      <c r="DV137" s="161">
        <f t="shared" si="109"/>
        <v>0</v>
      </c>
      <c r="DW137" s="161">
        <f t="shared" si="110"/>
        <v>0</v>
      </c>
      <c r="DX137" s="161">
        <f t="shared" si="111"/>
        <v>0</v>
      </c>
      <c r="DY137" s="161">
        <f t="shared" si="112"/>
        <v>0</v>
      </c>
      <c r="DZ137" s="161">
        <f t="shared" si="113"/>
        <v>0</v>
      </c>
      <c r="EA137" s="161">
        <f t="shared" si="114"/>
        <v>0</v>
      </c>
      <c r="EB137" s="161">
        <f t="shared" si="115"/>
        <v>0</v>
      </c>
      <c r="EC137" s="161">
        <f t="shared" si="116"/>
        <v>0</v>
      </c>
      <c r="ED137" s="161">
        <f t="shared" si="117"/>
        <v>0</v>
      </c>
      <c r="EE137" s="161">
        <f t="shared" si="118"/>
        <v>0</v>
      </c>
      <c r="EF137" s="161">
        <f t="shared" si="119"/>
        <v>0</v>
      </c>
      <c r="EG137" s="161">
        <f t="shared" si="120"/>
        <v>0</v>
      </c>
      <c r="EH137" s="161">
        <f t="shared" si="121"/>
        <v>0</v>
      </c>
      <c r="EI137" s="161">
        <f t="shared" si="122"/>
        <v>0</v>
      </c>
      <c r="EJ137" s="161">
        <f t="shared" si="123"/>
        <v>0</v>
      </c>
      <c r="EK137" s="147">
        <f t="shared" si="130"/>
        <v>52.083333333333329</v>
      </c>
      <c r="EL137" s="149"/>
      <c r="EN137" s="146"/>
      <c r="EO137" s="146"/>
      <c r="EP137" s="139">
        <f t="shared" si="131"/>
        <v>0</v>
      </c>
      <c r="EQ137" s="139">
        <f t="shared" si="132"/>
        <v>7.6749999999999999E-2</v>
      </c>
      <c r="ER137" s="139">
        <f t="shared" si="133"/>
        <v>0.53711784565217446</v>
      </c>
      <c r="ES137" s="139">
        <f t="shared" si="134"/>
        <v>0.83816158173851918</v>
      </c>
      <c r="ET137" s="139">
        <f t="shared" si="135"/>
        <v>0</v>
      </c>
      <c r="EU137" s="139">
        <f t="shared" si="136"/>
        <v>0</v>
      </c>
      <c r="EV137" s="139">
        <f t="shared" si="137"/>
        <v>0</v>
      </c>
      <c r="EW137" s="139">
        <f t="shared" si="138"/>
        <v>0</v>
      </c>
      <c r="EX137" s="139">
        <f t="shared" si="139"/>
        <v>0</v>
      </c>
      <c r="EY137" s="139">
        <f t="shared" si="140"/>
        <v>0</v>
      </c>
      <c r="EZ137" s="139">
        <f t="shared" si="141"/>
        <v>0</v>
      </c>
      <c r="FA137" s="139">
        <f t="shared" si="142"/>
        <v>0</v>
      </c>
      <c r="FB137" s="139">
        <f t="shared" si="143"/>
        <v>0</v>
      </c>
      <c r="FC137" s="139">
        <f t="shared" si="144"/>
        <v>0</v>
      </c>
      <c r="FD137" s="139">
        <f t="shared" si="145"/>
        <v>0</v>
      </c>
      <c r="FE137" s="139">
        <f t="shared" si="146"/>
        <v>0</v>
      </c>
      <c r="FF137" s="139">
        <f t="shared" si="147"/>
        <v>0</v>
      </c>
      <c r="FG137" s="139">
        <f t="shared" si="148"/>
        <v>0</v>
      </c>
      <c r="FH137" s="139">
        <f t="shared" si="149"/>
        <v>0</v>
      </c>
      <c r="FI137" s="139">
        <f t="shared" si="150"/>
        <v>0</v>
      </c>
      <c r="FJ137" s="139">
        <f t="shared" si="151"/>
        <v>0</v>
      </c>
      <c r="FK137" s="139">
        <f t="shared" si="152"/>
        <v>0</v>
      </c>
      <c r="FL137" s="139">
        <f t="shared" si="153"/>
        <v>0</v>
      </c>
      <c r="FM137" s="139">
        <f t="shared" si="154"/>
        <v>0</v>
      </c>
      <c r="FN137" s="139">
        <f t="shared" si="155"/>
        <v>0</v>
      </c>
      <c r="FO137" s="139">
        <f t="shared" si="156"/>
        <v>0</v>
      </c>
      <c r="FP137" s="139">
        <f t="shared" si="157"/>
        <v>0</v>
      </c>
      <c r="FQ137" s="139">
        <f t="shared" si="158"/>
        <v>0</v>
      </c>
      <c r="FR137" s="139">
        <f t="shared" si="159"/>
        <v>0</v>
      </c>
      <c r="FS137" s="139">
        <f t="shared" si="160"/>
        <v>0</v>
      </c>
      <c r="FT137" s="139">
        <f t="shared" si="161"/>
        <v>0</v>
      </c>
      <c r="FU137" s="148">
        <f t="shared" si="162"/>
        <v>1.4520294273906935</v>
      </c>
      <c r="FV137" s="149"/>
      <c r="FY137" s="210">
        <v>132</v>
      </c>
      <c r="FZ137">
        <v>42.98216609703875</v>
      </c>
      <c r="GA137">
        <v>54.898651420506297</v>
      </c>
      <c r="GB137">
        <v>3.7184814971789981</v>
      </c>
      <c r="GC137">
        <v>1.2727562235182595</v>
      </c>
      <c r="GD137">
        <v>1.1608779492284798</v>
      </c>
      <c r="GE137">
        <v>2.0602011538772262</v>
      </c>
      <c r="GF137">
        <v>3.8355758509068512</v>
      </c>
      <c r="GG137">
        <v>7.0169307234445277</v>
      </c>
      <c r="GH137">
        <v>7.8685874150297277</v>
      </c>
      <c r="GI137">
        <v>9.8932944019103974</v>
      </c>
      <c r="GJ137"/>
      <c r="GK137"/>
      <c r="GL137"/>
      <c r="GM137"/>
    </row>
    <row r="138" spans="1:195" s="7" customFormat="1">
      <c r="A138" s="128"/>
      <c r="B138" s="76">
        <f ca="1">IF(C138="", "", RAND())</f>
        <v>4.4487387304682935E-2</v>
      </c>
      <c r="C138">
        <v>10</v>
      </c>
      <c r="D138">
        <v>39799</v>
      </c>
      <c r="E138">
        <v>0</v>
      </c>
      <c r="F138">
        <v>0</v>
      </c>
      <c r="G138">
        <v>10.416666666666666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 s="2"/>
      <c r="AK138" s="80"/>
      <c r="AL138" s="74"/>
      <c r="AM138" s="43">
        <v>122</v>
      </c>
      <c r="AN138">
        <v>111.1425214166959</v>
      </c>
      <c r="AO138">
        <v>7.6063884931332897</v>
      </c>
      <c r="AP138">
        <v>74.183897643314921</v>
      </c>
      <c r="AQ138">
        <v>62.686978348503757</v>
      </c>
      <c r="AR138">
        <v>7.4215876741690892</v>
      </c>
      <c r="AS138">
        <v>150.85154525718465</v>
      </c>
      <c r="AT138">
        <v>4.7273017374554769</v>
      </c>
      <c r="AU138">
        <v>30.373740040586089</v>
      </c>
      <c r="AV138"/>
      <c r="AW138"/>
      <c r="AX138" s="128"/>
      <c r="AY138" s="76">
        <f t="shared" ca="1" si="86"/>
        <v>0.57313661775439506</v>
      </c>
      <c r="AZ138">
        <v>1</v>
      </c>
      <c r="BA138" s="129">
        <f>IF(AZ138="", "",$C$9)</f>
        <v>39799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 s="147"/>
      <c r="CH138" s="176"/>
      <c r="CJ138" s="128"/>
      <c r="CK138" s="76">
        <f t="shared" ca="1" si="88"/>
        <v>0.26369884442041047</v>
      </c>
      <c r="CL138" s="179">
        <f t="shared" si="89"/>
        <v>1</v>
      </c>
      <c r="CM138" s="180">
        <f t="shared" si="90"/>
        <v>39799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 s="160"/>
      <c r="CW138">
        <v>1</v>
      </c>
      <c r="CX138">
        <v>8</v>
      </c>
      <c r="CY138" s="160"/>
      <c r="CZ138" s="177">
        <f t="shared" si="91"/>
        <v>9.6000000000000002E-2</v>
      </c>
      <c r="DB138" s="128"/>
      <c r="DC138" s="76">
        <f t="shared" ca="1" si="49"/>
        <v>0.13730290105262632</v>
      </c>
      <c r="DD138">
        <f t="shared" si="92"/>
        <v>1</v>
      </c>
      <c r="DE138" s="129">
        <f t="shared" ref="DE138:DE147" si="165">IF((DD138)="","",$C$9)</f>
        <v>39799</v>
      </c>
      <c r="DF138" s="161">
        <f t="shared" si="93"/>
        <v>0</v>
      </c>
      <c r="DG138" s="161">
        <f t="shared" si="94"/>
        <v>0</v>
      </c>
      <c r="DH138" s="161">
        <f t="shared" si="95"/>
        <v>0</v>
      </c>
      <c r="DI138" s="161">
        <f t="shared" si="96"/>
        <v>0</v>
      </c>
      <c r="DJ138" s="161">
        <f t="shared" si="97"/>
        <v>0</v>
      </c>
      <c r="DK138" s="161">
        <f t="shared" si="98"/>
        <v>0</v>
      </c>
      <c r="DL138" s="161">
        <f t="shared" si="99"/>
        <v>0</v>
      </c>
      <c r="DM138" s="161">
        <f t="shared" si="100"/>
        <v>0</v>
      </c>
      <c r="DN138" s="161">
        <f t="shared" si="101"/>
        <v>0</v>
      </c>
      <c r="DO138" s="161">
        <f t="shared" si="102"/>
        <v>0</v>
      </c>
      <c r="DP138" s="161">
        <f t="shared" si="103"/>
        <v>0</v>
      </c>
      <c r="DQ138" s="161">
        <f t="shared" si="104"/>
        <v>0</v>
      </c>
      <c r="DR138" s="161">
        <f t="shared" si="105"/>
        <v>0</v>
      </c>
      <c r="DS138" s="161">
        <f t="shared" si="106"/>
        <v>0</v>
      </c>
      <c r="DT138" s="161">
        <f t="shared" si="107"/>
        <v>0</v>
      </c>
      <c r="DU138" s="161">
        <f t="shared" si="108"/>
        <v>0</v>
      </c>
      <c r="DV138" s="161">
        <f t="shared" si="109"/>
        <v>0</v>
      </c>
      <c r="DW138" s="161">
        <f t="shared" si="110"/>
        <v>0</v>
      </c>
      <c r="DX138" s="161">
        <f t="shared" si="111"/>
        <v>0</v>
      </c>
      <c r="DY138" s="161">
        <f t="shared" si="112"/>
        <v>0</v>
      </c>
      <c r="DZ138" s="161">
        <f t="shared" si="113"/>
        <v>0</v>
      </c>
      <c r="EA138" s="161">
        <f t="shared" si="114"/>
        <v>0</v>
      </c>
      <c r="EB138" s="161">
        <f t="shared" si="115"/>
        <v>0</v>
      </c>
      <c r="EC138" s="161">
        <f t="shared" si="116"/>
        <v>0</v>
      </c>
      <c r="ED138" s="161">
        <f t="shared" si="117"/>
        <v>0</v>
      </c>
      <c r="EE138" s="161">
        <f t="shared" si="118"/>
        <v>0</v>
      </c>
      <c r="EF138" s="161">
        <f t="shared" si="119"/>
        <v>0</v>
      </c>
      <c r="EG138" s="161">
        <f t="shared" si="120"/>
        <v>0</v>
      </c>
      <c r="EH138" s="161">
        <f t="shared" si="121"/>
        <v>0</v>
      </c>
      <c r="EI138" s="161">
        <f t="shared" si="122"/>
        <v>0</v>
      </c>
      <c r="EJ138" s="161">
        <f t="shared" si="123"/>
        <v>0</v>
      </c>
      <c r="EK138" s="147">
        <f t="shared" si="130"/>
        <v>0</v>
      </c>
      <c r="EL138" s="149"/>
      <c r="EN138" s="146"/>
      <c r="EO138" s="146"/>
      <c r="EP138" s="139">
        <f t="shared" si="131"/>
        <v>0</v>
      </c>
      <c r="EQ138" s="139">
        <f t="shared" si="132"/>
        <v>0</v>
      </c>
      <c r="ER138" s="139">
        <f t="shared" si="133"/>
        <v>0</v>
      </c>
      <c r="ES138" s="139">
        <f t="shared" si="134"/>
        <v>0</v>
      </c>
      <c r="ET138" s="139">
        <f t="shared" si="135"/>
        <v>0</v>
      </c>
      <c r="EU138" s="139">
        <f t="shared" si="136"/>
        <v>0</v>
      </c>
      <c r="EV138" s="139">
        <f t="shared" si="137"/>
        <v>0</v>
      </c>
      <c r="EW138" s="139">
        <f t="shared" si="138"/>
        <v>0</v>
      </c>
      <c r="EX138" s="139">
        <f t="shared" si="139"/>
        <v>0</v>
      </c>
      <c r="EY138" s="139">
        <f t="shared" si="140"/>
        <v>0</v>
      </c>
      <c r="EZ138" s="139">
        <f t="shared" si="141"/>
        <v>0</v>
      </c>
      <c r="FA138" s="139">
        <f t="shared" si="142"/>
        <v>0</v>
      </c>
      <c r="FB138" s="139">
        <f t="shared" si="143"/>
        <v>0</v>
      </c>
      <c r="FC138" s="139">
        <f t="shared" si="144"/>
        <v>0</v>
      </c>
      <c r="FD138" s="139">
        <f t="shared" si="145"/>
        <v>0</v>
      </c>
      <c r="FE138" s="139">
        <f t="shared" si="146"/>
        <v>0</v>
      </c>
      <c r="FF138" s="139">
        <f t="shared" si="147"/>
        <v>0</v>
      </c>
      <c r="FG138" s="139">
        <f t="shared" si="148"/>
        <v>0</v>
      </c>
      <c r="FH138" s="139">
        <f t="shared" si="149"/>
        <v>0</v>
      </c>
      <c r="FI138" s="139">
        <f t="shared" si="150"/>
        <v>0</v>
      </c>
      <c r="FJ138" s="139">
        <f t="shared" si="151"/>
        <v>0</v>
      </c>
      <c r="FK138" s="139">
        <f t="shared" si="152"/>
        <v>0</v>
      </c>
      <c r="FL138" s="139">
        <f t="shared" si="153"/>
        <v>0</v>
      </c>
      <c r="FM138" s="139">
        <f t="shared" si="154"/>
        <v>0</v>
      </c>
      <c r="FN138" s="139">
        <f t="shared" si="155"/>
        <v>0</v>
      </c>
      <c r="FO138" s="139">
        <f t="shared" si="156"/>
        <v>0</v>
      </c>
      <c r="FP138" s="139">
        <f t="shared" si="157"/>
        <v>0</v>
      </c>
      <c r="FQ138" s="139">
        <f t="shared" si="158"/>
        <v>0</v>
      </c>
      <c r="FR138" s="139">
        <f t="shared" si="159"/>
        <v>0</v>
      </c>
      <c r="FS138" s="139">
        <f t="shared" si="160"/>
        <v>0</v>
      </c>
      <c r="FT138" s="139">
        <f t="shared" si="161"/>
        <v>0</v>
      </c>
      <c r="FU138" s="148">
        <f t="shared" si="162"/>
        <v>0</v>
      </c>
      <c r="FV138" s="149"/>
      <c r="FY138" s="210">
        <v>133</v>
      </c>
      <c r="FZ138">
        <v>35.95004106584053</v>
      </c>
      <c r="GA138">
        <v>39.865994498373283</v>
      </c>
      <c r="GB138">
        <v>1.2767504968453156</v>
      </c>
      <c r="GC138">
        <v>0.48869877251946325</v>
      </c>
      <c r="GD138">
        <v>0.50216725281482988</v>
      </c>
      <c r="GE138">
        <v>4.0116405921062057</v>
      </c>
      <c r="GF138">
        <v>10.341514802710014</v>
      </c>
      <c r="GG138">
        <v>11.429460645580896</v>
      </c>
      <c r="GH138">
        <v>12.923599513587341</v>
      </c>
      <c r="GI138">
        <v>9.8374910309554782</v>
      </c>
      <c r="GJ138"/>
      <c r="GK138"/>
      <c r="GL138"/>
      <c r="GM138"/>
    </row>
    <row r="139" spans="1:195" s="7" customFormat="1">
      <c r="A139" s="1"/>
      <c r="B139" s="76">
        <f ca="1">IF(C139="", "", RAND())</f>
        <v>0.49918962751698981</v>
      </c>
      <c r="C139">
        <v>9</v>
      </c>
      <c r="D139">
        <v>39799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 s="2"/>
      <c r="AK139" s="80"/>
      <c r="AL139" s="74"/>
      <c r="AM139" s="43">
        <v>123</v>
      </c>
      <c r="AN139">
        <v>137.68356009030066</v>
      </c>
      <c r="AO139">
        <v>13.826607830011422</v>
      </c>
      <c r="AP139">
        <v>141.67582975296816</v>
      </c>
      <c r="AQ139">
        <v>121.31528472253605</v>
      </c>
      <c r="AR139">
        <v>13.250255903955034</v>
      </c>
      <c r="AS139">
        <v>210.00218117393419</v>
      </c>
      <c r="AT139">
        <v>8.1447849213595855</v>
      </c>
      <c r="AU139">
        <v>27.770959517707816</v>
      </c>
      <c r="AV139"/>
      <c r="AW139"/>
      <c r="AX139" s="146"/>
      <c r="AY139" s="76">
        <f t="shared" ca="1" si="86"/>
        <v>0.5274883933109451</v>
      </c>
      <c r="AZ139">
        <v>2</v>
      </c>
      <c r="BA139" s="129">
        <f t="shared" ref="BA139:BA147" si="166">IF(AZ139="", "",$C$9)</f>
        <v>39799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 s="147"/>
      <c r="CH139" s="176"/>
      <c r="CJ139" s="146"/>
      <c r="CK139" s="76">
        <f t="shared" ca="1" si="88"/>
        <v>0.28350798680133238</v>
      </c>
      <c r="CL139" s="179">
        <f t="shared" si="89"/>
        <v>2</v>
      </c>
      <c r="CM139" s="180">
        <f t="shared" si="90"/>
        <v>39799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 s="160"/>
      <c r="CW139">
        <v>1</v>
      </c>
      <c r="CX139">
        <v>1</v>
      </c>
      <c r="CY139" s="160"/>
      <c r="CZ139" s="177">
        <f t="shared" si="91"/>
        <v>9.6000000000000002E-2</v>
      </c>
      <c r="DB139" s="146"/>
      <c r="DC139" s="76">
        <f t="shared" ca="1" si="49"/>
        <v>0.85182846378754906</v>
      </c>
      <c r="DD139">
        <f t="shared" si="92"/>
        <v>2</v>
      </c>
      <c r="DE139" s="129">
        <f t="shared" si="165"/>
        <v>39799</v>
      </c>
      <c r="DF139" s="161">
        <f t="shared" si="93"/>
        <v>0</v>
      </c>
      <c r="DG139" s="161">
        <f t="shared" si="94"/>
        <v>0</v>
      </c>
      <c r="DH139" s="161">
        <f t="shared" si="95"/>
        <v>0</v>
      </c>
      <c r="DI139" s="161">
        <f t="shared" si="96"/>
        <v>0</v>
      </c>
      <c r="DJ139" s="161">
        <f t="shared" si="97"/>
        <v>0</v>
      </c>
      <c r="DK139" s="161">
        <f t="shared" si="98"/>
        <v>0</v>
      </c>
      <c r="DL139" s="161">
        <f t="shared" si="99"/>
        <v>0</v>
      </c>
      <c r="DM139" s="161">
        <f t="shared" si="100"/>
        <v>0</v>
      </c>
      <c r="DN139" s="161">
        <f t="shared" si="101"/>
        <v>0</v>
      </c>
      <c r="DO139" s="161">
        <f t="shared" si="102"/>
        <v>0</v>
      </c>
      <c r="DP139" s="161">
        <f t="shared" si="103"/>
        <v>0</v>
      </c>
      <c r="DQ139" s="161">
        <f t="shared" si="104"/>
        <v>0</v>
      </c>
      <c r="DR139" s="161">
        <f t="shared" si="105"/>
        <v>0</v>
      </c>
      <c r="DS139" s="161">
        <f t="shared" si="106"/>
        <v>0</v>
      </c>
      <c r="DT139" s="161">
        <f t="shared" si="107"/>
        <v>0</v>
      </c>
      <c r="DU139" s="161">
        <f t="shared" si="108"/>
        <v>0</v>
      </c>
      <c r="DV139" s="161">
        <f t="shared" si="109"/>
        <v>0</v>
      </c>
      <c r="DW139" s="161">
        <f t="shared" si="110"/>
        <v>0</v>
      </c>
      <c r="DX139" s="161">
        <f t="shared" si="111"/>
        <v>0</v>
      </c>
      <c r="DY139" s="161">
        <f t="shared" si="112"/>
        <v>0</v>
      </c>
      <c r="DZ139" s="161">
        <f t="shared" si="113"/>
        <v>0</v>
      </c>
      <c r="EA139" s="161">
        <f t="shared" si="114"/>
        <v>0</v>
      </c>
      <c r="EB139" s="161">
        <f t="shared" si="115"/>
        <v>0</v>
      </c>
      <c r="EC139" s="161">
        <f t="shared" si="116"/>
        <v>0</v>
      </c>
      <c r="ED139" s="161">
        <f t="shared" si="117"/>
        <v>0</v>
      </c>
      <c r="EE139" s="161">
        <f t="shared" si="118"/>
        <v>0</v>
      </c>
      <c r="EF139" s="161">
        <f t="shared" si="119"/>
        <v>0</v>
      </c>
      <c r="EG139" s="161">
        <f t="shared" si="120"/>
        <v>0</v>
      </c>
      <c r="EH139" s="161">
        <f t="shared" si="121"/>
        <v>0</v>
      </c>
      <c r="EI139" s="161">
        <f t="shared" si="122"/>
        <v>0</v>
      </c>
      <c r="EJ139" s="161">
        <f t="shared" si="123"/>
        <v>0</v>
      </c>
      <c r="EK139" s="147">
        <f t="shared" si="130"/>
        <v>0</v>
      </c>
      <c r="EL139" s="149"/>
      <c r="EN139" s="146"/>
      <c r="EO139" s="146"/>
      <c r="EP139" s="139">
        <f t="shared" si="131"/>
        <v>0</v>
      </c>
      <c r="EQ139" s="139">
        <f t="shared" si="132"/>
        <v>0</v>
      </c>
      <c r="ER139" s="139">
        <f t="shared" si="133"/>
        <v>0</v>
      </c>
      <c r="ES139" s="139">
        <f t="shared" si="134"/>
        <v>0</v>
      </c>
      <c r="ET139" s="139">
        <f t="shared" si="135"/>
        <v>0</v>
      </c>
      <c r="EU139" s="139">
        <f t="shared" si="136"/>
        <v>0</v>
      </c>
      <c r="EV139" s="139">
        <f t="shared" si="137"/>
        <v>0</v>
      </c>
      <c r="EW139" s="139">
        <f t="shared" si="138"/>
        <v>0</v>
      </c>
      <c r="EX139" s="139">
        <f t="shared" si="139"/>
        <v>0</v>
      </c>
      <c r="EY139" s="139">
        <f t="shared" si="140"/>
        <v>0</v>
      </c>
      <c r="EZ139" s="139">
        <f t="shared" si="141"/>
        <v>0</v>
      </c>
      <c r="FA139" s="139">
        <f t="shared" si="142"/>
        <v>0</v>
      </c>
      <c r="FB139" s="139">
        <f t="shared" si="143"/>
        <v>0</v>
      </c>
      <c r="FC139" s="139">
        <f t="shared" si="144"/>
        <v>0</v>
      </c>
      <c r="FD139" s="139">
        <f t="shared" si="145"/>
        <v>0</v>
      </c>
      <c r="FE139" s="139">
        <f t="shared" si="146"/>
        <v>0</v>
      </c>
      <c r="FF139" s="139">
        <f t="shared" si="147"/>
        <v>0</v>
      </c>
      <c r="FG139" s="139">
        <f t="shared" si="148"/>
        <v>0</v>
      </c>
      <c r="FH139" s="139">
        <f t="shared" si="149"/>
        <v>0</v>
      </c>
      <c r="FI139" s="139">
        <f t="shared" si="150"/>
        <v>0</v>
      </c>
      <c r="FJ139" s="139">
        <f t="shared" si="151"/>
        <v>0</v>
      </c>
      <c r="FK139" s="139">
        <f t="shared" si="152"/>
        <v>0</v>
      </c>
      <c r="FL139" s="139">
        <f t="shared" si="153"/>
        <v>0</v>
      </c>
      <c r="FM139" s="139">
        <f t="shared" si="154"/>
        <v>0</v>
      </c>
      <c r="FN139" s="139">
        <f t="shared" si="155"/>
        <v>0</v>
      </c>
      <c r="FO139" s="139">
        <f t="shared" si="156"/>
        <v>0</v>
      </c>
      <c r="FP139" s="139">
        <f t="shared" si="157"/>
        <v>0</v>
      </c>
      <c r="FQ139" s="139">
        <f t="shared" si="158"/>
        <v>0</v>
      </c>
      <c r="FR139" s="139">
        <f t="shared" si="159"/>
        <v>0</v>
      </c>
      <c r="FS139" s="139">
        <f t="shared" si="160"/>
        <v>0</v>
      </c>
      <c r="FT139" s="139">
        <f t="shared" si="161"/>
        <v>0</v>
      </c>
      <c r="FU139" s="148">
        <f t="shared" si="162"/>
        <v>0</v>
      </c>
      <c r="FV139" s="149"/>
      <c r="FY139" s="210">
        <v>134</v>
      </c>
      <c r="FZ139">
        <v>69.145318323647174</v>
      </c>
      <c r="GA139">
        <v>78.794627554792967</v>
      </c>
      <c r="GB139">
        <v>3.184862227680398</v>
      </c>
      <c r="GC139">
        <v>1.0711415011679974</v>
      </c>
      <c r="GD139">
        <v>0.52177754756739758</v>
      </c>
      <c r="GE139">
        <v>1.0986318695559592</v>
      </c>
      <c r="GF139">
        <v>8.0543881667244861</v>
      </c>
      <c r="GG139">
        <v>10.327985890430716</v>
      </c>
      <c r="GH139">
        <v>8.6415684572698126</v>
      </c>
      <c r="GI139">
        <v>14.124198764845541</v>
      </c>
      <c r="GJ139"/>
      <c r="GK139"/>
      <c r="GL139"/>
      <c r="GM139"/>
    </row>
    <row r="140" spans="1:195" s="7" customFormat="1">
      <c r="A140" s="1"/>
      <c r="B140" s="76">
        <f ca="1">IF(C140="", "", RAND())</f>
        <v>0.28311337002290227</v>
      </c>
      <c r="C140">
        <v>3</v>
      </c>
      <c r="D140">
        <v>39799</v>
      </c>
      <c r="E140">
        <v>0</v>
      </c>
      <c r="F140">
        <v>0</v>
      </c>
      <c r="G140">
        <v>83.333333333333329</v>
      </c>
      <c r="H140">
        <v>166.66666666666666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 s="2"/>
      <c r="AK140" s="80"/>
      <c r="AL140" s="74"/>
      <c r="AM140" s="43">
        <v>124</v>
      </c>
      <c r="AN140">
        <v>149.93901350662605</v>
      </c>
      <c r="AO140">
        <v>18.312474782695286</v>
      </c>
      <c r="AP140">
        <v>198.7706436813996</v>
      </c>
      <c r="AQ140">
        <v>169.61428823806131</v>
      </c>
      <c r="AR140">
        <v>17.376433691419429</v>
      </c>
      <c r="AS140">
        <v>257.85892451928174</v>
      </c>
      <c r="AT140">
        <v>11.852750689419013</v>
      </c>
      <c r="AU140">
        <v>14.407841232141005</v>
      </c>
      <c r="AV140"/>
      <c r="AW140"/>
      <c r="AX140" s="146"/>
      <c r="AY140" s="76">
        <f t="shared" ca="1" si="86"/>
        <v>0.9380830378062921</v>
      </c>
      <c r="AZ140">
        <v>3</v>
      </c>
      <c r="BA140" s="129">
        <f t="shared" si="166"/>
        <v>39799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 s="147"/>
      <c r="CH140" s="176"/>
      <c r="CJ140" s="146"/>
      <c r="CK140" s="76">
        <f t="shared" ca="1" si="88"/>
        <v>0.65781194460021108</v>
      </c>
      <c r="CL140" s="179">
        <f t="shared" si="89"/>
        <v>3</v>
      </c>
      <c r="CM140" s="180">
        <f t="shared" si="90"/>
        <v>39799</v>
      </c>
      <c r="CN140">
        <v>0</v>
      </c>
      <c r="CO140">
        <v>0</v>
      </c>
      <c r="CP140">
        <v>1</v>
      </c>
      <c r="CQ140">
        <v>2</v>
      </c>
      <c r="CR140">
        <v>0</v>
      </c>
      <c r="CS140">
        <v>0</v>
      </c>
      <c r="CT140">
        <v>0</v>
      </c>
      <c r="CU140">
        <v>0</v>
      </c>
      <c r="CV140" s="160"/>
      <c r="CW140" s="178">
        <f>30/13</f>
        <v>2.3076923076923075</v>
      </c>
      <c r="CX140">
        <f>8</f>
        <v>8</v>
      </c>
      <c r="CY140" s="160"/>
      <c r="CZ140" s="177">
        <f t="shared" si="91"/>
        <v>9.6000000000000002E-2</v>
      </c>
      <c r="DB140" s="146"/>
      <c r="DC140" s="76">
        <f t="shared" ca="1" si="49"/>
        <v>0.52212197413675088</v>
      </c>
      <c r="DD140">
        <f t="shared" si="92"/>
        <v>3</v>
      </c>
      <c r="DE140" s="129">
        <f t="shared" si="165"/>
        <v>39799</v>
      </c>
      <c r="DF140" s="161">
        <f t="shared" si="93"/>
        <v>0</v>
      </c>
      <c r="DG140" s="161">
        <f t="shared" si="94"/>
        <v>0</v>
      </c>
      <c r="DH140" s="161">
        <f t="shared" si="95"/>
        <v>83.333333333333329</v>
      </c>
      <c r="DI140" s="161">
        <f t="shared" si="96"/>
        <v>166.66666666666666</v>
      </c>
      <c r="DJ140" s="161">
        <f t="shared" si="97"/>
        <v>0</v>
      </c>
      <c r="DK140" s="161">
        <f t="shared" si="98"/>
        <v>0</v>
      </c>
      <c r="DL140" s="161">
        <f t="shared" si="99"/>
        <v>0</v>
      </c>
      <c r="DM140" s="161">
        <f t="shared" si="100"/>
        <v>0</v>
      </c>
      <c r="DN140" s="161">
        <f t="shared" si="101"/>
        <v>0</v>
      </c>
      <c r="DO140" s="161">
        <f t="shared" si="102"/>
        <v>0</v>
      </c>
      <c r="DP140" s="161">
        <f t="shared" si="103"/>
        <v>0</v>
      </c>
      <c r="DQ140" s="161">
        <f t="shared" si="104"/>
        <v>0</v>
      </c>
      <c r="DR140" s="161">
        <f t="shared" si="105"/>
        <v>0</v>
      </c>
      <c r="DS140" s="161">
        <f t="shared" si="106"/>
        <v>0</v>
      </c>
      <c r="DT140" s="161">
        <f t="shared" si="107"/>
        <v>0</v>
      </c>
      <c r="DU140" s="161">
        <f t="shared" si="108"/>
        <v>0</v>
      </c>
      <c r="DV140" s="161">
        <f t="shared" si="109"/>
        <v>0</v>
      </c>
      <c r="DW140" s="161">
        <f t="shared" si="110"/>
        <v>0</v>
      </c>
      <c r="DX140" s="161">
        <f t="shared" si="111"/>
        <v>0</v>
      </c>
      <c r="DY140" s="161">
        <f t="shared" si="112"/>
        <v>0</v>
      </c>
      <c r="DZ140" s="161">
        <f t="shared" si="113"/>
        <v>0</v>
      </c>
      <c r="EA140" s="161">
        <f t="shared" si="114"/>
        <v>0</v>
      </c>
      <c r="EB140" s="161">
        <f t="shared" si="115"/>
        <v>0</v>
      </c>
      <c r="EC140" s="161">
        <f t="shared" si="116"/>
        <v>0</v>
      </c>
      <c r="ED140" s="161">
        <f t="shared" si="117"/>
        <v>0</v>
      </c>
      <c r="EE140" s="161">
        <f t="shared" si="118"/>
        <v>0</v>
      </c>
      <c r="EF140" s="161">
        <f t="shared" si="119"/>
        <v>0</v>
      </c>
      <c r="EG140" s="161">
        <f t="shared" si="120"/>
        <v>0</v>
      </c>
      <c r="EH140" s="161">
        <f t="shared" si="121"/>
        <v>0</v>
      </c>
      <c r="EI140" s="161">
        <f t="shared" si="122"/>
        <v>0</v>
      </c>
      <c r="EJ140" s="161">
        <f t="shared" si="123"/>
        <v>0</v>
      </c>
      <c r="EK140" s="147">
        <f t="shared" si="130"/>
        <v>250</v>
      </c>
      <c r="EL140" s="149"/>
      <c r="EN140" s="146"/>
      <c r="EO140" s="146"/>
      <c r="EP140" s="139">
        <f t="shared" si="131"/>
        <v>0</v>
      </c>
      <c r="EQ140" s="139">
        <f t="shared" si="132"/>
        <v>0</v>
      </c>
      <c r="ER140" s="139">
        <f t="shared" si="133"/>
        <v>2.1484713826086979</v>
      </c>
      <c r="ES140" s="139">
        <f t="shared" si="134"/>
        <v>13.410585307816307</v>
      </c>
      <c r="ET140" s="139">
        <f t="shared" si="135"/>
        <v>0</v>
      </c>
      <c r="EU140" s="139">
        <f t="shared" si="136"/>
        <v>0</v>
      </c>
      <c r="EV140" s="139">
        <f t="shared" si="137"/>
        <v>0</v>
      </c>
      <c r="EW140" s="139">
        <f t="shared" si="138"/>
        <v>0</v>
      </c>
      <c r="EX140" s="139">
        <f t="shared" si="139"/>
        <v>0</v>
      </c>
      <c r="EY140" s="139">
        <f t="shared" si="140"/>
        <v>0</v>
      </c>
      <c r="EZ140" s="139">
        <f t="shared" si="141"/>
        <v>0</v>
      </c>
      <c r="FA140" s="139">
        <f t="shared" si="142"/>
        <v>0</v>
      </c>
      <c r="FB140" s="139">
        <f t="shared" si="143"/>
        <v>0</v>
      </c>
      <c r="FC140" s="139">
        <f t="shared" si="144"/>
        <v>0</v>
      </c>
      <c r="FD140" s="139">
        <f t="shared" si="145"/>
        <v>0</v>
      </c>
      <c r="FE140" s="139">
        <f t="shared" si="146"/>
        <v>0</v>
      </c>
      <c r="FF140" s="139">
        <f t="shared" si="147"/>
        <v>0</v>
      </c>
      <c r="FG140" s="139">
        <f t="shared" si="148"/>
        <v>0</v>
      </c>
      <c r="FH140" s="139">
        <f t="shared" si="149"/>
        <v>0</v>
      </c>
      <c r="FI140" s="139">
        <f t="shared" si="150"/>
        <v>0</v>
      </c>
      <c r="FJ140" s="139">
        <f t="shared" si="151"/>
        <v>0</v>
      </c>
      <c r="FK140" s="139">
        <f t="shared" si="152"/>
        <v>0</v>
      </c>
      <c r="FL140" s="139">
        <f t="shared" si="153"/>
        <v>0</v>
      </c>
      <c r="FM140" s="139">
        <f t="shared" si="154"/>
        <v>0</v>
      </c>
      <c r="FN140" s="139">
        <f t="shared" si="155"/>
        <v>0</v>
      </c>
      <c r="FO140" s="139">
        <f t="shared" si="156"/>
        <v>0</v>
      </c>
      <c r="FP140" s="139">
        <f t="shared" si="157"/>
        <v>0</v>
      </c>
      <c r="FQ140" s="139">
        <f t="shared" si="158"/>
        <v>0</v>
      </c>
      <c r="FR140" s="139">
        <f t="shared" si="159"/>
        <v>0</v>
      </c>
      <c r="FS140" s="139">
        <f t="shared" si="160"/>
        <v>0</v>
      </c>
      <c r="FT140" s="139">
        <f t="shared" si="161"/>
        <v>0</v>
      </c>
      <c r="FU140" s="148">
        <f t="shared" si="162"/>
        <v>15.559056690425004</v>
      </c>
      <c r="FV140" s="149"/>
      <c r="FY140" s="210">
        <v>135</v>
      </c>
      <c r="FZ140">
        <v>26.602691596734577</v>
      </c>
      <c r="GA140">
        <v>28.463535130179814</v>
      </c>
      <c r="GB140">
        <v>2.751379683597837</v>
      </c>
      <c r="GC140">
        <v>1.0816721925522035</v>
      </c>
      <c r="GD140">
        <v>1.6122173455621027</v>
      </c>
      <c r="GE140">
        <v>2.9129905342015441</v>
      </c>
      <c r="GF140">
        <v>0.43313157419699783</v>
      </c>
      <c r="GG140">
        <v>2.2606105209551082</v>
      </c>
      <c r="GH140">
        <v>6.2038195437045047</v>
      </c>
      <c r="GI140">
        <v>6.6179139738984194</v>
      </c>
      <c r="GJ140"/>
      <c r="GK140"/>
      <c r="GL140"/>
      <c r="GM140"/>
    </row>
    <row r="141" spans="1:195" s="7" customFormat="1">
      <c r="A141" s="1"/>
      <c r="B141" s="76">
        <f ca="1">IF(C141="", "", RAND())</f>
        <v>0.91100812931867647</v>
      </c>
      <c r="C141">
        <v>6</v>
      </c>
      <c r="D141">
        <v>39799</v>
      </c>
      <c r="E141">
        <v>0</v>
      </c>
      <c r="F141">
        <v>0</v>
      </c>
      <c r="G141">
        <v>0</v>
      </c>
      <c r="H141">
        <v>0</v>
      </c>
      <c r="I141">
        <v>31.25</v>
      </c>
      <c r="J141">
        <v>10.416666666666666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 s="2"/>
      <c r="AK141" s="80"/>
      <c r="AL141" s="74"/>
      <c r="AM141" s="43">
        <v>125</v>
      </c>
      <c r="AN141">
        <v>89.521309295344082</v>
      </c>
      <c r="AO141">
        <v>7.8449253194375812</v>
      </c>
      <c r="AP141">
        <v>76.041035853518395</v>
      </c>
      <c r="AQ141">
        <v>63.674450560226617</v>
      </c>
      <c r="AR141">
        <v>7.6841554297018924</v>
      </c>
      <c r="AS141">
        <v>123.275164081705</v>
      </c>
      <c r="AT141">
        <v>4.665944440414818</v>
      </c>
      <c r="AU141">
        <v>6.4248462268007422</v>
      </c>
      <c r="AV141"/>
      <c r="AW141"/>
      <c r="AX141" s="146"/>
      <c r="AY141" s="76">
        <f t="shared" ca="1" si="86"/>
        <v>0.48134174990907952</v>
      </c>
      <c r="AZ141">
        <v>4</v>
      </c>
      <c r="BA141" s="129">
        <f t="shared" si="166"/>
        <v>39799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 s="147"/>
      <c r="CH141" s="176"/>
      <c r="CJ141" s="146"/>
      <c r="CK141" s="76">
        <f t="shared" ca="1" si="88"/>
        <v>0.10786384917798286</v>
      </c>
      <c r="CL141" s="179">
        <f t="shared" si="89"/>
        <v>4</v>
      </c>
      <c r="CM141" s="180">
        <f t="shared" si="90"/>
        <v>39799</v>
      </c>
      <c r="CN141">
        <v>0</v>
      </c>
      <c r="CO141">
        <v>1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 s="160"/>
      <c r="CW141">
        <f>40/11</f>
        <v>3.6363636363636362</v>
      </c>
      <c r="CX141">
        <f>10500/374</f>
        <v>28.074866310160427</v>
      </c>
      <c r="CY141" s="160"/>
      <c r="CZ141" s="177">
        <f t="shared" si="91"/>
        <v>9.6000000000000002E-2</v>
      </c>
      <c r="DB141" s="146"/>
      <c r="DC141" s="76">
        <f t="shared" ca="1" si="49"/>
        <v>0.56668003245376797</v>
      </c>
      <c r="DD141">
        <f t="shared" si="92"/>
        <v>4</v>
      </c>
      <c r="DE141" s="129">
        <f t="shared" si="165"/>
        <v>39799</v>
      </c>
      <c r="DF141" s="161">
        <f t="shared" si="93"/>
        <v>0</v>
      </c>
      <c r="DG141" s="161">
        <f t="shared" si="94"/>
        <v>292.44652406417111</v>
      </c>
      <c r="DH141" s="161">
        <f t="shared" si="95"/>
        <v>0</v>
      </c>
      <c r="DI141" s="161">
        <f t="shared" si="96"/>
        <v>0</v>
      </c>
      <c r="DJ141" s="161">
        <f t="shared" si="97"/>
        <v>0</v>
      </c>
      <c r="DK141" s="161">
        <f t="shared" si="98"/>
        <v>0</v>
      </c>
      <c r="DL141" s="161">
        <f t="shared" si="99"/>
        <v>0</v>
      </c>
      <c r="DM141" s="161">
        <f t="shared" si="100"/>
        <v>0</v>
      </c>
      <c r="DN141" s="161">
        <f t="shared" si="101"/>
        <v>0</v>
      </c>
      <c r="DO141" s="161">
        <f t="shared" si="102"/>
        <v>0</v>
      </c>
      <c r="DP141" s="161">
        <f t="shared" si="103"/>
        <v>0</v>
      </c>
      <c r="DQ141" s="161">
        <f t="shared" si="104"/>
        <v>0</v>
      </c>
      <c r="DR141" s="161">
        <f t="shared" si="105"/>
        <v>0</v>
      </c>
      <c r="DS141" s="161">
        <f t="shared" si="106"/>
        <v>0</v>
      </c>
      <c r="DT141" s="161">
        <f t="shared" si="107"/>
        <v>0</v>
      </c>
      <c r="DU141" s="161">
        <f t="shared" si="108"/>
        <v>0</v>
      </c>
      <c r="DV141" s="161">
        <f t="shared" si="109"/>
        <v>0</v>
      </c>
      <c r="DW141" s="161">
        <f t="shared" si="110"/>
        <v>0</v>
      </c>
      <c r="DX141" s="161">
        <f t="shared" si="111"/>
        <v>0</v>
      </c>
      <c r="DY141" s="161">
        <f t="shared" si="112"/>
        <v>0</v>
      </c>
      <c r="DZ141" s="161">
        <f t="shared" si="113"/>
        <v>0</v>
      </c>
      <c r="EA141" s="161">
        <f t="shared" si="114"/>
        <v>0</v>
      </c>
      <c r="EB141" s="161">
        <f t="shared" si="115"/>
        <v>0</v>
      </c>
      <c r="EC141" s="161">
        <f t="shared" si="116"/>
        <v>0</v>
      </c>
      <c r="ED141" s="161">
        <f t="shared" si="117"/>
        <v>0</v>
      </c>
      <c r="EE141" s="161">
        <f t="shared" si="118"/>
        <v>0</v>
      </c>
      <c r="EF141" s="161">
        <f t="shared" si="119"/>
        <v>0</v>
      </c>
      <c r="EG141" s="161">
        <f t="shared" si="120"/>
        <v>0</v>
      </c>
      <c r="EH141" s="161">
        <f t="shared" si="121"/>
        <v>0</v>
      </c>
      <c r="EI141" s="161">
        <f t="shared" si="122"/>
        <v>0</v>
      </c>
      <c r="EJ141" s="161">
        <f t="shared" si="123"/>
        <v>0</v>
      </c>
      <c r="EK141" s="147">
        <f t="shared" si="130"/>
        <v>292.44652406417111</v>
      </c>
      <c r="EL141" s="149"/>
      <c r="EN141" s="146"/>
      <c r="EO141" s="146"/>
      <c r="EP141" s="139">
        <f t="shared" si="131"/>
        <v>0</v>
      </c>
      <c r="EQ141" s="139">
        <f t="shared" si="132"/>
        <v>1.0773729946524064</v>
      </c>
      <c r="ER141" s="139">
        <f t="shared" si="133"/>
        <v>0</v>
      </c>
      <c r="ES141" s="139">
        <f t="shared" si="134"/>
        <v>0</v>
      </c>
      <c r="ET141" s="139">
        <f t="shared" si="135"/>
        <v>0</v>
      </c>
      <c r="EU141" s="139">
        <f t="shared" si="136"/>
        <v>0</v>
      </c>
      <c r="EV141" s="139">
        <f t="shared" si="137"/>
        <v>0</v>
      </c>
      <c r="EW141" s="139">
        <f t="shared" si="138"/>
        <v>0</v>
      </c>
      <c r="EX141" s="139">
        <f t="shared" si="139"/>
        <v>0</v>
      </c>
      <c r="EY141" s="139">
        <f t="shared" si="140"/>
        <v>0</v>
      </c>
      <c r="EZ141" s="139">
        <f t="shared" si="141"/>
        <v>0</v>
      </c>
      <c r="FA141" s="139">
        <f t="shared" si="142"/>
        <v>0</v>
      </c>
      <c r="FB141" s="139">
        <f t="shared" si="143"/>
        <v>0</v>
      </c>
      <c r="FC141" s="139">
        <f t="shared" si="144"/>
        <v>0</v>
      </c>
      <c r="FD141" s="139">
        <f t="shared" si="145"/>
        <v>0</v>
      </c>
      <c r="FE141" s="139">
        <f t="shared" si="146"/>
        <v>0</v>
      </c>
      <c r="FF141" s="139">
        <f t="shared" si="147"/>
        <v>0</v>
      </c>
      <c r="FG141" s="139">
        <f t="shared" si="148"/>
        <v>0</v>
      </c>
      <c r="FH141" s="139">
        <f t="shared" si="149"/>
        <v>0</v>
      </c>
      <c r="FI141" s="139">
        <f t="shared" si="150"/>
        <v>0</v>
      </c>
      <c r="FJ141" s="139">
        <f t="shared" si="151"/>
        <v>0</v>
      </c>
      <c r="FK141" s="139">
        <f t="shared" si="152"/>
        <v>0</v>
      </c>
      <c r="FL141" s="139">
        <f t="shared" si="153"/>
        <v>0</v>
      </c>
      <c r="FM141" s="139">
        <f t="shared" si="154"/>
        <v>0</v>
      </c>
      <c r="FN141" s="139">
        <f t="shared" si="155"/>
        <v>0</v>
      </c>
      <c r="FO141" s="139">
        <f t="shared" si="156"/>
        <v>0</v>
      </c>
      <c r="FP141" s="139">
        <f t="shared" si="157"/>
        <v>0</v>
      </c>
      <c r="FQ141" s="139">
        <f t="shared" si="158"/>
        <v>0</v>
      </c>
      <c r="FR141" s="139">
        <f t="shared" si="159"/>
        <v>0</v>
      </c>
      <c r="FS141" s="139">
        <f t="shared" si="160"/>
        <v>0</v>
      </c>
      <c r="FT141" s="139">
        <f t="shared" si="161"/>
        <v>0</v>
      </c>
      <c r="FU141" s="148">
        <f t="shared" si="162"/>
        <v>1.0773729946524064</v>
      </c>
      <c r="FV141" s="149"/>
      <c r="FY141" s="210">
        <v>136</v>
      </c>
      <c r="FZ141">
        <v>33.815305737107941</v>
      </c>
      <c r="GA141">
        <v>42.812234302732101</v>
      </c>
      <c r="GB141">
        <v>4.1575581666487711</v>
      </c>
      <c r="GC141">
        <v>1.3950724910404733</v>
      </c>
      <c r="GD141">
        <v>1.3674794446009075</v>
      </c>
      <c r="GE141">
        <v>2.1193651644363967</v>
      </c>
      <c r="GF141">
        <v>10.530531066087478</v>
      </c>
      <c r="GG141">
        <v>16.736191006524471</v>
      </c>
      <c r="GH141">
        <v>12.918771710544895</v>
      </c>
      <c r="GI141">
        <v>10.767749522711549</v>
      </c>
      <c r="GJ141"/>
      <c r="GK141"/>
      <c r="GL141"/>
      <c r="GM141"/>
    </row>
    <row r="142" spans="1:195" s="7" customFormat="1">
      <c r="A142" s="1"/>
      <c r="B142" s="76">
        <f ca="1">IF(C142="", "", RAND())</f>
        <v>6.7748936745434474E-2</v>
      </c>
      <c r="C142">
        <v>8</v>
      </c>
      <c r="D142">
        <v>39799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 s="2"/>
      <c r="AK142" s="80"/>
      <c r="AL142" s="74"/>
      <c r="AM142" s="43">
        <v>126</v>
      </c>
      <c r="AN142">
        <v>88.411047380869519</v>
      </c>
      <c r="AO142">
        <v>12.618821547777944</v>
      </c>
      <c r="AP142">
        <v>137.1382829672234</v>
      </c>
      <c r="AQ142">
        <v>119.8850028959873</v>
      </c>
      <c r="AR142">
        <v>11.856055045635141</v>
      </c>
      <c r="AS142">
        <v>185.41258249140839</v>
      </c>
      <c r="AT142">
        <v>7.4150973911923721</v>
      </c>
      <c r="AU142">
        <v>77.69285414475786</v>
      </c>
      <c r="AV142"/>
      <c r="AW142"/>
      <c r="AX142" s="146"/>
      <c r="AY142" s="76">
        <f t="shared" ca="1" si="86"/>
        <v>0.83308657212191606</v>
      </c>
      <c r="AZ142">
        <v>5</v>
      </c>
      <c r="BA142" s="129">
        <f t="shared" si="166"/>
        <v>39799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 s="147"/>
      <c r="CH142" s="176"/>
      <c r="CJ142" s="146"/>
      <c r="CK142" s="76">
        <f t="shared" ca="1" si="88"/>
        <v>0.21893649420678951</v>
      </c>
      <c r="CL142" s="179">
        <f t="shared" si="89"/>
        <v>5</v>
      </c>
      <c r="CM142" s="180">
        <f t="shared" si="90"/>
        <v>39799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 s="160"/>
      <c r="CW142">
        <v>1</v>
      </c>
      <c r="CX142">
        <f>350/52</f>
        <v>6.7307692307692308</v>
      </c>
      <c r="CY142" s="160"/>
      <c r="CZ142" s="177">
        <f t="shared" si="91"/>
        <v>9.6000000000000002E-2</v>
      </c>
      <c r="DB142" s="146"/>
      <c r="DC142" s="76">
        <f t="shared" ca="1" si="49"/>
        <v>0.49959696432842127</v>
      </c>
      <c r="DD142">
        <f t="shared" si="92"/>
        <v>5</v>
      </c>
      <c r="DE142" s="129">
        <f t="shared" si="165"/>
        <v>39799</v>
      </c>
      <c r="DF142" s="161">
        <f t="shared" si="93"/>
        <v>0</v>
      </c>
      <c r="DG142" s="161">
        <f t="shared" si="94"/>
        <v>0</v>
      </c>
      <c r="DH142" s="161">
        <f t="shared" si="95"/>
        <v>0</v>
      </c>
      <c r="DI142" s="161">
        <f t="shared" si="96"/>
        <v>0</v>
      </c>
      <c r="DJ142" s="161">
        <f t="shared" si="97"/>
        <v>0</v>
      </c>
      <c r="DK142" s="161">
        <f t="shared" si="98"/>
        <v>0</v>
      </c>
      <c r="DL142" s="161">
        <f t="shared" si="99"/>
        <v>0</v>
      </c>
      <c r="DM142" s="161">
        <f t="shared" si="100"/>
        <v>0</v>
      </c>
      <c r="DN142" s="161">
        <f t="shared" si="101"/>
        <v>0</v>
      </c>
      <c r="DO142" s="161">
        <f t="shared" si="102"/>
        <v>0</v>
      </c>
      <c r="DP142" s="161">
        <f t="shared" si="103"/>
        <v>0</v>
      </c>
      <c r="DQ142" s="161">
        <f t="shared" si="104"/>
        <v>0</v>
      </c>
      <c r="DR142" s="161">
        <f t="shared" si="105"/>
        <v>0</v>
      </c>
      <c r="DS142" s="161">
        <f t="shared" si="106"/>
        <v>0</v>
      </c>
      <c r="DT142" s="161">
        <f t="shared" si="107"/>
        <v>0</v>
      </c>
      <c r="DU142" s="161">
        <f t="shared" si="108"/>
        <v>0</v>
      </c>
      <c r="DV142" s="161">
        <f t="shared" si="109"/>
        <v>0</v>
      </c>
      <c r="DW142" s="161">
        <f t="shared" si="110"/>
        <v>0</v>
      </c>
      <c r="DX142" s="161">
        <f t="shared" si="111"/>
        <v>0</v>
      </c>
      <c r="DY142" s="161">
        <f t="shared" si="112"/>
        <v>0</v>
      </c>
      <c r="DZ142" s="161">
        <f t="shared" si="113"/>
        <v>0</v>
      </c>
      <c r="EA142" s="161">
        <f t="shared" si="114"/>
        <v>0</v>
      </c>
      <c r="EB142" s="161">
        <f t="shared" si="115"/>
        <v>0</v>
      </c>
      <c r="EC142" s="161">
        <f t="shared" si="116"/>
        <v>0</v>
      </c>
      <c r="ED142" s="161">
        <f t="shared" si="117"/>
        <v>0</v>
      </c>
      <c r="EE142" s="161">
        <f t="shared" si="118"/>
        <v>0</v>
      </c>
      <c r="EF142" s="161">
        <f t="shared" si="119"/>
        <v>0</v>
      </c>
      <c r="EG142" s="161">
        <f t="shared" si="120"/>
        <v>0</v>
      </c>
      <c r="EH142" s="161">
        <f t="shared" si="121"/>
        <v>0</v>
      </c>
      <c r="EI142" s="161">
        <f t="shared" si="122"/>
        <v>0</v>
      </c>
      <c r="EJ142" s="161">
        <f t="shared" si="123"/>
        <v>0</v>
      </c>
      <c r="EK142" s="147">
        <f t="shared" si="130"/>
        <v>0</v>
      </c>
      <c r="EL142" s="149"/>
      <c r="EN142" s="146"/>
      <c r="EO142" s="146"/>
      <c r="EP142" s="139">
        <f t="shared" si="131"/>
        <v>0</v>
      </c>
      <c r="EQ142" s="139">
        <f t="shared" si="132"/>
        <v>0</v>
      </c>
      <c r="ER142" s="139">
        <f t="shared" si="133"/>
        <v>0</v>
      </c>
      <c r="ES142" s="139">
        <f t="shared" si="134"/>
        <v>0</v>
      </c>
      <c r="ET142" s="139">
        <f t="shared" si="135"/>
        <v>0</v>
      </c>
      <c r="EU142" s="139">
        <f t="shared" si="136"/>
        <v>0</v>
      </c>
      <c r="EV142" s="139">
        <f t="shared" si="137"/>
        <v>0</v>
      </c>
      <c r="EW142" s="139">
        <f t="shared" si="138"/>
        <v>0</v>
      </c>
      <c r="EX142" s="139">
        <f t="shared" si="139"/>
        <v>0</v>
      </c>
      <c r="EY142" s="139">
        <f t="shared" si="140"/>
        <v>0</v>
      </c>
      <c r="EZ142" s="139">
        <f t="shared" si="141"/>
        <v>0</v>
      </c>
      <c r="FA142" s="139">
        <f t="shared" si="142"/>
        <v>0</v>
      </c>
      <c r="FB142" s="139">
        <f t="shared" si="143"/>
        <v>0</v>
      </c>
      <c r="FC142" s="139">
        <f t="shared" si="144"/>
        <v>0</v>
      </c>
      <c r="FD142" s="139">
        <f t="shared" si="145"/>
        <v>0</v>
      </c>
      <c r="FE142" s="139">
        <f t="shared" si="146"/>
        <v>0</v>
      </c>
      <c r="FF142" s="139">
        <f t="shared" si="147"/>
        <v>0</v>
      </c>
      <c r="FG142" s="139">
        <f t="shared" si="148"/>
        <v>0</v>
      </c>
      <c r="FH142" s="139">
        <f t="shared" si="149"/>
        <v>0</v>
      </c>
      <c r="FI142" s="139">
        <f t="shared" si="150"/>
        <v>0</v>
      </c>
      <c r="FJ142" s="139">
        <f t="shared" si="151"/>
        <v>0</v>
      </c>
      <c r="FK142" s="139">
        <f t="shared" si="152"/>
        <v>0</v>
      </c>
      <c r="FL142" s="139">
        <f t="shared" si="153"/>
        <v>0</v>
      </c>
      <c r="FM142" s="139">
        <f t="shared" si="154"/>
        <v>0</v>
      </c>
      <c r="FN142" s="139">
        <f t="shared" si="155"/>
        <v>0</v>
      </c>
      <c r="FO142" s="139">
        <f t="shared" si="156"/>
        <v>0</v>
      </c>
      <c r="FP142" s="139">
        <f t="shared" si="157"/>
        <v>0</v>
      </c>
      <c r="FQ142" s="139">
        <f t="shared" si="158"/>
        <v>0</v>
      </c>
      <c r="FR142" s="139">
        <f t="shared" si="159"/>
        <v>0</v>
      </c>
      <c r="FS142" s="139">
        <f t="shared" si="160"/>
        <v>0</v>
      </c>
      <c r="FT142" s="139">
        <f t="shared" si="161"/>
        <v>0</v>
      </c>
      <c r="FU142" s="148">
        <f t="shared" si="162"/>
        <v>0</v>
      </c>
      <c r="FV142" s="149"/>
      <c r="FY142" s="210">
        <v>137</v>
      </c>
      <c r="FZ142">
        <v>42.797453111244309</v>
      </c>
      <c r="GA142">
        <v>51.211831691828479</v>
      </c>
      <c r="GB142">
        <v>0.9596449067539542</v>
      </c>
      <c r="GC142">
        <v>0.31563289050943771</v>
      </c>
      <c r="GD142">
        <v>0.90379859424389331</v>
      </c>
      <c r="GE142">
        <v>2.2999106419404476</v>
      </c>
      <c r="GF142">
        <v>5.6890287501892409</v>
      </c>
      <c r="GG142">
        <v>5.7688989960904706</v>
      </c>
      <c r="GH142">
        <v>6.5250411659388963</v>
      </c>
      <c r="GI142">
        <v>9.1560546137503263</v>
      </c>
      <c r="GJ142"/>
      <c r="GK142"/>
      <c r="GL142"/>
      <c r="GM142"/>
    </row>
    <row r="143" spans="1:195" s="7" customFormat="1">
      <c r="A143" s="1"/>
      <c r="B143" s="76">
        <f ca="1">IF(C143="", "", RAND())</f>
        <v>9.2139031679655758E-2</v>
      </c>
      <c r="C143">
        <v>2</v>
      </c>
      <c r="D143">
        <v>39799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 s="2"/>
      <c r="AK143" s="80"/>
      <c r="AL143" s="74"/>
      <c r="AM143" s="43">
        <v>127</v>
      </c>
      <c r="AN143">
        <v>189.75726487871952</v>
      </c>
      <c r="AO143">
        <v>16.506612474698144</v>
      </c>
      <c r="AP143">
        <v>171.16098381846993</v>
      </c>
      <c r="AQ143">
        <v>144.275488658189</v>
      </c>
      <c r="AR143">
        <v>15.723212473836416</v>
      </c>
      <c r="AS143">
        <v>233.07871850243703</v>
      </c>
      <c r="AT143">
        <v>9.2892917280029632</v>
      </c>
      <c r="AU143">
        <v>49.2492767314126</v>
      </c>
      <c r="AV143"/>
      <c r="AW143"/>
      <c r="AX143" s="146"/>
      <c r="AY143" s="76">
        <f t="shared" ca="1" si="86"/>
        <v>0.75164989018527462</v>
      </c>
      <c r="AZ143">
        <v>6</v>
      </c>
      <c r="BA143" s="129">
        <f t="shared" si="166"/>
        <v>39799</v>
      </c>
      <c r="BB143">
        <v>0</v>
      </c>
      <c r="BC143">
        <v>0</v>
      </c>
      <c r="BD143">
        <v>0</v>
      </c>
      <c r="BE143">
        <v>0</v>
      </c>
      <c r="BF143">
        <v>3</v>
      </c>
      <c r="BG143">
        <v>1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 s="147"/>
      <c r="CH143" s="176"/>
      <c r="CJ143" s="146"/>
      <c r="CK143" s="76">
        <f t="shared" ca="1" si="88"/>
        <v>0.9115608990552837</v>
      </c>
      <c r="CL143" s="179">
        <f t="shared" si="89"/>
        <v>6</v>
      </c>
      <c r="CM143" s="180">
        <f t="shared" si="90"/>
        <v>39799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 s="160"/>
      <c r="CW143">
        <v>1</v>
      </c>
      <c r="CX143">
        <v>1</v>
      </c>
      <c r="CY143" s="160"/>
      <c r="CZ143" s="177">
        <f t="shared" si="91"/>
        <v>9.6000000000000002E-2</v>
      </c>
      <c r="DB143" s="146"/>
      <c r="DC143" s="76">
        <f t="shared" ca="1" si="49"/>
        <v>0.97010989826054606</v>
      </c>
      <c r="DD143">
        <f t="shared" si="92"/>
        <v>6</v>
      </c>
      <c r="DE143" s="129">
        <f t="shared" si="165"/>
        <v>39799</v>
      </c>
      <c r="DF143" s="161">
        <f t="shared" si="93"/>
        <v>0</v>
      </c>
      <c r="DG143" s="161">
        <f t="shared" si="94"/>
        <v>0</v>
      </c>
      <c r="DH143" s="161">
        <f t="shared" si="95"/>
        <v>0</v>
      </c>
      <c r="DI143" s="161">
        <f t="shared" si="96"/>
        <v>0</v>
      </c>
      <c r="DJ143" s="161">
        <f t="shared" si="97"/>
        <v>31.25</v>
      </c>
      <c r="DK143" s="161">
        <f t="shared" si="98"/>
        <v>10.416666666666666</v>
      </c>
      <c r="DL143" s="161">
        <f t="shared" si="99"/>
        <v>0</v>
      </c>
      <c r="DM143" s="161">
        <f t="shared" si="100"/>
        <v>0</v>
      </c>
      <c r="DN143" s="161">
        <f t="shared" si="101"/>
        <v>0</v>
      </c>
      <c r="DO143" s="161">
        <f t="shared" si="102"/>
        <v>0</v>
      </c>
      <c r="DP143" s="161">
        <f t="shared" si="103"/>
        <v>0</v>
      </c>
      <c r="DQ143" s="161">
        <f t="shared" si="104"/>
        <v>0</v>
      </c>
      <c r="DR143" s="161">
        <f t="shared" si="105"/>
        <v>0</v>
      </c>
      <c r="DS143" s="161">
        <f t="shared" si="106"/>
        <v>0</v>
      </c>
      <c r="DT143" s="161">
        <f t="shared" si="107"/>
        <v>0</v>
      </c>
      <c r="DU143" s="161">
        <f t="shared" si="108"/>
        <v>0</v>
      </c>
      <c r="DV143" s="161">
        <f t="shared" si="109"/>
        <v>0</v>
      </c>
      <c r="DW143" s="161">
        <f t="shared" si="110"/>
        <v>0</v>
      </c>
      <c r="DX143" s="161">
        <f t="shared" si="111"/>
        <v>0</v>
      </c>
      <c r="DY143" s="161">
        <f t="shared" si="112"/>
        <v>0</v>
      </c>
      <c r="DZ143" s="161">
        <f t="shared" si="113"/>
        <v>0</v>
      </c>
      <c r="EA143" s="161">
        <f t="shared" si="114"/>
        <v>0</v>
      </c>
      <c r="EB143" s="161">
        <f t="shared" si="115"/>
        <v>0</v>
      </c>
      <c r="EC143" s="161">
        <f t="shared" si="116"/>
        <v>0</v>
      </c>
      <c r="ED143" s="161">
        <f t="shared" si="117"/>
        <v>0</v>
      </c>
      <c r="EE143" s="161">
        <f t="shared" si="118"/>
        <v>0</v>
      </c>
      <c r="EF143" s="161">
        <f t="shared" si="119"/>
        <v>0</v>
      </c>
      <c r="EG143" s="161">
        <f t="shared" si="120"/>
        <v>0</v>
      </c>
      <c r="EH143" s="161">
        <f t="shared" si="121"/>
        <v>0</v>
      </c>
      <c r="EI143" s="161">
        <f t="shared" si="122"/>
        <v>0</v>
      </c>
      <c r="EJ143" s="161">
        <f t="shared" si="123"/>
        <v>0</v>
      </c>
      <c r="EK143" s="147">
        <f t="shared" si="130"/>
        <v>41.666666666666664</v>
      </c>
      <c r="EL143" s="149"/>
      <c r="EN143" s="146"/>
      <c r="EO143" s="146"/>
      <c r="EP143" s="139">
        <f t="shared" si="131"/>
        <v>0</v>
      </c>
      <c r="EQ143" s="139">
        <f t="shared" si="132"/>
        <v>0</v>
      </c>
      <c r="ER143" s="139">
        <f t="shared" si="133"/>
        <v>0</v>
      </c>
      <c r="ES143" s="139">
        <f t="shared" si="134"/>
        <v>0</v>
      </c>
      <c r="ET143" s="139">
        <f t="shared" si="135"/>
        <v>5.6383501000267069</v>
      </c>
      <c r="EU143" s="139">
        <f t="shared" si="136"/>
        <v>3.5160673928895911</v>
      </c>
      <c r="EV143" s="139">
        <f t="shared" si="137"/>
        <v>0</v>
      </c>
      <c r="EW143" s="139">
        <f t="shared" si="138"/>
        <v>0</v>
      </c>
      <c r="EX143" s="139">
        <f t="shared" si="139"/>
        <v>0</v>
      </c>
      <c r="EY143" s="139">
        <f t="shared" si="140"/>
        <v>0</v>
      </c>
      <c r="EZ143" s="139">
        <f t="shared" si="141"/>
        <v>0</v>
      </c>
      <c r="FA143" s="139">
        <f t="shared" si="142"/>
        <v>0</v>
      </c>
      <c r="FB143" s="139">
        <f t="shared" si="143"/>
        <v>0</v>
      </c>
      <c r="FC143" s="139">
        <f t="shared" si="144"/>
        <v>0</v>
      </c>
      <c r="FD143" s="139">
        <f t="shared" si="145"/>
        <v>0</v>
      </c>
      <c r="FE143" s="139">
        <f t="shared" si="146"/>
        <v>0</v>
      </c>
      <c r="FF143" s="139">
        <f t="shared" si="147"/>
        <v>0</v>
      </c>
      <c r="FG143" s="139">
        <f t="shared" si="148"/>
        <v>0</v>
      </c>
      <c r="FH143" s="139">
        <f t="shared" si="149"/>
        <v>0</v>
      </c>
      <c r="FI143" s="139">
        <f t="shared" si="150"/>
        <v>0</v>
      </c>
      <c r="FJ143" s="139">
        <f t="shared" si="151"/>
        <v>0</v>
      </c>
      <c r="FK143" s="139">
        <f t="shared" si="152"/>
        <v>0</v>
      </c>
      <c r="FL143" s="139">
        <f t="shared" si="153"/>
        <v>0</v>
      </c>
      <c r="FM143" s="139">
        <f t="shared" si="154"/>
        <v>0</v>
      </c>
      <c r="FN143" s="139">
        <f t="shared" si="155"/>
        <v>0</v>
      </c>
      <c r="FO143" s="139">
        <f t="shared" si="156"/>
        <v>0</v>
      </c>
      <c r="FP143" s="139">
        <f t="shared" si="157"/>
        <v>0</v>
      </c>
      <c r="FQ143" s="139">
        <f t="shared" si="158"/>
        <v>0</v>
      </c>
      <c r="FR143" s="139">
        <f t="shared" si="159"/>
        <v>0</v>
      </c>
      <c r="FS143" s="139">
        <f t="shared" si="160"/>
        <v>0</v>
      </c>
      <c r="FT143" s="139">
        <f t="shared" si="161"/>
        <v>0</v>
      </c>
      <c r="FU143" s="148">
        <f t="shared" si="162"/>
        <v>9.1544174929162985</v>
      </c>
      <c r="FV143" s="149"/>
      <c r="FY143" s="210">
        <v>138</v>
      </c>
      <c r="FZ143">
        <v>45.184421663722546</v>
      </c>
      <c r="GA143">
        <v>53.183360542109099</v>
      </c>
      <c r="GB143">
        <v>2.8681978612459096</v>
      </c>
      <c r="GC143">
        <v>1.4589317744686316</v>
      </c>
      <c r="GD143">
        <v>1.1546008011525495</v>
      </c>
      <c r="GE143">
        <v>3.4346154108811651</v>
      </c>
      <c r="GF143">
        <v>12.107583636981824</v>
      </c>
      <c r="GG143">
        <v>12.086711824402387</v>
      </c>
      <c r="GH143">
        <v>6.9335363386947897</v>
      </c>
      <c r="GI143">
        <v>11.343745475985125</v>
      </c>
      <c r="GJ143"/>
      <c r="GK143"/>
      <c r="GL143"/>
      <c r="GM143"/>
    </row>
    <row r="144" spans="1:195" s="7" customFormat="1">
      <c r="A144" s="1"/>
      <c r="B144" s="76">
        <f ca="1">IF(C144="", "", RAND())</f>
        <v>0.78139206866094479</v>
      </c>
      <c r="C144">
        <v>4</v>
      </c>
      <c r="D144">
        <v>39799</v>
      </c>
      <c r="E144">
        <v>0</v>
      </c>
      <c r="F144">
        <v>292.44652406417111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 s="2"/>
      <c r="AK144" s="80"/>
      <c r="AL144" s="74"/>
      <c r="AM144" s="43">
        <v>128</v>
      </c>
      <c r="AN144">
        <v>125.06780939640825</v>
      </c>
      <c r="AO144">
        <v>8.6369285840263466</v>
      </c>
      <c r="AP144">
        <v>79.57609989155651</v>
      </c>
      <c r="AQ144">
        <v>66.798585621038697</v>
      </c>
      <c r="AR144">
        <v>8.2683717711839755</v>
      </c>
      <c r="AS144">
        <v>150.51089613645476</v>
      </c>
      <c r="AT144">
        <v>5.3203742969570103</v>
      </c>
      <c r="AU144">
        <v>3.1365072095689048</v>
      </c>
      <c r="AV144"/>
      <c r="AW144"/>
      <c r="AX144" s="146"/>
      <c r="AY144" s="76">
        <f t="shared" ca="1" si="86"/>
        <v>0.40729125554625689</v>
      </c>
      <c r="AZ144">
        <v>7</v>
      </c>
      <c r="BA144" s="129">
        <f t="shared" si="166"/>
        <v>39799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1</v>
      </c>
      <c r="BI144">
        <v>1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 s="147"/>
      <c r="CH144" s="176"/>
      <c r="CJ144" s="146"/>
      <c r="CK144" s="76">
        <f t="shared" ca="1" si="88"/>
        <v>0.62141340648288246</v>
      </c>
      <c r="CL144" s="179">
        <f t="shared" si="89"/>
        <v>7</v>
      </c>
      <c r="CM144" s="180">
        <f t="shared" si="90"/>
        <v>39799</v>
      </c>
      <c r="CN144">
        <v>0</v>
      </c>
      <c r="CO144">
        <v>0</v>
      </c>
      <c r="CP144">
        <v>0</v>
      </c>
      <c r="CQ144">
        <v>2</v>
      </c>
      <c r="CR144">
        <v>0</v>
      </c>
      <c r="CS144">
        <v>0</v>
      </c>
      <c r="CT144">
        <v>0</v>
      </c>
      <c r="CU144">
        <v>0</v>
      </c>
      <c r="CV144" s="160"/>
      <c r="CW144">
        <v>1</v>
      </c>
      <c r="CX144">
        <f>350/60</f>
        <v>5.833333333333333</v>
      </c>
      <c r="CY144" s="165"/>
      <c r="CZ144" s="177">
        <f t="shared" si="91"/>
        <v>9.6000000000000002E-2</v>
      </c>
      <c r="DB144" s="146"/>
      <c r="DC144" s="76">
        <f t="shared" ca="1" si="49"/>
        <v>0.52498301883461806</v>
      </c>
      <c r="DD144">
        <f t="shared" si="92"/>
        <v>7</v>
      </c>
      <c r="DE144" s="129">
        <f t="shared" si="165"/>
        <v>39799</v>
      </c>
      <c r="DF144" s="161">
        <f t="shared" si="93"/>
        <v>0</v>
      </c>
      <c r="DG144" s="161">
        <f t="shared" si="94"/>
        <v>0</v>
      </c>
      <c r="DH144" s="161">
        <f t="shared" si="95"/>
        <v>0</v>
      </c>
      <c r="DI144" s="161">
        <f t="shared" si="96"/>
        <v>121.52777777777777</v>
      </c>
      <c r="DJ144" s="161">
        <f t="shared" si="97"/>
        <v>0</v>
      </c>
      <c r="DK144" s="161">
        <f t="shared" si="98"/>
        <v>0</v>
      </c>
      <c r="DL144" s="161">
        <f t="shared" si="99"/>
        <v>10.416666666666666</v>
      </c>
      <c r="DM144" s="161">
        <f t="shared" si="100"/>
        <v>10.416666666666666</v>
      </c>
      <c r="DN144" s="161">
        <f t="shared" si="101"/>
        <v>0</v>
      </c>
      <c r="DO144" s="161">
        <f t="shared" si="102"/>
        <v>0</v>
      </c>
      <c r="DP144" s="161">
        <f t="shared" si="103"/>
        <v>0</v>
      </c>
      <c r="DQ144" s="161">
        <f t="shared" si="104"/>
        <v>0</v>
      </c>
      <c r="DR144" s="161">
        <f t="shared" si="105"/>
        <v>0</v>
      </c>
      <c r="DS144" s="161">
        <f t="shared" si="106"/>
        <v>0</v>
      </c>
      <c r="DT144" s="161">
        <f t="shared" si="107"/>
        <v>0</v>
      </c>
      <c r="DU144" s="161">
        <f t="shared" si="108"/>
        <v>0</v>
      </c>
      <c r="DV144" s="161">
        <f t="shared" si="109"/>
        <v>0</v>
      </c>
      <c r="DW144" s="161">
        <f t="shared" si="110"/>
        <v>0</v>
      </c>
      <c r="DX144" s="161">
        <f t="shared" si="111"/>
        <v>0</v>
      </c>
      <c r="DY144" s="161">
        <f t="shared" si="112"/>
        <v>0</v>
      </c>
      <c r="DZ144" s="161">
        <f t="shared" si="113"/>
        <v>0</v>
      </c>
      <c r="EA144" s="161">
        <f t="shared" si="114"/>
        <v>0</v>
      </c>
      <c r="EB144" s="161">
        <f t="shared" si="115"/>
        <v>0</v>
      </c>
      <c r="EC144" s="161">
        <f t="shared" si="116"/>
        <v>0</v>
      </c>
      <c r="ED144" s="161">
        <f t="shared" si="117"/>
        <v>0</v>
      </c>
      <c r="EE144" s="161">
        <f t="shared" si="118"/>
        <v>0</v>
      </c>
      <c r="EF144" s="161">
        <f t="shared" si="119"/>
        <v>0</v>
      </c>
      <c r="EG144" s="161">
        <f t="shared" si="120"/>
        <v>0</v>
      </c>
      <c r="EH144" s="161">
        <f t="shared" si="121"/>
        <v>0</v>
      </c>
      <c r="EI144" s="161">
        <f t="shared" si="122"/>
        <v>0</v>
      </c>
      <c r="EJ144" s="161">
        <f t="shared" si="123"/>
        <v>0</v>
      </c>
      <c r="EK144" s="147">
        <f t="shared" si="130"/>
        <v>142.36111111111109</v>
      </c>
      <c r="EL144" s="149"/>
      <c r="EN144" s="146"/>
      <c r="EO144" s="146"/>
      <c r="EP144" s="139">
        <f t="shared" si="131"/>
        <v>0</v>
      </c>
      <c r="EQ144" s="139">
        <f t="shared" si="132"/>
        <v>0</v>
      </c>
      <c r="ER144" s="139">
        <f t="shared" si="133"/>
        <v>0</v>
      </c>
      <c r="ES144" s="139">
        <f t="shared" si="134"/>
        <v>9.7785517869493912</v>
      </c>
      <c r="ET144" s="139">
        <f t="shared" si="135"/>
        <v>0</v>
      </c>
      <c r="EU144" s="139">
        <f t="shared" si="136"/>
        <v>0</v>
      </c>
      <c r="EV144" s="139">
        <f t="shared" si="137"/>
        <v>5.865687857873775</v>
      </c>
      <c r="EW144" s="139">
        <f t="shared" si="138"/>
        <v>9.0414604478692766</v>
      </c>
      <c r="EX144" s="139">
        <f t="shared" si="139"/>
        <v>0</v>
      </c>
      <c r="EY144" s="139">
        <f t="shared" si="140"/>
        <v>0</v>
      </c>
      <c r="EZ144" s="139">
        <f t="shared" si="141"/>
        <v>0</v>
      </c>
      <c r="FA144" s="139">
        <f t="shared" si="142"/>
        <v>0</v>
      </c>
      <c r="FB144" s="139">
        <f t="shared" si="143"/>
        <v>0</v>
      </c>
      <c r="FC144" s="139">
        <f t="shared" si="144"/>
        <v>0</v>
      </c>
      <c r="FD144" s="139">
        <f t="shared" si="145"/>
        <v>0</v>
      </c>
      <c r="FE144" s="139">
        <f t="shared" si="146"/>
        <v>0</v>
      </c>
      <c r="FF144" s="139">
        <f t="shared" si="147"/>
        <v>0</v>
      </c>
      <c r="FG144" s="139">
        <f t="shared" si="148"/>
        <v>0</v>
      </c>
      <c r="FH144" s="139">
        <f t="shared" si="149"/>
        <v>0</v>
      </c>
      <c r="FI144" s="139">
        <f t="shared" si="150"/>
        <v>0</v>
      </c>
      <c r="FJ144" s="139">
        <f t="shared" si="151"/>
        <v>0</v>
      </c>
      <c r="FK144" s="139">
        <f t="shared" si="152"/>
        <v>0</v>
      </c>
      <c r="FL144" s="139">
        <f t="shared" si="153"/>
        <v>0</v>
      </c>
      <c r="FM144" s="139">
        <f t="shared" si="154"/>
        <v>0</v>
      </c>
      <c r="FN144" s="139">
        <f t="shared" si="155"/>
        <v>0</v>
      </c>
      <c r="FO144" s="139">
        <f t="shared" si="156"/>
        <v>0</v>
      </c>
      <c r="FP144" s="139">
        <f t="shared" si="157"/>
        <v>0</v>
      </c>
      <c r="FQ144" s="139">
        <f t="shared" si="158"/>
        <v>0</v>
      </c>
      <c r="FR144" s="139">
        <f t="shared" si="159"/>
        <v>0</v>
      </c>
      <c r="FS144" s="139">
        <f t="shared" si="160"/>
        <v>0</v>
      </c>
      <c r="FT144" s="139">
        <f t="shared" si="161"/>
        <v>0</v>
      </c>
      <c r="FU144" s="148">
        <f t="shared" si="162"/>
        <v>24.685700092692443</v>
      </c>
      <c r="FV144" s="149"/>
      <c r="FY144" s="210">
        <v>139</v>
      </c>
      <c r="FZ144">
        <v>12.566006386763371</v>
      </c>
      <c r="GA144">
        <v>15.088629549290708</v>
      </c>
      <c r="GB144">
        <v>3.4903022416414102</v>
      </c>
      <c r="GC144">
        <v>1.6955371929559331</v>
      </c>
      <c r="GD144">
        <v>1.1300843317969826</v>
      </c>
      <c r="GE144">
        <v>4.4829125383266986</v>
      </c>
      <c r="GF144">
        <v>4.4508452524727158</v>
      </c>
      <c r="GG144">
        <v>8.9232677207273809</v>
      </c>
      <c r="GH144">
        <v>15.661325712528704</v>
      </c>
      <c r="GI144">
        <v>6.6615655017460549</v>
      </c>
      <c r="GJ144"/>
      <c r="GK144"/>
      <c r="GL144"/>
      <c r="GM144"/>
    </row>
    <row r="145" spans="1:195" s="7" customFormat="1">
      <c r="A145" s="1"/>
      <c r="B145" s="76">
        <f ca="1">IF(C145="", "", RAND())</f>
        <v>0.62313023979917403</v>
      </c>
      <c r="C145">
        <v>1</v>
      </c>
      <c r="D145">
        <v>39799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 s="2"/>
      <c r="AK145" s="80"/>
      <c r="AL145" s="74"/>
      <c r="AM145" s="43">
        <v>129</v>
      </c>
      <c r="AN145">
        <v>101.73945537221263</v>
      </c>
      <c r="AO145">
        <v>7.8205944942872119</v>
      </c>
      <c r="AP145">
        <v>74.928508992305524</v>
      </c>
      <c r="AQ145">
        <v>63.639732900199689</v>
      </c>
      <c r="AR145">
        <v>7.3940911548259729</v>
      </c>
      <c r="AS145">
        <v>123.84841368741458</v>
      </c>
      <c r="AT145">
        <v>4.3238659653331455</v>
      </c>
      <c r="AU145">
        <v>22.914908686789865</v>
      </c>
      <c r="AV145"/>
      <c r="AW145"/>
      <c r="AX145" s="146"/>
      <c r="AY145" s="76">
        <f t="shared" ca="1" si="86"/>
        <v>0.38901716947579956</v>
      </c>
      <c r="AZ145">
        <v>8</v>
      </c>
      <c r="BA145" s="129">
        <f t="shared" si="166"/>
        <v>39799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 s="147"/>
      <c r="CH145" s="176"/>
      <c r="CJ145" s="146"/>
      <c r="CK145" s="76">
        <f t="shared" ca="1" si="88"/>
        <v>0.29520276614495433</v>
      </c>
      <c r="CL145" s="179">
        <f t="shared" si="89"/>
        <v>8</v>
      </c>
      <c r="CM145" s="180">
        <f t="shared" si="90"/>
        <v>39799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 s="160"/>
      <c r="CW145">
        <v>1</v>
      </c>
      <c r="CX145">
        <f>350/49</f>
        <v>7.1428571428571432</v>
      </c>
      <c r="CY145" s="165"/>
      <c r="CZ145" s="177">
        <f t="shared" si="91"/>
        <v>9.6000000000000002E-2</v>
      </c>
      <c r="DB145" s="146"/>
      <c r="DC145" s="76">
        <f t="shared" ca="1" si="49"/>
        <v>0.51681600967073438</v>
      </c>
      <c r="DD145">
        <f t="shared" si="92"/>
        <v>8</v>
      </c>
      <c r="DE145" s="129">
        <f t="shared" si="165"/>
        <v>39799</v>
      </c>
      <c r="DF145" s="161">
        <f t="shared" si="93"/>
        <v>0</v>
      </c>
      <c r="DG145" s="161">
        <f t="shared" si="94"/>
        <v>0</v>
      </c>
      <c r="DH145" s="161">
        <f t="shared" si="95"/>
        <v>0</v>
      </c>
      <c r="DI145" s="161">
        <f t="shared" si="96"/>
        <v>0</v>
      </c>
      <c r="DJ145" s="161">
        <f t="shared" si="97"/>
        <v>0</v>
      </c>
      <c r="DK145" s="161">
        <f t="shared" si="98"/>
        <v>0</v>
      </c>
      <c r="DL145" s="161">
        <f t="shared" si="99"/>
        <v>0</v>
      </c>
      <c r="DM145" s="161">
        <f t="shared" si="100"/>
        <v>0</v>
      </c>
      <c r="DN145" s="161">
        <f t="shared" si="101"/>
        <v>0</v>
      </c>
      <c r="DO145" s="161">
        <f t="shared" si="102"/>
        <v>0</v>
      </c>
      <c r="DP145" s="161">
        <f t="shared" si="103"/>
        <v>0</v>
      </c>
      <c r="DQ145" s="161">
        <f t="shared" si="104"/>
        <v>0</v>
      </c>
      <c r="DR145" s="161">
        <f t="shared" si="105"/>
        <v>0</v>
      </c>
      <c r="DS145" s="161">
        <f t="shared" si="106"/>
        <v>0</v>
      </c>
      <c r="DT145" s="161">
        <f t="shared" si="107"/>
        <v>0</v>
      </c>
      <c r="DU145" s="161">
        <f t="shared" si="108"/>
        <v>0</v>
      </c>
      <c r="DV145" s="161">
        <f t="shared" si="109"/>
        <v>0</v>
      </c>
      <c r="DW145" s="161">
        <f t="shared" si="110"/>
        <v>0</v>
      </c>
      <c r="DX145" s="161">
        <f t="shared" si="111"/>
        <v>0</v>
      </c>
      <c r="DY145" s="161">
        <f t="shared" si="112"/>
        <v>0</v>
      </c>
      <c r="DZ145" s="161">
        <f t="shared" si="113"/>
        <v>0</v>
      </c>
      <c r="EA145" s="161">
        <f t="shared" si="114"/>
        <v>0</v>
      </c>
      <c r="EB145" s="161">
        <f t="shared" si="115"/>
        <v>0</v>
      </c>
      <c r="EC145" s="161">
        <f t="shared" si="116"/>
        <v>0</v>
      </c>
      <c r="ED145" s="161">
        <f t="shared" si="117"/>
        <v>0</v>
      </c>
      <c r="EE145" s="161">
        <f t="shared" si="118"/>
        <v>0</v>
      </c>
      <c r="EF145" s="161">
        <f t="shared" si="119"/>
        <v>0</v>
      </c>
      <c r="EG145" s="161">
        <f t="shared" si="120"/>
        <v>0</v>
      </c>
      <c r="EH145" s="161">
        <f t="shared" si="121"/>
        <v>0</v>
      </c>
      <c r="EI145" s="161">
        <f t="shared" si="122"/>
        <v>0</v>
      </c>
      <c r="EJ145" s="161">
        <f t="shared" si="123"/>
        <v>0</v>
      </c>
      <c r="EK145" s="147">
        <f t="shared" si="130"/>
        <v>0</v>
      </c>
      <c r="EL145" s="149"/>
      <c r="EN145" s="146"/>
      <c r="EO145" s="146"/>
      <c r="EP145" s="139">
        <f t="shared" si="131"/>
        <v>0</v>
      </c>
      <c r="EQ145" s="139">
        <f t="shared" si="132"/>
        <v>0</v>
      </c>
      <c r="ER145" s="139">
        <f t="shared" si="133"/>
        <v>0</v>
      </c>
      <c r="ES145" s="139">
        <f t="shared" si="134"/>
        <v>0</v>
      </c>
      <c r="ET145" s="139">
        <f t="shared" si="135"/>
        <v>0</v>
      </c>
      <c r="EU145" s="139">
        <f t="shared" si="136"/>
        <v>0</v>
      </c>
      <c r="EV145" s="139">
        <f t="shared" si="137"/>
        <v>0</v>
      </c>
      <c r="EW145" s="139">
        <f t="shared" si="138"/>
        <v>0</v>
      </c>
      <c r="EX145" s="139">
        <f t="shared" si="139"/>
        <v>0</v>
      </c>
      <c r="EY145" s="139">
        <f t="shared" si="140"/>
        <v>0</v>
      </c>
      <c r="EZ145" s="139">
        <f t="shared" si="141"/>
        <v>0</v>
      </c>
      <c r="FA145" s="139">
        <f t="shared" si="142"/>
        <v>0</v>
      </c>
      <c r="FB145" s="139">
        <f t="shared" si="143"/>
        <v>0</v>
      </c>
      <c r="FC145" s="139">
        <f t="shared" si="144"/>
        <v>0</v>
      </c>
      <c r="FD145" s="139">
        <f t="shared" si="145"/>
        <v>0</v>
      </c>
      <c r="FE145" s="139">
        <f t="shared" si="146"/>
        <v>0</v>
      </c>
      <c r="FF145" s="139">
        <f t="shared" si="147"/>
        <v>0</v>
      </c>
      <c r="FG145" s="139">
        <f t="shared" si="148"/>
        <v>0</v>
      </c>
      <c r="FH145" s="139">
        <f t="shared" si="149"/>
        <v>0</v>
      </c>
      <c r="FI145" s="139">
        <f t="shared" si="150"/>
        <v>0</v>
      </c>
      <c r="FJ145" s="139">
        <f t="shared" si="151"/>
        <v>0</v>
      </c>
      <c r="FK145" s="139">
        <f t="shared" si="152"/>
        <v>0</v>
      </c>
      <c r="FL145" s="139">
        <f t="shared" si="153"/>
        <v>0</v>
      </c>
      <c r="FM145" s="139">
        <f t="shared" si="154"/>
        <v>0</v>
      </c>
      <c r="FN145" s="139">
        <f t="shared" si="155"/>
        <v>0</v>
      </c>
      <c r="FO145" s="139">
        <f t="shared" si="156"/>
        <v>0</v>
      </c>
      <c r="FP145" s="139">
        <f t="shared" si="157"/>
        <v>0</v>
      </c>
      <c r="FQ145" s="139">
        <f t="shared" si="158"/>
        <v>0</v>
      </c>
      <c r="FR145" s="139">
        <f t="shared" si="159"/>
        <v>0</v>
      </c>
      <c r="FS145" s="139">
        <f t="shared" si="160"/>
        <v>0</v>
      </c>
      <c r="FT145" s="139">
        <f t="shared" si="161"/>
        <v>0</v>
      </c>
      <c r="FU145" s="148">
        <f t="shared" si="162"/>
        <v>0</v>
      </c>
      <c r="FV145" s="149"/>
      <c r="FY145" s="210">
        <v>140</v>
      </c>
      <c r="FZ145">
        <v>33.305074069229825</v>
      </c>
      <c r="GA145">
        <v>39.331521755723017</v>
      </c>
      <c r="GB145">
        <v>2.4343164837641136</v>
      </c>
      <c r="GC145">
        <v>1.1890619175796298</v>
      </c>
      <c r="GD145">
        <v>0.60451620872788192</v>
      </c>
      <c r="GE145">
        <v>2.1623158068336017</v>
      </c>
      <c r="GF145">
        <v>10.67354294665266</v>
      </c>
      <c r="GG145">
        <v>9.8241691614698432</v>
      </c>
      <c r="GH145">
        <v>6.3450047900993267</v>
      </c>
      <c r="GI145">
        <v>8.8120745555334992</v>
      </c>
      <c r="GJ145"/>
      <c r="GK145"/>
      <c r="GL145"/>
      <c r="GM145"/>
    </row>
    <row r="146" spans="1:195" s="7" customFormat="1">
      <c r="A146" s="1"/>
      <c r="B146" s="76">
        <f ca="1">IF(C146="", "", RAND())</f>
        <v>2.0732627797884984E-2</v>
      </c>
      <c r="C146">
        <v>5</v>
      </c>
      <c r="D146">
        <v>39799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 s="2"/>
      <c r="AK146" s="80"/>
      <c r="AL146" s="74"/>
      <c r="AM146" s="43">
        <v>130</v>
      </c>
      <c r="AN146">
        <v>94.76635532097643</v>
      </c>
      <c r="AO146">
        <v>8.4579768790216896</v>
      </c>
      <c r="AP146">
        <v>78.728840381854354</v>
      </c>
      <c r="AQ146">
        <v>67.147472407296917</v>
      </c>
      <c r="AR146">
        <v>8.4524614609004161</v>
      </c>
      <c r="AS146">
        <v>125.35321299043441</v>
      </c>
      <c r="AT146">
        <v>5.2806091203470675</v>
      </c>
      <c r="AU146">
        <v>9.6757265232340757</v>
      </c>
      <c r="AV146"/>
      <c r="AW146"/>
      <c r="AX146" s="146"/>
      <c r="AY146" s="76">
        <f t="shared" ca="1" si="86"/>
        <v>0.20750792037599575</v>
      </c>
      <c r="AZ146">
        <v>9</v>
      </c>
      <c r="BA146" s="129">
        <f t="shared" si="166"/>
        <v>39799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 s="147"/>
      <c r="CH146" s="176"/>
      <c r="CJ146" s="146"/>
      <c r="CK146" s="76">
        <f t="shared" ca="1" si="88"/>
        <v>0.16064563878200211</v>
      </c>
      <c r="CL146" s="179">
        <f t="shared" si="89"/>
        <v>9</v>
      </c>
      <c r="CM146" s="180">
        <f t="shared" si="90"/>
        <v>39799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 s="160"/>
      <c r="CW146">
        <v>1</v>
      </c>
      <c r="CX146">
        <f>475/86</f>
        <v>5.5232558139534884</v>
      </c>
      <c r="CY146" s="165"/>
      <c r="CZ146" s="177">
        <f t="shared" si="91"/>
        <v>9.6000000000000002E-2</v>
      </c>
      <c r="DB146" s="146"/>
      <c r="DC146" s="76">
        <f t="shared" ca="1" si="49"/>
        <v>0.66764207188322988</v>
      </c>
      <c r="DD146">
        <f t="shared" si="92"/>
        <v>9</v>
      </c>
      <c r="DE146" s="129">
        <f t="shared" si="165"/>
        <v>39799</v>
      </c>
      <c r="DF146" s="161">
        <f t="shared" si="93"/>
        <v>0</v>
      </c>
      <c r="DG146" s="161">
        <f t="shared" si="94"/>
        <v>0</v>
      </c>
      <c r="DH146" s="161">
        <f t="shared" si="95"/>
        <v>0</v>
      </c>
      <c r="DI146" s="161">
        <f t="shared" si="96"/>
        <v>0</v>
      </c>
      <c r="DJ146" s="161">
        <f t="shared" si="97"/>
        <v>0</v>
      </c>
      <c r="DK146" s="161">
        <f t="shared" si="98"/>
        <v>0</v>
      </c>
      <c r="DL146" s="161">
        <f t="shared" si="99"/>
        <v>0</v>
      </c>
      <c r="DM146" s="161">
        <f t="shared" si="100"/>
        <v>0</v>
      </c>
      <c r="DN146" s="161">
        <f t="shared" si="101"/>
        <v>0</v>
      </c>
      <c r="DO146" s="161">
        <f t="shared" si="102"/>
        <v>0</v>
      </c>
      <c r="DP146" s="161">
        <f t="shared" si="103"/>
        <v>0</v>
      </c>
      <c r="DQ146" s="161">
        <f t="shared" si="104"/>
        <v>0</v>
      </c>
      <c r="DR146" s="161">
        <f t="shared" si="105"/>
        <v>0</v>
      </c>
      <c r="DS146" s="161">
        <f t="shared" si="106"/>
        <v>0</v>
      </c>
      <c r="DT146" s="161">
        <f t="shared" si="107"/>
        <v>0</v>
      </c>
      <c r="DU146" s="161">
        <f t="shared" si="108"/>
        <v>0</v>
      </c>
      <c r="DV146" s="161">
        <f t="shared" si="109"/>
        <v>0</v>
      </c>
      <c r="DW146" s="161">
        <f t="shared" si="110"/>
        <v>0</v>
      </c>
      <c r="DX146" s="161">
        <f t="shared" si="111"/>
        <v>0</v>
      </c>
      <c r="DY146" s="161">
        <f t="shared" si="112"/>
        <v>0</v>
      </c>
      <c r="DZ146" s="161">
        <f t="shared" si="113"/>
        <v>0</v>
      </c>
      <c r="EA146" s="161">
        <f t="shared" si="114"/>
        <v>0</v>
      </c>
      <c r="EB146" s="161">
        <f t="shared" si="115"/>
        <v>0</v>
      </c>
      <c r="EC146" s="161">
        <f t="shared" si="116"/>
        <v>0</v>
      </c>
      <c r="ED146" s="161">
        <f t="shared" si="117"/>
        <v>0</v>
      </c>
      <c r="EE146" s="161">
        <f t="shared" si="118"/>
        <v>0</v>
      </c>
      <c r="EF146" s="161">
        <f t="shared" si="119"/>
        <v>0</v>
      </c>
      <c r="EG146" s="161">
        <f t="shared" si="120"/>
        <v>0</v>
      </c>
      <c r="EH146" s="161">
        <f t="shared" si="121"/>
        <v>0</v>
      </c>
      <c r="EI146" s="161">
        <f t="shared" si="122"/>
        <v>0</v>
      </c>
      <c r="EJ146" s="161">
        <f t="shared" si="123"/>
        <v>0</v>
      </c>
      <c r="EK146" s="147">
        <f t="shared" si="130"/>
        <v>0</v>
      </c>
      <c r="EL146" s="149"/>
      <c r="EN146" s="146"/>
      <c r="EO146" s="146"/>
      <c r="EP146" s="139">
        <f t="shared" si="131"/>
        <v>0</v>
      </c>
      <c r="EQ146" s="139">
        <f t="shared" si="132"/>
        <v>0</v>
      </c>
      <c r="ER146" s="139">
        <f t="shared" si="133"/>
        <v>0</v>
      </c>
      <c r="ES146" s="139">
        <f t="shared" si="134"/>
        <v>0</v>
      </c>
      <c r="ET146" s="139">
        <f t="shared" si="135"/>
        <v>0</v>
      </c>
      <c r="EU146" s="139">
        <f t="shared" si="136"/>
        <v>0</v>
      </c>
      <c r="EV146" s="139">
        <f t="shared" si="137"/>
        <v>0</v>
      </c>
      <c r="EW146" s="139">
        <f t="shared" si="138"/>
        <v>0</v>
      </c>
      <c r="EX146" s="139">
        <f t="shared" si="139"/>
        <v>0</v>
      </c>
      <c r="EY146" s="139">
        <f t="shared" si="140"/>
        <v>0</v>
      </c>
      <c r="EZ146" s="139">
        <f t="shared" si="141"/>
        <v>0</v>
      </c>
      <c r="FA146" s="139">
        <f t="shared" si="142"/>
        <v>0</v>
      </c>
      <c r="FB146" s="139">
        <f t="shared" si="143"/>
        <v>0</v>
      </c>
      <c r="FC146" s="139">
        <f t="shared" si="144"/>
        <v>0</v>
      </c>
      <c r="FD146" s="139">
        <f t="shared" si="145"/>
        <v>0</v>
      </c>
      <c r="FE146" s="139">
        <f t="shared" si="146"/>
        <v>0</v>
      </c>
      <c r="FF146" s="139">
        <f t="shared" si="147"/>
        <v>0</v>
      </c>
      <c r="FG146" s="139">
        <f t="shared" si="148"/>
        <v>0</v>
      </c>
      <c r="FH146" s="139">
        <f t="shared" si="149"/>
        <v>0</v>
      </c>
      <c r="FI146" s="139">
        <f t="shared" si="150"/>
        <v>0</v>
      </c>
      <c r="FJ146" s="139">
        <f t="shared" si="151"/>
        <v>0</v>
      </c>
      <c r="FK146" s="139">
        <f t="shared" si="152"/>
        <v>0</v>
      </c>
      <c r="FL146" s="139">
        <f t="shared" si="153"/>
        <v>0</v>
      </c>
      <c r="FM146" s="139">
        <f t="shared" si="154"/>
        <v>0</v>
      </c>
      <c r="FN146" s="139">
        <f t="shared" si="155"/>
        <v>0</v>
      </c>
      <c r="FO146" s="139">
        <f t="shared" si="156"/>
        <v>0</v>
      </c>
      <c r="FP146" s="139">
        <f t="shared" si="157"/>
        <v>0</v>
      </c>
      <c r="FQ146" s="139">
        <f t="shared" si="158"/>
        <v>0</v>
      </c>
      <c r="FR146" s="139">
        <f t="shared" si="159"/>
        <v>0</v>
      </c>
      <c r="FS146" s="139">
        <f t="shared" si="160"/>
        <v>0</v>
      </c>
      <c r="FT146" s="139">
        <f t="shared" si="161"/>
        <v>0</v>
      </c>
      <c r="FU146" s="148">
        <f t="shared" si="162"/>
        <v>0</v>
      </c>
      <c r="FV146" s="149"/>
      <c r="FY146" s="210">
        <v>141</v>
      </c>
      <c r="FZ146">
        <v>11.754752157801761</v>
      </c>
      <c r="GA146">
        <v>15.534178918775677</v>
      </c>
      <c r="GB146">
        <v>2.7175394743293935</v>
      </c>
      <c r="GC146">
        <v>1.2820286593740557</v>
      </c>
      <c r="GD146">
        <v>1.3729519277308366</v>
      </c>
      <c r="GE146">
        <v>5.0971573305448024</v>
      </c>
      <c r="GF146">
        <v>11.61757047865032</v>
      </c>
      <c r="GG146">
        <v>9.2906934415716069</v>
      </c>
      <c r="GH146">
        <v>6.3790788851024134</v>
      </c>
      <c r="GI146">
        <v>6.3287687075196528</v>
      </c>
      <c r="GJ146"/>
      <c r="GK146"/>
      <c r="GL146"/>
      <c r="GM146"/>
    </row>
    <row r="147" spans="1:195" s="7" customFormat="1">
      <c r="A147" s="1"/>
      <c r="B147" s="76">
        <f ca="1">IF(C147="", "", RAND())</f>
        <v>2.3318070584918305E-2</v>
      </c>
      <c r="C147">
        <v>7</v>
      </c>
      <c r="D147">
        <v>39799</v>
      </c>
      <c r="E147">
        <v>0</v>
      </c>
      <c r="F147">
        <v>0</v>
      </c>
      <c r="G147">
        <v>0</v>
      </c>
      <c r="H147">
        <v>121.52777777777777</v>
      </c>
      <c r="I147">
        <v>0</v>
      </c>
      <c r="J147">
        <v>0</v>
      </c>
      <c r="K147">
        <v>10.416666666666666</v>
      </c>
      <c r="L147">
        <v>10.416666666666666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 s="2"/>
      <c r="AK147" s="80"/>
      <c r="AL147" s="74"/>
      <c r="AM147" s="43">
        <v>131</v>
      </c>
      <c r="AN147">
        <v>113.88442552088532</v>
      </c>
      <c r="AO147">
        <v>10.601309306257745</v>
      </c>
      <c r="AP147">
        <v>113.40134791659675</v>
      </c>
      <c r="AQ147">
        <v>94.404949520921221</v>
      </c>
      <c r="AR147">
        <v>10.121191730740707</v>
      </c>
      <c r="AS147">
        <v>154.79724913542492</v>
      </c>
      <c r="AT147">
        <v>6.27521655774017</v>
      </c>
      <c r="AU147">
        <v>55.856650691344655</v>
      </c>
      <c r="AV147"/>
      <c r="AW147"/>
      <c r="AX147" s="146"/>
      <c r="AY147" s="76">
        <f t="shared" ca="1" si="86"/>
        <v>0.70455932544268318</v>
      </c>
      <c r="AZ147">
        <v>10</v>
      </c>
      <c r="BA147" s="129">
        <f t="shared" si="166"/>
        <v>39799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 s="147"/>
      <c r="CH147" s="176"/>
      <c r="CJ147" s="146"/>
      <c r="CK147" s="76">
        <f t="shared" ca="1" si="88"/>
        <v>8.77351902365886E-3</v>
      </c>
      <c r="CL147" s="179">
        <f t="shared" si="89"/>
        <v>10</v>
      </c>
      <c r="CM147" s="180">
        <f t="shared" si="90"/>
        <v>39799</v>
      </c>
      <c r="CN147">
        <v>0</v>
      </c>
      <c r="CO147">
        <v>0</v>
      </c>
      <c r="CP147">
        <v>1</v>
      </c>
      <c r="CQ147">
        <v>0</v>
      </c>
      <c r="CR147">
        <v>0</v>
      </c>
      <c r="CS147">
        <v>0</v>
      </c>
      <c r="CT147">
        <v>0</v>
      </c>
      <c r="CU147">
        <v>0</v>
      </c>
      <c r="CV147" s="160"/>
      <c r="CW147">
        <v>1</v>
      </c>
      <c r="CX147">
        <v>1</v>
      </c>
      <c r="CY147" s="165"/>
      <c r="CZ147" s="177">
        <f t="shared" si="91"/>
        <v>9.6000000000000002E-2</v>
      </c>
      <c r="DB147" s="146"/>
      <c r="DC147" s="76">
        <f t="shared" ca="1" si="49"/>
        <v>9.2375958837461525E-2</v>
      </c>
      <c r="DD147">
        <f t="shared" si="92"/>
        <v>10</v>
      </c>
      <c r="DE147" s="129">
        <f t="shared" si="165"/>
        <v>39799</v>
      </c>
      <c r="DF147" s="161">
        <f t="shared" si="93"/>
        <v>0</v>
      </c>
      <c r="DG147" s="161">
        <f t="shared" si="94"/>
        <v>0</v>
      </c>
      <c r="DH147" s="161">
        <f t="shared" si="95"/>
        <v>10.416666666666666</v>
      </c>
      <c r="DI147" s="161">
        <f t="shared" si="96"/>
        <v>0</v>
      </c>
      <c r="DJ147" s="161">
        <f t="shared" si="97"/>
        <v>0</v>
      </c>
      <c r="DK147" s="161">
        <f t="shared" si="98"/>
        <v>0</v>
      </c>
      <c r="DL147" s="161">
        <f t="shared" si="99"/>
        <v>0</v>
      </c>
      <c r="DM147" s="161">
        <f t="shared" si="100"/>
        <v>0</v>
      </c>
      <c r="DN147" s="161">
        <f t="shared" si="101"/>
        <v>0</v>
      </c>
      <c r="DO147" s="161">
        <f t="shared" si="102"/>
        <v>0</v>
      </c>
      <c r="DP147" s="161">
        <f t="shared" si="103"/>
        <v>0</v>
      </c>
      <c r="DQ147" s="161">
        <f t="shared" si="104"/>
        <v>0</v>
      </c>
      <c r="DR147" s="161">
        <f t="shared" si="105"/>
        <v>0</v>
      </c>
      <c r="DS147" s="161">
        <f t="shared" si="106"/>
        <v>0</v>
      </c>
      <c r="DT147" s="161">
        <f t="shared" si="107"/>
        <v>0</v>
      </c>
      <c r="DU147" s="161">
        <f t="shared" si="108"/>
        <v>0</v>
      </c>
      <c r="DV147" s="161">
        <f t="shared" si="109"/>
        <v>0</v>
      </c>
      <c r="DW147" s="161">
        <f t="shared" si="110"/>
        <v>0</v>
      </c>
      <c r="DX147" s="161">
        <f t="shared" si="111"/>
        <v>0</v>
      </c>
      <c r="DY147" s="161">
        <f t="shared" si="112"/>
        <v>0</v>
      </c>
      <c r="DZ147" s="161">
        <f t="shared" si="113"/>
        <v>0</v>
      </c>
      <c r="EA147" s="161">
        <f t="shared" si="114"/>
        <v>0</v>
      </c>
      <c r="EB147" s="161">
        <f t="shared" si="115"/>
        <v>0</v>
      </c>
      <c r="EC147" s="161">
        <f t="shared" si="116"/>
        <v>0</v>
      </c>
      <c r="ED147" s="161">
        <f t="shared" si="117"/>
        <v>0</v>
      </c>
      <c r="EE147" s="161">
        <f t="shared" si="118"/>
        <v>0</v>
      </c>
      <c r="EF147" s="161">
        <f t="shared" si="119"/>
        <v>0</v>
      </c>
      <c r="EG147" s="161">
        <f t="shared" si="120"/>
        <v>0</v>
      </c>
      <c r="EH147" s="161">
        <f t="shared" si="121"/>
        <v>0</v>
      </c>
      <c r="EI147" s="161">
        <f t="shared" si="122"/>
        <v>0</v>
      </c>
      <c r="EJ147" s="161">
        <f t="shared" si="123"/>
        <v>0</v>
      </c>
      <c r="EK147" s="147">
        <f t="shared" si="130"/>
        <v>10.416666666666666</v>
      </c>
      <c r="EL147" s="149"/>
      <c r="EN147" s="146"/>
      <c r="EO147" s="146"/>
      <c r="EP147" s="139">
        <f t="shared" si="131"/>
        <v>0</v>
      </c>
      <c r="EQ147" s="139">
        <f t="shared" si="132"/>
        <v>0</v>
      </c>
      <c r="ER147" s="139">
        <f t="shared" si="133"/>
        <v>0.26855892282608723</v>
      </c>
      <c r="ES147" s="139">
        <f t="shared" si="134"/>
        <v>0</v>
      </c>
      <c r="ET147" s="139">
        <f t="shared" si="135"/>
        <v>0</v>
      </c>
      <c r="EU147" s="139">
        <f t="shared" si="136"/>
        <v>0</v>
      </c>
      <c r="EV147" s="139">
        <f t="shared" si="137"/>
        <v>0</v>
      </c>
      <c r="EW147" s="139">
        <f t="shared" si="138"/>
        <v>0</v>
      </c>
      <c r="EX147" s="139">
        <f t="shared" si="139"/>
        <v>0</v>
      </c>
      <c r="EY147" s="139">
        <f t="shared" si="140"/>
        <v>0</v>
      </c>
      <c r="EZ147" s="139">
        <f t="shared" si="141"/>
        <v>0</v>
      </c>
      <c r="FA147" s="139">
        <f t="shared" si="142"/>
        <v>0</v>
      </c>
      <c r="FB147" s="139">
        <f t="shared" si="143"/>
        <v>0</v>
      </c>
      <c r="FC147" s="139">
        <f t="shared" si="144"/>
        <v>0</v>
      </c>
      <c r="FD147" s="139">
        <f t="shared" si="145"/>
        <v>0</v>
      </c>
      <c r="FE147" s="139">
        <f t="shared" si="146"/>
        <v>0</v>
      </c>
      <c r="FF147" s="139">
        <f t="shared" si="147"/>
        <v>0</v>
      </c>
      <c r="FG147" s="139">
        <f t="shared" si="148"/>
        <v>0</v>
      </c>
      <c r="FH147" s="139">
        <f t="shared" si="149"/>
        <v>0</v>
      </c>
      <c r="FI147" s="139">
        <f t="shared" si="150"/>
        <v>0</v>
      </c>
      <c r="FJ147" s="139">
        <f t="shared" si="151"/>
        <v>0</v>
      </c>
      <c r="FK147" s="139">
        <f t="shared" si="152"/>
        <v>0</v>
      </c>
      <c r="FL147" s="139">
        <f t="shared" si="153"/>
        <v>0</v>
      </c>
      <c r="FM147" s="139">
        <f t="shared" si="154"/>
        <v>0</v>
      </c>
      <c r="FN147" s="139">
        <f t="shared" si="155"/>
        <v>0</v>
      </c>
      <c r="FO147" s="139">
        <f t="shared" si="156"/>
        <v>0</v>
      </c>
      <c r="FP147" s="139">
        <f t="shared" si="157"/>
        <v>0</v>
      </c>
      <c r="FQ147" s="139">
        <f t="shared" si="158"/>
        <v>0</v>
      </c>
      <c r="FR147" s="139">
        <f t="shared" si="159"/>
        <v>0</v>
      </c>
      <c r="FS147" s="139">
        <f t="shared" si="160"/>
        <v>0</v>
      </c>
      <c r="FT147" s="139">
        <f t="shared" si="161"/>
        <v>0</v>
      </c>
      <c r="FU147" s="148">
        <f t="shared" si="162"/>
        <v>0.26855892282608723</v>
      </c>
      <c r="FV147" s="149"/>
      <c r="FY147" s="210">
        <v>142</v>
      </c>
      <c r="FZ147">
        <v>0.77339182115785443</v>
      </c>
      <c r="GA147">
        <v>4.2085877435982137</v>
      </c>
      <c r="GB147">
        <v>3.1439746522684446</v>
      </c>
      <c r="GC147">
        <v>1.0992993979244308</v>
      </c>
      <c r="GD147">
        <v>1.569258236614939</v>
      </c>
      <c r="GE147">
        <v>4.1712814137637517</v>
      </c>
      <c r="GF147">
        <v>11.234151126008475</v>
      </c>
      <c r="GG147">
        <v>17.855739313827133</v>
      </c>
      <c r="GH147">
        <v>17.242246931709619</v>
      </c>
      <c r="GI147">
        <v>6.5674915454261908</v>
      </c>
      <c r="GJ147"/>
      <c r="GK147"/>
      <c r="GL147"/>
      <c r="GM147"/>
    </row>
    <row r="148" spans="1:195" s="7" customFormat="1">
      <c r="A148" s="128"/>
      <c r="B148" s="76" t="str">
        <f ca="1">IF(C148="", "", RAND())</f>
        <v/>
      </c>
      <c r="C148" t="s">
        <v>104</v>
      </c>
      <c r="D148" t="s">
        <v>104</v>
      </c>
      <c r="E148" t="s">
        <v>104</v>
      </c>
      <c r="F148" t="s">
        <v>104</v>
      </c>
      <c r="G148" t="s">
        <v>104</v>
      </c>
      <c r="H148" t="s">
        <v>104</v>
      </c>
      <c r="I148" t="s">
        <v>104</v>
      </c>
      <c r="J148" t="s">
        <v>104</v>
      </c>
      <c r="K148" t="s">
        <v>104</v>
      </c>
      <c r="L148" t="s">
        <v>104</v>
      </c>
      <c r="M148" t="s">
        <v>104</v>
      </c>
      <c r="N148" t="s">
        <v>104</v>
      </c>
      <c r="O148" t="s">
        <v>104</v>
      </c>
      <c r="P148" t="s">
        <v>104</v>
      </c>
      <c r="Q148" t="s">
        <v>104</v>
      </c>
      <c r="R148" t="s">
        <v>104</v>
      </c>
      <c r="S148" t="s">
        <v>104</v>
      </c>
      <c r="T148" t="s">
        <v>104</v>
      </c>
      <c r="U148" t="s">
        <v>104</v>
      </c>
      <c r="V148" t="s">
        <v>104</v>
      </c>
      <c r="W148" t="s">
        <v>104</v>
      </c>
      <c r="X148" t="s">
        <v>104</v>
      </c>
      <c r="Y148" t="s">
        <v>104</v>
      </c>
      <c r="Z148" t="s">
        <v>104</v>
      </c>
      <c r="AA148" t="s">
        <v>104</v>
      </c>
      <c r="AB148" t="s">
        <v>104</v>
      </c>
      <c r="AC148" t="s">
        <v>104</v>
      </c>
      <c r="AD148" t="s">
        <v>104</v>
      </c>
      <c r="AE148" t="s">
        <v>104</v>
      </c>
      <c r="AF148" t="s">
        <v>104</v>
      </c>
      <c r="AG148" t="s">
        <v>104</v>
      </c>
      <c r="AH148" t="s">
        <v>104</v>
      </c>
      <c r="AI148" t="s">
        <v>104</v>
      </c>
      <c r="AJ148" s="2"/>
      <c r="AK148" s="80"/>
      <c r="AL148" s="74">
        <v>3.0028000000000028</v>
      </c>
      <c r="AM148" s="43">
        <v>132</v>
      </c>
      <c r="AN148">
        <v>98.369891826923094</v>
      </c>
      <c r="AO148">
        <v>14.719309303347927</v>
      </c>
      <c r="AP148">
        <v>156.85622263018075</v>
      </c>
      <c r="AQ148">
        <v>134.70752273263952</v>
      </c>
      <c r="AR148">
        <v>13.859886397616428</v>
      </c>
      <c r="AS148">
        <v>185.22871609771425</v>
      </c>
      <c r="AT148">
        <v>8.8044702727767366</v>
      </c>
      <c r="AU148">
        <v>98.991056619099268</v>
      </c>
      <c r="AV148"/>
      <c r="AW148"/>
      <c r="AX148" s="128"/>
      <c r="AY148" s="76"/>
      <c r="AZ148" s="226"/>
      <c r="BA148" s="129"/>
      <c r="BB148" s="226">
        <v>0</v>
      </c>
      <c r="BC148" s="226">
        <v>0</v>
      </c>
      <c r="BD148" s="226">
        <v>0</v>
      </c>
      <c r="BE148" s="226">
        <v>0</v>
      </c>
      <c r="BF148" s="226">
        <v>0</v>
      </c>
      <c r="BG148" s="226">
        <v>0</v>
      </c>
      <c r="BH148" s="226">
        <v>0</v>
      </c>
      <c r="BI148" s="226">
        <v>0</v>
      </c>
      <c r="BJ148" s="226">
        <v>0</v>
      </c>
      <c r="BK148" s="226">
        <v>0</v>
      </c>
      <c r="BL148" s="226">
        <v>0</v>
      </c>
      <c r="BM148" s="226">
        <v>0</v>
      </c>
      <c r="BN148" s="226">
        <v>0</v>
      </c>
      <c r="BO148" s="226">
        <v>0</v>
      </c>
      <c r="BP148" s="226">
        <v>0</v>
      </c>
      <c r="BQ148" s="226">
        <v>0</v>
      </c>
      <c r="BR148" s="226">
        <v>0</v>
      </c>
      <c r="BS148" s="226">
        <v>0</v>
      </c>
      <c r="BT148" s="226">
        <v>0</v>
      </c>
      <c r="BU148" s="226">
        <v>0</v>
      </c>
      <c r="BV148" s="226">
        <v>0</v>
      </c>
      <c r="BW148" s="226">
        <v>0</v>
      </c>
      <c r="BX148" s="226">
        <v>0</v>
      </c>
      <c r="BY148" s="226">
        <v>0</v>
      </c>
      <c r="BZ148" s="226">
        <v>0</v>
      </c>
      <c r="CA148" s="226">
        <v>0</v>
      </c>
      <c r="CB148" s="226">
        <v>0</v>
      </c>
      <c r="CC148" s="226">
        <v>0</v>
      </c>
      <c r="CD148" s="226">
        <v>0</v>
      </c>
      <c r="CE148" s="226">
        <v>0</v>
      </c>
      <c r="CF148" s="226">
        <v>0</v>
      </c>
      <c r="CG148" s="147"/>
      <c r="CH148" s="176"/>
      <c r="CJ148" s="128"/>
      <c r="CK148" s="76"/>
      <c r="CL148" s="179"/>
      <c r="CM148" s="180"/>
      <c r="CN148" s="226">
        <v>0</v>
      </c>
      <c r="CO148" s="226">
        <v>0</v>
      </c>
      <c r="CP148" s="226">
        <v>0</v>
      </c>
      <c r="CQ148" s="226">
        <v>0</v>
      </c>
      <c r="CR148" s="226">
        <v>0</v>
      </c>
      <c r="CS148" s="226">
        <v>0</v>
      </c>
      <c r="CT148" s="226">
        <v>0</v>
      </c>
      <c r="CU148" s="226">
        <v>0</v>
      </c>
      <c r="CV148" s="160"/>
      <c r="CW148" s="226"/>
      <c r="CX148" s="226"/>
      <c r="CY148" s="160"/>
      <c r="CZ148" s="177" t="str">
        <f t="shared" si="91"/>
        <v/>
      </c>
      <c r="DB148" s="128"/>
      <c r="DC148" s="76" t="str">
        <f t="shared" ca="1" si="49"/>
        <v/>
      </c>
      <c r="DD148" s="226" t="str">
        <f t="shared" si="92"/>
        <v/>
      </c>
      <c r="DE148" s="129" t="str">
        <f t="shared" ref="DE148:DE157" si="167">IF((DD148)="", "", $C$10)</f>
        <v/>
      </c>
      <c r="DF148" s="161" t="str">
        <f t="shared" ref="DF148:DF151" si="168">IF($AZ148="", "", ((BB148*$CW148)+(CN148*$CX148))/$CZ148)</f>
        <v/>
      </c>
      <c r="DG148" s="161" t="str">
        <f t="shared" ref="DG148:DG151" si="169">IF($AZ148="", "", ((BC148*$CW148)+(CO148*$CX148))/$CZ148)</f>
        <v/>
      </c>
      <c r="DH148" s="161" t="str">
        <f t="shared" ref="DH148:DH151" si="170">IF($AZ148="", "", ((BD148*$CW148)+(CP148*$CX148))/$CZ148)</f>
        <v/>
      </c>
      <c r="DI148" s="161" t="str">
        <f t="shared" ref="DI148:DI151" si="171">IF($AZ148="", "", ((BE148*$CW148)+(CQ148*$CX148))/$CZ148)</f>
        <v/>
      </c>
      <c r="DJ148" s="161" t="str">
        <f t="shared" ref="DJ148:DJ151" si="172">IF($AZ148="", "", ((BF148*$CW148)+(CR148*$CX148))/$CZ148)</f>
        <v/>
      </c>
      <c r="DK148" s="161" t="str">
        <f t="shared" ref="DK148:DK151" si="173">IF($AZ148="", "", ((BG148*$CW148)+(CS148*$CX148))/$CZ148)</f>
        <v/>
      </c>
      <c r="DL148" s="161" t="str">
        <f t="shared" ref="DL148:DL151" si="174">IF($AZ148="", "", ((BH148*$CW148)+(CT148*$CX148))/$CZ148)</f>
        <v/>
      </c>
      <c r="DM148" s="161" t="str">
        <f t="shared" ref="DM148:DM151" si="175">IF($AZ148="", "", ((BI148*$CW148)+(CU148*$CX148))/$CZ148)</f>
        <v/>
      </c>
      <c r="DN148" s="161" t="str">
        <f t="shared" ref="DN148:DN151" si="176">IF($AZ148="", "", (BJ148*$CW148)/$CZ148)</f>
        <v/>
      </c>
      <c r="DO148" s="161" t="str">
        <f t="shared" ref="DO148:DO151" si="177">IF($AZ148="", "", (BK148*$CW148)/$CZ148)</f>
        <v/>
      </c>
      <c r="DP148" s="161" t="str">
        <f t="shared" ref="DP148:DP151" si="178">IF($AZ148="", "", (BL148*$CW148)/$CZ148)</f>
        <v/>
      </c>
      <c r="DQ148" s="161" t="str">
        <f t="shared" ref="DQ148:DQ151" si="179">IF($AZ148="", "", (BM148*$CW148)/$CZ148)</f>
        <v/>
      </c>
      <c r="DR148" s="161" t="str">
        <f t="shared" ref="DR148:DR151" si="180">IF($AZ148="", "", (BN148*$CW148)/$CZ148)</f>
        <v/>
      </c>
      <c r="DS148" s="161" t="str">
        <f t="shared" ref="DS148:DS151" si="181">IF($AZ148="", "", (BO148*$CW148)/$CZ148)</f>
        <v/>
      </c>
      <c r="DT148" s="161" t="str">
        <f t="shared" ref="DT148:DT151" si="182">IF($AZ148="", "", (BP148*$CW148)/$CZ148)</f>
        <v/>
      </c>
      <c r="DU148" s="161" t="str">
        <f t="shared" ref="DU148:DU151" si="183">IF($AZ148="", "", (BQ148*$CW148)/$CZ148)</f>
        <v/>
      </c>
      <c r="DV148" s="161" t="str">
        <f t="shared" ref="DV148:DV151" si="184">IF($AZ148="", "", (BR148*$CW148)/$CZ148)</f>
        <v/>
      </c>
      <c r="DW148" s="161" t="str">
        <f t="shared" ref="DW148:DW151" si="185">IF($AZ148="", "", (BS148*$CW148)/$CZ148)</f>
        <v/>
      </c>
      <c r="DX148" s="161" t="str">
        <f t="shared" ref="DX148:DX151" si="186">IF($AZ148="", "", (BT148*$CW148)/$CZ148)</f>
        <v/>
      </c>
      <c r="DY148" s="161" t="str">
        <f t="shared" ref="DY148:DY151" si="187">IF($AZ148="", "", (BU148*$CW148)/$CZ148)</f>
        <v/>
      </c>
      <c r="DZ148" s="161" t="str">
        <f t="shared" ref="DZ148:DZ151" si="188">IF($AZ148="", "", (BV148*$CW148)/$CZ148)</f>
        <v/>
      </c>
      <c r="EA148" s="161" t="str">
        <f t="shared" ref="EA148:EA151" si="189">IF($AZ148="", "", (BW148*$CW148)/$CZ148)</f>
        <v/>
      </c>
      <c r="EB148" s="161" t="str">
        <f t="shared" ref="EB148:EB151" si="190">IF($AZ148="", "", (BX148*$CW148)/$CZ148)</f>
        <v/>
      </c>
      <c r="EC148" s="161" t="str">
        <f t="shared" ref="EC148:EC151" si="191">IF($AZ148="", "", (BY148*$CW148)/$CZ148)</f>
        <v/>
      </c>
      <c r="ED148" s="161" t="str">
        <f t="shared" ref="ED148:ED151" si="192">IF($AZ148="", "", (BZ148*$CW148)/$CZ148)</f>
        <v/>
      </c>
      <c r="EE148" s="161" t="str">
        <f t="shared" ref="EE148:EE151" si="193">IF($AZ148="", "", (CA148*$CW148)/$CZ148)</f>
        <v/>
      </c>
      <c r="EF148" s="161" t="str">
        <f t="shared" ref="EF148:EF151" si="194">IF($AZ148="", "", (CB148*$CW148)/$CZ148)</f>
        <v/>
      </c>
      <c r="EG148" s="161" t="str">
        <f t="shared" ref="EG148:EG151" si="195">IF($AZ148="", "", (CC148*$CW148)/$CZ148)</f>
        <v/>
      </c>
      <c r="EH148" s="161" t="str">
        <f t="shared" ref="EH148:EH151" si="196">IF($AZ148="", "", (CD148*$CW148)/$CZ148)</f>
        <v/>
      </c>
      <c r="EI148" s="161" t="str">
        <f t="shared" ref="EI148:EI151" si="197">IF($AZ148="", "", (CE148*$CW148)/$CZ148)</f>
        <v/>
      </c>
      <c r="EJ148" s="161" t="str">
        <f t="shared" ref="EJ148:EJ151" si="198">IF($AZ148="", "", (CF148*$CW148)/$CZ148)</f>
        <v/>
      </c>
      <c r="EK148" s="147" t="str">
        <f t="shared" ref="EK148:EK151" si="199">IF(DF148="", "", SUM(DF148:EJ148))</f>
        <v/>
      </c>
      <c r="EL148" s="149"/>
      <c r="EN148" s="146"/>
      <c r="EO148" s="146"/>
      <c r="EP148" s="139" t="str">
        <f t="shared" si="131"/>
        <v/>
      </c>
      <c r="EQ148" s="139" t="str">
        <f t="shared" si="132"/>
        <v/>
      </c>
      <c r="ER148" s="139" t="str">
        <f t="shared" si="133"/>
        <v/>
      </c>
      <c r="ES148" s="139" t="str">
        <f t="shared" si="134"/>
        <v/>
      </c>
      <c r="ET148" s="139" t="str">
        <f t="shared" si="135"/>
        <v/>
      </c>
      <c r="EU148" s="139" t="str">
        <f t="shared" si="136"/>
        <v/>
      </c>
      <c r="EV148" s="139" t="str">
        <f t="shared" si="137"/>
        <v/>
      </c>
      <c r="EW148" s="139" t="str">
        <f t="shared" si="138"/>
        <v/>
      </c>
      <c r="EX148" s="139" t="str">
        <f t="shared" si="139"/>
        <v/>
      </c>
      <c r="EY148" s="139" t="str">
        <f t="shared" si="140"/>
        <v/>
      </c>
      <c r="EZ148" s="139" t="str">
        <f t="shared" si="141"/>
        <v/>
      </c>
      <c r="FA148" s="139" t="str">
        <f t="shared" si="142"/>
        <v/>
      </c>
      <c r="FB148" s="139" t="str">
        <f t="shared" si="143"/>
        <v/>
      </c>
      <c r="FC148" s="139" t="str">
        <f t="shared" si="144"/>
        <v/>
      </c>
      <c r="FD148" s="139" t="str">
        <f t="shared" si="145"/>
        <v/>
      </c>
      <c r="FE148" s="139" t="str">
        <f t="shared" si="146"/>
        <v/>
      </c>
      <c r="FF148" s="139" t="str">
        <f t="shared" si="147"/>
        <v/>
      </c>
      <c r="FG148" s="139" t="str">
        <f t="shared" si="148"/>
        <v/>
      </c>
      <c r="FH148" s="139" t="str">
        <f t="shared" si="149"/>
        <v/>
      </c>
      <c r="FI148" s="139" t="str">
        <f t="shared" si="150"/>
        <v/>
      </c>
      <c r="FJ148" s="139" t="str">
        <f t="shared" si="151"/>
        <v/>
      </c>
      <c r="FK148" s="139" t="str">
        <f t="shared" si="152"/>
        <v/>
      </c>
      <c r="FL148" s="139" t="str">
        <f t="shared" si="153"/>
        <v/>
      </c>
      <c r="FM148" s="139" t="str">
        <f t="shared" si="154"/>
        <v/>
      </c>
      <c r="FN148" s="139" t="str">
        <f t="shared" si="155"/>
        <v/>
      </c>
      <c r="FO148" s="139" t="str">
        <f t="shared" si="156"/>
        <v/>
      </c>
      <c r="FP148" s="139" t="str">
        <f t="shared" si="157"/>
        <v/>
      </c>
      <c r="FQ148" s="139" t="str">
        <f t="shared" si="158"/>
        <v/>
      </c>
      <c r="FR148" s="139" t="str">
        <f t="shared" si="159"/>
        <v/>
      </c>
      <c r="FS148" s="139" t="str">
        <f t="shared" si="160"/>
        <v/>
      </c>
      <c r="FT148" s="139" t="str">
        <f t="shared" si="161"/>
        <v/>
      </c>
      <c r="FU148" s="148" t="str">
        <f t="shared" si="162"/>
        <v/>
      </c>
      <c r="FV148" s="149"/>
      <c r="FY148" s="210">
        <v>143</v>
      </c>
      <c r="FZ148">
        <v>32.999496211227331</v>
      </c>
      <c r="GA148">
        <v>40.567644301515998</v>
      </c>
      <c r="GB148">
        <v>3.0339417689246457</v>
      </c>
      <c r="GC148">
        <v>1.4289617113999669</v>
      </c>
      <c r="GD148">
        <v>0.41983813806419823</v>
      </c>
      <c r="GE148">
        <v>1.0192135790059378</v>
      </c>
      <c r="GF148">
        <v>5.8720739818915231</v>
      </c>
      <c r="GG148">
        <v>5.7479674989174541</v>
      </c>
      <c r="GH148">
        <v>5.4953953015953019</v>
      </c>
      <c r="GI148">
        <v>7.8000390540814513</v>
      </c>
      <c r="GJ148"/>
      <c r="GK148"/>
      <c r="GL148"/>
      <c r="GM148"/>
    </row>
    <row r="149" spans="1:195" s="7" customFormat="1">
      <c r="A149" s="77"/>
      <c r="B149" s="76" t="str">
        <f ca="1">IF(C149="", "", RAND())</f>
        <v/>
      </c>
      <c r="C149" t="s">
        <v>104</v>
      </c>
      <c r="D149" t="s">
        <v>104</v>
      </c>
      <c r="E149" t="s">
        <v>104</v>
      </c>
      <c r="F149" t="s">
        <v>104</v>
      </c>
      <c r="G149" t="s">
        <v>104</v>
      </c>
      <c r="H149" t="s">
        <v>104</v>
      </c>
      <c r="I149" t="s">
        <v>104</v>
      </c>
      <c r="J149" t="s">
        <v>104</v>
      </c>
      <c r="K149" t="s">
        <v>104</v>
      </c>
      <c r="L149" t="s">
        <v>104</v>
      </c>
      <c r="M149" t="s">
        <v>104</v>
      </c>
      <c r="N149" t="s">
        <v>104</v>
      </c>
      <c r="O149" t="s">
        <v>104</v>
      </c>
      <c r="P149" t="s">
        <v>104</v>
      </c>
      <c r="Q149" t="s">
        <v>104</v>
      </c>
      <c r="R149" t="s">
        <v>104</v>
      </c>
      <c r="S149" t="s">
        <v>104</v>
      </c>
      <c r="T149" t="s">
        <v>104</v>
      </c>
      <c r="U149" t="s">
        <v>104</v>
      </c>
      <c r="V149" t="s">
        <v>104</v>
      </c>
      <c r="W149" t="s">
        <v>104</v>
      </c>
      <c r="X149" t="s">
        <v>104</v>
      </c>
      <c r="Y149" t="s">
        <v>104</v>
      </c>
      <c r="Z149" t="s">
        <v>104</v>
      </c>
      <c r="AA149" t="s">
        <v>104</v>
      </c>
      <c r="AB149" t="s">
        <v>104</v>
      </c>
      <c r="AC149" t="s">
        <v>104</v>
      </c>
      <c r="AD149" t="s">
        <v>104</v>
      </c>
      <c r="AE149" t="s">
        <v>104</v>
      </c>
      <c r="AF149" t="s">
        <v>104</v>
      </c>
      <c r="AG149" t="s">
        <v>104</v>
      </c>
      <c r="AH149" t="s">
        <v>104</v>
      </c>
      <c r="AI149" t="s">
        <v>104</v>
      </c>
      <c r="AJ149" s="2"/>
      <c r="AK149" s="80"/>
      <c r="AL149" s="74">
        <v>3.0028000000000028</v>
      </c>
      <c r="AM149" s="43">
        <v>133</v>
      </c>
      <c r="AN149">
        <v>158.09035780281309</v>
      </c>
      <c r="AO149">
        <v>14.083565146456138</v>
      </c>
      <c r="AP149">
        <v>147.96996971452327</v>
      </c>
      <c r="AQ149">
        <v>126.62735867133335</v>
      </c>
      <c r="AR149">
        <v>13.493144000490092</v>
      </c>
      <c r="AS149">
        <v>177.61608796249556</v>
      </c>
      <c r="AT149">
        <v>8.0580645805294626</v>
      </c>
      <c r="AU149">
        <v>30.200459828800916</v>
      </c>
      <c r="AV149"/>
      <c r="AW149"/>
      <c r="AX149" s="151"/>
      <c r="AY149" s="76"/>
      <c r="AZ149" s="226"/>
      <c r="BA149" s="129"/>
      <c r="BB149" s="226">
        <v>0</v>
      </c>
      <c r="BC149" s="226">
        <v>0</v>
      </c>
      <c r="BD149" s="226">
        <v>0</v>
      </c>
      <c r="BE149" s="226">
        <v>0</v>
      </c>
      <c r="BF149" s="226">
        <v>0</v>
      </c>
      <c r="BG149" s="226">
        <v>0</v>
      </c>
      <c r="BH149" s="226">
        <v>0</v>
      </c>
      <c r="BI149" s="226">
        <v>0</v>
      </c>
      <c r="BJ149" s="226">
        <v>0</v>
      </c>
      <c r="BK149" s="226">
        <v>0</v>
      </c>
      <c r="BL149" s="226">
        <v>0</v>
      </c>
      <c r="BM149" s="226">
        <v>0</v>
      </c>
      <c r="BN149" s="226">
        <v>0</v>
      </c>
      <c r="BO149" s="226">
        <v>0</v>
      </c>
      <c r="BP149" s="226">
        <v>0</v>
      </c>
      <c r="BQ149" s="226">
        <v>0</v>
      </c>
      <c r="BR149" s="226">
        <v>0</v>
      </c>
      <c r="BS149" s="226">
        <v>0</v>
      </c>
      <c r="BT149" s="226">
        <v>0</v>
      </c>
      <c r="BU149" s="226">
        <v>0</v>
      </c>
      <c r="BV149" s="226">
        <v>0</v>
      </c>
      <c r="BW149" s="226">
        <v>0</v>
      </c>
      <c r="BX149" s="226">
        <v>0</v>
      </c>
      <c r="BY149" s="226">
        <v>0</v>
      </c>
      <c r="BZ149" s="226">
        <v>0</v>
      </c>
      <c r="CA149" s="226">
        <v>0</v>
      </c>
      <c r="CB149" s="226">
        <v>0</v>
      </c>
      <c r="CC149" s="226">
        <v>0</v>
      </c>
      <c r="CD149" s="226">
        <v>0</v>
      </c>
      <c r="CE149" s="226">
        <v>0</v>
      </c>
      <c r="CF149" s="226">
        <v>0</v>
      </c>
      <c r="CG149" s="147"/>
      <c r="CH149" s="176"/>
      <c r="CJ149" s="151"/>
      <c r="CK149" s="76"/>
      <c r="CL149" s="179"/>
      <c r="CM149" s="180"/>
      <c r="CN149" s="226">
        <v>0</v>
      </c>
      <c r="CO149" s="226">
        <v>0</v>
      </c>
      <c r="CP149" s="226">
        <v>0</v>
      </c>
      <c r="CQ149" s="226">
        <v>0</v>
      </c>
      <c r="CR149" s="226">
        <v>0</v>
      </c>
      <c r="CS149" s="226">
        <v>0</v>
      </c>
      <c r="CT149" s="226">
        <v>0</v>
      </c>
      <c r="CU149" s="226">
        <v>0</v>
      </c>
      <c r="CV149" s="160"/>
      <c r="CW149" s="226"/>
      <c r="CX149" s="226"/>
      <c r="CY149" s="160"/>
      <c r="CZ149" s="177" t="str">
        <f t="shared" si="91"/>
        <v/>
      </c>
      <c r="DB149" s="151"/>
      <c r="DC149" s="76" t="str">
        <f t="shared" ca="1" si="49"/>
        <v/>
      </c>
      <c r="DD149" s="226" t="str">
        <f t="shared" si="92"/>
        <v/>
      </c>
      <c r="DE149" s="129" t="str">
        <f t="shared" si="167"/>
        <v/>
      </c>
      <c r="DF149" s="161" t="str">
        <f t="shared" si="168"/>
        <v/>
      </c>
      <c r="DG149" s="161" t="str">
        <f t="shared" si="169"/>
        <v/>
      </c>
      <c r="DH149" s="161" t="str">
        <f t="shared" si="170"/>
        <v/>
      </c>
      <c r="DI149" s="161" t="str">
        <f t="shared" si="171"/>
        <v/>
      </c>
      <c r="DJ149" s="161" t="str">
        <f t="shared" si="172"/>
        <v/>
      </c>
      <c r="DK149" s="161" t="str">
        <f t="shared" si="173"/>
        <v/>
      </c>
      <c r="DL149" s="161" t="str">
        <f t="shared" si="174"/>
        <v/>
      </c>
      <c r="DM149" s="161" t="str">
        <f t="shared" si="175"/>
        <v/>
      </c>
      <c r="DN149" s="161" t="str">
        <f t="shared" si="176"/>
        <v/>
      </c>
      <c r="DO149" s="161" t="str">
        <f t="shared" si="177"/>
        <v/>
      </c>
      <c r="DP149" s="161" t="str">
        <f t="shared" si="178"/>
        <v/>
      </c>
      <c r="DQ149" s="161" t="str">
        <f t="shared" si="179"/>
        <v/>
      </c>
      <c r="DR149" s="161" t="str">
        <f t="shared" si="180"/>
        <v/>
      </c>
      <c r="DS149" s="161" t="str">
        <f t="shared" si="181"/>
        <v/>
      </c>
      <c r="DT149" s="161" t="str">
        <f t="shared" si="182"/>
        <v/>
      </c>
      <c r="DU149" s="161" t="str">
        <f t="shared" si="183"/>
        <v/>
      </c>
      <c r="DV149" s="161" t="str">
        <f t="shared" si="184"/>
        <v/>
      </c>
      <c r="DW149" s="161" t="str">
        <f t="shared" si="185"/>
        <v/>
      </c>
      <c r="DX149" s="161" t="str">
        <f t="shared" si="186"/>
        <v/>
      </c>
      <c r="DY149" s="161" t="str">
        <f t="shared" si="187"/>
        <v/>
      </c>
      <c r="DZ149" s="161" t="str">
        <f t="shared" si="188"/>
        <v/>
      </c>
      <c r="EA149" s="161" t="str">
        <f t="shared" si="189"/>
        <v/>
      </c>
      <c r="EB149" s="161" t="str">
        <f t="shared" si="190"/>
        <v/>
      </c>
      <c r="EC149" s="161" t="str">
        <f t="shared" si="191"/>
        <v/>
      </c>
      <c r="ED149" s="161" t="str">
        <f t="shared" si="192"/>
        <v/>
      </c>
      <c r="EE149" s="161" t="str">
        <f t="shared" si="193"/>
        <v/>
      </c>
      <c r="EF149" s="161" t="str">
        <f t="shared" si="194"/>
        <v/>
      </c>
      <c r="EG149" s="161" t="str">
        <f t="shared" si="195"/>
        <v/>
      </c>
      <c r="EH149" s="161" t="str">
        <f t="shared" si="196"/>
        <v/>
      </c>
      <c r="EI149" s="161" t="str">
        <f t="shared" si="197"/>
        <v/>
      </c>
      <c r="EJ149" s="161" t="str">
        <f t="shared" si="198"/>
        <v/>
      </c>
      <c r="EK149" s="147" t="str">
        <f t="shared" si="199"/>
        <v/>
      </c>
      <c r="EL149" s="149"/>
      <c r="EN149" s="151"/>
      <c r="EO149" s="151"/>
      <c r="EP149" s="139" t="str">
        <f t="shared" si="131"/>
        <v/>
      </c>
      <c r="EQ149" s="139" t="str">
        <f t="shared" si="132"/>
        <v/>
      </c>
      <c r="ER149" s="139" t="str">
        <f t="shared" si="133"/>
        <v/>
      </c>
      <c r="ES149" s="139" t="str">
        <f t="shared" si="134"/>
        <v/>
      </c>
      <c r="ET149" s="139" t="str">
        <f t="shared" si="135"/>
        <v/>
      </c>
      <c r="EU149" s="139" t="str">
        <f t="shared" si="136"/>
        <v/>
      </c>
      <c r="EV149" s="139" t="str">
        <f t="shared" si="137"/>
        <v/>
      </c>
      <c r="EW149" s="139" t="str">
        <f t="shared" si="138"/>
        <v/>
      </c>
      <c r="EX149" s="139" t="str">
        <f t="shared" si="139"/>
        <v/>
      </c>
      <c r="EY149" s="139" t="str">
        <f t="shared" si="140"/>
        <v/>
      </c>
      <c r="EZ149" s="139" t="str">
        <f t="shared" si="141"/>
        <v/>
      </c>
      <c r="FA149" s="139" t="str">
        <f t="shared" si="142"/>
        <v/>
      </c>
      <c r="FB149" s="139" t="str">
        <f t="shared" si="143"/>
        <v/>
      </c>
      <c r="FC149" s="139" t="str">
        <f t="shared" si="144"/>
        <v/>
      </c>
      <c r="FD149" s="139" t="str">
        <f t="shared" si="145"/>
        <v/>
      </c>
      <c r="FE149" s="139" t="str">
        <f t="shared" si="146"/>
        <v/>
      </c>
      <c r="FF149" s="139" t="str">
        <f t="shared" si="147"/>
        <v/>
      </c>
      <c r="FG149" s="139" t="str">
        <f t="shared" si="148"/>
        <v/>
      </c>
      <c r="FH149" s="139" t="str">
        <f t="shared" si="149"/>
        <v/>
      </c>
      <c r="FI149" s="139" t="str">
        <f t="shared" si="150"/>
        <v/>
      </c>
      <c r="FJ149" s="139" t="str">
        <f t="shared" si="151"/>
        <v/>
      </c>
      <c r="FK149" s="139" t="str">
        <f t="shared" si="152"/>
        <v/>
      </c>
      <c r="FL149" s="139" t="str">
        <f t="shared" si="153"/>
        <v/>
      </c>
      <c r="FM149" s="139" t="str">
        <f t="shared" si="154"/>
        <v/>
      </c>
      <c r="FN149" s="139" t="str">
        <f t="shared" si="155"/>
        <v/>
      </c>
      <c r="FO149" s="139" t="str">
        <f t="shared" si="156"/>
        <v/>
      </c>
      <c r="FP149" s="139" t="str">
        <f t="shared" si="157"/>
        <v/>
      </c>
      <c r="FQ149" s="139" t="str">
        <f t="shared" si="158"/>
        <v/>
      </c>
      <c r="FR149" s="139" t="str">
        <f t="shared" si="159"/>
        <v/>
      </c>
      <c r="FS149" s="139" t="str">
        <f t="shared" si="160"/>
        <v/>
      </c>
      <c r="FT149" s="139" t="str">
        <f t="shared" si="161"/>
        <v/>
      </c>
      <c r="FU149" s="148" t="str">
        <f t="shared" si="162"/>
        <v/>
      </c>
      <c r="FV149" s="149"/>
      <c r="FY149" s="210">
        <v>144</v>
      </c>
      <c r="FZ149">
        <v>34.21048566071093</v>
      </c>
      <c r="GA149">
        <v>39.289836073428361</v>
      </c>
      <c r="GB149">
        <v>2.3175232028491064</v>
      </c>
      <c r="GC149">
        <v>1.5564254485725304</v>
      </c>
      <c r="GD149">
        <v>0.94531438318259164</v>
      </c>
      <c r="GE149">
        <v>2.7448181750809804</v>
      </c>
      <c r="GF149">
        <v>13.150290876969205</v>
      </c>
      <c r="GG149">
        <v>11.030475425816272</v>
      </c>
      <c r="GH149">
        <v>5.4319873465352195</v>
      </c>
      <c r="GI149">
        <v>9.4101404531857238</v>
      </c>
      <c r="GJ149"/>
      <c r="GK149"/>
      <c r="GL149"/>
      <c r="GM149"/>
    </row>
    <row r="150" spans="1:195" s="7" customFormat="1">
      <c r="A150" s="77"/>
      <c r="B150" s="76">
        <f ca="1">IF(C150="", "", RAND())</f>
        <v>0.31611356400949919</v>
      </c>
      <c r="C150">
        <v>9</v>
      </c>
      <c r="D150">
        <v>39847</v>
      </c>
      <c r="E150">
        <v>0</v>
      </c>
      <c r="F150">
        <v>65.104166666666671</v>
      </c>
      <c r="G150">
        <v>0</v>
      </c>
      <c r="H150">
        <v>10.416666666666666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 s="2"/>
      <c r="AK150" s="80"/>
      <c r="AL150" s="74">
        <v>3.0028000000000028</v>
      </c>
      <c r="AM150" s="43">
        <v>134</v>
      </c>
      <c r="AN150">
        <v>147.98017419892182</v>
      </c>
      <c r="AO150">
        <v>20.475022412112313</v>
      </c>
      <c r="AP150">
        <v>227.11281973744974</v>
      </c>
      <c r="AQ150">
        <v>194.96450030368248</v>
      </c>
      <c r="AR150">
        <v>19.786636447070769</v>
      </c>
      <c r="AS150">
        <v>286.24103194668805</v>
      </c>
      <c r="AT150">
        <v>12.516712902806105</v>
      </c>
      <c r="AU150">
        <v>87.018287538292981</v>
      </c>
      <c r="AV150"/>
      <c r="AW150"/>
      <c r="AX150" s="151"/>
      <c r="AY150" s="76">
        <f ca="1">IF(AZ150="", "", RAND())</f>
        <v>0.19581327058353626</v>
      </c>
      <c r="AZ150">
        <v>1</v>
      </c>
      <c r="BA150" s="129">
        <f>IF(AZ150="", "",$C$10)</f>
        <v>39847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 s="147"/>
      <c r="CH150" s="176"/>
      <c r="CJ150" s="151"/>
      <c r="CK150" s="76">
        <f ca="1">IF(AZ150="", "", RAND())</f>
        <v>9.3153056279679847E-2</v>
      </c>
      <c r="CL150" s="179">
        <f>IF(AZ150="", "", AZ150)</f>
        <v>1</v>
      </c>
      <c r="CM150" s="180">
        <f>IF(AZ150="", "", BA150)</f>
        <v>39847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 s="160"/>
      <c r="CW150">
        <v>1</v>
      </c>
      <c r="CX150">
        <v>1</v>
      </c>
      <c r="CY150" s="160"/>
      <c r="CZ150" s="177">
        <f t="shared" ref="CZ150:CZ151" si="200">IF(AZ152="", "", $G$15)</f>
        <v>9.6000000000000002E-2</v>
      </c>
      <c r="DB150" s="151"/>
      <c r="DC150" s="76">
        <f t="shared" ca="1" si="49"/>
        <v>0.31871165386534184</v>
      </c>
      <c r="DD150" s="226">
        <f t="shared" si="92"/>
        <v>1</v>
      </c>
      <c r="DE150" s="129">
        <f t="shared" si="167"/>
        <v>39847</v>
      </c>
      <c r="DF150" s="161">
        <f t="shared" si="168"/>
        <v>0</v>
      </c>
      <c r="DG150" s="161">
        <f t="shared" si="169"/>
        <v>0</v>
      </c>
      <c r="DH150" s="161">
        <f t="shared" si="170"/>
        <v>0</v>
      </c>
      <c r="DI150" s="161">
        <f t="shared" si="171"/>
        <v>0</v>
      </c>
      <c r="DJ150" s="161">
        <f t="shared" si="172"/>
        <v>0</v>
      </c>
      <c r="DK150" s="161">
        <f t="shared" si="173"/>
        <v>10.416666666666666</v>
      </c>
      <c r="DL150" s="161">
        <f t="shared" si="174"/>
        <v>0</v>
      </c>
      <c r="DM150" s="161">
        <f t="shared" si="175"/>
        <v>0</v>
      </c>
      <c r="DN150" s="161">
        <f t="shared" si="176"/>
        <v>0</v>
      </c>
      <c r="DO150" s="161">
        <f t="shared" si="177"/>
        <v>0</v>
      </c>
      <c r="DP150" s="161">
        <f t="shared" si="178"/>
        <v>0</v>
      </c>
      <c r="DQ150" s="161">
        <f t="shared" si="179"/>
        <v>0</v>
      </c>
      <c r="DR150" s="161">
        <f t="shared" si="180"/>
        <v>0</v>
      </c>
      <c r="DS150" s="161">
        <f t="shared" si="181"/>
        <v>0</v>
      </c>
      <c r="DT150" s="161">
        <f t="shared" si="182"/>
        <v>0</v>
      </c>
      <c r="DU150" s="161">
        <f t="shared" si="183"/>
        <v>0</v>
      </c>
      <c r="DV150" s="161">
        <f t="shared" si="184"/>
        <v>0</v>
      </c>
      <c r="DW150" s="161">
        <f t="shared" si="185"/>
        <v>0</v>
      </c>
      <c r="DX150" s="161">
        <f t="shared" si="186"/>
        <v>0</v>
      </c>
      <c r="DY150" s="161">
        <f t="shared" si="187"/>
        <v>0</v>
      </c>
      <c r="DZ150" s="161">
        <f t="shared" si="188"/>
        <v>0</v>
      </c>
      <c r="EA150" s="161">
        <f t="shared" si="189"/>
        <v>0</v>
      </c>
      <c r="EB150" s="161">
        <f t="shared" si="190"/>
        <v>0</v>
      </c>
      <c r="EC150" s="161">
        <f t="shared" si="191"/>
        <v>0</v>
      </c>
      <c r="ED150" s="161">
        <f t="shared" si="192"/>
        <v>0</v>
      </c>
      <c r="EE150" s="161">
        <f t="shared" si="193"/>
        <v>0</v>
      </c>
      <c r="EF150" s="161">
        <f t="shared" si="194"/>
        <v>0</v>
      </c>
      <c r="EG150" s="161">
        <f t="shared" si="195"/>
        <v>0</v>
      </c>
      <c r="EH150" s="161">
        <f t="shared" si="196"/>
        <v>0</v>
      </c>
      <c r="EI150" s="161">
        <f t="shared" si="197"/>
        <v>0</v>
      </c>
      <c r="EJ150" s="161">
        <f t="shared" si="198"/>
        <v>0</v>
      </c>
      <c r="EK150" s="147">
        <f t="shared" si="199"/>
        <v>10.416666666666666</v>
      </c>
      <c r="EL150" s="149"/>
      <c r="EN150" s="151"/>
      <c r="EO150" s="151"/>
      <c r="EP150" s="139">
        <f t="shared" si="131"/>
        <v>0</v>
      </c>
      <c r="EQ150" s="139">
        <f t="shared" si="132"/>
        <v>0</v>
      </c>
      <c r="ER150" s="139">
        <f t="shared" si="133"/>
        <v>0</v>
      </c>
      <c r="ES150" s="139">
        <f t="shared" si="134"/>
        <v>0</v>
      </c>
      <c r="ET150" s="139">
        <f t="shared" si="135"/>
        <v>0</v>
      </c>
      <c r="EU150" s="139">
        <f t="shared" si="136"/>
        <v>3.5160673928895911</v>
      </c>
      <c r="EV150" s="139">
        <f t="shared" si="137"/>
        <v>0</v>
      </c>
      <c r="EW150" s="139">
        <f t="shared" si="138"/>
        <v>0</v>
      </c>
      <c r="EX150" s="139">
        <f t="shared" si="139"/>
        <v>0</v>
      </c>
      <c r="EY150" s="139">
        <f t="shared" si="140"/>
        <v>0</v>
      </c>
      <c r="EZ150" s="139">
        <f t="shared" si="141"/>
        <v>0</v>
      </c>
      <c r="FA150" s="139">
        <f t="shared" si="142"/>
        <v>0</v>
      </c>
      <c r="FB150" s="139">
        <f t="shared" si="143"/>
        <v>0</v>
      </c>
      <c r="FC150" s="139">
        <f t="shared" si="144"/>
        <v>0</v>
      </c>
      <c r="FD150" s="139">
        <f t="shared" si="145"/>
        <v>0</v>
      </c>
      <c r="FE150" s="139">
        <f t="shared" si="146"/>
        <v>0</v>
      </c>
      <c r="FF150" s="139">
        <f t="shared" si="147"/>
        <v>0</v>
      </c>
      <c r="FG150" s="139">
        <f t="shared" si="148"/>
        <v>0</v>
      </c>
      <c r="FH150" s="139">
        <f t="shared" si="149"/>
        <v>0</v>
      </c>
      <c r="FI150" s="139">
        <f t="shared" si="150"/>
        <v>0</v>
      </c>
      <c r="FJ150" s="139">
        <f t="shared" si="151"/>
        <v>0</v>
      </c>
      <c r="FK150" s="139">
        <f t="shared" si="152"/>
        <v>0</v>
      </c>
      <c r="FL150" s="139">
        <f t="shared" si="153"/>
        <v>0</v>
      </c>
      <c r="FM150" s="139">
        <f t="shared" si="154"/>
        <v>0</v>
      </c>
      <c r="FN150" s="139">
        <f t="shared" si="155"/>
        <v>0</v>
      </c>
      <c r="FO150" s="139">
        <f t="shared" si="156"/>
        <v>0</v>
      </c>
      <c r="FP150" s="139">
        <f t="shared" si="157"/>
        <v>0</v>
      </c>
      <c r="FQ150" s="139">
        <f t="shared" si="158"/>
        <v>0</v>
      </c>
      <c r="FR150" s="139">
        <f t="shared" si="159"/>
        <v>0</v>
      </c>
      <c r="FS150" s="139">
        <f t="shared" si="160"/>
        <v>0</v>
      </c>
      <c r="FT150" s="139">
        <f t="shared" si="161"/>
        <v>0</v>
      </c>
      <c r="FU150" s="148">
        <f t="shared" si="162"/>
        <v>3.5160673928895911</v>
      </c>
      <c r="FV150" s="149"/>
      <c r="FY150" s="210">
        <v>145</v>
      </c>
      <c r="FZ150">
        <v>25.174717776190491</v>
      </c>
      <c r="GA150">
        <v>28.222396143975534</v>
      </c>
      <c r="GB150">
        <v>2.6706994883723363</v>
      </c>
      <c r="GC150">
        <v>1.1125494368724227</v>
      </c>
      <c r="GD150">
        <v>1.249744317233096</v>
      </c>
      <c r="GE150">
        <v>2.6527495505834651</v>
      </c>
      <c r="GF150">
        <v>1.8441129229198288</v>
      </c>
      <c r="GG150">
        <v>5.37493584381129</v>
      </c>
      <c r="GH150">
        <v>8.8471605117133887</v>
      </c>
      <c r="GI150">
        <v>6.8538624294059378</v>
      </c>
      <c r="GJ150"/>
      <c r="GK150"/>
      <c r="GL150"/>
      <c r="GM150"/>
    </row>
    <row r="151" spans="1:195" s="7" customFormat="1">
      <c r="A151" s="77"/>
      <c r="B151" s="76">
        <f ca="1">IF(C151="", "", RAND())</f>
        <v>0.36678859108021644</v>
      </c>
      <c r="C151">
        <v>2</v>
      </c>
      <c r="D151">
        <v>39847</v>
      </c>
      <c r="E151">
        <v>0</v>
      </c>
      <c r="F151">
        <v>341.796875</v>
      </c>
      <c r="G151">
        <v>569.66145833333337</v>
      </c>
      <c r="H151">
        <v>113.93229166666666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 s="2"/>
      <c r="AK151" s="80"/>
      <c r="AL151" s="74">
        <v>3.0028000000000028</v>
      </c>
      <c r="AM151" s="43">
        <v>135</v>
      </c>
      <c r="AN151">
        <v>68.627471354709712</v>
      </c>
      <c r="AO151">
        <v>9.156925525417936</v>
      </c>
      <c r="AP151">
        <v>89.868842886928007</v>
      </c>
      <c r="AQ151">
        <v>78.939962095583127</v>
      </c>
      <c r="AR151">
        <v>9.2742305951377286</v>
      </c>
      <c r="AS151">
        <v>126.54908188921043</v>
      </c>
      <c r="AT151" t="e">
        <v>#DIV/0!</v>
      </c>
      <c r="AU151" t="e">
        <v>#DIV/0!</v>
      </c>
      <c r="AV151"/>
      <c r="AW151"/>
      <c r="AX151" s="151"/>
      <c r="AY151" s="76">
        <f ca="1">IF(AZ151="", "", RAND())</f>
        <v>0.67824220818167791</v>
      </c>
      <c r="AZ151">
        <v>2</v>
      </c>
      <c r="BA151" s="129">
        <f>IF(AZ151="", "",$C$10)</f>
        <v>39847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 s="147"/>
      <c r="CH151" s="176"/>
      <c r="CJ151" s="151"/>
      <c r="CK151" s="76">
        <f ca="1">IF(AZ151="", "", RAND())</f>
        <v>0.78748823345942576</v>
      </c>
      <c r="CL151" s="179">
        <f>IF(AZ151="", "", AZ151)</f>
        <v>2</v>
      </c>
      <c r="CM151" s="180">
        <f>IF(AZ151="", "", BA151)</f>
        <v>39847</v>
      </c>
      <c r="CN151">
        <v>0</v>
      </c>
      <c r="CO151">
        <v>3</v>
      </c>
      <c r="CP151">
        <v>5</v>
      </c>
      <c r="CQ151">
        <v>1</v>
      </c>
      <c r="CR151">
        <v>0</v>
      </c>
      <c r="CS151">
        <v>0</v>
      </c>
      <c r="CT151">
        <v>0</v>
      </c>
      <c r="CU151">
        <v>0</v>
      </c>
      <c r="CV151" s="160"/>
      <c r="CW151">
        <f>40/12</f>
        <v>3.3333333333333335</v>
      </c>
      <c r="CX151">
        <f>350/32</f>
        <v>10.9375</v>
      </c>
      <c r="CY151" s="160"/>
      <c r="CZ151" s="177">
        <f t="shared" si="200"/>
        <v>9.6000000000000002E-2</v>
      </c>
      <c r="DB151" s="151"/>
      <c r="DC151" s="76">
        <f t="shared" ca="1" si="49"/>
        <v>0.51186839854570731</v>
      </c>
      <c r="DD151" s="226">
        <f t="shared" si="92"/>
        <v>2</v>
      </c>
      <c r="DE151" s="129">
        <f t="shared" si="167"/>
        <v>39847</v>
      </c>
      <c r="DF151" s="161">
        <f t="shared" si="168"/>
        <v>0</v>
      </c>
      <c r="DG151" s="161">
        <f t="shared" si="169"/>
        <v>341.796875</v>
      </c>
      <c r="DH151" s="161">
        <f t="shared" si="170"/>
        <v>569.66145833333337</v>
      </c>
      <c r="DI151" s="161">
        <f t="shared" si="171"/>
        <v>113.93229166666666</v>
      </c>
      <c r="DJ151" s="161">
        <f t="shared" si="172"/>
        <v>0</v>
      </c>
      <c r="DK151" s="161">
        <f t="shared" si="173"/>
        <v>0</v>
      </c>
      <c r="DL151" s="161">
        <f t="shared" si="174"/>
        <v>0</v>
      </c>
      <c r="DM151" s="161">
        <f t="shared" si="175"/>
        <v>0</v>
      </c>
      <c r="DN151" s="161">
        <f t="shared" si="176"/>
        <v>0</v>
      </c>
      <c r="DO151" s="161">
        <f t="shared" si="177"/>
        <v>0</v>
      </c>
      <c r="DP151" s="161">
        <f t="shared" si="178"/>
        <v>0</v>
      </c>
      <c r="DQ151" s="161">
        <f t="shared" si="179"/>
        <v>0</v>
      </c>
      <c r="DR151" s="161">
        <f t="shared" si="180"/>
        <v>0</v>
      </c>
      <c r="DS151" s="161">
        <f t="shared" si="181"/>
        <v>0</v>
      </c>
      <c r="DT151" s="161">
        <f t="shared" si="182"/>
        <v>0</v>
      </c>
      <c r="DU151" s="161">
        <f t="shared" si="183"/>
        <v>0</v>
      </c>
      <c r="DV151" s="161">
        <f t="shared" si="184"/>
        <v>0</v>
      </c>
      <c r="DW151" s="161">
        <f t="shared" si="185"/>
        <v>0</v>
      </c>
      <c r="DX151" s="161">
        <f t="shared" si="186"/>
        <v>0</v>
      </c>
      <c r="DY151" s="161">
        <f t="shared" si="187"/>
        <v>0</v>
      </c>
      <c r="DZ151" s="161">
        <f t="shared" si="188"/>
        <v>0</v>
      </c>
      <c r="EA151" s="161">
        <f t="shared" si="189"/>
        <v>0</v>
      </c>
      <c r="EB151" s="161">
        <f t="shared" si="190"/>
        <v>0</v>
      </c>
      <c r="EC151" s="161">
        <f t="shared" si="191"/>
        <v>0</v>
      </c>
      <c r="ED151" s="161">
        <f t="shared" si="192"/>
        <v>0</v>
      </c>
      <c r="EE151" s="161">
        <f t="shared" si="193"/>
        <v>0</v>
      </c>
      <c r="EF151" s="161">
        <f t="shared" si="194"/>
        <v>0</v>
      </c>
      <c r="EG151" s="161">
        <f t="shared" si="195"/>
        <v>0</v>
      </c>
      <c r="EH151" s="161">
        <f t="shared" si="196"/>
        <v>0</v>
      </c>
      <c r="EI151" s="161">
        <f t="shared" si="197"/>
        <v>0</v>
      </c>
      <c r="EJ151" s="161">
        <f t="shared" si="198"/>
        <v>0</v>
      </c>
      <c r="EK151" s="147">
        <f t="shared" si="199"/>
        <v>1025.390625</v>
      </c>
      <c r="EL151" s="149"/>
      <c r="EN151" s="151"/>
      <c r="EO151" s="151"/>
      <c r="EP151" s="139">
        <f t="shared" si="131"/>
        <v>0</v>
      </c>
      <c r="EQ151" s="139">
        <f t="shared" si="132"/>
        <v>1.2591796875000001</v>
      </c>
      <c r="ER151" s="139">
        <f t="shared" si="133"/>
        <v>14.686816092051648</v>
      </c>
      <c r="ES151" s="139">
        <f t="shared" si="134"/>
        <v>9.1673923002650533</v>
      </c>
      <c r="ET151" s="139">
        <f t="shared" si="135"/>
        <v>0</v>
      </c>
      <c r="EU151" s="139">
        <f t="shared" si="136"/>
        <v>0</v>
      </c>
      <c r="EV151" s="139">
        <f t="shared" si="137"/>
        <v>0</v>
      </c>
      <c r="EW151" s="139">
        <f t="shared" si="138"/>
        <v>0</v>
      </c>
      <c r="EX151" s="139">
        <f t="shared" si="139"/>
        <v>0</v>
      </c>
      <c r="EY151" s="139">
        <f t="shared" si="140"/>
        <v>0</v>
      </c>
      <c r="EZ151" s="139">
        <f t="shared" si="141"/>
        <v>0</v>
      </c>
      <c r="FA151" s="139">
        <f t="shared" si="142"/>
        <v>0</v>
      </c>
      <c r="FB151" s="139">
        <f t="shared" si="143"/>
        <v>0</v>
      </c>
      <c r="FC151" s="139">
        <f t="shared" si="144"/>
        <v>0</v>
      </c>
      <c r="FD151" s="139">
        <f t="shared" si="145"/>
        <v>0</v>
      </c>
      <c r="FE151" s="139">
        <f t="shared" si="146"/>
        <v>0</v>
      </c>
      <c r="FF151" s="139">
        <f t="shared" si="147"/>
        <v>0</v>
      </c>
      <c r="FG151" s="139">
        <f t="shared" si="148"/>
        <v>0</v>
      </c>
      <c r="FH151" s="139">
        <f t="shared" si="149"/>
        <v>0</v>
      </c>
      <c r="FI151" s="139">
        <f t="shared" si="150"/>
        <v>0</v>
      </c>
      <c r="FJ151" s="139">
        <f t="shared" si="151"/>
        <v>0</v>
      </c>
      <c r="FK151" s="139">
        <f t="shared" si="152"/>
        <v>0</v>
      </c>
      <c r="FL151" s="139">
        <f t="shared" si="153"/>
        <v>0</v>
      </c>
      <c r="FM151" s="139">
        <f t="shared" si="154"/>
        <v>0</v>
      </c>
      <c r="FN151" s="139">
        <f t="shared" si="155"/>
        <v>0</v>
      </c>
      <c r="FO151" s="139">
        <f t="shared" si="156"/>
        <v>0</v>
      </c>
      <c r="FP151" s="139">
        <f t="shared" si="157"/>
        <v>0</v>
      </c>
      <c r="FQ151" s="139">
        <f t="shared" si="158"/>
        <v>0</v>
      </c>
      <c r="FR151" s="139">
        <f t="shared" si="159"/>
        <v>0</v>
      </c>
      <c r="FS151" s="139">
        <f t="shared" si="160"/>
        <v>0</v>
      </c>
      <c r="FT151" s="139">
        <f t="shared" si="161"/>
        <v>0</v>
      </c>
      <c r="FU151" s="148">
        <f t="shared" si="162"/>
        <v>25.113388079816701</v>
      </c>
      <c r="FV151" s="149"/>
      <c r="FY151" s="210">
        <v>146</v>
      </c>
      <c r="FZ151">
        <v>32.430518809550229</v>
      </c>
      <c r="GA151">
        <v>40.407533346850286</v>
      </c>
      <c r="GB151">
        <v>3.5644805381563285</v>
      </c>
      <c r="GC151">
        <v>1.7374431571998974</v>
      </c>
      <c r="GD151">
        <v>1.292990027926626</v>
      </c>
      <c r="GE151">
        <v>4.3273376476932226</v>
      </c>
      <c r="GF151">
        <v>15.558131254219754</v>
      </c>
      <c r="GG151">
        <v>14.764495711875117</v>
      </c>
      <c r="GH151">
        <v>8.7012046981053413</v>
      </c>
      <c r="GI151">
        <v>10.621333228143103</v>
      </c>
      <c r="GJ151"/>
      <c r="GK151"/>
      <c r="GL151"/>
      <c r="GM151"/>
    </row>
    <row r="152" spans="1:195" s="7" customFormat="1">
      <c r="A152" s="77"/>
      <c r="B152" s="76">
        <f ca="1">IF(C152="", "", RAND())</f>
        <v>0.17492689735132139</v>
      </c>
      <c r="C152">
        <v>6</v>
      </c>
      <c r="D152">
        <v>39847</v>
      </c>
      <c r="E152">
        <v>0</v>
      </c>
      <c r="F152">
        <v>10.416666666666666</v>
      </c>
      <c r="G152">
        <v>10.416666666666666</v>
      </c>
      <c r="H152">
        <v>0</v>
      </c>
      <c r="I152">
        <v>20.833333333333332</v>
      </c>
      <c r="J152">
        <v>0</v>
      </c>
      <c r="K152">
        <v>10.416666666666666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 s="2"/>
      <c r="AK152" s="80"/>
      <c r="AL152" s="74"/>
      <c r="AM152" s="43">
        <v>136</v>
      </c>
      <c r="AN152">
        <v>162.1680207806684</v>
      </c>
      <c r="AO152">
        <v>15.765916604134697</v>
      </c>
      <c r="AP152">
        <v>162.26998307113567</v>
      </c>
      <c r="AQ152">
        <v>136.62025861243498</v>
      </c>
      <c r="AR152">
        <v>15.044661508791634</v>
      </c>
      <c r="AS152">
        <v>263.20029834748277</v>
      </c>
      <c r="AT152">
        <v>9.2121119357159582</v>
      </c>
      <c r="AU152">
        <v>36.553126796383665</v>
      </c>
      <c r="AV152"/>
      <c r="AW152"/>
      <c r="AX152" s="151"/>
      <c r="AY152" s="76">
        <f t="shared" ref="AY152:AY207" ca="1" si="201">IF(AZ152="", "", RAND())</f>
        <v>5.5378927988849691E-2</v>
      </c>
      <c r="AZ152">
        <v>5</v>
      </c>
      <c r="BA152" s="129">
        <f t="shared" ref="BA152:BA157" si="202">IF(AZ152="", "",$C$10)</f>
        <v>39847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 s="147"/>
      <c r="CH152" s="176"/>
      <c r="CJ152" s="151"/>
      <c r="CK152" s="76">
        <f t="shared" ca="1" si="88"/>
        <v>0.9617964237495702</v>
      </c>
      <c r="CL152" s="179">
        <f t="shared" si="89"/>
        <v>5</v>
      </c>
      <c r="CM152" s="180">
        <f t="shared" si="90"/>
        <v>39847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 s="160"/>
      <c r="CW152">
        <v>1</v>
      </c>
      <c r="CX152">
        <v>1</v>
      </c>
      <c r="CY152" s="160"/>
      <c r="CZ152" s="177">
        <f t="shared" si="91"/>
        <v>9.6000000000000002E-2</v>
      </c>
      <c r="DB152" s="151"/>
      <c r="DC152" s="76">
        <f t="shared" ref="DC152:DC207" ca="1" si="203">IF(DD152="", "", RAND())</f>
        <v>0.96621684212395387</v>
      </c>
      <c r="DD152">
        <f t="shared" si="92"/>
        <v>5</v>
      </c>
      <c r="DE152" s="129">
        <f t="shared" si="167"/>
        <v>39847</v>
      </c>
      <c r="DF152" s="161">
        <f t="shared" si="93"/>
        <v>0</v>
      </c>
      <c r="DG152" s="161">
        <f t="shared" si="94"/>
        <v>0</v>
      </c>
      <c r="DH152" s="161">
        <f t="shared" si="95"/>
        <v>0</v>
      </c>
      <c r="DI152" s="161">
        <f t="shared" si="96"/>
        <v>0</v>
      </c>
      <c r="DJ152" s="161">
        <f t="shared" si="97"/>
        <v>0</v>
      </c>
      <c r="DK152" s="161">
        <f t="shared" si="98"/>
        <v>0</v>
      </c>
      <c r="DL152" s="161">
        <f t="shared" si="99"/>
        <v>0</v>
      </c>
      <c r="DM152" s="161">
        <f t="shared" si="100"/>
        <v>0</v>
      </c>
      <c r="DN152" s="161">
        <f t="shared" si="101"/>
        <v>0</v>
      </c>
      <c r="DO152" s="161">
        <f t="shared" si="102"/>
        <v>0</v>
      </c>
      <c r="DP152" s="161">
        <f t="shared" si="103"/>
        <v>0</v>
      </c>
      <c r="DQ152" s="161">
        <f t="shared" si="104"/>
        <v>0</v>
      </c>
      <c r="DR152" s="161">
        <f t="shared" si="105"/>
        <v>0</v>
      </c>
      <c r="DS152" s="161">
        <f t="shared" si="106"/>
        <v>0</v>
      </c>
      <c r="DT152" s="161">
        <f t="shared" si="107"/>
        <v>0</v>
      </c>
      <c r="DU152" s="161">
        <f t="shared" si="108"/>
        <v>0</v>
      </c>
      <c r="DV152" s="161">
        <f t="shared" si="109"/>
        <v>0</v>
      </c>
      <c r="DW152" s="161">
        <f t="shared" si="110"/>
        <v>0</v>
      </c>
      <c r="DX152" s="161">
        <f t="shared" si="111"/>
        <v>0</v>
      </c>
      <c r="DY152" s="161">
        <f t="shared" si="112"/>
        <v>0</v>
      </c>
      <c r="DZ152" s="161">
        <f t="shared" si="113"/>
        <v>0</v>
      </c>
      <c r="EA152" s="161">
        <f t="shared" si="114"/>
        <v>0</v>
      </c>
      <c r="EB152" s="161">
        <f t="shared" si="115"/>
        <v>0</v>
      </c>
      <c r="EC152" s="161">
        <f t="shared" si="116"/>
        <v>0</v>
      </c>
      <c r="ED152" s="161">
        <f t="shared" si="117"/>
        <v>0</v>
      </c>
      <c r="EE152" s="161">
        <f t="shared" si="118"/>
        <v>0</v>
      </c>
      <c r="EF152" s="161">
        <f t="shared" si="119"/>
        <v>0</v>
      </c>
      <c r="EG152" s="161">
        <f t="shared" si="120"/>
        <v>0</v>
      </c>
      <c r="EH152" s="161">
        <f t="shared" si="121"/>
        <v>0</v>
      </c>
      <c r="EI152" s="161">
        <f t="shared" si="122"/>
        <v>0</v>
      </c>
      <c r="EJ152" s="161">
        <f t="shared" si="123"/>
        <v>0</v>
      </c>
      <c r="EK152" s="147">
        <f t="shared" ref="EK152:EK183" si="204">IF(DF152="", "", SUM(DF152:EJ152))</f>
        <v>0</v>
      </c>
      <c r="EL152" s="149"/>
      <c r="EN152" s="151"/>
      <c r="EO152" s="151"/>
      <c r="EP152" s="139">
        <f t="shared" ref="EP152:EP183" si="205">IF(DF152="", "", DF152*G$36)</f>
        <v>0</v>
      </c>
      <c r="EQ152" s="139">
        <f t="shared" ref="EQ152:EQ183" si="206">IF(DG152="", "", DG152*H$36)</f>
        <v>0</v>
      </c>
      <c r="ER152" s="139">
        <f t="shared" ref="ER152:ER183" si="207">IF(DH152="", "", DH152*I$36)</f>
        <v>0</v>
      </c>
      <c r="ES152" s="139">
        <f t="shared" ref="ES152:ES183" si="208">IF(DI152="", "", DI152*J$36)</f>
        <v>0</v>
      </c>
      <c r="ET152" s="139">
        <f t="shared" ref="ET152:ET183" si="209">IF(DJ152="", "", DJ152*K$36)</f>
        <v>0</v>
      </c>
      <c r="EU152" s="139">
        <f t="shared" ref="EU152:EU183" si="210">IF(DK152="", "", DK152*L$36)</f>
        <v>0</v>
      </c>
      <c r="EV152" s="139">
        <f t="shared" ref="EV152:EV183" si="211">IF(DL152="", "", DL152*M$36)</f>
        <v>0</v>
      </c>
      <c r="EW152" s="139">
        <f t="shared" ref="EW152:EW183" si="212">IF(DM152="", "", DM152*N$36)</f>
        <v>0</v>
      </c>
      <c r="EX152" s="139">
        <f t="shared" ref="EX152:EX183" si="213">IF(DN152="", "", DN152*O$36)</f>
        <v>0</v>
      </c>
      <c r="EY152" s="139">
        <f t="shared" ref="EY152:EY183" si="214">IF(DO152="", "", DO152*P$36)</f>
        <v>0</v>
      </c>
      <c r="EZ152" s="139">
        <f t="shared" ref="EZ152:EZ183" si="215">IF(DP152="", "", DP152*Q$36)</f>
        <v>0</v>
      </c>
      <c r="FA152" s="139">
        <f t="shared" ref="FA152:FA183" si="216">IF(DQ152="", "", DQ152*R$36)</f>
        <v>0</v>
      </c>
      <c r="FB152" s="139">
        <f t="shared" ref="FB152:FB183" si="217">IF(DR152="", "", DR152*S$36)</f>
        <v>0</v>
      </c>
      <c r="FC152" s="139">
        <f t="shared" ref="FC152:FC183" si="218">IF(DS152="", "", DS152*T$36)</f>
        <v>0</v>
      </c>
      <c r="FD152" s="139">
        <f t="shared" ref="FD152:FD183" si="219">IF(DT152="", "", DT152*U$36)</f>
        <v>0</v>
      </c>
      <c r="FE152" s="139">
        <f t="shared" ref="FE152:FE183" si="220">IF(DU152="", "", DU152*V$36)</f>
        <v>0</v>
      </c>
      <c r="FF152" s="139">
        <f t="shared" ref="FF152:FF183" si="221">IF(DV152="", "", DV152*W$36)</f>
        <v>0</v>
      </c>
      <c r="FG152" s="139">
        <f t="shared" ref="FG152:FG183" si="222">IF(DW152="", "", DW152*X$36)</f>
        <v>0</v>
      </c>
      <c r="FH152" s="139">
        <f t="shared" ref="FH152:FH183" si="223">IF(DX152="", "", DX152*Y$36)</f>
        <v>0</v>
      </c>
      <c r="FI152" s="139">
        <f t="shared" ref="FI152:FI183" si="224">IF(DY152="", "", DY152*Z$36)</f>
        <v>0</v>
      </c>
      <c r="FJ152" s="139">
        <f t="shared" ref="FJ152:FJ183" si="225">IF(DZ152="", "", DZ152*AA$36)</f>
        <v>0</v>
      </c>
      <c r="FK152" s="139">
        <f t="shared" ref="FK152:FK183" si="226">IF(EA152="", "", EA152*AB$36)</f>
        <v>0</v>
      </c>
      <c r="FL152" s="139">
        <f t="shared" ref="FL152:FL183" si="227">IF(EB152="", "", EB152*AC$36)</f>
        <v>0</v>
      </c>
      <c r="FM152" s="139">
        <f t="shared" ref="FM152:FM183" si="228">IF(EC152="", "", EC152*AD$36)</f>
        <v>0</v>
      </c>
      <c r="FN152" s="139">
        <f t="shared" ref="FN152:FN183" si="229">IF(ED152="", "", ED152*AE$36)</f>
        <v>0</v>
      </c>
      <c r="FO152" s="139">
        <f t="shared" ref="FO152:FO183" si="230">IF(EE152="", "", EE152*AF$36)</f>
        <v>0</v>
      </c>
      <c r="FP152" s="139">
        <f t="shared" ref="FP152:FP183" si="231">IF(EF152="", "", EF152*AG$36)</f>
        <v>0</v>
      </c>
      <c r="FQ152" s="139">
        <f t="shared" ref="FQ152:FQ183" si="232">IF(EG152="", "", EG152*AH$36)</f>
        <v>0</v>
      </c>
      <c r="FR152" s="139">
        <f t="shared" ref="FR152:FR183" si="233">IF(EH152="", "", EH152*AI$36)</f>
        <v>0</v>
      </c>
      <c r="FS152" s="139">
        <f t="shared" ref="FS152:FS183" si="234">IF(EI152="", "", EI152*AJ$36)</f>
        <v>0</v>
      </c>
      <c r="FT152" s="139">
        <f t="shared" ref="FT152:FT183" si="235">IF(EJ152="", "", EJ152*AK$36)</f>
        <v>0</v>
      </c>
      <c r="FU152" s="148">
        <f t="shared" ref="FU152:FU183" si="236">IF(EP152="","",SUM(EP152:FT152))</f>
        <v>0</v>
      </c>
      <c r="FV152" s="149"/>
      <c r="FY152" s="210">
        <v>147</v>
      </c>
      <c r="FZ152">
        <v>14.848352142978126</v>
      </c>
      <c r="GA152">
        <v>16.830572522009344</v>
      </c>
      <c r="GB152">
        <v>4.6621303902540348</v>
      </c>
      <c r="GC152">
        <v>1.9442220863992135</v>
      </c>
      <c r="GD152">
        <v>0.80954342473082308</v>
      </c>
      <c r="GE152">
        <v>2.8679101430391891</v>
      </c>
      <c r="GF152">
        <v>9.1466027516460038</v>
      </c>
      <c r="GG152">
        <v>10.411269817146438</v>
      </c>
      <c r="GH152">
        <v>8.4366659894973335</v>
      </c>
      <c r="GI152">
        <v>6.805402259475926</v>
      </c>
      <c r="GJ152"/>
      <c r="GK152"/>
      <c r="GL152"/>
      <c r="GM152"/>
    </row>
    <row r="153" spans="1:195" s="7" customFormat="1">
      <c r="A153" s="77"/>
      <c r="B153" s="76">
        <f ca="1">IF(C153="", "", RAND())</f>
        <v>0.41075150470223321</v>
      </c>
      <c r="C153">
        <v>1</v>
      </c>
      <c r="D153">
        <v>39847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10.416666666666666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 s="2"/>
      <c r="AK153" s="80"/>
      <c r="AL153" s="74"/>
      <c r="AM153" s="43">
        <v>137</v>
      </c>
      <c r="AN153">
        <v>71.823655891020167</v>
      </c>
      <c r="AO153">
        <v>13.378538682907394</v>
      </c>
      <c r="AP153">
        <v>145.18753644254127</v>
      </c>
      <c r="AQ153">
        <v>125.62729536248945</v>
      </c>
      <c r="AR153">
        <v>12.806462958242365</v>
      </c>
      <c r="AS153">
        <v>168.97749185336875</v>
      </c>
      <c r="AT153">
        <v>8.2770982669017616</v>
      </c>
      <c r="AU153">
        <v>17.128528242888571</v>
      </c>
      <c r="AV153"/>
      <c r="AW153"/>
      <c r="AX153" s="151"/>
      <c r="AY153" s="76">
        <f t="shared" ca="1" si="201"/>
        <v>0.78066035833552849</v>
      </c>
      <c r="AZ153">
        <v>6</v>
      </c>
      <c r="BA153" s="129">
        <f t="shared" si="202"/>
        <v>39847</v>
      </c>
      <c r="BB153">
        <v>0</v>
      </c>
      <c r="BC153">
        <v>1</v>
      </c>
      <c r="BD153">
        <v>1</v>
      </c>
      <c r="BE153">
        <v>0</v>
      </c>
      <c r="BF153">
        <v>2</v>
      </c>
      <c r="BG153">
        <v>0</v>
      </c>
      <c r="BH153">
        <v>1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 s="147"/>
      <c r="CH153" s="176"/>
      <c r="CJ153" s="151"/>
      <c r="CK153" s="76">
        <f t="shared" ref="CK153:CK207" ca="1" si="237">IF(AZ153="", "", RAND())</f>
        <v>0.95053688613288312</v>
      </c>
      <c r="CL153" s="179">
        <f t="shared" ref="CL153:CL207" si="238">IF(AZ153="", "", AZ153)</f>
        <v>6</v>
      </c>
      <c r="CM153" s="180">
        <f t="shared" ref="CM153:CM207" si="239">IF(AZ153="", "", BA153)</f>
        <v>39847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 s="160"/>
      <c r="CW153">
        <v>1</v>
      </c>
      <c r="CX153">
        <v>1</v>
      </c>
      <c r="CY153" s="160"/>
      <c r="CZ153" s="177">
        <f t="shared" ref="CZ153:CZ207" si="240">IF(AZ153="", "", $G$15)</f>
        <v>9.6000000000000002E-2</v>
      </c>
      <c r="DB153" s="151"/>
      <c r="DC153" s="76">
        <f t="shared" ca="1" si="203"/>
        <v>0.94919909764720423</v>
      </c>
      <c r="DD153">
        <f t="shared" ref="DD153:DD207" si="241">IF(AZ153="", "", AZ153)</f>
        <v>6</v>
      </c>
      <c r="DE153" s="129">
        <f t="shared" si="167"/>
        <v>39847</v>
      </c>
      <c r="DF153" s="161">
        <f t="shared" ref="DF153:DF187" si="242">IF($AZ153="", "", ((BB153*$CW153)+(CN153*$CX153))/$CZ153)</f>
        <v>0</v>
      </c>
      <c r="DG153" s="161">
        <f t="shared" ref="DG153:DG187" si="243">IF($AZ153="", "", ((BC153*$CW153)+(CO153*$CX153))/$CZ153)</f>
        <v>10.416666666666666</v>
      </c>
      <c r="DH153" s="161">
        <f t="shared" ref="DH153:DH187" si="244">IF($AZ153="", "", ((BD153*$CW153)+(CP153*$CX153))/$CZ153)</f>
        <v>10.416666666666666</v>
      </c>
      <c r="DI153" s="161">
        <f t="shared" ref="DI153:DI187" si="245">IF($AZ153="", "", ((BE153*$CW153)+(CQ153*$CX153))/$CZ153)</f>
        <v>0</v>
      </c>
      <c r="DJ153" s="161">
        <f t="shared" ref="DJ153:DJ187" si="246">IF($AZ153="", "", ((BF153*$CW153)+(CR153*$CX153))/$CZ153)</f>
        <v>20.833333333333332</v>
      </c>
      <c r="DK153" s="161">
        <f t="shared" ref="DK153:DK187" si="247">IF($AZ153="", "", ((BG153*$CW153)+(CS153*$CX153))/$CZ153)</f>
        <v>0</v>
      </c>
      <c r="DL153" s="161">
        <f t="shared" ref="DL153:DL187" si="248">IF($AZ153="", "", ((BH153*$CW153)+(CT153*$CX153))/$CZ153)</f>
        <v>10.416666666666666</v>
      </c>
      <c r="DM153" s="161">
        <f t="shared" ref="DM153:DM187" si="249">IF($AZ153="", "", ((BI153*$CW153)+(CU153*$CX153))/$CZ153)</f>
        <v>0</v>
      </c>
      <c r="DN153" s="161">
        <f t="shared" ref="DN153:DN187" si="250">IF($AZ153="", "", (BJ153*$CW153)/$CZ153)</f>
        <v>0</v>
      </c>
      <c r="DO153" s="161">
        <f t="shared" ref="DO153:DO187" si="251">IF($AZ153="", "", (BK153*$CW153)/$CZ153)</f>
        <v>0</v>
      </c>
      <c r="DP153" s="161">
        <f t="shared" ref="DP153:DP187" si="252">IF($AZ153="", "", (BL153*$CW153)/$CZ153)</f>
        <v>0</v>
      </c>
      <c r="DQ153" s="161">
        <f t="shared" ref="DQ153:DQ187" si="253">IF($AZ153="", "", (BM153*$CW153)/$CZ153)</f>
        <v>0</v>
      </c>
      <c r="DR153" s="161">
        <f t="shared" ref="DR153:DR187" si="254">IF($AZ153="", "", (BN153*$CW153)/$CZ153)</f>
        <v>0</v>
      </c>
      <c r="DS153" s="161">
        <f t="shared" ref="DS153:DS187" si="255">IF($AZ153="", "", (BO153*$CW153)/$CZ153)</f>
        <v>0</v>
      </c>
      <c r="DT153" s="161">
        <f t="shared" ref="DT153:DT187" si="256">IF($AZ153="", "", (BP153*$CW153)/$CZ153)</f>
        <v>0</v>
      </c>
      <c r="DU153" s="161">
        <f t="shared" ref="DU153:DU187" si="257">IF($AZ153="", "", (BQ153*$CW153)/$CZ153)</f>
        <v>0</v>
      </c>
      <c r="DV153" s="161">
        <f t="shared" ref="DV153:DV187" si="258">IF($AZ153="", "", (BR153*$CW153)/$CZ153)</f>
        <v>0</v>
      </c>
      <c r="DW153" s="161">
        <f t="shared" ref="DW153:DW187" si="259">IF($AZ153="", "", (BS153*$CW153)/$CZ153)</f>
        <v>0</v>
      </c>
      <c r="DX153" s="161">
        <f t="shared" ref="DX153:DX187" si="260">IF($AZ153="", "", (BT153*$CW153)/$CZ153)</f>
        <v>0</v>
      </c>
      <c r="DY153" s="161">
        <f t="shared" ref="DY153:DY187" si="261">IF($AZ153="", "", (BU153*$CW153)/$CZ153)</f>
        <v>0</v>
      </c>
      <c r="DZ153" s="161">
        <f t="shared" ref="DZ153:DZ187" si="262">IF($AZ153="", "", (BV153*$CW153)/$CZ153)</f>
        <v>0</v>
      </c>
      <c r="EA153" s="161">
        <f t="shared" ref="EA153:EA187" si="263">IF($AZ153="", "", (BW153*$CW153)/$CZ153)</f>
        <v>0</v>
      </c>
      <c r="EB153" s="161">
        <f t="shared" ref="EB153:EB187" si="264">IF($AZ153="", "", (BX153*$CW153)/$CZ153)</f>
        <v>0</v>
      </c>
      <c r="EC153" s="161">
        <f t="shared" ref="EC153:EC187" si="265">IF($AZ153="", "", (BY153*$CW153)/$CZ153)</f>
        <v>0</v>
      </c>
      <c r="ED153" s="161">
        <f t="shared" ref="ED153:ED187" si="266">IF($AZ153="", "", (BZ153*$CW153)/$CZ153)</f>
        <v>0</v>
      </c>
      <c r="EE153" s="161">
        <f t="shared" ref="EE153:EE187" si="267">IF($AZ153="", "", (CA153*$CW153)/$CZ153)</f>
        <v>0</v>
      </c>
      <c r="EF153" s="161">
        <f t="shared" ref="EF153:EF187" si="268">IF($AZ153="", "", (CB153*$CW153)/$CZ153)</f>
        <v>0</v>
      </c>
      <c r="EG153" s="161">
        <f t="shared" ref="EG153:EG187" si="269">IF($AZ153="", "", (CC153*$CW153)/$CZ153)</f>
        <v>0</v>
      </c>
      <c r="EH153" s="161">
        <f t="shared" ref="EH153:EH187" si="270">IF($AZ153="", "", (CD153*$CW153)/$CZ153)</f>
        <v>0</v>
      </c>
      <c r="EI153" s="161">
        <f t="shared" ref="EI153:EI187" si="271">IF($AZ153="", "", (CE153*$CW153)/$CZ153)</f>
        <v>0</v>
      </c>
      <c r="EJ153" s="161">
        <f t="shared" ref="EJ153:EJ187" si="272">IF($AZ153="", "", (CF153*$CW153)/$CZ153)</f>
        <v>0</v>
      </c>
      <c r="EK153" s="147">
        <f t="shared" si="204"/>
        <v>52.083333333333329</v>
      </c>
      <c r="EL153" s="149"/>
      <c r="EN153" s="151"/>
      <c r="EO153" s="151"/>
      <c r="EP153" s="139">
        <f t="shared" si="205"/>
        <v>0</v>
      </c>
      <c r="EQ153" s="139">
        <f t="shared" si="206"/>
        <v>3.8374999999999999E-2</v>
      </c>
      <c r="ER153" s="139">
        <f t="shared" si="207"/>
        <v>0.26855892282608723</v>
      </c>
      <c r="ES153" s="139">
        <f t="shared" si="208"/>
        <v>0</v>
      </c>
      <c r="ET153" s="139">
        <f t="shared" si="209"/>
        <v>3.758900066684471</v>
      </c>
      <c r="EU153" s="139">
        <f t="shared" si="210"/>
        <v>0</v>
      </c>
      <c r="EV153" s="139">
        <f t="shared" si="211"/>
        <v>5.865687857873775</v>
      </c>
      <c r="EW153" s="139">
        <f t="shared" si="212"/>
        <v>0</v>
      </c>
      <c r="EX153" s="139">
        <f t="shared" si="213"/>
        <v>0</v>
      </c>
      <c r="EY153" s="139">
        <f t="shared" si="214"/>
        <v>0</v>
      </c>
      <c r="EZ153" s="139">
        <f t="shared" si="215"/>
        <v>0</v>
      </c>
      <c r="FA153" s="139">
        <f t="shared" si="216"/>
        <v>0</v>
      </c>
      <c r="FB153" s="139">
        <f t="shared" si="217"/>
        <v>0</v>
      </c>
      <c r="FC153" s="139">
        <f t="shared" si="218"/>
        <v>0</v>
      </c>
      <c r="FD153" s="139">
        <f t="shared" si="219"/>
        <v>0</v>
      </c>
      <c r="FE153" s="139">
        <f t="shared" si="220"/>
        <v>0</v>
      </c>
      <c r="FF153" s="139">
        <f t="shared" si="221"/>
        <v>0</v>
      </c>
      <c r="FG153" s="139">
        <f t="shared" si="222"/>
        <v>0</v>
      </c>
      <c r="FH153" s="139">
        <f t="shared" si="223"/>
        <v>0</v>
      </c>
      <c r="FI153" s="139">
        <f t="shared" si="224"/>
        <v>0</v>
      </c>
      <c r="FJ153" s="139">
        <f t="shared" si="225"/>
        <v>0</v>
      </c>
      <c r="FK153" s="139">
        <f t="shared" si="226"/>
        <v>0</v>
      </c>
      <c r="FL153" s="139">
        <f t="shared" si="227"/>
        <v>0</v>
      </c>
      <c r="FM153" s="139">
        <f t="shared" si="228"/>
        <v>0</v>
      </c>
      <c r="FN153" s="139">
        <f t="shared" si="229"/>
        <v>0</v>
      </c>
      <c r="FO153" s="139">
        <f t="shared" si="230"/>
        <v>0</v>
      </c>
      <c r="FP153" s="139">
        <f t="shared" si="231"/>
        <v>0</v>
      </c>
      <c r="FQ153" s="139">
        <f t="shared" si="232"/>
        <v>0</v>
      </c>
      <c r="FR153" s="139">
        <f t="shared" si="233"/>
        <v>0</v>
      </c>
      <c r="FS153" s="139">
        <f t="shared" si="234"/>
        <v>0</v>
      </c>
      <c r="FT153" s="139">
        <f t="shared" si="235"/>
        <v>0</v>
      </c>
      <c r="FU153" s="148">
        <f t="shared" si="236"/>
        <v>9.9315218473843334</v>
      </c>
      <c r="FV153" s="149"/>
      <c r="FY153" s="210">
        <v>148</v>
      </c>
      <c r="FZ153">
        <v>12.315589498713809</v>
      </c>
      <c r="GA153">
        <v>15.594588507501246</v>
      </c>
      <c r="GB153">
        <v>2.977284519167855</v>
      </c>
      <c r="GC153">
        <v>1.2287198812928954</v>
      </c>
      <c r="GD153">
        <v>1.2037221896676953</v>
      </c>
      <c r="GE153">
        <v>3.7226810287898449</v>
      </c>
      <c r="GF153">
        <v>5.2760071693021446</v>
      </c>
      <c r="GG153">
        <v>6.5362029608556576</v>
      </c>
      <c r="GH153">
        <v>9.018294272489948</v>
      </c>
      <c r="GI153">
        <v>5.63710451193952</v>
      </c>
      <c r="GJ153"/>
      <c r="GK153"/>
      <c r="GL153"/>
      <c r="GM153"/>
    </row>
    <row r="154" spans="1:195" s="7" customFormat="1">
      <c r="A154" s="77"/>
      <c r="B154" s="76">
        <f ca="1">IF(C154="", "", RAND())</f>
        <v>0.20069024527691504</v>
      </c>
      <c r="C154">
        <v>10</v>
      </c>
      <c r="D154">
        <v>39847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 s="2"/>
      <c r="AK154" s="80"/>
      <c r="AL154" s="74"/>
      <c r="AM154" s="43">
        <v>138</v>
      </c>
      <c r="AN154">
        <v>149.26195827272551</v>
      </c>
      <c r="AO154">
        <v>16.754221438123444</v>
      </c>
      <c r="AP154">
        <v>174.45433994615502</v>
      </c>
      <c r="AQ154">
        <v>149.75570532964403</v>
      </c>
      <c r="AR154">
        <v>15.714640766244978</v>
      </c>
      <c r="AS154">
        <v>235.87825737783058</v>
      </c>
      <c r="AT154">
        <v>9.6315349345285242</v>
      </c>
      <c r="AU154">
        <v>34.991920649565756</v>
      </c>
      <c r="AV154"/>
      <c r="AW154"/>
      <c r="AX154" s="151"/>
      <c r="AY154" s="76">
        <f t="shared" ca="1" si="201"/>
        <v>0.73950166158850816</v>
      </c>
      <c r="AZ154">
        <v>7</v>
      </c>
      <c r="BA154" s="129">
        <f t="shared" si="202"/>
        <v>39847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 s="147"/>
      <c r="CH154" s="176"/>
      <c r="CJ154" s="151"/>
      <c r="CK154" s="76">
        <f t="shared" ca="1" si="237"/>
        <v>0.53056634823993587</v>
      </c>
      <c r="CL154" s="179">
        <f t="shared" si="238"/>
        <v>7</v>
      </c>
      <c r="CM154" s="180">
        <f t="shared" si="239"/>
        <v>39847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 s="160"/>
      <c r="CW154">
        <v>1</v>
      </c>
      <c r="CX154">
        <v>1</v>
      </c>
      <c r="CY154" s="165"/>
      <c r="CZ154" s="177">
        <f t="shared" si="240"/>
        <v>9.6000000000000002E-2</v>
      </c>
      <c r="DB154" s="151"/>
      <c r="DC154" s="76">
        <f t="shared" ca="1" si="203"/>
        <v>0.80306069578311945</v>
      </c>
      <c r="DD154">
        <f t="shared" si="241"/>
        <v>7</v>
      </c>
      <c r="DE154" s="129">
        <f t="shared" si="167"/>
        <v>39847</v>
      </c>
      <c r="DF154" s="161">
        <f t="shared" si="242"/>
        <v>0</v>
      </c>
      <c r="DG154" s="161">
        <f t="shared" si="243"/>
        <v>0</v>
      </c>
      <c r="DH154" s="161">
        <f t="shared" si="244"/>
        <v>0</v>
      </c>
      <c r="DI154" s="161">
        <f t="shared" si="245"/>
        <v>0</v>
      </c>
      <c r="DJ154" s="161">
        <f t="shared" si="246"/>
        <v>0</v>
      </c>
      <c r="DK154" s="161">
        <f t="shared" si="247"/>
        <v>0</v>
      </c>
      <c r="DL154" s="161">
        <f t="shared" si="248"/>
        <v>0</v>
      </c>
      <c r="DM154" s="161">
        <f t="shared" si="249"/>
        <v>0</v>
      </c>
      <c r="DN154" s="161">
        <f t="shared" si="250"/>
        <v>0</v>
      </c>
      <c r="DO154" s="161">
        <f t="shared" si="251"/>
        <v>0</v>
      </c>
      <c r="DP154" s="161">
        <f t="shared" si="252"/>
        <v>0</v>
      </c>
      <c r="DQ154" s="161">
        <f t="shared" si="253"/>
        <v>0</v>
      </c>
      <c r="DR154" s="161">
        <f t="shared" si="254"/>
        <v>0</v>
      </c>
      <c r="DS154" s="161">
        <f t="shared" si="255"/>
        <v>0</v>
      </c>
      <c r="DT154" s="161">
        <f t="shared" si="256"/>
        <v>0</v>
      </c>
      <c r="DU154" s="161">
        <f t="shared" si="257"/>
        <v>0</v>
      </c>
      <c r="DV154" s="161">
        <f t="shared" si="258"/>
        <v>0</v>
      </c>
      <c r="DW154" s="161">
        <f t="shared" si="259"/>
        <v>0</v>
      </c>
      <c r="DX154" s="161">
        <f t="shared" si="260"/>
        <v>0</v>
      </c>
      <c r="DY154" s="161">
        <f t="shared" si="261"/>
        <v>0</v>
      </c>
      <c r="DZ154" s="161">
        <f t="shared" si="262"/>
        <v>0</v>
      </c>
      <c r="EA154" s="161">
        <f t="shared" si="263"/>
        <v>0</v>
      </c>
      <c r="EB154" s="161">
        <f t="shared" si="264"/>
        <v>0</v>
      </c>
      <c r="EC154" s="161">
        <f t="shared" si="265"/>
        <v>0</v>
      </c>
      <c r="ED154" s="161">
        <f t="shared" si="266"/>
        <v>0</v>
      </c>
      <c r="EE154" s="161">
        <f t="shared" si="267"/>
        <v>0</v>
      </c>
      <c r="EF154" s="161">
        <f t="shared" si="268"/>
        <v>0</v>
      </c>
      <c r="EG154" s="161">
        <f t="shared" si="269"/>
        <v>0</v>
      </c>
      <c r="EH154" s="161">
        <f t="shared" si="270"/>
        <v>0</v>
      </c>
      <c r="EI154" s="161">
        <f t="shared" si="271"/>
        <v>0</v>
      </c>
      <c r="EJ154" s="161">
        <f t="shared" si="272"/>
        <v>0</v>
      </c>
      <c r="EK154" s="147">
        <f t="shared" si="204"/>
        <v>0</v>
      </c>
      <c r="EL154" s="149"/>
      <c r="EN154" s="151"/>
      <c r="EO154" s="151"/>
      <c r="EP154" s="139">
        <f t="shared" si="205"/>
        <v>0</v>
      </c>
      <c r="EQ154" s="139">
        <f t="shared" si="206"/>
        <v>0</v>
      </c>
      <c r="ER154" s="139">
        <f t="shared" si="207"/>
        <v>0</v>
      </c>
      <c r="ES154" s="139">
        <f t="shared" si="208"/>
        <v>0</v>
      </c>
      <c r="ET154" s="139">
        <f t="shared" si="209"/>
        <v>0</v>
      </c>
      <c r="EU154" s="139">
        <f t="shared" si="210"/>
        <v>0</v>
      </c>
      <c r="EV154" s="139">
        <f t="shared" si="211"/>
        <v>0</v>
      </c>
      <c r="EW154" s="139">
        <f t="shared" si="212"/>
        <v>0</v>
      </c>
      <c r="EX154" s="139">
        <f t="shared" si="213"/>
        <v>0</v>
      </c>
      <c r="EY154" s="139">
        <f t="shared" si="214"/>
        <v>0</v>
      </c>
      <c r="EZ154" s="139">
        <f t="shared" si="215"/>
        <v>0</v>
      </c>
      <c r="FA154" s="139">
        <f t="shared" si="216"/>
        <v>0</v>
      </c>
      <c r="FB154" s="139">
        <f t="shared" si="217"/>
        <v>0</v>
      </c>
      <c r="FC154" s="139">
        <f t="shared" si="218"/>
        <v>0</v>
      </c>
      <c r="FD154" s="139">
        <f t="shared" si="219"/>
        <v>0</v>
      </c>
      <c r="FE154" s="139">
        <f t="shared" si="220"/>
        <v>0</v>
      </c>
      <c r="FF154" s="139">
        <f t="shared" si="221"/>
        <v>0</v>
      </c>
      <c r="FG154" s="139">
        <f t="shared" si="222"/>
        <v>0</v>
      </c>
      <c r="FH154" s="139">
        <f t="shared" si="223"/>
        <v>0</v>
      </c>
      <c r="FI154" s="139">
        <f t="shared" si="224"/>
        <v>0</v>
      </c>
      <c r="FJ154" s="139">
        <f t="shared" si="225"/>
        <v>0</v>
      </c>
      <c r="FK154" s="139">
        <f t="shared" si="226"/>
        <v>0</v>
      </c>
      <c r="FL154" s="139">
        <f t="shared" si="227"/>
        <v>0</v>
      </c>
      <c r="FM154" s="139">
        <f t="shared" si="228"/>
        <v>0</v>
      </c>
      <c r="FN154" s="139">
        <f t="shared" si="229"/>
        <v>0</v>
      </c>
      <c r="FO154" s="139">
        <f t="shared" si="230"/>
        <v>0</v>
      </c>
      <c r="FP154" s="139">
        <f t="shared" si="231"/>
        <v>0</v>
      </c>
      <c r="FQ154" s="139">
        <f t="shared" si="232"/>
        <v>0</v>
      </c>
      <c r="FR154" s="139">
        <f t="shared" si="233"/>
        <v>0</v>
      </c>
      <c r="FS154" s="139">
        <f t="shared" si="234"/>
        <v>0</v>
      </c>
      <c r="FT154" s="139">
        <f t="shared" si="235"/>
        <v>0</v>
      </c>
      <c r="FU154" s="148">
        <f t="shared" si="236"/>
        <v>0</v>
      </c>
      <c r="FV154" s="149"/>
      <c r="FY154" s="210">
        <v>149</v>
      </c>
      <c r="FZ154">
        <v>46.379657680011896</v>
      </c>
      <c r="GA154">
        <v>53.580621965210717</v>
      </c>
      <c r="GB154">
        <v>2.5617950249261106</v>
      </c>
      <c r="GC154">
        <v>0.73728247372314815</v>
      </c>
      <c r="GD154">
        <v>0.43801391710046539</v>
      </c>
      <c r="GE154">
        <v>1.8356104845104131</v>
      </c>
      <c r="GF154">
        <v>6.7863629642028895</v>
      </c>
      <c r="GG154">
        <v>11.794981506331998</v>
      </c>
      <c r="GH154">
        <v>13.966222426380467</v>
      </c>
      <c r="GI154">
        <v>11.179000469898495</v>
      </c>
      <c r="GJ154"/>
      <c r="GK154"/>
      <c r="GL154"/>
      <c r="GM154"/>
    </row>
    <row r="155" spans="1:195" s="7" customFormat="1">
      <c r="A155" s="77"/>
      <c r="B155" s="76">
        <f ca="1">IF(C155="", "", RAND())</f>
        <v>0.56835928838855465</v>
      </c>
      <c r="C155">
        <v>5</v>
      </c>
      <c r="D155">
        <v>39847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 s="2"/>
      <c r="AK155" s="80"/>
      <c r="AL155" s="74"/>
      <c r="AM155" s="43">
        <v>139</v>
      </c>
      <c r="AN155">
        <v>143.67550600556731</v>
      </c>
      <c r="AO155">
        <v>9.4233091945534717</v>
      </c>
      <c r="AP155">
        <v>87.36169886335091</v>
      </c>
      <c r="AQ155">
        <v>74.150476428249959</v>
      </c>
      <c r="AR155">
        <v>9.0910218345104159</v>
      </c>
      <c r="AS155">
        <v>142.43248565738432</v>
      </c>
      <c r="AT155">
        <v>5.3704316814050692</v>
      </c>
      <c r="AU155">
        <v>4.9918624454939362</v>
      </c>
      <c r="AV155"/>
      <c r="AW155"/>
      <c r="AX155" s="151"/>
      <c r="AY155" s="76">
        <f t="shared" ca="1" si="201"/>
        <v>0.92400408008064971</v>
      </c>
      <c r="AZ155">
        <v>8</v>
      </c>
      <c r="BA155" s="129">
        <f t="shared" si="202"/>
        <v>39847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 s="147"/>
      <c r="CH155" s="176"/>
      <c r="CJ155" s="151"/>
      <c r="CK155" s="76">
        <f t="shared" ca="1" si="237"/>
        <v>7.8320896636809412E-2</v>
      </c>
      <c r="CL155" s="179">
        <f t="shared" si="238"/>
        <v>8</v>
      </c>
      <c r="CM155" s="180">
        <f t="shared" si="239"/>
        <v>39847</v>
      </c>
      <c r="CN155">
        <v>0</v>
      </c>
      <c r="CO155">
        <v>0</v>
      </c>
      <c r="CP155">
        <v>1</v>
      </c>
      <c r="CQ155">
        <v>0</v>
      </c>
      <c r="CR155">
        <v>0</v>
      </c>
      <c r="CS155">
        <v>0</v>
      </c>
      <c r="CT155">
        <v>0</v>
      </c>
      <c r="CU155">
        <v>0</v>
      </c>
      <c r="CV155" s="160"/>
      <c r="CW155">
        <v>1</v>
      </c>
      <c r="CX155">
        <f>360/54</f>
        <v>6.666666666666667</v>
      </c>
      <c r="CY155" s="165"/>
      <c r="CZ155" s="177">
        <f t="shared" si="240"/>
        <v>9.6000000000000002E-2</v>
      </c>
      <c r="DB155" s="151"/>
      <c r="DC155" s="76">
        <f t="shared" ca="1" si="203"/>
        <v>0.92540964433841921</v>
      </c>
      <c r="DD155">
        <f t="shared" si="241"/>
        <v>8</v>
      </c>
      <c r="DE155" s="129">
        <f t="shared" si="167"/>
        <v>39847</v>
      </c>
      <c r="DF155" s="161">
        <f t="shared" si="242"/>
        <v>0</v>
      </c>
      <c r="DG155" s="161">
        <f t="shared" si="243"/>
        <v>0</v>
      </c>
      <c r="DH155" s="161">
        <f t="shared" si="244"/>
        <v>69.444444444444443</v>
      </c>
      <c r="DI155" s="161">
        <f t="shared" si="245"/>
        <v>0</v>
      </c>
      <c r="DJ155" s="161">
        <f t="shared" si="246"/>
        <v>0</v>
      </c>
      <c r="DK155" s="161">
        <f t="shared" si="247"/>
        <v>0</v>
      </c>
      <c r="DL155" s="161">
        <f t="shared" si="248"/>
        <v>0</v>
      </c>
      <c r="DM155" s="161">
        <f t="shared" si="249"/>
        <v>0</v>
      </c>
      <c r="DN155" s="161">
        <f t="shared" si="250"/>
        <v>0</v>
      </c>
      <c r="DO155" s="161">
        <f t="shared" si="251"/>
        <v>0</v>
      </c>
      <c r="DP155" s="161">
        <f t="shared" si="252"/>
        <v>0</v>
      </c>
      <c r="DQ155" s="161">
        <f t="shared" si="253"/>
        <v>0</v>
      </c>
      <c r="DR155" s="161">
        <f t="shared" si="254"/>
        <v>0</v>
      </c>
      <c r="DS155" s="161">
        <f t="shared" si="255"/>
        <v>0</v>
      </c>
      <c r="DT155" s="161">
        <f t="shared" si="256"/>
        <v>0</v>
      </c>
      <c r="DU155" s="161">
        <f t="shared" si="257"/>
        <v>0</v>
      </c>
      <c r="DV155" s="161">
        <f t="shared" si="258"/>
        <v>0</v>
      </c>
      <c r="DW155" s="161">
        <f t="shared" si="259"/>
        <v>0</v>
      </c>
      <c r="DX155" s="161">
        <f t="shared" si="260"/>
        <v>0</v>
      </c>
      <c r="DY155" s="161">
        <f t="shared" si="261"/>
        <v>0</v>
      </c>
      <c r="DZ155" s="161">
        <f t="shared" si="262"/>
        <v>0</v>
      </c>
      <c r="EA155" s="161">
        <f t="shared" si="263"/>
        <v>0</v>
      </c>
      <c r="EB155" s="161">
        <f t="shared" si="264"/>
        <v>0</v>
      </c>
      <c r="EC155" s="161">
        <f t="shared" si="265"/>
        <v>0</v>
      </c>
      <c r="ED155" s="161">
        <f t="shared" si="266"/>
        <v>0</v>
      </c>
      <c r="EE155" s="161">
        <f t="shared" si="267"/>
        <v>0</v>
      </c>
      <c r="EF155" s="161">
        <f t="shared" si="268"/>
        <v>0</v>
      </c>
      <c r="EG155" s="161">
        <f t="shared" si="269"/>
        <v>0</v>
      </c>
      <c r="EH155" s="161">
        <f t="shared" si="270"/>
        <v>0</v>
      </c>
      <c r="EI155" s="161">
        <f t="shared" si="271"/>
        <v>0</v>
      </c>
      <c r="EJ155" s="161">
        <f t="shared" si="272"/>
        <v>0</v>
      </c>
      <c r="EK155" s="147">
        <f t="shared" si="204"/>
        <v>69.444444444444443</v>
      </c>
      <c r="EL155" s="149"/>
      <c r="EN155" s="151"/>
      <c r="EO155" s="151"/>
      <c r="EP155" s="139">
        <f t="shared" si="205"/>
        <v>0</v>
      </c>
      <c r="EQ155" s="139">
        <f t="shared" si="206"/>
        <v>0</v>
      </c>
      <c r="ER155" s="139">
        <f t="shared" si="207"/>
        <v>1.7903928188405818</v>
      </c>
      <c r="ES155" s="139">
        <f t="shared" si="208"/>
        <v>0</v>
      </c>
      <c r="ET155" s="139">
        <f t="shared" si="209"/>
        <v>0</v>
      </c>
      <c r="EU155" s="139">
        <f t="shared" si="210"/>
        <v>0</v>
      </c>
      <c r="EV155" s="139">
        <f t="shared" si="211"/>
        <v>0</v>
      </c>
      <c r="EW155" s="139">
        <f t="shared" si="212"/>
        <v>0</v>
      </c>
      <c r="EX155" s="139">
        <f t="shared" si="213"/>
        <v>0</v>
      </c>
      <c r="EY155" s="139">
        <f t="shared" si="214"/>
        <v>0</v>
      </c>
      <c r="EZ155" s="139">
        <f t="shared" si="215"/>
        <v>0</v>
      </c>
      <c r="FA155" s="139">
        <f t="shared" si="216"/>
        <v>0</v>
      </c>
      <c r="FB155" s="139">
        <f t="shared" si="217"/>
        <v>0</v>
      </c>
      <c r="FC155" s="139">
        <f t="shared" si="218"/>
        <v>0</v>
      </c>
      <c r="FD155" s="139">
        <f t="shared" si="219"/>
        <v>0</v>
      </c>
      <c r="FE155" s="139">
        <f t="shared" si="220"/>
        <v>0</v>
      </c>
      <c r="FF155" s="139">
        <f t="shared" si="221"/>
        <v>0</v>
      </c>
      <c r="FG155" s="139">
        <f t="shared" si="222"/>
        <v>0</v>
      </c>
      <c r="FH155" s="139">
        <f t="shared" si="223"/>
        <v>0</v>
      </c>
      <c r="FI155" s="139">
        <f t="shared" si="224"/>
        <v>0</v>
      </c>
      <c r="FJ155" s="139">
        <f t="shared" si="225"/>
        <v>0</v>
      </c>
      <c r="FK155" s="139">
        <f t="shared" si="226"/>
        <v>0</v>
      </c>
      <c r="FL155" s="139">
        <f t="shared" si="227"/>
        <v>0</v>
      </c>
      <c r="FM155" s="139">
        <f t="shared" si="228"/>
        <v>0</v>
      </c>
      <c r="FN155" s="139">
        <f t="shared" si="229"/>
        <v>0</v>
      </c>
      <c r="FO155" s="139">
        <f t="shared" si="230"/>
        <v>0</v>
      </c>
      <c r="FP155" s="139">
        <f t="shared" si="231"/>
        <v>0</v>
      </c>
      <c r="FQ155" s="139">
        <f t="shared" si="232"/>
        <v>0</v>
      </c>
      <c r="FR155" s="139">
        <f t="shared" si="233"/>
        <v>0</v>
      </c>
      <c r="FS155" s="139">
        <f t="shared" si="234"/>
        <v>0</v>
      </c>
      <c r="FT155" s="139">
        <f t="shared" si="235"/>
        <v>0</v>
      </c>
      <c r="FU155" s="148">
        <f t="shared" si="236"/>
        <v>1.7903928188405818</v>
      </c>
      <c r="FV155" s="149"/>
      <c r="FY155" s="210">
        <v>150</v>
      </c>
      <c r="FZ155">
        <v>4.4157092696428579</v>
      </c>
      <c r="GA155">
        <v>2.8278051652452549</v>
      </c>
      <c r="GB155">
        <v>2.5211616840872755</v>
      </c>
      <c r="GC155">
        <v>1.0533176247805349</v>
      </c>
      <c r="GD155">
        <v>0.50613430066564424</v>
      </c>
      <c r="GE155">
        <v>2.3970338306437937</v>
      </c>
      <c r="GF155">
        <v>3.7052213003573033</v>
      </c>
      <c r="GG155">
        <v>5.9203058709261835</v>
      </c>
      <c r="GH155">
        <v>9.1847114958428815</v>
      </c>
      <c r="GI155">
        <v>3.6858895239629295</v>
      </c>
      <c r="GJ155"/>
      <c r="GK155"/>
      <c r="GL155"/>
      <c r="GM155"/>
    </row>
    <row r="156" spans="1:195" s="7" customFormat="1">
      <c r="A156" s="77"/>
      <c r="B156" s="76">
        <f ca="1">IF(C156="", "", RAND())</f>
        <v>0.14617275940318919</v>
      </c>
      <c r="C156">
        <v>8</v>
      </c>
      <c r="D156">
        <v>39847</v>
      </c>
      <c r="E156">
        <v>0</v>
      </c>
      <c r="F156">
        <v>0</v>
      </c>
      <c r="G156">
        <v>69.444444444444443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 s="2"/>
      <c r="AK156" s="80"/>
      <c r="AL156" s="74"/>
      <c r="AM156" s="43">
        <v>140</v>
      </c>
      <c r="AN156">
        <v>116.7428424167734</v>
      </c>
      <c r="AO156">
        <v>12.810377449141015</v>
      </c>
      <c r="AP156">
        <v>134.86427675005692</v>
      </c>
      <c r="AQ156">
        <v>114.68159769561341</v>
      </c>
      <c r="AR156">
        <v>12.210505712579506</v>
      </c>
      <c r="AS156">
        <v>176.0224427805845</v>
      </c>
      <c r="AT156">
        <v>7.6837723653684842</v>
      </c>
      <c r="AU156">
        <v>12.237227240891539</v>
      </c>
      <c r="AV156"/>
      <c r="AW156"/>
      <c r="AX156" s="151"/>
      <c r="AY156" s="76">
        <f t="shared" ca="1" si="201"/>
        <v>0.64770281581300782</v>
      </c>
      <c r="AZ156">
        <v>9</v>
      </c>
      <c r="BA156" s="129">
        <f t="shared" si="202"/>
        <v>39847</v>
      </c>
      <c r="BB156">
        <v>0</v>
      </c>
      <c r="BC156">
        <v>0</v>
      </c>
      <c r="BD156">
        <v>0</v>
      </c>
      <c r="BE156">
        <v>1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 s="147"/>
      <c r="CH156" s="176"/>
      <c r="CJ156" s="151"/>
      <c r="CK156" s="76">
        <f t="shared" ca="1" si="237"/>
        <v>0.96239405523480004</v>
      </c>
      <c r="CL156" s="179">
        <f t="shared" si="238"/>
        <v>9</v>
      </c>
      <c r="CM156" s="180">
        <f t="shared" si="239"/>
        <v>39847</v>
      </c>
      <c r="CN156" s="219">
        <v>0</v>
      </c>
      <c r="CO156">
        <v>1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 s="160"/>
      <c r="CW156">
        <v>1</v>
      </c>
      <c r="CX156">
        <f>350/56</f>
        <v>6.25</v>
      </c>
      <c r="CY156" s="165"/>
      <c r="CZ156" s="177">
        <f t="shared" si="240"/>
        <v>9.6000000000000002E-2</v>
      </c>
      <c r="DB156" s="151"/>
      <c r="DC156" s="76">
        <f t="shared" ca="1" si="203"/>
        <v>0.72198454016296365</v>
      </c>
      <c r="DD156">
        <f t="shared" si="241"/>
        <v>9</v>
      </c>
      <c r="DE156" s="129">
        <f t="shared" si="167"/>
        <v>39847</v>
      </c>
      <c r="DF156" s="161">
        <f t="shared" si="242"/>
        <v>0</v>
      </c>
      <c r="DG156" s="161">
        <f t="shared" si="243"/>
        <v>65.104166666666671</v>
      </c>
      <c r="DH156" s="161">
        <f t="shared" si="244"/>
        <v>0</v>
      </c>
      <c r="DI156" s="161">
        <f t="shared" si="245"/>
        <v>10.416666666666666</v>
      </c>
      <c r="DJ156" s="161">
        <f t="shared" si="246"/>
        <v>0</v>
      </c>
      <c r="DK156" s="161">
        <f t="shared" si="247"/>
        <v>0</v>
      </c>
      <c r="DL156" s="161">
        <f t="shared" si="248"/>
        <v>0</v>
      </c>
      <c r="DM156" s="161">
        <f t="shared" si="249"/>
        <v>0</v>
      </c>
      <c r="DN156" s="161">
        <f t="shared" si="250"/>
        <v>0</v>
      </c>
      <c r="DO156" s="161">
        <f t="shared" si="251"/>
        <v>0</v>
      </c>
      <c r="DP156" s="161">
        <f t="shared" si="252"/>
        <v>0</v>
      </c>
      <c r="DQ156" s="161">
        <f t="shared" si="253"/>
        <v>0</v>
      </c>
      <c r="DR156" s="161">
        <f t="shared" si="254"/>
        <v>0</v>
      </c>
      <c r="DS156" s="161">
        <f t="shared" si="255"/>
        <v>0</v>
      </c>
      <c r="DT156" s="161">
        <f t="shared" si="256"/>
        <v>0</v>
      </c>
      <c r="DU156" s="161">
        <f t="shared" si="257"/>
        <v>0</v>
      </c>
      <c r="DV156" s="161">
        <f t="shared" si="258"/>
        <v>0</v>
      </c>
      <c r="DW156" s="161">
        <f t="shared" si="259"/>
        <v>0</v>
      </c>
      <c r="DX156" s="161">
        <f t="shared" si="260"/>
        <v>0</v>
      </c>
      <c r="DY156" s="161">
        <f t="shared" si="261"/>
        <v>0</v>
      </c>
      <c r="DZ156" s="161">
        <f t="shared" si="262"/>
        <v>0</v>
      </c>
      <c r="EA156" s="161">
        <f t="shared" si="263"/>
        <v>0</v>
      </c>
      <c r="EB156" s="161">
        <f t="shared" si="264"/>
        <v>0</v>
      </c>
      <c r="EC156" s="161">
        <f t="shared" si="265"/>
        <v>0</v>
      </c>
      <c r="ED156" s="161">
        <f t="shared" si="266"/>
        <v>0</v>
      </c>
      <c r="EE156" s="161">
        <f t="shared" si="267"/>
        <v>0</v>
      </c>
      <c r="EF156" s="161">
        <f t="shared" si="268"/>
        <v>0</v>
      </c>
      <c r="EG156" s="161">
        <f t="shared" si="269"/>
        <v>0</v>
      </c>
      <c r="EH156" s="161">
        <f t="shared" si="270"/>
        <v>0</v>
      </c>
      <c r="EI156" s="161">
        <f t="shared" si="271"/>
        <v>0</v>
      </c>
      <c r="EJ156" s="161">
        <f t="shared" si="272"/>
        <v>0</v>
      </c>
      <c r="EK156" s="147">
        <f t="shared" si="204"/>
        <v>75.520833333333343</v>
      </c>
      <c r="EL156" s="149"/>
      <c r="EN156" s="151"/>
      <c r="EO156" s="151"/>
      <c r="EP156" s="139">
        <f t="shared" si="205"/>
        <v>0</v>
      </c>
      <c r="EQ156" s="139">
        <f t="shared" si="206"/>
        <v>0.23984375000000002</v>
      </c>
      <c r="ER156" s="139">
        <f t="shared" si="207"/>
        <v>0</v>
      </c>
      <c r="ES156" s="139">
        <f t="shared" si="208"/>
        <v>0.83816158173851918</v>
      </c>
      <c r="ET156" s="139">
        <f t="shared" si="209"/>
        <v>0</v>
      </c>
      <c r="EU156" s="139">
        <f t="shared" si="210"/>
        <v>0</v>
      </c>
      <c r="EV156" s="139">
        <f t="shared" si="211"/>
        <v>0</v>
      </c>
      <c r="EW156" s="139">
        <f t="shared" si="212"/>
        <v>0</v>
      </c>
      <c r="EX156" s="139">
        <f t="shared" si="213"/>
        <v>0</v>
      </c>
      <c r="EY156" s="139">
        <f t="shared" si="214"/>
        <v>0</v>
      </c>
      <c r="EZ156" s="139">
        <f t="shared" si="215"/>
        <v>0</v>
      </c>
      <c r="FA156" s="139">
        <f t="shared" si="216"/>
        <v>0</v>
      </c>
      <c r="FB156" s="139">
        <f t="shared" si="217"/>
        <v>0</v>
      </c>
      <c r="FC156" s="139">
        <f t="shared" si="218"/>
        <v>0</v>
      </c>
      <c r="FD156" s="139">
        <f t="shared" si="219"/>
        <v>0</v>
      </c>
      <c r="FE156" s="139">
        <f t="shared" si="220"/>
        <v>0</v>
      </c>
      <c r="FF156" s="139">
        <f t="shared" si="221"/>
        <v>0</v>
      </c>
      <c r="FG156" s="139">
        <f t="shared" si="222"/>
        <v>0</v>
      </c>
      <c r="FH156" s="139">
        <f t="shared" si="223"/>
        <v>0</v>
      </c>
      <c r="FI156" s="139">
        <f t="shared" si="224"/>
        <v>0</v>
      </c>
      <c r="FJ156" s="139">
        <f t="shared" si="225"/>
        <v>0</v>
      </c>
      <c r="FK156" s="139">
        <f t="shared" si="226"/>
        <v>0</v>
      </c>
      <c r="FL156" s="139">
        <f t="shared" si="227"/>
        <v>0</v>
      </c>
      <c r="FM156" s="139">
        <f t="shared" si="228"/>
        <v>0</v>
      </c>
      <c r="FN156" s="139">
        <f t="shared" si="229"/>
        <v>0</v>
      </c>
      <c r="FO156" s="139">
        <f t="shared" si="230"/>
        <v>0</v>
      </c>
      <c r="FP156" s="139">
        <f t="shared" si="231"/>
        <v>0</v>
      </c>
      <c r="FQ156" s="139">
        <f t="shared" si="232"/>
        <v>0</v>
      </c>
      <c r="FR156" s="139">
        <f t="shared" si="233"/>
        <v>0</v>
      </c>
      <c r="FS156" s="139">
        <f t="shared" si="234"/>
        <v>0</v>
      </c>
      <c r="FT156" s="139">
        <f t="shared" si="235"/>
        <v>0</v>
      </c>
      <c r="FU156" s="148">
        <f t="shared" si="236"/>
        <v>1.0780053317385192</v>
      </c>
      <c r="FV156" s="149"/>
      <c r="FY156" s="210">
        <v>151</v>
      </c>
      <c r="FZ156">
        <v>34.081763356292747</v>
      </c>
      <c r="GA156">
        <v>40.24281037657299</v>
      </c>
      <c r="GB156">
        <v>3.8639067857353453</v>
      </c>
      <c r="GC156">
        <v>2.0519499800133643</v>
      </c>
      <c r="GD156">
        <v>1.0290290213285309</v>
      </c>
      <c r="GE156">
        <v>2.6480214819393946</v>
      </c>
      <c r="GF156">
        <v>5.2763819468366187</v>
      </c>
      <c r="GG156">
        <v>12.171700047103144</v>
      </c>
      <c r="GH156">
        <v>14.04287579776673</v>
      </c>
      <c r="GI156">
        <v>9.7580691352042184</v>
      </c>
      <c r="GJ156"/>
      <c r="GK156"/>
      <c r="GL156"/>
      <c r="GM156"/>
    </row>
    <row r="157" spans="1:195" s="7" customFormat="1">
      <c r="A157" s="77"/>
      <c r="B157" s="76">
        <f ca="1">IF(C157="", "", RAND())</f>
        <v>0.8394548241465476</v>
      </c>
      <c r="C157">
        <v>7</v>
      </c>
      <c r="D157">
        <v>39847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 s="2"/>
      <c r="AK157" s="80"/>
      <c r="AL157" s="74"/>
      <c r="AM157" s="43">
        <v>141</v>
      </c>
      <c r="AN157">
        <v>122.65358820507136</v>
      </c>
      <c r="AO157">
        <v>9.2114005478580498</v>
      </c>
      <c r="AP157">
        <v>83.86279662573979</v>
      </c>
      <c r="AQ157">
        <v>71.374719981400517</v>
      </c>
      <c r="AR157">
        <v>8.5884381123343712</v>
      </c>
      <c r="AS157">
        <v>160.7026261248032</v>
      </c>
      <c r="AT157">
        <v>5.5411993382624871</v>
      </c>
      <c r="AU157">
        <v>10.093878504881864</v>
      </c>
      <c r="AV157"/>
      <c r="AW157"/>
      <c r="AX157" s="151"/>
      <c r="AY157" s="76">
        <f t="shared" ca="1" si="201"/>
        <v>0.81895469451870362</v>
      </c>
      <c r="AZ157">
        <v>10</v>
      </c>
      <c r="BA157" s="129">
        <f t="shared" si="202"/>
        <v>39847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 s="147"/>
      <c r="CH157" s="176"/>
      <c r="CJ157" s="151"/>
      <c r="CK157" s="76">
        <f t="shared" ca="1" si="237"/>
        <v>0.66861253209769789</v>
      </c>
      <c r="CL157" s="179">
        <f t="shared" si="238"/>
        <v>10</v>
      </c>
      <c r="CM157" s="180">
        <f t="shared" si="239"/>
        <v>39847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 s="160"/>
      <c r="CW157">
        <v>1</v>
      </c>
      <c r="CX157">
        <v>1</v>
      </c>
      <c r="CY157" s="165"/>
      <c r="CZ157" s="177">
        <f t="shared" si="240"/>
        <v>9.6000000000000002E-2</v>
      </c>
      <c r="DB157" s="151"/>
      <c r="DC157" s="76">
        <f t="shared" ca="1" si="203"/>
        <v>2.867249176090847E-2</v>
      </c>
      <c r="DD157">
        <f t="shared" si="241"/>
        <v>10</v>
      </c>
      <c r="DE157" s="129">
        <f t="shared" si="167"/>
        <v>39847</v>
      </c>
      <c r="DF157" s="161">
        <f t="shared" si="242"/>
        <v>0</v>
      </c>
      <c r="DG157" s="161">
        <f t="shared" si="243"/>
        <v>0</v>
      </c>
      <c r="DH157" s="161">
        <f t="shared" si="244"/>
        <v>0</v>
      </c>
      <c r="DI157" s="161">
        <f t="shared" si="245"/>
        <v>0</v>
      </c>
      <c r="DJ157" s="161">
        <f t="shared" si="246"/>
        <v>0</v>
      </c>
      <c r="DK157" s="161">
        <f t="shared" si="247"/>
        <v>0</v>
      </c>
      <c r="DL157" s="161">
        <f t="shared" si="248"/>
        <v>0</v>
      </c>
      <c r="DM157" s="161">
        <f t="shared" si="249"/>
        <v>0</v>
      </c>
      <c r="DN157" s="161">
        <f t="shared" si="250"/>
        <v>0</v>
      </c>
      <c r="DO157" s="161">
        <f t="shared" si="251"/>
        <v>0</v>
      </c>
      <c r="DP157" s="161">
        <f t="shared" si="252"/>
        <v>0</v>
      </c>
      <c r="DQ157" s="161">
        <f t="shared" si="253"/>
        <v>0</v>
      </c>
      <c r="DR157" s="161">
        <f t="shared" si="254"/>
        <v>0</v>
      </c>
      <c r="DS157" s="161">
        <f t="shared" si="255"/>
        <v>0</v>
      </c>
      <c r="DT157" s="161">
        <f t="shared" si="256"/>
        <v>0</v>
      </c>
      <c r="DU157" s="161">
        <f t="shared" si="257"/>
        <v>0</v>
      </c>
      <c r="DV157" s="161">
        <f t="shared" si="258"/>
        <v>0</v>
      </c>
      <c r="DW157" s="161">
        <f t="shared" si="259"/>
        <v>0</v>
      </c>
      <c r="DX157" s="161">
        <f t="shared" si="260"/>
        <v>0</v>
      </c>
      <c r="DY157" s="161">
        <f t="shared" si="261"/>
        <v>0</v>
      </c>
      <c r="DZ157" s="161">
        <f t="shared" si="262"/>
        <v>0</v>
      </c>
      <c r="EA157" s="161">
        <f t="shared" si="263"/>
        <v>0</v>
      </c>
      <c r="EB157" s="161">
        <f t="shared" si="264"/>
        <v>0</v>
      </c>
      <c r="EC157" s="161">
        <f t="shared" si="265"/>
        <v>0</v>
      </c>
      <c r="ED157" s="161">
        <f t="shared" si="266"/>
        <v>0</v>
      </c>
      <c r="EE157" s="161">
        <f t="shared" si="267"/>
        <v>0</v>
      </c>
      <c r="EF157" s="161">
        <f t="shared" si="268"/>
        <v>0</v>
      </c>
      <c r="EG157" s="161">
        <f t="shared" si="269"/>
        <v>0</v>
      </c>
      <c r="EH157" s="161">
        <f t="shared" si="270"/>
        <v>0</v>
      </c>
      <c r="EI157" s="161">
        <f t="shared" si="271"/>
        <v>0</v>
      </c>
      <c r="EJ157" s="161">
        <f t="shared" si="272"/>
        <v>0</v>
      </c>
      <c r="EK157" s="147">
        <f t="shared" si="204"/>
        <v>0</v>
      </c>
      <c r="EL157" s="149"/>
      <c r="EN157" s="151"/>
      <c r="EO157" s="151"/>
      <c r="EP157" s="139">
        <f t="shared" si="205"/>
        <v>0</v>
      </c>
      <c r="EQ157" s="139">
        <f t="shared" si="206"/>
        <v>0</v>
      </c>
      <c r="ER157" s="139">
        <f t="shared" si="207"/>
        <v>0</v>
      </c>
      <c r="ES157" s="139">
        <f t="shared" si="208"/>
        <v>0</v>
      </c>
      <c r="ET157" s="139">
        <f t="shared" si="209"/>
        <v>0</v>
      </c>
      <c r="EU157" s="139">
        <f t="shared" si="210"/>
        <v>0</v>
      </c>
      <c r="EV157" s="139">
        <f t="shared" si="211"/>
        <v>0</v>
      </c>
      <c r="EW157" s="139">
        <f t="shared" si="212"/>
        <v>0</v>
      </c>
      <c r="EX157" s="139">
        <f t="shared" si="213"/>
        <v>0</v>
      </c>
      <c r="EY157" s="139">
        <f t="shared" si="214"/>
        <v>0</v>
      </c>
      <c r="EZ157" s="139">
        <f t="shared" si="215"/>
        <v>0</v>
      </c>
      <c r="FA157" s="139">
        <f t="shared" si="216"/>
        <v>0</v>
      </c>
      <c r="FB157" s="139">
        <f t="shared" si="217"/>
        <v>0</v>
      </c>
      <c r="FC157" s="139">
        <f t="shared" si="218"/>
        <v>0</v>
      </c>
      <c r="FD157" s="139">
        <f t="shared" si="219"/>
        <v>0</v>
      </c>
      <c r="FE157" s="139">
        <f t="shared" si="220"/>
        <v>0</v>
      </c>
      <c r="FF157" s="139">
        <f t="shared" si="221"/>
        <v>0</v>
      </c>
      <c r="FG157" s="139">
        <f t="shared" si="222"/>
        <v>0</v>
      </c>
      <c r="FH157" s="139">
        <f t="shared" si="223"/>
        <v>0</v>
      </c>
      <c r="FI157" s="139">
        <f t="shared" si="224"/>
        <v>0</v>
      </c>
      <c r="FJ157" s="139">
        <f t="shared" si="225"/>
        <v>0</v>
      </c>
      <c r="FK157" s="139">
        <f t="shared" si="226"/>
        <v>0</v>
      </c>
      <c r="FL157" s="139">
        <f t="shared" si="227"/>
        <v>0</v>
      </c>
      <c r="FM157" s="139">
        <f t="shared" si="228"/>
        <v>0</v>
      </c>
      <c r="FN157" s="139">
        <f t="shared" si="229"/>
        <v>0</v>
      </c>
      <c r="FO157" s="139">
        <f t="shared" si="230"/>
        <v>0</v>
      </c>
      <c r="FP157" s="139">
        <f t="shared" si="231"/>
        <v>0</v>
      </c>
      <c r="FQ157" s="139">
        <f t="shared" si="232"/>
        <v>0</v>
      </c>
      <c r="FR157" s="139">
        <f t="shared" si="233"/>
        <v>0</v>
      </c>
      <c r="FS157" s="139">
        <f t="shared" si="234"/>
        <v>0</v>
      </c>
      <c r="FT157" s="139">
        <f t="shared" si="235"/>
        <v>0</v>
      </c>
      <c r="FU157" s="148">
        <f t="shared" si="236"/>
        <v>0</v>
      </c>
      <c r="FV157" s="149"/>
      <c r="FY157" s="210">
        <v>152</v>
      </c>
      <c r="FZ157">
        <v>25.909677263048664</v>
      </c>
      <c r="GA157">
        <v>28.814073310099751</v>
      </c>
      <c r="GB157">
        <v>2.9319598601039707</v>
      </c>
      <c r="GC157">
        <v>1.2232435712941261</v>
      </c>
      <c r="GD157">
        <v>0.73949088725807099</v>
      </c>
      <c r="GE157">
        <v>2.1641261533024889</v>
      </c>
      <c r="GF157">
        <v>9.012841866144564</v>
      </c>
      <c r="GG157">
        <v>14.006235899838863</v>
      </c>
      <c r="GH157">
        <v>13.342644470781494</v>
      </c>
      <c r="GI157">
        <v>8.7246210041430476</v>
      </c>
      <c r="GJ157"/>
      <c r="GK157"/>
      <c r="GL157"/>
      <c r="GM157"/>
    </row>
    <row r="158" spans="1:195" s="7" customFormat="1">
      <c r="A158" s="128"/>
      <c r="B158" s="76">
        <f ca="1">IF(C158="", "", RAND())</f>
        <v>0.89349499276025313</v>
      </c>
      <c r="C158">
        <v>8</v>
      </c>
      <c r="D158">
        <v>39910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 s="2"/>
      <c r="AK158" s="80"/>
      <c r="AL158" s="74">
        <v>3.0028000000000028</v>
      </c>
      <c r="AM158" s="43">
        <v>142</v>
      </c>
      <c r="AN158">
        <v>153.32410135030574</v>
      </c>
      <c r="AO158">
        <v>9.3887265661547588</v>
      </c>
      <c r="AP158">
        <v>83.014513361373076</v>
      </c>
      <c r="AQ158">
        <v>67.865422182299056</v>
      </c>
      <c r="AR158">
        <v>8.9869997784170828</v>
      </c>
      <c r="AS158">
        <v>168.12158144451772</v>
      </c>
      <c r="AT158">
        <v>5.1808060969251022</v>
      </c>
      <c r="AU158">
        <v>32.68573387004551</v>
      </c>
      <c r="AV158"/>
      <c r="AW158"/>
      <c r="AX158" s="128"/>
      <c r="AY158" s="76">
        <f t="shared" ca="1" si="201"/>
        <v>0.48480353969372003</v>
      </c>
      <c r="AZ158">
        <v>1</v>
      </c>
      <c r="BA158" s="129">
        <f>IF(AZ158="", "",$C$11)</f>
        <v>39910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 s="147"/>
      <c r="CH158" s="176"/>
      <c r="CJ158" s="128"/>
      <c r="CK158" s="76">
        <f t="shared" ca="1" si="237"/>
        <v>0.92827765355989156</v>
      </c>
      <c r="CL158" s="179">
        <f t="shared" si="238"/>
        <v>1</v>
      </c>
      <c r="CM158" s="180">
        <f t="shared" si="239"/>
        <v>39910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 s="160"/>
      <c r="CW158">
        <v>1</v>
      </c>
      <c r="CX158">
        <v>1</v>
      </c>
      <c r="CY158" s="160"/>
      <c r="CZ158" s="177">
        <f t="shared" si="240"/>
        <v>9.6000000000000002E-2</v>
      </c>
      <c r="DB158" s="128"/>
      <c r="DC158" s="76">
        <f t="shared" ca="1" si="203"/>
        <v>7.7282251675260927E-2</v>
      </c>
      <c r="DD158">
        <f t="shared" si="241"/>
        <v>1</v>
      </c>
      <c r="DE158" s="129">
        <f t="shared" ref="DE158:DE167" si="273">IF((DD158)="", "", $C$11)</f>
        <v>39910</v>
      </c>
      <c r="DF158" s="161">
        <f t="shared" si="242"/>
        <v>0</v>
      </c>
      <c r="DG158" s="161">
        <f t="shared" si="243"/>
        <v>0</v>
      </c>
      <c r="DH158" s="161">
        <f t="shared" si="244"/>
        <v>0</v>
      </c>
      <c r="DI158" s="161">
        <f t="shared" si="245"/>
        <v>0</v>
      </c>
      <c r="DJ158" s="161">
        <f t="shared" si="246"/>
        <v>0</v>
      </c>
      <c r="DK158" s="161">
        <f t="shared" si="247"/>
        <v>0</v>
      </c>
      <c r="DL158" s="161">
        <f t="shared" si="248"/>
        <v>0</v>
      </c>
      <c r="DM158" s="161">
        <f t="shared" si="249"/>
        <v>0</v>
      </c>
      <c r="DN158" s="161">
        <f t="shared" si="250"/>
        <v>0</v>
      </c>
      <c r="DO158" s="161">
        <f t="shared" si="251"/>
        <v>0</v>
      </c>
      <c r="DP158" s="161">
        <f t="shared" si="252"/>
        <v>0</v>
      </c>
      <c r="DQ158" s="161">
        <f t="shared" si="253"/>
        <v>0</v>
      </c>
      <c r="DR158" s="161">
        <f t="shared" si="254"/>
        <v>0</v>
      </c>
      <c r="DS158" s="161">
        <f t="shared" si="255"/>
        <v>0</v>
      </c>
      <c r="DT158" s="161">
        <f t="shared" si="256"/>
        <v>0</v>
      </c>
      <c r="DU158" s="161">
        <f t="shared" si="257"/>
        <v>0</v>
      </c>
      <c r="DV158" s="161">
        <f t="shared" si="258"/>
        <v>0</v>
      </c>
      <c r="DW158" s="161">
        <f t="shared" si="259"/>
        <v>0</v>
      </c>
      <c r="DX158" s="161">
        <f t="shared" si="260"/>
        <v>0</v>
      </c>
      <c r="DY158" s="161">
        <f t="shared" si="261"/>
        <v>0</v>
      </c>
      <c r="DZ158" s="161">
        <f t="shared" si="262"/>
        <v>0</v>
      </c>
      <c r="EA158" s="161">
        <f t="shared" si="263"/>
        <v>0</v>
      </c>
      <c r="EB158" s="161">
        <f t="shared" si="264"/>
        <v>0</v>
      </c>
      <c r="EC158" s="161">
        <f t="shared" si="265"/>
        <v>0</v>
      </c>
      <c r="ED158" s="161">
        <f t="shared" si="266"/>
        <v>0</v>
      </c>
      <c r="EE158" s="161">
        <f t="shared" si="267"/>
        <v>0</v>
      </c>
      <c r="EF158" s="161">
        <f t="shared" si="268"/>
        <v>0</v>
      </c>
      <c r="EG158" s="161">
        <f t="shared" si="269"/>
        <v>0</v>
      </c>
      <c r="EH158" s="161">
        <f t="shared" si="270"/>
        <v>0</v>
      </c>
      <c r="EI158" s="161">
        <f t="shared" si="271"/>
        <v>0</v>
      </c>
      <c r="EJ158" s="161">
        <f t="shared" si="272"/>
        <v>0</v>
      </c>
      <c r="EK158" s="147">
        <f t="shared" si="204"/>
        <v>0</v>
      </c>
      <c r="EL158" s="149"/>
      <c r="EN158" s="146"/>
      <c r="EO158" s="146"/>
      <c r="EP158" s="139">
        <f t="shared" si="205"/>
        <v>0</v>
      </c>
      <c r="EQ158" s="139">
        <f t="shared" si="206"/>
        <v>0</v>
      </c>
      <c r="ER158" s="139">
        <f t="shared" si="207"/>
        <v>0</v>
      </c>
      <c r="ES158" s="139">
        <f t="shared" si="208"/>
        <v>0</v>
      </c>
      <c r="ET158" s="139">
        <f t="shared" si="209"/>
        <v>0</v>
      </c>
      <c r="EU158" s="139">
        <f t="shared" si="210"/>
        <v>0</v>
      </c>
      <c r="EV158" s="139">
        <f t="shared" si="211"/>
        <v>0</v>
      </c>
      <c r="EW158" s="139">
        <f t="shared" si="212"/>
        <v>0</v>
      </c>
      <c r="EX158" s="139">
        <f t="shared" si="213"/>
        <v>0</v>
      </c>
      <c r="EY158" s="139">
        <f t="shared" si="214"/>
        <v>0</v>
      </c>
      <c r="EZ158" s="139">
        <f t="shared" si="215"/>
        <v>0</v>
      </c>
      <c r="FA158" s="139">
        <f t="shared" si="216"/>
        <v>0</v>
      </c>
      <c r="FB158" s="139">
        <f t="shared" si="217"/>
        <v>0</v>
      </c>
      <c r="FC158" s="139">
        <f t="shared" si="218"/>
        <v>0</v>
      </c>
      <c r="FD158" s="139">
        <f t="shared" si="219"/>
        <v>0</v>
      </c>
      <c r="FE158" s="139">
        <f t="shared" si="220"/>
        <v>0</v>
      </c>
      <c r="FF158" s="139">
        <f t="shared" si="221"/>
        <v>0</v>
      </c>
      <c r="FG158" s="139">
        <f t="shared" si="222"/>
        <v>0</v>
      </c>
      <c r="FH158" s="139">
        <f t="shared" si="223"/>
        <v>0</v>
      </c>
      <c r="FI158" s="139">
        <f t="shared" si="224"/>
        <v>0</v>
      </c>
      <c r="FJ158" s="139">
        <f t="shared" si="225"/>
        <v>0</v>
      </c>
      <c r="FK158" s="139">
        <f t="shared" si="226"/>
        <v>0</v>
      </c>
      <c r="FL158" s="139">
        <f t="shared" si="227"/>
        <v>0</v>
      </c>
      <c r="FM158" s="139">
        <f t="shared" si="228"/>
        <v>0</v>
      </c>
      <c r="FN158" s="139">
        <f t="shared" si="229"/>
        <v>0</v>
      </c>
      <c r="FO158" s="139">
        <f t="shared" si="230"/>
        <v>0</v>
      </c>
      <c r="FP158" s="139">
        <f t="shared" si="231"/>
        <v>0</v>
      </c>
      <c r="FQ158" s="139">
        <f t="shared" si="232"/>
        <v>0</v>
      </c>
      <c r="FR158" s="139">
        <f t="shared" si="233"/>
        <v>0</v>
      </c>
      <c r="FS158" s="139">
        <f t="shared" si="234"/>
        <v>0</v>
      </c>
      <c r="FT158" s="139">
        <f t="shared" si="235"/>
        <v>0</v>
      </c>
      <c r="FU158" s="148">
        <f t="shared" si="236"/>
        <v>0</v>
      </c>
      <c r="FV158" s="149"/>
      <c r="FY158" s="210">
        <v>153</v>
      </c>
      <c r="FZ158">
        <v>23.637922346682227</v>
      </c>
      <c r="GA158">
        <v>27.310771253846625</v>
      </c>
      <c r="GB158">
        <v>3.9093832975564937</v>
      </c>
      <c r="GC158">
        <v>1.9665570372416843</v>
      </c>
      <c r="GD158">
        <v>0.95448708661069526</v>
      </c>
      <c r="GE158">
        <v>3.2040523924840167</v>
      </c>
      <c r="GF158">
        <v>3.3308828091250833</v>
      </c>
      <c r="GG158">
        <v>7.6648310753133364</v>
      </c>
      <c r="GH158">
        <v>11.906447940138348</v>
      </c>
      <c r="GI158">
        <v>7.5069243010564595</v>
      </c>
      <c r="GJ158"/>
      <c r="GK158"/>
      <c r="GL158"/>
      <c r="GM158"/>
    </row>
    <row r="159" spans="1:195" s="7" customFormat="1">
      <c r="A159" s="1"/>
      <c r="B159" s="76">
        <f ca="1">IF(C159="", "", RAND())</f>
        <v>0.96150532533484245</v>
      </c>
      <c r="C159">
        <v>1</v>
      </c>
      <c r="D159">
        <v>39910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 s="2"/>
      <c r="AK159" s="80"/>
      <c r="AL159" s="74">
        <v>3.0028000000000028</v>
      </c>
      <c r="AM159" s="43">
        <v>143</v>
      </c>
      <c r="AN159">
        <v>93.789768897528262</v>
      </c>
      <c r="AO159">
        <v>11.374505518856056</v>
      </c>
      <c r="AP159">
        <v>122.68717200865521</v>
      </c>
      <c r="AQ159">
        <v>104.38457154662379</v>
      </c>
      <c r="AR159">
        <v>10.86563213712539</v>
      </c>
      <c r="AS159">
        <v>171.65439820373632</v>
      </c>
      <c r="AT159">
        <v>6.8654093448727238</v>
      </c>
      <c r="AU159">
        <v>46.204450783655233</v>
      </c>
      <c r="AV159"/>
      <c r="AW159"/>
      <c r="AX159" s="146"/>
      <c r="AY159" s="76">
        <f t="shared" ca="1" si="201"/>
        <v>2.2245188618685185E-2</v>
      </c>
      <c r="AZ159">
        <v>2</v>
      </c>
      <c r="BA159" s="129">
        <f t="shared" ref="BA159:BA167" si="274">IF(AZ159="", "",$C$11)</f>
        <v>39910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 s="147"/>
      <c r="CH159" s="176"/>
      <c r="CJ159" s="146"/>
      <c r="CK159" s="76">
        <f t="shared" ca="1" si="237"/>
        <v>0.76302460105763226</v>
      </c>
      <c r="CL159" s="179">
        <f t="shared" si="238"/>
        <v>2</v>
      </c>
      <c r="CM159" s="180">
        <f t="shared" si="239"/>
        <v>39910</v>
      </c>
      <c r="CN159" s="220">
        <v>0</v>
      </c>
      <c r="CO159" s="220">
        <v>0</v>
      </c>
      <c r="CP159" s="220">
        <v>0</v>
      </c>
      <c r="CQ159" s="220">
        <v>0</v>
      </c>
      <c r="CR159" s="220">
        <v>0</v>
      </c>
      <c r="CS159">
        <v>0</v>
      </c>
      <c r="CT159">
        <v>0</v>
      </c>
      <c r="CU159">
        <v>0</v>
      </c>
      <c r="CV159" s="160"/>
      <c r="CW159">
        <v>1</v>
      </c>
      <c r="CX159">
        <f>256/23</f>
        <v>11.130434782608695</v>
      </c>
      <c r="CY159" s="160"/>
      <c r="CZ159" s="177">
        <f t="shared" si="240"/>
        <v>9.6000000000000002E-2</v>
      </c>
      <c r="DB159" s="146"/>
      <c r="DC159" s="76">
        <f t="shared" ca="1" si="203"/>
        <v>0.43707333618527766</v>
      </c>
      <c r="DD159">
        <f t="shared" si="241"/>
        <v>2</v>
      </c>
      <c r="DE159" s="129">
        <f t="shared" si="273"/>
        <v>39910</v>
      </c>
      <c r="DF159" s="161">
        <f t="shared" si="242"/>
        <v>0</v>
      </c>
      <c r="DG159" s="161">
        <f t="shared" si="243"/>
        <v>0</v>
      </c>
      <c r="DH159" s="161">
        <f t="shared" si="244"/>
        <v>0</v>
      </c>
      <c r="DI159" s="161">
        <f t="shared" si="245"/>
        <v>0</v>
      </c>
      <c r="DJ159" s="161">
        <f t="shared" si="246"/>
        <v>0</v>
      </c>
      <c r="DK159" s="161">
        <f t="shared" si="247"/>
        <v>0</v>
      </c>
      <c r="DL159" s="161">
        <f t="shared" si="248"/>
        <v>0</v>
      </c>
      <c r="DM159" s="161">
        <f t="shared" si="249"/>
        <v>0</v>
      </c>
      <c r="DN159" s="161">
        <f t="shared" si="250"/>
        <v>0</v>
      </c>
      <c r="DO159" s="161">
        <f t="shared" si="251"/>
        <v>0</v>
      </c>
      <c r="DP159" s="161">
        <f t="shared" si="252"/>
        <v>0</v>
      </c>
      <c r="DQ159" s="161">
        <f t="shared" si="253"/>
        <v>0</v>
      </c>
      <c r="DR159" s="161">
        <f t="shared" si="254"/>
        <v>0</v>
      </c>
      <c r="DS159" s="161">
        <f t="shared" si="255"/>
        <v>0</v>
      </c>
      <c r="DT159" s="161">
        <f t="shared" si="256"/>
        <v>0</v>
      </c>
      <c r="DU159" s="161">
        <f t="shared" si="257"/>
        <v>0</v>
      </c>
      <c r="DV159" s="161">
        <f t="shared" si="258"/>
        <v>0</v>
      </c>
      <c r="DW159" s="161">
        <f t="shared" si="259"/>
        <v>0</v>
      </c>
      <c r="DX159" s="161">
        <f t="shared" si="260"/>
        <v>0</v>
      </c>
      <c r="DY159" s="161">
        <f t="shared" si="261"/>
        <v>0</v>
      </c>
      <c r="DZ159" s="161">
        <f t="shared" si="262"/>
        <v>0</v>
      </c>
      <c r="EA159" s="161">
        <f t="shared" si="263"/>
        <v>0</v>
      </c>
      <c r="EB159" s="161">
        <f t="shared" si="264"/>
        <v>0</v>
      </c>
      <c r="EC159" s="161">
        <f t="shared" si="265"/>
        <v>0</v>
      </c>
      <c r="ED159" s="161">
        <f t="shared" si="266"/>
        <v>0</v>
      </c>
      <c r="EE159" s="161">
        <f t="shared" si="267"/>
        <v>0</v>
      </c>
      <c r="EF159" s="161">
        <f t="shared" si="268"/>
        <v>0</v>
      </c>
      <c r="EG159" s="161">
        <f t="shared" si="269"/>
        <v>0</v>
      </c>
      <c r="EH159" s="161">
        <f t="shared" si="270"/>
        <v>0</v>
      </c>
      <c r="EI159" s="161">
        <f t="shared" si="271"/>
        <v>0</v>
      </c>
      <c r="EJ159" s="161">
        <f t="shared" si="272"/>
        <v>0</v>
      </c>
      <c r="EK159" s="147">
        <f t="shared" si="204"/>
        <v>0</v>
      </c>
      <c r="EL159" s="149"/>
      <c r="EN159" s="146"/>
      <c r="EO159" s="146"/>
      <c r="EP159" s="139">
        <f t="shared" si="205"/>
        <v>0</v>
      </c>
      <c r="EQ159" s="139">
        <f t="shared" si="206"/>
        <v>0</v>
      </c>
      <c r="ER159" s="139">
        <f t="shared" si="207"/>
        <v>0</v>
      </c>
      <c r="ES159" s="139">
        <f t="shared" si="208"/>
        <v>0</v>
      </c>
      <c r="ET159" s="139">
        <f t="shared" si="209"/>
        <v>0</v>
      </c>
      <c r="EU159" s="139">
        <f t="shared" si="210"/>
        <v>0</v>
      </c>
      <c r="EV159" s="139">
        <f t="shared" si="211"/>
        <v>0</v>
      </c>
      <c r="EW159" s="139">
        <f t="shared" si="212"/>
        <v>0</v>
      </c>
      <c r="EX159" s="139">
        <f t="shared" si="213"/>
        <v>0</v>
      </c>
      <c r="EY159" s="139">
        <f t="shared" si="214"/>
        <v>0</v>
      </c>
      <c r="EZ159" s="139">
        <f t="shared" si="215"/>
        <v>0</v>
      </c>
      <c r="FA159" s="139">
        <f t="shared" si="216"/>
        <v>0</v>
      </c>
      <c r="FB159" s="139">
        <f t="shared" si="217"/>
        <v>0</v>
      </c>
      <c r="FC159" s="139">
        <f t="shared" si="218"/>
        <v>0</v>
      </c>
      <c r="FD159" s="139">
        <f t="shared" si="219"/>
        <v>0</v>
      </c>
      <c r="FE159" s="139">
        <f t="shared" si="220"/>
        <v>0</v>
      </c>
      <c r="FF159" s="139">
        <f t="shared" si="221"/>
        <v>0</v>
      </c>
      <c r="FG159" s="139">
        <f t="shared" si="222"/>
        <v>0</v>
      </c>
      <c r="FH159" s="139">
        <f t="shared" si="223"/>
        <v>0</v>
      </c>
      <c r="FI159" s="139">
        <f t="shared" si="224"/>
        <v>0</v>
      </c>
      <c r="FJ159" s="139">
        <f t="shared" si="225"/>
        <v>0</v>
      </c>
      <c r="FK159" s="139">
        <f t="shared" si="226"/>
        <v>0</v>
      </c>
      <c r="FL159" s="139">
        <f t="shared" si="227"/>
        <v>0</v>
      </c>
      <c r="FM159" s="139">
        <f t="shared" si="228"/>
        <v>0</v>
      </c>
      <c r="FN159" s="139">
        <f t="shared" si="229"/>
        <v>0</v>
      </c>
      <c r="FO159" s="139">
        <f t="shared" si="230"/>
        <v>0</v>
      </c>
      <c r="FP159" s="139">
        <f t="shared" si="231"/>
        <v>0</v>
      </c>
      <c r="FQ159" s="139">
        <f t="shared" si="232"/>
        <v>0</v>
      </c>
      <c r="FR159" s="139">
        <f t="shared" si="233"/>
        <v>0</v>
      </c>
      <c r="FS159" s="139">
        <f t="shared" si="234"/>
        <v>0</v>
      </c>
      <c r="FT159" s="139">
        <f t="shared" si="235"/>
        <v>0</v>
      </c>
      <c r="FU159" s="148">
        <f t="shared" si="236"/>
        <v>0</v>
      </c>
      <c r="FV159" s="149"/>
      <c r="FY159" s="210">
        <v>154</v>
      </c>
      <c r="FZ159">
        <v>34.321475420203441</v>
      </c>
      <c r="GA159">
        <v>40.897568129600693</v>
      </c>
      <c r="GB159">
        <v>2.9996217571142338</v>
      </c>
      <c r="GC159">
        <v>0.99969758831550726</v>
      </c>
      <c r="GD159">
        <v>0.81937863695976088</v>
      </c>
      <c r="GE159">
        <v>1.902458020704942</v>
      </c>
      <c r="GF159">
        <v>7.417178632971603</v>
      </c>
      <c r="GG159">
        <v>7.3840441862207955</v>
      </c>
      <c r="GH159">
        <v>7.216418847435941</v>
      </c>
      <c r="GI159">
        <v>8.7768302970492993</v>
      </c>
      <c r="GJ159"/>
      <c r="GK159"/>
      <c r="GL159"/>
      <c r="GM159"/>
    </row>
    <row r="160" spans="1:195" s="7" customFormat="1">
      <c r="A160" s="1"/>
      <c r="B160" s="76">
        <f ca="1">IF(C160="", "", RAND())</f>
        <v>0.3509556203425872</v>
      </c>
      <c r="C160">
        <v>5</v>
      </c>
      <c r="D160">
        <v>39910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 s="2"/>
      <c r="AK160" s="80"/>
      <c r="AL160" s="74">
        <v>3.0028000000000028</v>
      </c>
      <c r="AM160" s="43">
        <v>144</v>
      </c>
      <c r="AN160">
        <v>148.63118458892606</v>
      </c>
      <c r="AO160">
        <v>13.678667060859507</v>
      </c>
      <c r="AP160">
        <v>140.59766290210172</v>
      </c>
      <c r="AQ160">
        <v>120.08729704633092</v>
      </c>
      <c r="AR160">
        <v>13.008878365787496</v>
      </c>
      <c r="AS160">
        <v>224.22094385122395</v>
      </c>
      <c r="AT160">
        <v>8.2634375316252875</v>
      </c>
      <c r="AU160">
        <v>32.055524453345129</v>
      </c>
      <c r="AV160"/>
      <c r="AW160"/>
      <c r="AX160" s="146"/>
      <c r="AY160" s="76">
        <f t="shared" ca="1" si="201"/>
        <v>0.63792228605459478</v>
      </c>
      <c r="AZ160">
        <v>3</v>
      </c>
      <c r="BA160" s="129">
        <f t="shared" si="274"/>
        <v>39910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 s="147"/>
      <c r="CH160" s="176"/>
      <c r="CJ160" s="146"/>
      <c r="CK160" s="76">
        <f t="shared" ca="1" si="237"/>
        <v>0.82003017264392386</v>
      </c>
      <c r="CL160" s="179">
        <f t="shared" si="238"/>
        <v>3</v>
      </c>
      <c r="CM160" s="180">
        <f t="shared" si="239"/>
        <v>39910</v>
      </c>
      <c r="CN160">
        <v>0</v>
      </c>
      <c r="CO160">
        <v>0</v>
      </c>
      <c r="CP160">
        <v>2</v>
      </c>
      <c r="CQ160">
        <v>1</v>
      </c>
      <c r="CR160">
        <v>0</v>
      </c>
      <c r="CS160">
        <v>0</v>
      </c>
      <c r="CT160">
        <v>0</v>
      </c>
      <c r="CU160">
        <v>0</v>
      </c>
      <c r="CV160" s="160"/>
      <c r="CW160">
        <f>30/11</f>
        <v>2.7272727272727271</v>
      </c>
      <c r="CX160">
        <f>350/42</f>
        <v>8.3333333333333339</v>
      </c>
      <c r="CY160" s="160"/>
      <c r="CZ160" s="177">
        <f t="shared" si="240"/>
        <v>9.6000000000000002E-2</v>
      </c>
      <c r="DB160" s="146"/>
      <c r="DC160" s="76">
        <f t="shared" ca="1" si="203"/>
        <v>0.39354405205289833</v>
      </c>
      <c r="DD160">
        <f t="shared" si="241"/>
        <v>3</v>
      </c>
      <c r="DE160" s="129">
        <f t="shared" si="273"/>
        <v>39910</v>
      </c>
      <c r="DF160" s="161">
        <f t="shared" si="242"/>
        <v>0</v>
      </c>
      <c r="DG160" s="161">
        <f t="shared" si="243"/>
        <v>0</v>
      </c>
      <c r="DH160" s="161">
        <f t="shared" si="244"/>
        <v>173.61111111111111</v>
      </c>
      <c r="DI160" s="161">
        <f t="shared" si="245"/>
        <v>86.805555555555557</v>
      </c>
      <c r="DJ160" s="161">
        <f t="shared" si="246"/>
        <v>0</v>
      </c>
      <c r="DK160" s="161">
        <f t="shared" si="247"/>
        <v>0</v>
      </c>
      <c r="DL160" s="161">
        <f t="shared" si="248"/>
        <v>0</v>
      </c>
      <c r="DM160" s="161">
        <f t="shared" si="249"/>
        <v>0</v>
      </c>
      <c r="DN160" s="161">
        <f t="shared" si="250"/>
        <v>0</v>
      </c>
      <c r="DO160" s="161">
        <f t="shared" si="251"/>
        <v>0</v>
      </c>
      <c r="DP160" s="161">
        <f t="shared" si="252"/>
        <v>0</v>
      </c>
      <c r="DQ160" s="161">
        <f t="shared" si="253"/>
        <v>0</v>
      </c>
      <c r="DR160" s="161">
        <f t="shared" si="254"/>
        <v>0</v>
      </c>
      <c r="DS160" s="161">
        <f t="shared" si="255"/>
        <v>0</v>
      </c>
      <c r="DT160" s="161">
        <f t="shared" si="256"/>
        <v>0</v>
      </c>
      <c r="DU160" s="161">
        <f t="shared" si="257"/>
        <v>0</v>
      </c>
      <c r="DV160" s="161">
        <f t="shared" si="258"/>
        <v>0</v>
      </c>
      <c r="DW160" s="161">
        <f t="shared" si="259"/>
        <v>0</v>
      </c>
      <c r="DX160" s="161">
        <f t="shared" si="260"/>
        <v>0</v>
      </c>
      <c r="DY160" s="161">
        <f t="shared" si="261"/>
        <v>0</v>
      </c>
      <c r="DZ160" s="161">
        <f t="shared" si="262"/>
        <v>0</v>
      </c>
      <c r="EA160" s="161">
        <f t="shared" si="263"/>
        <v>0</v>
      </c>
      <c r="EB160" s="161">
        <f t="shared" si="264"/>
        <v>0</v>
      </c>
      <c r="EC160" s="161">
        <f t="shared" si="265"/>
        <v>0</v>
      </c>
      <c r="ED160" s="161">
        <f t="shared" si="266"/>
        <v>0</v>
      </c>
      <c r="EE160" s="161">
        <f t="shared" si="267"/>
        <v>0</v>
      </c>
      <c r="EF160" s="161">
        <f t="shared" si="268"/>
        <v>0</v>
      </c>
      <c r="EG160" s="161">
        <f t="shared" si="269"/>
        <v>0</v>
      </c>
      <c r="EH160" s="161">
        <f t="shared" si="270"/>
        <v>0</v>
      </c>
      <c r="EI160" s="161">
        <f t="shared" si="271"/>
        <v>0</v>
      </c>
      <c r="EJ160" s="161">
        <f t="shared" si="272"/>
        <v>0</v>
      </c>
      <c r="EK160" s="147">
        <f t="shared" si="204"/>
        <v>260.41666666666669</v>
      </c>
      <c r="EL160" s="149"/>
      <c r="EN160" s="146"/>
      <c r="EO160" s="146"/>
      <c r="EP160" s="139">
        <f t="shared" si="205"/>
        <v>0</v>
      </c>
      <c r="EQ160" s="139">
        <f t="shared" si="206"/>
        <v>0</v>
      </c>
      <c r="ER160" s="139">
        <f t="shared" si="207"/>
        <v>4.4759820471014544</v>
      </c>
      <c r="ES160" s="139">
        <f t="shared" si="208"/>
        <v>6.9846798478209937</v>
      </c>
      <c r="ET160" s="139">
        <f t="shared" si="209"/>
        <v>0</v>
      </c>
      <c r="EU160" s="139">
        <f t="shared" si="210"/>
        <v>0</v>
      </c>
      <c r="EV160" s="139">
        <f t="shared" si="211"/>
        <v>0</v>
      </c>
      <c r="EW160" s="139">
        <f t="shared" si="212"/>
        <v>0</v>
      </c>
      <c r="EX160" s="139">
        <f t="shared" si="213"/>
        <v>0</v>
      </c>
      <c r="EY160" s="139">
        <f t="shared" si="214"/>
        <v>0</v>
      </c>
      <c r="EZ160" s="139">
        <f t="shared" si="215"/>
        <v>0</v>
      </c>
      <c r="FA160" s="139">
        <f t="shared" si="216"/>
        <v>0</v>
      </c>
      <c r="FB160" s="139">
        <f t="shared" si="217"/>
        <v>0</v>
      </c>
      <c r="FC160" s="139">
        <f t="shared" si="218"/>
        <v>0</v>
      </c>
      <c r="FD160" s="139">
        <f t="shared" si="219"/>
        <v>0</v>
      </c>
      <c r="FE160" s="139">
        <f t="shared" si="220"/>
        <v>0</v>
      </c>
      <c r="FF160" s="139">
        <f t="shared" si="221"/>
        <v>0</v>
      </c>
      <c r="FG160" s="139">
        <f t="shared" si="222"/>
        <v>0</v>
      </c>
      <c r="FH160" s="139">
        <f t="shared" si="223"/>
        <v>0</v>
      </c>
      <c r="FI160" s="139">
        <f t="shared" si="224"/>
        <v>0</v>
      </c>
      <c r="FJ160" s="139">
        <f t="shared" si="225"/>
        <v>0</v>
      </c>
      <c r="FK160" s="139">
        <f t="shared" si="226"/>
        <v>0</v>
      </c>
      <c r="FL160" s="139">
        <f t="shared" si="227"/>
        <v>0</v>
      </c>
      <c r="FM160" s="139">
        <f t="shared" si="228"/>
        <v>0</v>
      </c>
      <c r="FN160" s="139">
        <f t="shared" si="229"/>
        <v>0</v>
      </c>
      <c r="FO160" s="139">
        <f t="shared" si="230"/>
        <v>0</v>
      </c>
      <c r="FP160" s="139">
        <f t="shared" si="231"/>
        <v>0</v>
      </c>
      <c r="FQ160" s="139">
        <f t="shared" si="232"/>
        <v>0</v>
      </c>
      <c r="FR160" s="139">
        <f t="shared" si="233"/>
        <v>0</v>
      </c>
      <c r="FS160" s="139">
        <f t="shared" si="234"/>
        <v>0</v>
      </c>
      <c r="FT160" s="139">
        <f t="shared" si="235"/>
        <v>0</v>
      </c>
      <c r="FU160" s="148">
        <f t="shared" si="236"/>
        <v>11.460661894922449</v>
      </c>
      <c r="FV160" s="149"/>
      <c r="FY160" s="210">
        <v>155</v>
      </c>
      <c r="FZ160">
        <v>34.715000899947007</v>
      </c>
      <c r="GA160">
        <v>40.451970901847645</v>
      </c>
      <c r="GB160">
        <v>2.1882042313891703</v>
      </c>
      <c r="GC160">
        <v>1.2132638140475742</v>
      </c>
      <c r="GD160">
        <v>0.83021539088518348</v>
      </c>
      <c r="GE160">
        <v>1.2836570893408765</v>
      </c>
      <c r="GF160">
        <v>2.5995706251419173</v>
      </c>
      <c r="GG160">
        <v>4.0074109764623334</v>
      </c>
      <c r="GH160">
        <v>6.516502719043805</v>
      </c>
      <c r="GI160">
        <v>7.6472665353875353</v>
      </c>
      <c r="GJ160"/>
      <c r="GK160"/>
      <c r="GL160"/>
      <c r="GM160"/>
    </row>
    <row r="161" spans="1:195" s="7" customFormat="1">
      <c r="A161" s="1"/>
      <c r="B161" s="76">
        <f ca="1">IF(C161="", "", RAND())</f>
        <v>0.79822157737182842</v>
      </c>
      <c r="C161">
        <v>10</v>
      </c>
      <c r="D161">
        <v>39910</v>
      </c>
      <c r="E161">
        <v>0</v>
      </c>
      <c r="F161">
        <v>0</v>
      </c>
      <c r="G161">
        <v>312.5</v>
      </c>
      <c r="H161">
        <v>104.16666666666667</v>
      </c>
      <c r="I161">
        <v>208.33333333333334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 s="2"/>
      <c r="AK161" s="80"/>
      <c r="AL161" s="74">
        <v>3.0028000000000028</v>
      </c>
      <c r="AM161" s="43">
        <v>145</v>
      </c>
      <c r="AN161">
        <v>84.955589210355043</v>
      </c>
      <c r="AO161">
        <v>9.7365661767252067</v>
      </c>
      <c r="AP161">
        <v>97.112382956470938</v>
      </c>
      <c r="AQ161">
        <v>84.002928421077769</v>
      </c>
      <c r="AR161">
        <v>9.5595945415922845</v>
      </c>
      <c r="AS161">
        <v>130.89114999296612</v>
      </c>
      <c r="AT161">
        <v>5.864414967133782</v>
      </c>
      <c r="AU161">
        <v>18.26300597068786</v>
      </c>
      <c r="AV161"/>
      <c r="AW161"/>
      <c r="AX161" s="146"/>
      <c r="AY161" s="76">
        <f t="shared" ca="1" si="201"/>
        <v>0.16910268608426127</v>
      </c>
      <c r="AZ161">
        <v>4</v>
      </c>
      <c r="BA161" s="129">
        <f t="shared" si="274"/>
        <v>39910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 s="147"/>
      <c r="CH161" s="176"/>
      <c r="CJ161" s="146"/>
      <c r="CK161" s="76">
        <f t="shared" ca="1" si="237"/>
        <v>0.34539375353268054</v>
      </c>
      <c r="CL161" s="179">
        <f t="shared" si="238"/>
        <v>4</v>
      </c>
      <c r="CM161" s="180">
        <f t="shared" si="239"/>
        <v>39910</v>
      </c>
      <c r="CN161">
        <v>0</v>
      </c>
      <c r="CO161">
        <v>0</v>
      </c>
      <c r="CP161">
        <v>2</v>
      </c>
      <c r="CQ161">
        <v>0</v>
      </c>
      <c r="CR161">
        <v>0</v>
      </c>
      <c r="CS161">
        <v>0</v>
      </c>
      <c r="CT161">
        <v>0</v>
      </c>
      <c r="CU161">
        <v>0</v>
      </c>
      <c r="CV161" s="160"/>
      <c r="CW161">
        <v>1</v>
      </c>
      <c r="CX161">
        <f>310/93</f>
        <v>3.3333333333333335</v>
      </c>
      <c r="CY161" s="160"/>
      <c r="CZ161" s="177">
        <f t="shared" si="240"/>
        <v>9.6000000000000002E-2</v>
      </c>
      <c r="DB161" s="146"/>
      <c r="DC161" s="76">
        <f t="shared" ca="1" si="203"/>
        <v>0.66771066686941971</v>
      </c>
      <c r="DD161">
        <f t="shared" si="241"/>
        <v>4</v>
      </c>
      <c r="DE161" s="129">
        <f t="shared" si="273"/>
        <v>39910</v>
      </c>
      <c r="DF161" s="161">
        <f t="shared" si="242"/>
        <v>0</v>
      </c>
      <c r="DG161" s="161">
        <f t="shared" si="243"/>
        <v>0</v>
      </c>
      <c r="DH161" s="161">
        <f t="shared" si="244"/>
        <v>69.444444444444443</v>
      </c>
      <c r="DI161" s="161">
        <f t="shared" si="245"/>
        <v>0</v>
      </c>
      <c r="DJ161" s="161">
        <f t="shared" si="246"/>
        <v>0</v>
      </c>
      <c r="DK161" s="161">
        <f t="shared" si="247"/>
        <v>0</v>
      </c>
      <c r="DL161" s="161">
        <f t="shared" si="248"/>
        <v>0</v>
      </c>
      <c r="DM161" s="161">
        <f t="shared" si="249"/>
        <v>0</v>
      </c>
      <c r="DN161" s="161">
        <f t="shared" si="250"/>
        <v>0</v>
      </c>
      <c r="DO161" s="161">
        <f t="shared" si="251"/>
        <v>0</v>
      </c>
      <c r="DP161" s="161">
        <f t="shared" si="252"/>
        <v>0</v>
      </c>
      <c r="DQ161" s="161">
        <f t="shared" si="253"/>
        <v>0</v>
      </c>
      <c r="DR161" s="161">
        <f t="shared" si="254"/>
        <v>0</v>
      </c>
      <c r="DS161" s="161">
        <f t="shared" si="255"/>
        <v>0</v>
      </c>
      <c r="DT161" s="161">
        <f t="shared" si="256"/>
        <v>0</v>
      </c>
      <c r="DU161" s="161">
        <f t="shared" si="257"/>
        <v>0</v>
      </c>
      <c r="DV161" s="161">
        <f t="shared" si="258"/>
        <v>0</v>
      </c>
      <c r="DW161" s="161">
        <f t="shared" si="259"/>
        <v>0</v>
      </c>
      <c r="DX161" s="161">
        <f t="shared" si="260"/>
        <v>0</v>
      </c>
      <c r="DY161" s="161">
        <f t="shared" si="261"/>
        <v>0</v>
      </c>
      <c r="DZ161" s="161">
        <f t="shared" si="262"/>
        <v>0</v>
      </c>
      <c r="EA161" s="161">
        <f t="shared" si="263"/>
        <v>0</v>
      </c>
      <c r="EB161" s="161">
        <f t="shared" si="264"/>
        <v>0</v>
      </c>
      <c r="EC161" s="161">
        <f t="shared" si="265"/>
        <v>0</v>
      </c>
      <c r="ED161" s="161">
        <f t="shared" si="266"/>
        <v>0</v>
      </c>
      <c r="EE161" s="161">
        <f t="shared" si="267"/>
        <v>0</v>
      </c>
      <c r="EF161" s="161">
        <f t="shared" si="268"/>
        <v>0</v>
      </c>
      <c r="EG161" s="161">
        <f t="shared" si="269"/>
        <v>0</v>
      </c>
      <c r="EH161" s="161">
        <f t="shared" si="270"/>
        <v>0</v>
      </c>
      <c r="EI161" s="161">
        <f t="shared" si="271"/>
        <v>0</v>
      </c>
      <c r="EJ161" s="161">
        <f t="shared" si="272"/>
        <v>0</v>
      </c>
      <c r="EK161" s="147">
        <f t="shared" si="204"/>
        <v>69.444444444444443</v>
      </c>
      <c r="EL161" s="149"/>
      <c r="EN161" s="146"/>
      <c r="EO161" s="146"/>
      <c r="EP161" s="139">
        <f t="shared" si="205"/>
        <v>0</v>
      </c>
      <c r="EQ161" s="139">
        <f t="shared" si="206"/>
        <v>0</v>
      </c>
      <c r="ER161" s="139">
        <f t="shared" si="207"/>
        <v>1.7903928188405818</v>
      </c>
      <c r="ES161" s="139">
        <f t="shared" si="208"/>
        <v>0</v>
      </c>
      <c r="ET161" s="139">
        <f t="shared" si="209"/>
        <v>0</v>
      </c>
      <c r="EU161" s="139">
        <f t="shared" si="210"/>
        <v>0</v>
      </c>
      <c r="EV161" s="139">
        <f t="shared" si="211"/>
        <v>0</v>
      </c>
      <c r="EW161" s="139">
        <f t="shared" si="212"/>
        <v>0</v>
      </c>
      <c r="EX161" s="139">
        <f t="shared" si="213"/>
        <v>0</v>
      </c>
      <c r="EY161" s="139">
        <f t="shared" si="214"/>
        <v>0</v>
      </c>
      <c r="EZ161" s="139">
        <f t="shared" si="215"/>
        <v>0</v>
      </c>
      <c r="FA161" s="139">
        <f t="shared" si="216"/>
        <v>0</v>
      </c>
      <c r="FB161" s="139">
        <f t="shared" si="217"/>
        <v>0</v>
      </c>
      <c r="FC161" s="139">
        <f t="shared" si="218"/>
        <v>0</v>
      </c>
      <c r="FD161" s="139">
        <f t="shared" si="219"/>
        <v>0</v>
      </c>
      <c r="FE161" s="139">
        <f t="shared" si="220"/>
        <v>0</v>
      </c>
      <c r="FF161" s="139">
        <f t="shared" si="221"/>
        <v>0</v>
      </c>
      <c r="FG161" s="139">
        <f t="shared" si="222"/>
        <v>0</v>
      </c>
      <c r="FH161" s="139">
        <f t="shared" si="223"/>
        <v>0</v>
      </c>
      <c r="FI161" s="139">
        <f t="shared" si="224"/>
        <v>0</v>
      </c>
      <c r="FJ161" s="139">
        <f t="shared" si="225"/>
        <v>0</v>
      </c>
      <c r="FK161" s="139">
        <f t="shared" si="226"/>
        <v>0</v>
      </c>
      <c r="FL161" s="139">
        <f t="shared" si="227"/>
        <v>0</v>
      </c>
      <c r="FM161" s="139">
        <f t="shared" si="228"/>
        <v>0</v>
      </c>
      <c r="FN161" s="139">
        <f t="shared" si="229"/>
        <v>0</v>
      </c>
      <c r="FO161" s="139">
        <f t="shared" si="230"/>
        <v>0</v>
      </c>
      <c r="FP161" s="139">
        <f t="shared" si="231"/>
        <v>0</v>
      </c>
      <c r="FQ161" s="139">
        <f t="shared" si="232"/>
        <v>0</v>
      </c>
      <c r="FR161" s="139">
        <f t="shared" si="233"/>
        <v>0</v>
      </c>
      <c r="FS161" s="139">
        <f t="shared" si="234"/>
        <v>0</v>
      </c>
      <c r="FT161" s="139">
        <f t="shared" si="235"/>
        <v>0</v>
      </c>
      <c r="FU161" s="148">
        <f t="shared" si="236"/>
        <v>1.7903928188405818</v>
      </c>
      <c r="FV161" s="149"/>
      <c r="FY161" s="210">
        <v>156</v>
      </c>
      <c r="FZ161">
        <v>32.304822764295942</v>
      </c>
      <c r="GA161">
        <v>39.910939863680042</v>
      </c>
      <c r="GB161">
        <v>2.959322463508383</v>
      </c>
      <c r="GC161">
        <v>1.2977677024040708</v>
      </c>
      <c r="GD161">
        <v>0.81156942434510515</v>
      </c>
      <c r="GE161">
        <v>2.7887323643367945</v>
      </c>
      <c r="GF161">
        <v>5.7276562811492973</v>
      </c>
      <c r="GG161">
        <v>9.0506692906341843</v>
      </c>
      <c r="GH161">
        <v>11.586037115437476</v>
      </c>
      <c r="GI161">
        <v>8.8526112681891878</v>
      </c>
      <c r="GJ161"/>
      <c r="GK161"/>
      <c r="GL161"/>
      <c r="GM161"/>
    </row>
    <row r="162" spans="1:195" s="7" customFormat="1">
      <c r="A162" s="1"/>
      <c r="B162" s="76">
        <f ca="1">IF(C162="", "", RAND())</f>
        <v>7.5476481216725233E-2</v>
      </c>
      <c r="C162">
        <v>9</v>
      </c>
      <c r="D162">
        <v>39910</v>
      </c>
      <c r="E162">
        <v>0</v>
      </c>
      <c r="F162">
        <v>0</v>
      </c>
      <c r="G162">
        <v>1114.0046296296293</v>
      </c>
      <c r="H162">
        <v>0</v>
      </c>
      <c r="I162">
        <v>101.27314814814814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 s="2"/>
      <c r="AK162" s="80"/>
      <c r="AL162" s="74"/>
      <c r="AM162" s="43">
        <v>146</v>
      </c>
      <c r="AN162">
        <v>171.08213877761673</v>
      </c>
      <c r="AO162">
        <v>15.670116930556393</v>
      </c>
      <c r="AP162">
        <v>157.30860875904955</v>
      </c>
      <c r="AQ162">
        <v>133.40546841971991</v>
      </c>
      <c r="AR162">
        <v>14.642964902783575</v>
      </c>
      <c r="AS162">
        <v>239.98687416161823</v>
      </c>
      <c r="AT162">
        <v>8.8884113503972095</v>
      </c>
      <c r="AU162">
        <v>29.660845354461358</v>
      </c>
      <c r="AV162"/>
      <c r="AW162"/>
      <c r="AX162" s="146"/>
      <c r="AY162" s="76">
        <f t="shared" ca="1" si="201"/>
        <v>0.53738532646040715</v>
      </c>
      <c r="AZ162">
        <v>5</v>
      </c>
      <c r="BA162" s="129">
        <f t="shared" si="274"/>
        <v>39910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 s="147"/>
      <c r="CH162" s="176"/>
      <c r="CJ162" s="146"/>
      <c r="CK162" s="76">
        <f t="shared" ca="1" si="237"/>
        <v>0.5816041535861145</v>
      </c>
      <c r="CL162" s="179">
        <f t="shared" si="238"/>
        <v>5</v>
      </c>
      <c r="CM162" s="180">
        <f t="shared" si="239"/>
        <v>39910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 s="160"/>
      <c r="CW162">
        <v>1</v>
      </c>
      <c r="CX162">
        <v>1</v>
      </c>
      <c r="CY162" s="160"/>
      <c r="CZ162" s="177">
        <f t="shared" si="240"/>
        <v>9.6000000000000002E-2</v>
      </c>
      <c r="DB162" s="146"/>
      <c r="DC162" s="76">
        <f t="shared" ca="1" si="203"/>
        <v>0.83450536564482469</v>
      </c>
      <c r="DD162">
        <f t="shared" si="241"/>
        <v>5</v>
      </c>
      <c r="DE162" s="129">
        <f t="shared" si="273"/>
        <v>39910</v>
      </c>
      <c r="DF162" s="161">
        <f t="shared" si="242"/>
        <v>0</v>
      </c>
      <c r="DG162" s="161">
        <f t="shared" si="243"/>
        <v>0</v>
      </c>
      <c r="DH162" s="161">
        <f t="shared" si="244"/>
        <v>0</v>
      </c>
      <c r="DI162" s="161">
        <f t="shared" si="245"/>
        <v>0</v>
      </c>
      <c r="DJ162" s="161">
        <f t="shared" si="246"/>
        <v>0</v>
      </c>
      <c r="DK162" s="161">
        <f t="shared" si="247"/>
        <v>0</v>
      </c>
      <c r="DL162" s="161">
        <f t="shared" si="248"/>
        <v>0</v>
      </c>
      <c r="DM162" s="161">
        <f t="shared" si="249"/>
        <v>0</v>
      </c>
      <c r="DN162" s="161">
        <f t="shared" si="250"/>
        <v>0</v>
      </c>
      <c r="DO162" s="161">
        <f t="shared" si="251"/>
        <v>0</v>
      </c>
      <c r="DP162" s="161">
        <f t="shared" si="252"/>
        <v>0</v>
      </c>
      <c r="DQ162" s="161">
        <f t="shared" si="253"/>
        <v>0</v>
      </c>
      <c r="DR162" s="161">
        <f t="shared" si="254"/>
        <v>0</v>
      </c>
      <c r="DS162" s="161">
        <f t="shared" si="255"/>
        <v>0</v>
      </c>
      <c r="DT162" s="161">
        <f t="shared" si="256"/>
        <v>0</v>
      </c>
      <c r="DU162" s="161">
        <f t="shared" si="257"/>
        <v>0</v>
      </c>
      <c r="DV162" s="161">
        <f t="shared" si="258"/>
        <v>0</v>
      </c>
      <c r="DW162" s="161">
        <f t="shared" si="259"/>
        <v>0</v>
      </c>
      <c r="DX162" s="161">
        <f t="shared" si="260"/>
        <v>0</v>
      </c>
      <c r="DY162" s="161">
        <f t="shared" si="261"/>
        <v>0</v>
      </c>
      <c r="DZ162" s="161">
        <f t="shared" si="262"/>
        <v>0</v>
      </c>
      <c r="EA162" s="161">
        <f t="shared" si="263"/>
        <v>0</v>
      </c>
      <c r="EB162" s="161">
        <f t="shared" si="264"/>
        <v>0</v>
      </c>
      <c r="EC162" s="161">
        <f t="shared" si="265"/>
        <v>0</v>
      </c>
      <c r="ED162" s="161">
        <f t="shared" si="266"/>
        <v>0</v>
      </c>
      <c r="EE162" s="161">
        <f t="shared" si="267"/>
        <v>0</v>
      </c>
      <c r="EF162" s="161">
        <f t="shared" si="268"/>
        <v>0</v>
      </c>
      <c r="EG162" s="161">
        <f t="shared" si="269"/>
        <v>0</v>
      </c>
      <c r="EH162" s="161">
        <f t="shared" si="270"/>
        <v>0</v>
      </c>
      <c r="EI162" s="161">
        <f t="shared" si="271"/>
        <v>0</v>
      </c>
      <c r="EJ162" s="161">
        <f t="shared" si="272"/>
        <v>0</v>
      </c>
      <c r="EK162" s="147">
        <f t="shared" si="204"/>
        <v>0</v>
      </c>
      <c r="EL162" s="149"/>
      <c r="EN162" s="146"/>
      <c r="EO162" s="146"/>
      <c r="EP162" s="139">
        <f t="shared" si="205"/>
        <v>0</v>
      </c>
      <c r="EQ162" s="139">
        <f t="shared" si="206"/>
        <v>0</v>
      </c>
      <c r="ER162" s="139">
        <f t="shared" si="207"/>
        <v>0</v>
      </c>
      <c r="ES162" s="139">
        <f t="shared" si="208"/>
        <v>0</v>
      </c>
      <c r="ET162" s="139">
        <f t="shared" si="209"/>
        <v>0</v>
      </c>
      <c r="EU162" s="139">
        <f t="shared" si="210"/>
        <v>0</v>
      </c>
      <c r="EV162" s="139">
        <f t="shared" si="211"/>
        <v>0</v>
      </c>
      <c r="EW162" s="139">
        <f t="shared" si="212"/>
        <v>0</v>
      </c>
      <c r="EX162" s="139">
        <f t="shared" si="213"/>
        <v>0</v>
      </c>
      <c r="EY162" s="139">
        <f t="shared" si="214"/>
        <v>0</v>
      </c>
      <c r="EZ162" s="139">
        <f t="shared" si="215"/>
        <v>0</v>
      </c>
      <c r="FA162" s="139">
        <f t="shared" si="216"/>
        <v>0</v>
      </c>
      <c r="FB162" s="139">
        <f t="shared" si="217"/>
        <v>0</v>
      </c>
      <c r="FC162" s="139">
        <f t="shared" si="218"/>
        <v>0</v>
      </c>
      <c r="FD162" s="139">
        <f t="shared" si="219"/>
        <v>0</v>
      </c>
      <c r="FE162" s="139">
        <f t="shared" si="220"/>
        <v>0</v>
      </c>
      <c r="FF162" s="139">
        <f t="shared" si="221"/>
        <v>0</v>
      </c>
      <c r="FG162" s="139">
        <f t="shared" si="222"/>
        <v>0</v>
      </c>
      <c r="FH162" s="139">
        <f t="shared" si="223"/>
        <v>0</v>
      </c>
      <c r="FI162" s="139">
        <f t="shared" si="224"/>
        <v>0</v>
      </c>
      <c r="FJ162" s="139">
        <f t="shared" si="225"/>
        <v>0</v>
      </c>
      <c r="FK162" s="139">
        <f t="shared" si="226"/>
        <v>0</v>
      </c>
      <c r="FL162" s="139">
        <f t="shared" si="227"/>
        <v>0</v>
      </c>
      <c r="FM162" s="139">
        <f t="shared" si="228"/>
        <v>0</v>
      </c>
      <c r="FN162" s="139">
        <f t="shared" si="229"/>
        <v>0</v>
      </c>
      <c r="FO162" s="139">
        <f t="shared" si="230"/>
        <v>0</v>
      </c>
      <c r="FP162" s="139">
        <f t="shared" si="231"/>
        <v>0</v>
      </c>
      <c r="FQ162" s="139">
        <f t="shared" si="232"/>
        <v>0</v>
      </c>
      <c r="FR162" s="139">
        <f t="shared" si="233"/>
        <v>0</v>
      </c>
      <c r="FS162" s="139">
        <f t="shared" si="234"/>
        <v>0</v>
      </c>
      <c r="FT162" s="139">
        <f t="shared" si="235"/>
        <v>0</v>
      </c>
      <c r="FU162" s="148">
        <f t="shared" si="236"/>
        <v>0</v>
      </c>
      <c r="FV162" s="149"/>
      <c r="FY162" s="210">
        <v>157</v>
      </c>
      <c r="FZ162">
        <v>32.290598368856791</v>
      </c>
      <c r="GA162">
        <v>39.999463279610289</v>
      </c>
      <c r="GB162">
        <v>2.9750016409328484</v>
      </c>
      <c r="GC162">
        <v>1.5997649744645226</v>
      </c>
      <c r="GD162">
        <v>0.88028809521917983</v>
      </c>
      <c r="GE162">
        <v>2.1183159410773307</v>
      </c>
      <c r="GF162">
        <v>4.261609465430201</v>
      </c>
      <c r="GG162">
        <v>5.7112142607977372</v>
      </c>
      <c r="GH162">
        <v>7.9449297910659071</v>
      </c>
      <c r="GI162">
        <v>8.0458239079628715</v>
      </c>
      <c r="GJ162"/>
      <c r="GK162"/>
      <c r="GL162"/>
      <c r="GM162"/>
    </row>
    <row r="163" spans="1:195" s="7" customFormat="1">
      <c r="A163" s="1"/>
      <c r="B163" s="76">
        <f ca="1">IF(C163="", "", RAND())</f>
        <v>0.58056326774617251</v>
      </c>
      <c r="C163">
        <v>7</v>
      </c>
      <c r="D163">
        <v>39910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 s="2"/>
      <c r="AK163" s="80"/>
      <c r="AL163" s="74"/>
      <c r="AM163" s="43">
        <v>147</v>
      </c>
      <c r="AN163">
        <v>134.38655130886642</v>
      </c>
      <c r="AO163">
        <v>9.6450851218310767</v>
      </c>
      <c r="AP163">
        <v>92.489326798396661</v>
      </c>
      <c r="AQ163">
        <v>76.762671527176437</v>
      </c>
      <c r="AR163">
        <v>9.3567632714916211</v>
      </c>
      <c r="AS163">
        <v>185.15779473268813</v>
      </c>
      <c r="AT163">
        <v>5.8838609862978375</v>
      </c>
      <c r="AU163">
        <v>-12.67849822970803</v>
      </c>
      <c r="AV163"/>
      <c r="AW163"/>
      <c r="AX163" s="146"/>
      <c r="AY163" s="76">
        <f t="shared" ca="1" si="201"/>
        <v>0.21742020171784837</v>
      </c>
      <c r="AZ163">
        <v>6</v>
      </c>
      <c r="BA163" s="129">
        <f t="shared" si="274"/>
        <v>39910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 s="147"/>
      <c r="CH163" s="176"/>
      <c r="CJ163" s="146"/>
      <c r="CK163" s="76">
        <f t="shared" ca="1" si="237"/>
        <v>7.096533328186716E-2</v>
      </c>
      <c r="CL163" s="179">
        <f t="shared" si="238"/>
        <v>6</v>
      </c>
      <c r="CM163" s="180">
        <f t="shared" si="239"/>
        <v>39910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 s="160"/>
      <c r="CW163">
        <v>1</v>
      </c>
      <c r="CX163">
        <v>1</v>
      </c>
      <c r="CY163" s="160"/>
      <c r="CZ163" s="177">
        <f t="shared" si="240"/>
        <v>9.6000000000000002E-2</v>
      </c>
      <c r="DB163" s="146"/>
      <c r="DC163" s="76">
        <f t="shared" ca="1" si="203"/>
        <v>0.32588208542113772</v>
      </c>
      <c r="DD163">
        <f t="shared" si="241"/>
        <v>6</v>
      </c>
      <c r="DE163" s="129">
        <f t="shared" si="273"/>
        <v>39910</v>
      </c>
      <c r="DF163" s="161">
        <f t="shared" si="242"/>
        <v>0</v>
      </c>
      <c r="DG163" s="161">
        <f t="shared" si="243"/>
        <v>0</v>
      </c>
      <c r="DH163" s="161">
        <f t="shared" si="244"/>
        <v>0</v>
      </c>
      <c r="DI163" s="161">
        <f t="shared" si="245"/>
        <v>0</v>
      </c>
      <c r="DJ163" s="161">
        <f t="shared" si="246"/>
        <v>0</v>
      </c>
      <c r="DK163" s="161">
        <f t="shared" si="247"/>
        <v>0</v>
      </c>
      <c r="DL163" s="161">
        <f t="shared" si="248"/>
        <v>0</v>
      </c>
      <c r="DM163" s="161">
        <f t="shared" si="249"/>
        <v>0</v>
      </c>
      <c r="DN163" s="161">
        <f t="shared" si="250"/>
        <v>0</v>
      </c>
      <c r="DO163" s="161">
        <f t="shared" si="251"/>
        <v>0</v>
      </c>
      <c r="DP163" s="161">
        <f t="shared" si="252"/>
        <v>0</v>
      </c>
      <c r="DQ163" s="161">
        <f t="shared" si="253"/>
        <v>0</v>
      </c>
      <c r="DR163" s="161">
        <f t="shared" si="254"/>
        <v>0</v>
      </c>
      <c r="DS163" s="161">
        <f t="shared" si="255"/>
        <v>0</v>
      </c>
      <c r="DT163" s="161">
        <f t="shared" si="256"/>
        <v>0</v>
      </c>
      <c r="DU163" s="161">
        <f t="shared" si="257"/>
        <v>0</v>
      </c>
      <c r="DV163" s="161">
        <f t="shared" si="258"/>
        <v>0</v>
      </c>
      <c r="DW163" s="161">
        <f t="shared" si="259"/>
        <v>0</v>
      </c>
      <c r="DX163" s="161">
        <f t="shared" si="260"/>
        <v>0</v>
      </c>
      <c r="DY163" s="161">
        <f t="shared" si="261"/>
        <v>0</v>
      </c>
      <c r="DZ163" s="161">
        <f t="shared" si="262"/>
        <v>0</v>
      </c>
      <c r="EA163" s="161">
        <f t="shared" si="263"/>
        <v>0</v>
      </c>
      <c r="EB163" s="161">
        <f t="shared" si="264"/>
        <v>0</v>
      </c>
      <c r="EC163" s="161">
        <f t="shared" si="265"/>
        <v>0</v>
      </c>
      <c r="ED163" s="161">
        <f t="shared" si="266"/>
        <v>0</v>
      </c>
      <c r="EE163" s="161">
        <f t="shared" si="267"/>
        <v>0</v>
      </c>
      <c r="EF163" s="161">
        <f t="shared" si="268"/>
        <v>0</v>
      </c>
      <c r="EG163" s="161">
        <f t="shared" si="269"/>
        <v>0</v>
      </c>
      <c r="EH163" s="161">
        <f t="shared" si="270"/>
        <v>0</v>
      </c>
      <c r="EI163" s="161">
        <f t="shared" si="271"/>
        <v>0</v>
      </c>
      <c r="EJ163" s="161">
        <f t="shared" si="272"/>
        <v>0</v>
      </c>
      <c r="EK163" s="147">
        <f t="shared" si="204"/>
        <v>0</v>
      </c>
      <c r="EL163" s="149"/>
      <c r="EN163" s="146"/>
      <c r="EO163" s="146"/>
      <c r="EP163" s="139">
        <f t="shared" si="205"/>
        <v>0</v>
      </c>
      <c r="EQ163" s="139">
        <f t="shared" si="206"/>
        <v>0</v>
      </c>
      <c r="ER163" s="139">
        <f t="shared" si="207"/>
        <v>0</v>
      </c>
      <c r="ES163" s="139">
        <f t="shared" si="208"/>
        <v>0</v>
      </c>
      <c r="ET163" s="139">
        <f t="shared" si="209"/>
        <v>0</v>
      </c>
      <c r="EU163" s="139">
        <f t="shared" si="210"/>
        <v>0</v>
      </c>
      <c r="EV163" s="139">
        <f t="shared" si="211"/>
        <v>0</v>
      </c>
      <c r="EW163" s="139">
        <f t="shared" si="212"/>
        <v>0</v>
      </c>
      <c r="EX163" s="139">
        <f t="shared" si="213"/>
        <v>0</v>
      </c>
      <c r="EY163" s="139">
        <f t="shared" si="214"/>
        <v>0</v>
      </c>
      <c r="EZ163" s="139">
        <f t="shared" si="215"/>
        <v>0</v>
      </c>
      <c r="FA163" s="139">
        <f t="shared" si="216"/>
        <v>0</v>
      </c>
      <c r="FB163" s="139">
        <f t="shared" si="217"/>
        <v>0</v>
      </c>
      <c r="FC163" s="139">
        <f t="shared" si="218"/>
        <v>0</v>
      </c>
      <c r="FD163" s="139">
        <f t="shared" si="219"/>
        <v>0</v>
      </c>
      <c r="FE163" s="139">
        <f t="shared" si="220"/>
        <v>0</v>
      </c>
      <c r="FF163" s="139">
        <f t="shared" si="221"/>
        <v>0</v>
      </c>
      <c r="FG163" s="139">
        <f t="shared" si="222"/>
        <v>0</v>
      </c>
      <c r="FH163" s="139">
        <f t="shared" si="223"/>
        <v>0</v>
      </c>
      <c r="FI163" s="139">
        <f t="shared" si="224"/>
        <v>0</v>
      </c>
      <c r="FJ163" s="139">
        <f t="shared" si="225"/>
        <v>0</v>
      </c>
      <c r="FK163" s="139">
        <f t="shared" si="226"/>
        <v>0</v>
      </c>
      <c r="FL163" s="139">
        <f t="shared" si="227"/>
        <v>0</v>
      </c>
      <c r="FM163" s="139">
        <f t="shared" si="228"/>
        <v>0</v>
      </c>
      <c r="FN163" s="139">
        <f t="shared" si="229"/>
        <v>0</v>
      </c>
      <c r="FO163" s="139">
        <f t="shared" si="230"/>
        <v>0</v>
      </c>
      <c r="FP163" s="139">
        <f t="shared" si="231"/>
        <v>0</v>
      </c>
      <c r="FQ163" s="139">
        <f t="shared" si="232"/>
        <v>0</v>
      </c>
      <c r="FR163" s="139">
        <f t="shared" si="233"/>
        <v>0</v>
      </c>
      <c r="FS163" s="139">
        <f t="shared" si="234"/>
        <v>0</v>
      </c>
      <c r="FT163" s="139">
        <f t="shared" si="235"/>
        <v>0</v>
      </c>
      <c r="FU163" s="148">
        <f t="shared" si="236"/>
        <v>0</v>
      </c>
      <c r="FV163" s="149"/>
      <c r="FY163" s="210">
        <v>158</v>
      </c>
      <c r="FZ163">
        <v>12.998728719684175</v>
      </c>
      <c r="GA163">
        <v>15.650742474181428</v>
      </c>
      <c r="GB163">
        <v>2.8819950768955991</v>
      </c>
      <c r="GC163">
        <v>1.3448379485504474</v>
      </c>
      <c r="GD163">
        <v>1.3056991902412256</v>
      </c>
      <c r="GE163">
        <v>3.6367138163075001</v>
      </c>
      <c r="GF163">
        <v>8.1246086722567838</v>
      </c>
      <c r="GG163">
        <v>14.288322499673313</v>
      </c>
      <c r="GH163">
        <v>15.171233151440195</v>
      </c>
      <c r="GI163">
        <v>7.2705473855810219</v>
      </c>
      <c r="GJ163"/>
      <c r="GK163"/>
      <c r="GL163"/>
      <c r="GM163"/>
    </row>
    <row r="164" spans="1:195" s="7" customFormat="1">
      <c r="A164" s="1"/>
      <c r="B164" s="76">
        <f ca="1">IF(C164="", "", RAND())</f>
        <v>0.81761773609223232</v>
      </c>
      <c r="C164">
        <v>2</v>
      </c>
      <c r="D164">
        <v>39910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 s="2"/>
      <c r="AK164" s="80"/>
      <c r="AL164" s="74"/>
      <c r="AM164" s="43">
        <v>148</v>
      </c>
      <c r="AN164">
        <v>98.696518890490523</v>
      </c>
      <c r="AO164">
        <v>7.9877428323362469</v>
      </c>
      <c r="AP164">
        <v>74.491806288743604</v>
      </c>
      <c r="AQ164">
        <v>63.510194539720615</v>
      </c>
      <c r="AR164">
        <v>7.7303766503416655</v>
      </c>
      <c r="AS164">
        <v>127.60825813599678</v>
      </c>
      <c r="AT164">
        <v>4.6919620625911636</v>
      </c>
      <c r="AU164">
        <v>17.38235117984814</v>
      </c>
      <c r="AV164"/>
      <c r="AW164"/>
      <c r="AX164" s="146"/>
      <c r="AY164" s="76">
        <f t="shared" ca="1" si="201"/>
        <v>0.7239315577639216</v>
      </c>
      <c r="AZ164">
        <v>7</v>
      </c>
      <c r="BA164" s="129">
        <f t="shared" si="274"/>
        <v>39910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 s="147"/>
      <c r="CH164" s="176"/>
      <c r="CJ164" s="146"/>
      <c r="CK164" s="76">
        <f t="shared" ca="1" si="237"/>
        <v>0.51882450536845592</v>
      </c>
      <c r="CL164" s="179">
        <f t="shared" si="238"/>
        <v>7</v>
      </c>
      <c r="CM164" s="180">
        <f t="shared" si="239"/>
        <v>39910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 s="160"/>
      <c r="CW164">
        <v>1</v>
      </c>
      <c r="CX164">
        <v>1</v>
      </c>
      <c r="CY164" s="165"/>
      <c r="CZ164" s="177">
        <f t="shared" si="240"/>
        <v>9.6000000000000002E-2</v>
      </c>
      <c r="DB164" s="146"/>
      <c r="DC164" s="76">
        <f t="shared" ca="1" si="203"/>
        <v>0.56724410886269183</v>
      </c>
      <c r="DD164">
        <f t="shared" si="241"/>
        <v>7</v>
      </c>
      <c r="DE164" s="129">
        <f t="shared" si="273"/>
        <v>39910</v>
      </c>
      <c r="DF164" s="161">
        <f t="shared" si="242"/>
        <v>0</v>
      </c>
      <c r="DG164" s="161">
        <f t="shared" si="243"/>
        <v>0</v>
      </c>
      <c r="DH164" s="161">
        <f t="shared" si="244"/>
        <v>0</v>
      </c>
      <c r="DI164" s="161">
        <f t="shared" si="245"/>
        <v>0</v>
      </c>
      <c r="DJ164" s="161">
        <f t="shared" si="246"/>
        <v>0</v>
      </c>
      <c r="DK164" s="161">
        <f t="shared" si="247"/>
        <v>0</v>
      </c>
      <c r="DL164" s="161">
        <f t="shared" si="248"/>
        <v>0</v>
      </c>
      <c r="DM164" s="161">
        <f t="shared" si="249"/>
        <v>0</v>
      </c>
      <c r="DN164" s="161">
        <f t="shared" si="250"/>
        <v>0</v>
      </c>
      <c r="DO164" s="161">
        <f t="shared" si="251"/>
        <v>0</v>
      </c>
      <c r="DP164" s="161">
        <f t="shared" si="252"/>
        <v>0</v>
      </c>
      <c r="DQ164" s="161">
        <f t="shared" si="253"/>
        <v>0</v>
      </c>
      <c r="DR164" s="161">
        <f t="shared" si="254"/>
        <v>0</v>
      </c>
      <c r="DS164" s="161">
        <f t="shared" si="255"/>
        <v>0</v>
      </c>
      <c r="DT164" s="161">
        <f t="shared" si="256"/>
        <v>0</v>
      </c>
      <c r="DU164" s="161">
        <f t="shared" si="257"/>
        <v>0</v>
      </c>
      <c r="DV164" s="161">
        <f t="shared" si="258"/>
        <v>0</v>
      </c>
      <c r="DW164" s="161">
        <f t="shared" si="259"/>
        <v>0</v>
      </c>
      <c r="DX164" s="161">
        <f t="shared" si="260"/>
        <v>0</v>
      </c>
      <c r="DY164" s="161">
        <f t="shared" si="261"/>
        <v>0</v>
      </c>
      <c r="DZ164" s="161">
        <f t="shared" si="262"/>
        <v>0</v>
      </c>
      <c r="EA164" s="161">
        <f t="shared" si="263"/>
        <v>0</v>
      </c>
      <c r="EB164" s="161">
        <f t="shared" si="264"/>
        <v>0</v>
      </c>
      <c r="EC164" s="161">
        <f t="shared" si="265"/>
        <v>0</v>
      </c>
      <c r="ED164" s="161">
        <f t="shared" si="266"/>
        <v>0</v>
      </c>
      <c r="EE164" s="161">
        <f t="shared" si="267"/>
        <v>0</v>
      </c>
      <c r="EF164" s="161">
        <f t="shared" si="268"/>
        <v>0</v>
      </c>
      <c r="EG164" s="161">
        <f t="shared" si="269"/>
        <v>0</v>
      </c>
      <c r="EH164" s="161">
        <f t="shared" si="270"/>
        <v>0</v>
      </c>
      <c r="EI164" s="161">
        <f t="shared" si="271"/>
        <v>0</v>
      </c>
      <c r="EJ164" s="161">
        <f t="shared" si="272"/>
        <v>0</v>
      </c>
      <c r="EK164" s="147">
        <f t="shared" si="204"/>
        <v>0</v>
      </c>
      <c r="EL164" s="149"/>
      <c r="EN164" s="146"/>
      <c r="EO164" s="146"/>
      <c r="EP164" s="139">
        <f t="shared" si="205"/>
        <v>0</v>
      </c>
      <c r="EQ164" s="139">
        <f t="shared" si="206"/>
        <v>0</v>
      </c>
      <c r="ER164" s="139">
        <f t="shared" si="207"/>
        <v>0</v>
      </c>
      <c r="ES164" s="139">
        <f t="shared" si="208"/>
        <v>0</v>
      </c>
      <c r="ET164" s="139">
        <f t="shared" si="209"/>
        <v>0</v>
      </c>
      <c r="EU164" s="139">
        <f t="shared" si="210"/>
        <v>0</v>
      </c>
      <c r="EV164" s="139">
        <f t="shared" si="211"/>
        <v>0</v>
      </c>
      <c r="EW164" s="139">
        <f t="shared" si="212"/>
        <v>0</v>
      </c>
      <c r="EX164" s="139">
        <f t="shared" si="213"/>
        <v>0</v>
      </c>
      <c r="EY164" s="139">
        <f t="shared" si="214"/>
        <v>0</v>
      </c>
      <c r="EZ164" s="139">
        <f t="shared" si="215"/>
        <v>0</v>
      </c>
      <c r="FA164" s="139">
        <f t="shared" si="216"/>
        <v>0</v>
      </c>
      <c r="FB164" s="139">
        <f t="shared" si="217"/>
        <v>0</v>
      </c>
      <c r="FC164" s="139">
        <f t="shared" si="218"/>
        <v>0</v>
      </c>
      <c r="FD164" s="139">
        <f t="shared" si="219"/>
        <v>0</v>
      </c>
      <c r="FE164" s="139">
        <f t="shared" si="220"/>
        <v>0</v>
      </c>
      <c r="FF164" s="139">
        <f t="shared" si="221"/>
        <v>0</v>
      </c>
      <c r="FG164" s="139">
        <f t="shared" si="222"/>
        <v>0</v>
      </c>
      <c r="FH164" s="139">
        <f t="shared" si="223"/>
        <v>0</v>
      </c>
      <c r="FI164" s="139">
        <f t="shared" si="224"/>
        <v>0</v>
      </c>
      <c r="FJ164" s="139">
        <f t="shared" si="225"/>
        <v>0</v>
      </c>
      <c r="FK164" s="139">
        <f t="shared" si="226"/>
        <v>0</v>
      </c>
      <c r="FL164" s="139">
        <f t="shared" si="227"/>
        <v>0</v>
      </c>
      <c r="FM164" s="139">
        <f t="shared" si="228"/>
        <v>0</v>
      </c>
      <c r="FN164" s="139">
        <f t="shared" si="229"/>
        <v>0</v>
      </c>
      <c r="FO164" s="139">
        <f t="shared" si="230"/>
        <v>0</v>
      </c>
      <c r="FP164" s="139">
        <f t="shared" si="231"/>
        <v>0</v>
      </c>
      <c r="FQ164" s="139">
        <f t="shared" si="232"/>
        <v>0</v>
      </c>
      <c r="FR164" s="139">
        <f t="shared" si="233"/>
        <v>0</v>
      </c>
      <c r="FS164" s="139">
        <f t="shared" si="234"/>
        <v>0</v>
      </c>
      <c r="FT164" s="139">
        <f t="shared" si="235"/>
        <v>0</v>
      </c>
      <c r="FU164" s="148">
        <f t="shared" si="236"/>
        <v>0</v>
      </c>
      <c r="FV164" s="149"/>
      <c r="FY164" s="210">
        <v>159</v>
      </c>
      <c r="FZ164">
        <v>35.813021478206679</v>
      </c>
      <c r="GA164">
        <v>40.920938243835337</v>
      </c>
      <c r="GB164">
        <v>2.7261683478014911</v>
      </c>
      <c r="GC164">
        <v>1.2091016353344559</v>
      </c>
      <c r="GD164">
        <v>0.80214200642197597</v>
      </c>
      <c r="GE164">
        <v>1.4391973344486741</v>
      </c>
      <c r="GF164">
        <v>5.8745891720949706</v>
      </c>
      <c r="GG164">
        <v>9.4216790704136439</v>
      </c>
      <c r="GH164">
        <v>8.8264562477064086</v>
      </c>
      <c r="GI164">
        <v>8.8881707354704158</v>
      </c>
      <c r="GJ164"/>
      <c r="GK164"/>
      <c r="GL164"/>
      <c r="GM164"/>
    </row>
    <row r="165" spans="1:195" s="7" customFormat="1">
      <c r="A165" s="1"/>
      <c r="B165" s="76">
        <f ca="1">IF(C165="", "", RAND())</f>
        <v>8.6582200590546998E-2</v>
      </c>
      <c r="C165">
        <v>6</v>
      </c>
      <c r="D165">
        <v>39910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 s="2"/>
      <c r="AK165" s="80"/>
      <c r="AL165" s="74"/>
      <c r="AM165" s="43">
        <v>149</v>
      </c>
      <c r="AN165">
        <v>129.27715910728102</v>
      </c>
      <c r="AO165">
        <v>16.111318038565624</v>
      </c>
      <c r="AP165">
        <v>175.32057002467505</v>
      </c>
      <c r="AQ165">
        <v>149.25954891229657</v>
      </c>
      <c r="AR165">
        <v>15.586016133871478</v>
      </c>
      <c r="AS165">
        <v>240.19618227330443</v>
      </c>
      <c r="AT165">
        <v>9.3455385302311189</v>
      </c>
      <c r="AU165">
        <v>17.160381606493036</v>
      </c>
      <c r="AV165"/>
      <c r="AW165"/>
      <c r="AX165" s="146"/>
      <c r="AY165" s="76">
        <f t="shared" ca="1" si="201"/>
        <v>0.39465207400561741</v>
      </c>
      <c r="AZ165">
        <v>8</v>
      </c>
      <c r="BA165" s="129">
        <f t="shared" si="274"/>
        <v>39910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 s="147"/>
      <c r="CH165" s="176"/>
      <c r="CJ165" s="146"/>
      <c r="CK165" s="76">
        <f t="shared" ca="1" si="237"/>
        <v>0.50696638901615398</v>
      </c>
      <c r="CL165" s="179">
        <f t="shared" si="238"/>
        <v>8</v>
      </c>
      <c r="CM165" s="180">
        <f t="shared" si="239"/>
        <v>39910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 s="160"/>
      <c r="CW165">
        <v>1</v>
      </c>
      <c r="CX165">
        <v>1</v>
      </c>
      <c r="CY165" s="165"/>
      <c r="CZ165" s="177">
        <f t="shared" si="240"/>
        <v>9.6000000000000002E-2</v>
      </c>
      <c r="DB165" s="146"/>
      <c r="DC165" s="76">
        <f t="shared" ca="1" si="203"/>
        <v>0.83725375313948303</v>
      </c>
      <c r="DD165">
        <f t="shared" si="241"/>
        <v>8</v>
      </c>
      <c r="DE165" s="129">
        <f t="shared" si="273"/>
        <v>39910</v>
      </c>
      <c r="DF165" s="161">
        <f t="shared" si="242"/>
        <v>0</v>
      </c>
      <c r="DG165" s="161">
        <f t="shared" si="243"/>
        <v>0</v>
      </c>
      <c r="DH165" s="161">
        <f t="shared" si="244"/>
        <v>0</v>
      </c>
      <c r="DI165" s="161">
        <f t="shared" si="245"/>
        <v>0</v>
      </c>
      <c r="DJ165" s="161">
        <f t="shared" si="246"/>
        <v>0</v>
      </c>
      <c r="DK165" s="161">
        <f t="shared" si="247"/>
        <v>0</v>
      </c>
      <c r="DL165" s="161">
        <f t="shared" si="248"/>
        <v>0</v>
      </c>
      <c r="DM165" s="161">
        <f t="shared" si="249"/>
        <v>0</v>
      </c>
      <c r="DN165" s="161">
        <f t="shared" si="250"/>
        <v>0</v>
      </c>
      <c r="DO165" s="161">
        <f t="shared" si="251"/>
        <v>0</v>
      </c>
      <c r="DP165" s="161">
        <f t="shared" si="252"/>
        <v>0</v>
      </c>
      <c r="DQ165" s="161">
        <f t="shared" si="253"/>
        <v>0</v>
      </c>
      <c r="DR165" s="161">
        <f t="shared" si="254"/>
        <v>0</v>
      </c>
      <c r="DS165" s="161">
        <f t="shared" si="255"/>
        <v>0</v>
      </c>
      <c r="DT165" s="161">
        <f t="shared" si="256"/>
        <v>0</v>
      </c>
      <c r="DU165" s="161">
        <f t="shared" si="257"/>
        <v>0</v>
      </c>
      <c r="DV165" s="161">
        <f t="shared" si="258"/>
        <v>0</v>
      </c>
      <c r="DW165" s="161">
        <f t="shared" si="259"/>
        <v>0</v>
      </c>
      <c r="DX165" s="161">
        <f t="shared" si="260"/>
        <v>0</v>
      </c>
      <c r="DY165" s="161">
        <f t="shared" si="261"/>
        <v>0</v>
      </c>
      <c r="DZ165" s="161">
        <f t="shared" si="262"/>
        <v>0</v>
      </c>
      <c r="EA165" s="161">
        <f t="shared" si="263"/>
        <v>0</v>
      </c>
      <c r="EB165" s="161">
        <f t="shared" si="264"/>
        <v>0</v>
      </c>
      <c r="EC165" s="161">
        <f t="shared" si="265"/>
        <v>0</v>
      </c>
      <c r="ED165" s="161">
        <f t="shared" si="266"/>
        <v>0</v>
      </c>
      <c r="EE165" s="161">
        <f t="shared" si="267"/>
        <v>0</v>
      </c>
      <c r="EF165" s="161">
        <f t="shared" si="268"/>
        <v>0</v>
      </c>
      <c r="EG165" s="161">
        <f t="shared" si="269"/>
        <v>0</v>
      </c>
      <c r="EH165" s="161">
        <f t="shared" si="270"/>
        <v>0</v>
      </c>
      <c r="EI165" s="161">
        <f t="shared" si="271"/>
        <v>0</v>
      </c>
      <c r="EJ165" s="161">
        <f t="shared" si="272"/>
        <v>0</v>
      </c>
      <c r="EK165" s="147">
        <f t="shared" si="204"/>
        <v>0</v>
      </c>
      <c r="EL165" s="149"/>
      <c r="EN165" s="146"/>
      <c r="EO165" s="146"/>
      <c r="EP165" s="139">
        <f t="shared" si="205"/>
        <v>0</v>
      </c>
      <c r="EQ165" s="139">
        <f t="shared" si="206"/>
        <v>0</v>
      </c>
      <c r="ER165" s="139">
        <f t="shared" si="207"/>
        <v>0</v>
      </c>
      <c r="ES165" s="139">
        <f t="shared" si="208"/>
        <v>0</v>
      </c>
      <c r="ET165" s="139">
        <f t="shared" si="209"/>
        <v>0</v>
      </c>
      <c r="EU165" s="139">
        <f t="shared" si="210"/>
        <v>0</v>
      </c>
      <c r="EV165" s="139">
        <f t="shared" si="211"/>
        <v>0</v>
      </c>
      <c r="EW165" s="139">
        <f t="shared" si="212"/>
        <v>0</v>
      </c>
      <c r="EX165" s="139">
        <f t="shared" si="213"/>
        <v>0</v>
      </c>
      <c r="EY165" s="139">
        <f t="shared" si="214"/>
        <v>0</v>
      </c>
      <c r="EZ165" s="139">
        <f t="shared" si="215"/>
        <v>0</v>
      </c>
      <c r="FA165" s="139">
        <f t="shared" si="216"/>
        <v>0</v>
      </c>
      <c r="FB165" s="139">
        <f t="shared" si="217"/>
        <v>0</v>
      </c>
      <c r="FC165" s="139">
        <f t="shared" si="218"/>
        <v>0</v>
      </c>
      <c r="FD165" s="139">
        <f t="shared" si="219"/>
        <v>0</v>
      </c>
      <c r="FE165" s="139">
        <f t="shared" si="220"/>
        <v>0</v>
      </c>
      <c r="FF165" s="139">
        <f t="shared" si="221"/>
        <v>0</v>
      </c>
      <c r="FG165" s="139">
        <f t="shared" si="222"/>
        <v>0</v>
      </c>
      <c r="FH165" s="139">
        <f t="shared" si="223"/>
        <v>0</v>
      </c>
      <c r="FI165" s="139">
        <f t="shared" si="224"/>
        <v>0</v>
      </c>
      <c r="FJ165" s="139">
        <f t="shared" si="225"/>
        <v>0</v>
      </c>
      <c r="FK165" s="139">
        <f t="shared" si="226"/>
        <v>0</v>
      </c>
      <c r="FL165" s="139">
        <f t="shared" si="227"/>
        <v>0</v>
      </c>
      <c r="FM165" s="139">
        <f t="shared" si="228"/>
        <v>0</v>
      </c>
      <c r="FN165" s="139">
        <f t="shared" si="229"/>
        <v>0</v>
      </c>
      <c r="FO165" s="139">
        <f t="shared" si="230"/>
        <v>0</v>
      </c>
      <c r="FP165" s="139">
        <f t="shared" si="231"/>
        <v>0</v>
      </c>
      <c r="FQ165" s="139">
        <f t="shared" si="232"/>
        <v>0</v>
      </c>
      <c r="FR165" s="139">
        <f t="shared" si="233"/>
        <v>0</v>
      </c>
      <c r="FS165" s="139">
        <f t="shared" si="234"/>
        <v>0</v>
      </c>
      <c r="FT165" s="139">
        <f t="shared" si="235"/>
        <v>0</v>
      </c>
      <c r="FU165" s="148">
        <f t="shared" si="236"/>
        <v>0</v>
      </c>
      <c r="FV165" s="149"/>
      <c r="FY165" s="210">
        <v>160</v>
      </c>
      <c r="FZ165">
        <v>22.074300753808782</v>
      </c>
      <c r="GA165">
        <v>28.109292943613461</v>
      </c>
      <c r="GB165">
        <v>2.9181114567189881</v>
      </c>
      <c r="GC165">
        <v>1.2301537868129166</v>
      </c>
      <c r="GD165">
        <v>1.0938735999545219</v>
      </c>
      <c r="GE165">
        <v>5.3844487734841646</v>
      </c>
      <c r="GF165">
        <v>6.6183030200272981</v>
      </c>
      <c r="GG165">
        <v>5.8894599339853926</v>
      </c>
      <c r="GH165">
        <v>10.374727647834083</v>
      </c>
      <c r="GI165">
        <v>7.4537569457090109</v>
      </c>
      <c r="GJ165"/>
      <c r="GK165"/>
      <c r="GL165"/>
      <c r="GM165"/>
    </row>
    <row r="166" spans="1:195" s="7" customFormat="1">
      <c r="A166" s="1"/>
      <c r="B166" s="76">
        <f ca="1">IF(C166="", "", RAND())</f>
        <v>0.40313984486157484</v>
      </c>
      <c r="C166">
        <v>3</v>
      </c>
      <c r="D166">
        <v>39910</v>
      </c>
      <c r="E166">
        <v>0</v>
      </c>
      <c r="F166">
        <v>0</v>
      </c>
      <c r="G166">
        <v>173.61111111111111</v>
      </c>
      <c r="H166">
        <v>86.805555555555557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 s="2"/>
      <c r="AK166" s="80"/>
      <c r="AL166" s="74"/>
      <c r="AM166" s="43">
        <v>150</v>
      </c>
      <c r="AN166">
        <v>87.178963543828345</v>
      </c>
      <c r="AO166">
        <v>4.8656752314851923</v>
      </c>
      <c r="AP166">
        <v>43.691546082862722</v>
      </c>
      <c r="AQ166">
        <v>36.217290066154661</v>
      </c>
      <c r="AR166">
        <v>4.9932612031647485</v>
      </c>
      <c r="AS166">
        <v>87.314209657842852</v>
      </c>
      <c r="AT166">
        <v>2.8944982802734303</v>
      </c>
      <c r="AU166">
        <v>32.109336152353791</v>
      </c>
      <c r="AV166"/>
      <c r="AW166"/>
      <c r="AX166" s="146"/>
      <c r="AY166" s="76">
        <f t="shared" ca="1" si="201"/>
        <v>0.588950364247113</v>
      </c>
      <c r="AZ166">
        <v>9</v>
      </c>
      <c r="BA166" s="129">
        <f t="shared" si="274"/>
        <v>39910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 s="147"/>
      <c r="CH166" s="176"/>
      <c r="CJ166" s="146"/>
      <c r="CK166" s="76">
        <f t="shared" ca="1" si="237"/>
        <v>0.87852425503996345</v>
      </c>
      <c r="CL166" s="179">
        <f t="shared" si="238"/>
        <v>9</v>
      </c>
      <c r="CM166" s="180">
        <f t="shared" si="239"/>
        <v>39910</v>
      </c>
      <c r="CN166">
        <v>0</v>
      </c>
      <c r="CO166">
        <v>0</v>
      </c>
      <c r="CP166">
        <v>11</v>
      </c>
      <c r="CQ166">
        <v>0</v>
      </c>
      <c r="CR166">
        <v>1</v>
      </c>
      <c r="CS166">
        <v>0</v>
      </c>
      <c r="CT166">
        <v>0</v>
      </c>
      <c r="CU166">
        <v>0</v>
      </c>
      <c r="CV166" s="160"/>
      <c r="CW166">
        <f>33/10</f>
        <v>3.3</v>
      </c>
      <c r="CX166">
        <f>350/36</f>
        <v>9.7222222222222214</v>
      </c>
      <c r="CY166" s="165"/>
      <c r="CZ166" s="177">
        <f t="shared" si="240"/>
        <v>9.6000000000000002E-2</v>
      </c>
      <c r="DB166" s="146"/>
      <c r="DC166" s="76">
        <f t="shared" ca="1" si="203"/>
        <v>0.34911758395946624</v>
      </c>
      <c r="DD166">
        <f t="shared" si="241"/>
        <v>9</v>
      </c>
      <c r="DE166" s="129">
        <f t="shared" si="273"/>
        <v>39910</v>
      </c>
      <c r="DF166" s="161">
        <f t="shared" si="242"/>
        <v>0</v>
      </c>
      <c r="DG166" s="161">
        <f t="shared" si="243"/>
        <v>0</v>
      </c>
      <c r="DH166" s="161">
        <f t="shared" si="244"/>
        <v>1114.0046296296293</v>
      </c>
      <c r="DI166" s="161">
        <f t="shared" si="245"/>
        <v>0</v>
      </c>
      <c r="DJ166" s="161">
        <f t="shared" si="246"/>
        <v>101.27314814814814</v>
      </c>
      <c r="DK166" s="161">
        <f t="shared" si="247"/>
        <v>0</v>
      </c>
      <c r="DL166" s="161">
        <f t="shared" si="248"/>
        <v>0</v>
      </c>
      <c r="DM166" s="161">
        <f t="shared" si="249"/>
        <v>0</v>
      </c>
      <c r="DN166" s="161">
        <f t="shared" si="250"/>
        <v>0</v>
      </c>
      <c r="DO166" s="161">
        <f t="shared" si="251"/>
        <v>0</v>
      </c>
      <c r="DP166" s="161">
        <f t="shared" si="252"/>
        <v>0</v>
      </c>
      <c r="DQ166" s="161">
        <f t="shared" si="253"/>
        <v>0</v>
      </c>
      <c r="DR166" s="161">
        <f t="shared" si="254"/>
        <v>0</v>
      </c>
      <c r="DS166" s="161">
        <f t="shared" si="255"/>
        <v>0</v>
      </c>
      <c r="DT166" s="161">
        <f t="shared" si="256"/>
        <v>0</v>
      </c>
      <c r="DU166" s="161">
        <f t="shared" si="257"/>
        <v>0</v>
      </c>
      <c r="DV166" s="161">
        <f t="shared" si="258"/>
        <v>0</v>
      </c>
      <c r="DW166" s="161">
        <f t="shared" si="259"/>
        <v>0</v>
      </c>
      <c r="DX166" s="161">
        <f t="shared" si="260"/>
        <v>0</v>
      </c>
      <c r="DY166" s="161">
        <f t="shared" si="261"/>
        <v>0</v>
      </c>
      <c r="DZ166" s="161">
        <f t="shared" si="262"/>
        <v>0</v>
      </c>
      <c r="EA166" s="161">
        <f t="shared" si="263"/>
        <v>0</v>
      </c>
      <c r="EB166" s="161">
        <f t="shared" si="264"/>
        <v>0</v>
      </c>
      <c r="EC166" s="161">
        <f t="shared" si="265"/>
        <v>0</v>
      </c>
      <c r="ED166" s="161">
        <f t="shared" si="266"/>
        <v>0</v>
      </c>
      <c r="EE166" s="161">
        <f t="shared" si="267"/>
        <v>0</v>
      </c>
      <c r="EF166" s="161">
        <f t="shared" si="268"/>
        <v>0</v>
      </c>
      <c r="EG166" s="161">
        <f t="shared" si="269"/>
        <v>0</v>
      </c>
      <c r="EH166" s="161">
        <f t="shared" si="270"/>
        <v>0</v>
      </c>
      <c r="EI166" s="161">
        <f t="shared" si="271"/>
        <v>0</v>
      </c>
      <c r="EJ166" s="161">
        <f t="shared" si="272"/>
        <v>0</v>
      </c>
      <c r="EK166" s="147">
        <f t="shared" si="204"/>
        <v>1215.2777777777774</v>
      </c>
      <c r="EL166" s="149"/>
      <c r="EN166" s="146"/>
      <c r="EO166" s="146"/>
      <c r="EP166" s="139">
        <f t="shared" si="205"/>
        <v>0</v>
      </c>
      <c r="EQ166" s="139">
        <f t="shared" si="206"/>
        <v>0</v>
      </c>
      <c r="ER166" s="139">
        <f t="shared" si="207"/>
        <v>28.720884802234323</v>
      </c>
      <c r="ES166" s="139">
        <f t="shared" si="208"/>
        <v>0</v>
      </c>
      <c r="ET166" s="139">
        <f t="shared" si="209"/>
        <v>18.272430879716179</v>
      </c>
      <c r="EU166" s="139">
        <f t="shared" si="210"/>
        <v>0</v>
      </c>
      <c r="EV166" s="139">
        <f t="shared" si="211"/>
        <v>0</v>
      </c>
      <c r="EW166" s="139">
        <f t="shared" si="212"/>
        <v>0</v>
      </c>
      <c r="EX166" s="139">
        <f t="shared" si="213"/>
        <v>0</v>
      </c>
      <c r="EY166" s="139">
        <f t="shared" si="214"/>
        <v>0</v>
      </c>
      <c r="EZ166" s="139">
        <f t="shared" si="215"/>
        <v>0</v>
      </c>
      <c r="FA166" s="139">
        <f t="shared" si="216"/>
        <v>0</v>
      </c>
      <c r="FB166" s="139">
        <f t="shared" si="217"/>
        <v>0</v>
      </c>
      <c r="FC166" s="139">
        <f t="shared" si="218"/>
        <v>0</v>
      </c>
      <c r="FD166" s="139">
        <f t="shared" si="219"/>
        <v>0</v>
      </c>
      <c r="FE166" s="139">
        <f t="shared" si="220"/>
        <v>0</v>
      </c>
      <c r="FF166" s="139">
        <f t="shared" si="221"/>
        <v>0</v>
      </c>
      <c r="FG166" s="139">
        <f t="shared" si="222"/>
        <v>0</v>
      </c>
      <c r="FH166" s="139">
        <f t="shared" si="223"/>
        <v>0</v>
      </c>
      <c r="FI166" s="139">
        <f t="shared" si="224"/>
        <v>0</v>
      </c>
      <c r="FJ166" s="139">
        <f t="shared" si="225"/>
        <v>0</v>
      </c>
      <c r="FK166" s="139">
        <f t="shared" si="226"/>
        <v>0</v>
      </c>
      <c r="FL166" s="139">
        <f t="shared" si="227"/>
        <v>0</v>
      </c>
      <c r="FM166" s="139">
        <f t="shared" si="228"/>
        <v>0</v>
      </c>
      <c r="FN166" s="139">
        <f t="shared" si="229"/>
        <v>0</v>
      </c>
      <c r="FO166" s="139">
        <f t="shared" si="230"/>
        <v>0</v>
      </c>
      <c r="FP166" s="139">
        <f t="shared" si="231"/>
        <v>0</v>
      </c>
      <c r="FQ166" s="139">
        <f t="shared" si="232"/>
        <v>0</v>
      </c>
      <c r="FR166" s="139">
        <f t="shared" si="233"/>
        <v>0</v>
      </c>
      <c r="FS166" s="139">
        <f t="shared" si="234"/>
        <v>0</v>
      </c>
      <c r="FT166" s="139">
        <f t="shared" si="235"/>
        <v>0</v>
      </c>
      <c r="FU166" s="148">
        <f t="shared" si="236"/>
        <v>46.993315681950506</v>
      </c>
      <c r="FV166" s="149"/>
      <c r="FY166" s="210">
        <v>161</v>
      </c>
      <c r="FZ166">
        <v>12.087840089955915</v>
      </c>
      <c r="GA166">
        <v>16.11513125300489</v>
      </c>
      <c r="GB166">
        <v>2.5525457944568855</v>
      </c>
      <c r="GC166">
        <v>0.842247758459991</v>
      </c>
      <c r="GD166">
        <v>0.57392288279477721</v>
      </c>
      <c r="GE166">
        <v>2.3980031913542459</v>
      </c>
      <c r="GF166">
        <v>6.8562637711239232</v>
      </c>
      <c r="GG166">
        <v>8.958132325927048</v>
      </c>
      <c r="GH166">
        <v>8.1231149979547297</v>
      </c>
      <c r="GI166">
        <v>5.2795474757037759</v>
      </c>
      <c r="GJ166"/>
      <c r="GK166"/>
      <c r="GL166"/>
      <c r="GM166"/>
    </row>
    <row r="167" spans="1:195" s="7" customFormat="1">
      <c r="A167" s="1"/>
      <c r="B167" s="76">
        <f ca="1">IF(C167="", "", RAND())</f>
        <v>6.2234608421448678E-2</v>
      </c>
      <c r="C167">
        <v>4</v>
      </c>
      <c r="D167">
        <v>39910</v>
      </c>
      <c r="E167">
        <v>0</v>
      </c>
      <c r="F167">
        <v>0</v>
      </c>
      <c r="G167">
        <v>69.444444444444443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 s="2"/>
      <c r="AK167" s="80"/>
      <c r="AL167" s="74"/>
      <c r="AM167" s="43">
        <v>151</v>
      </c>
      <c r="AN167">
        <v>148.67882170668304</v>
      </c>
      <c r="AO167">
        <v>14.366045636188208</v>
      </c>
      <c r="AP167">
        <v>146.35939438142032</v>
      </c>
      <c r="AQ167">
        <v>125.16650792879307</v>
      </c>
      <c r="AR167">
        <v>13.536892527543078</v>
      </c>
      <c r="AS167">
        <v>181.07213409932379</v>
      </c>
      <c r="AT167">
        <v>8.2107584410644936</v>
      </c>
      <c r="AU167">
        <v>30.026322119503561</v>
      </c>
      <c r="AV167"/>
      <c r="AW167"/>
      <c r="AX167" s="146"/>
      <c r="AY167" s="76">
        <f t="shared" ca="1" si="201"/>
        <v>0.37914410814470134</v>
      </c>
      <c r="AZ167">
        <v>10</v>
      </c>
      <c r="BA167" s="129">
        <f t="shared" si="274"/>
        <v>39910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 s="147"/>
      <c r="CH167" s="176"/>
      <c r="CJ167" s="146"/>
      <c r="CK167" s="76">
        <f t="shared" ca="1" si="237"/>
        <v>0.54685683335760427</v>
      </c>
      <c r="CL167" s="179">
        <f t="shared" si="238"/>
        <v>10</v>
      </c>
      <c r="CM167" s="180">
        <f t="shared" si="239"/>
        <v>39910</v>
      </c>
      <c r="CN167" s="221">
        <v>0</v>
      </c>
      <c r="CO167" s="221">
        <v>0</v>
      </c>
      <c r="CP167" s="221">
        <v>3</v>
      </c>
      <c r="CQ167" s="221">
        <v>1</v>
      </c>
      <c r="CR167" s="221">
        <v>2</v>
      </c>
      <c r="CS167">
        <v>0</v>
      </c>
      <c r="CT167">
        <v>0</v>
      </c>
      <c r="CU167">
        <v>0</v>
      </c>
      <c r="CV167" s="160"/>
      <c r="CW167">
        <v>1</v>
      </c>
      <c r="CX167">
        <f>350/35</f>
        <v>10</v>
      </c>
      <c r="CY167" s="165"/>
      <c r="CZ167" s="177">
        <f t="shared" si="240"/>
        <v>9.6000000000000002E-2</v>
      </c>
      <c r="DB167" s="146"/>
      <c r="DC167" s="76">
        <f t="shared" ca="1" si="203"/>
        <v>0.1326009168417599</v>
      </c>
      <c r="DD167">
        <f t="shared" si="241"/>
        <v>10</v>
      </c>
      <c r="DE167" s="129">
        <f t="shared" si="273"/>
        <v>39910</v>
      </c>
      <c r="DF167" s="161">
        <f t="shared" si="242"/>
        <v>0</v>
      </c>
      <c r="DG167" s="161">
        <f t="shared" si="243"/>
        <v>0</v>
      </c>
      <c r="DH167" s="161">
        <f t="shared" si="244"/>
        <v>312.5</v>
      </c>
      <c r="DI167" s="161">
        <f t="shared" si="245"/>
        <v>104.16666666666667</v>
      </c>
      <c r="DJ167" s="161">
        <f t="shared" si="246"/>
        <v>208.33333333333334</v>
      </c>
      <c r="DK167" s="161">
        <f t="shared" si="247"/>
        <v>0</v>
      </c>
      <c r="DL167" s="161">
        <f t="shared" si="248"/>
        <v>0</v>
      </c>
      <c r="DM167" s="161">
        <f t="shared" si="249"/>
        <v>0</v>
      </c>
      <c r="DN167" s="161">
        <f t="shared" si="250"/>
        <v>0</v>
      </c>
      <c r="DO167" s="161">
        <f t="shared" si="251"/>
        <v>0</v>
      </c>
      <c r="DP167" s="161">
        <f t="shared" si="252"/>
        <v>0</v>
      </c>
      <c r="DQ167" s="161">
        <f t="shared" si="253"/>
        <v>0</v>
      </c>
      <c r="DR167" s="161">
        <f t="shared" si="254"/>
        <v>0</v>
      </c>
      <c r="DS167" s="161">
        <f t="shared" si="255"/>
        <v>0</v>
      </c>
      <c r="DT167" s="161">
        <f t="shared" si="256"/>
        <v>0</v>
      </c>
      <c r="DU167" s="161">
        <f t="shared" si="257"/>
        <v>0</v>
      </c>
      <c r="DV167" s="161">
        <f t="shared" si="258"/>
        <v>0</v>
      </c>
      <c r="DW167" s="161">
        <f t="shared" si="259"/>
        <v>0</v>
      </c>
      <c r="DX167" s="161">
        <f t="shared" si="260"/>
        <v>0</v>
      </c>
      <c r="DY167" s="161">
        <f t="shared" si="261"/>
        <v>0</v>
      </c>
      <c r="DZ167" s="161">
        <f t="shared" si="262"/>
        <v>0</v>
      </c>
      <c r="EA167" s="161">
        <f t="shared" si="263"/>
        <v>0</v>
      </c>
      <c r="EB167" s="161">
        <f t="shared" si="264"/>
        <v>0</v>
      </c>
      <c r="EC167" s="161">
        <f t="shared" si="265"/>
        <v>0</v>
      </c>
      <c r="ED167" s="161">
        <f t="shared" si="266"/>
        <v>0</v>
      </c>
      <c r="EE167" s="161">
        <f t="shared" si="267"/>
        <v>0</v>
      </c>
      <c r="EF167" s="161">
        <f t="shared" si="268"/>
        <v>0</v>
      </c>
      <c r="EG167" s="161">
        <f t="shared" si="269"/>
        <v>0</v>
      </c>
      <c r="EH167" s="161">
        <f t="shared" si="270"/>
        <v>0</v>
      </c>
      <c r="EI167" s="161">
        <f t="shared" si="271"/>
        <v>0</v>
      </c>
      <c r="EJ167" s="161">
        <f t="shared" si="272"/>
        <v>0</v>
      </c>
      <c r="EK167" s="147">
        <f t="shared" si="204"/>
        <v>625</v>
      </c>
      <c r="EL167" s="149"/>
      <c r="EN167" s="146"/>
      <c r="EO167" s="146"/>
      <c r="EP167" s="139">
        <f t="shared" si="205"/>
        <v>0</v>
      </c>
      <c r="EQ167" s="139">
        <f t="shared" si="206"/>
        <v>0</v>
      </c>
      <c r="ER167" s="139">
        <f t="shared" si="207"/>
        <v>8.0567676847826171</v>
      </c>
      <c r="ES167" s="139">
        <f t="shared" si="208"/>
        <v>8.3816158173851925</v>
      </c>
      <c r="ET167" s="139">
        <f t="shared" si="209"/>
        <v>37.589000666844711</v>
      </c>
      <c r="EU167" s="139">
        <f t="shared" si="210"/>
        <v>0</v>
      </c>
      <c r="EV167" s="139">
        <f t="shared" si="211"/>
        <v>0</v>
      </c>
      <c r="EW167" s="139">
        <f t="shared" si="212"/>
        <v>0</v>
      </c>
      <c r="EX167" s="139">
        <f t="shared" si="213"/>
        <v>0</v>
      </c>
      <c r="EY167" s="139">
        <f t="shared" si="214"/>
        <v>0</v>
      </c>
      <c r="EZ167" s="139">
        <f t="shared" si="215"/>
        <v>0</v>
      </c>
      <c r="FA167" s="139">
        <f t="shared" si="216"/>
        <v>0</v>
      </c>
      <c r="FB167" s="139">
        <f t="shared" si="217"/>
        <v>0</v>
      </c>
      <c r="FC167" s="139">
        <f t="shared" si="218"/>
        <v>0</v>
      </c>
      <c r="FD167" s="139">
        <f t="shared" si="219"/>
        <v>0</v>
      </c>
      <c r="FE167" s="139">
        <f t="shared" si="220"/>
        <v>0</v>
      </c>
      <c r="FF167" s="139">
        <f t="shared" si="221"/>
        <v>0</v>
      </c>
      <c r="FG167" s="139">
        <f t="shared" si="222"/>
        <v>0</v>
      </c>
      <c r="FH167" s="139">
        <f t="shared" si="223"/>
        <v>0</v>
      </c>
      <c r="FI167" s="139">
        <f t="shared" si="224"/>
        <v>0</v>
      </c>
      <c r="FJ167" s="139">
        <f t="shared" si="225"/>
        <v>0</v>
      </c>
      <c r="FK167" s="139">
        <f t="shared" si="226"/>
        <v>0</v>
      </c>
      <c r="FL167" s="139">
        <f t="shared" si="227"/>
        <v>0</v>
      </c>
      <c r="FM167" s="139">
        <f t="shared" si="228"/>
        <v>0</v>
      </c>
      <c r="FN167" s="139">
        <f t="shared" si="229"/>
        <v>0</v>
      </c>
      <c r="FO167" s="139">
        <f t="shared" si="230"/>
        <v>0</v>
      </c>
      <c r="FP167" s="139">
        <f t="shared" si="231"/>
        <v>0</v>
      </c>
      <c r="FQ167" s="139">
        <f t="shared" si="232"/>
        <v>0</v>
      </c>
      <c r="FR167" s="139">
        <f t="shared" si="233"/>
        <v>0</v>
      </c>
      <c r="FS167" s="139">
        <f t="shared" si="234"/>
        <v>0</v>
      </c>
      <c r="FT167" s="139">
        <f t="shared" si="235"/>
        <v>0</v>
      </c>
      <c r="FU167" s="148">
        <f t="shared" si="236"/>
        <v>54.027384169012521</v>
      </c>
      <c r="FV167" s="149"/>
      <c r="FY167" s="210">
        <v>162</v>
      </c>
      <c r="FZ167">
        <v>23.667900175315626</v>
      </c>
      <c r="GA167">
        <v>28.709715209279587</v>
      </c>
      <c r="GB167">
        <v>2.8604604288433557</v>
      </c>
      <c r="GC167">
        <v>1.0609080456021045</v>
      </c>
      <c r="GD167">
        <v>0.71019896029589424</v>
      </c>
      <c r="GE167">
        <v>1.4011266469348598</v>
      </c>
      <c r="GF167">
        <v>9.3398239353735466</v>
      </c>
      <c r="GG167">
        <v>14.618239430139033</v>
      </c>
      <c r="GH167">
        <v>12.119059905775217</v>
      </c>
      <c r="GI167">
        <v>8.2244243853992458</v>
      </c>
      <c r="GJ167"/>
      <c r="GK167"/>
      <c r="GL167"/>
      <c r="GM167"/>
    </row>
    <row r="168" spans="1:195" s="7" customFormat="1">
      <c r="A168" s="128"/>
      <c r="B168" s="76">
        <f ca="1">IF(C168="", "", RAND())</f>
        <v>0.95761907918350042</v>
      </c>
      <c r="C168">
        <v>6</v>
      </c>
      <c r="D168">
        <v>39949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 s="2"/>
      <c r="AK168" s="80"/>
      <c r="AL168" s="74">
        <v>3.0028000000000028</v>
      </c>
      <c r="AM168" s="43">
        <v>152</v>
      </c>
      <c r="AN168">
        <v>146.61050987566364</v>
      </c>
      <c r="AO168">
        <v>12.420845084044327</v>
      </c>
      <c r="AP168">
        <v>126.94380069302977</v>
      </c>
      <c r="AQ168">
        <v>106.86891428601504</v>
      </c>
      <c r="AR168">
        <v>12.09543188192602</v>
      </c>
      <c r="AS168">
        <v>193.89419865050641</v>
      </c>
      <c r="AT168">
        <v>6.9424452928386344</v>
      </c>
      <c r="AU168">
        <v>17.278771786950941</v>
      </c>
      <c r="AV168"/>
      <c r="AW168"/>
      <c r="AX168" s="128"/>
      <c r="AY168" s="76">
        <f t="shared" ca="1" si="201"/>
        <v>0.22977675015112276</v>
      </c>
      <c r="AZ168">
        <v>1</v>
      </c>
      <c r="BA168" s="129">
        <f>IF(AZ168="", "",$C$12)</f>
        <v>39949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 s="147"/>
      <c r="CH168" s="176"/>
      <c r="CJ168" s="128"/>
      <c r="CK168" s="76">
        <f t="shared" ca="1" si="237"/>
        <v>0.13156407263415892</v>
      </c>
      <c r="CL168" s="179">
        <f t="shared" si="238"/>
        <v>1</v>
      </c>
      <c r="CM168" s="180">
        <f t="shared" si="239"/>
        <v>39949</v>
      </c>
      <c r="CN168">
        <v>0</v>
      </c>
      <c r="CO168">
        <v>0</v>
      </c>
      <c r="CP168">
        <v>1</v>
      </c>
      <c r="CQ168">
        <v>0</v>
      </c>
      <c r="CR168">
        <v>0</v>
      </c>
      <c r="CS168">
        <v>0</v>
      </c>
      <c r="CT168">
        <v>0</v>
      </c>
      <c r="CU168">
        <v>0</v>
      </c>
      <c r="CV168" s="160"/>
      <c r="CW168">
        <v>1</v>
      </c>
      <c r="CX168">
        <f>325/83</f>
        <v>3.9156626506024095</v>
      </c>
      <c r="CY168" s="160"/>
      <c r="CZ168" s="177">
        <f t="shared" si="240"/>
        <v>9.6000000000000002E-2</v>
      </c>
      <c r="DB168" s="128"/>
      <c r="DC168" s="76">
        <f t="shared" ca="1" si="203"/>
        <v>0.11047903268132497</v>
      </c>
      <c r="DD168">
        <f t="shared" si="241"/>
        <v>1</v>
      </c>
      <c r="DE168" s="129">
        <f t="shared" ref="DE168:DE177" si="275">IF((DD168)="", "", $C$12)</f>
        <v>39949</v>
      </c>
      <c r="DF168" s="161">
        <f t="shared" si="242"/>
        <v>0</v>
      </c>
      <c r="DG168" s="161">
        <f t="shared" si="243"/>
        <v>0</v>
      </c>
      <c r="DH168" s="161">
        <f t="shared" si="244"/>
        <v>40.788152610441763</v>
      </c>
      <c r="DI168" s="161">
        <f t="shared" si="245"/>
        <v>0</v>
      </c>
      <c r="DJ168" s="161">
        <f t="shared" si="246"/>
        <v>0</v>
      </c>
      <c r="DK168" s="161">
        <f t="shared" si="247"/>
        <v>0</v>
      </c>
      <c r="DL168" s="161">
        <f t="shared" si="248"/>
        <v>0</v>
      </c>
      <c r="DM168" s="161">
        <f t="shared" si="249"/>
        <v>0</v>
      </c>
      <c r="DN168" s="161">
        <f t="shared" si="250"/>
        <v>0</v>
      </c>
      <c r="DO168" s="161">
        <f t="shared" si="251"/>
        <v>0</v>
      </c>
      <c r="DP168" s="161">
        <f t="shared" si="252"/>
        <v>0</v>
      </c>
      <c r="DQ168" s="161">
        <f t="shared" si="253"/>
        <v>0</v>
      </c>
      <c r="DR168" s="161">
        <f t="shared" si="254"/>
        <v>0</v>
      </c>
      <c r="DS168" s="161">
        <f t="shared" si="255"/>
        <v>0</v>
      </c>
      <c r="DT168" s="161">
        <f t="shared" si="256"/>
        <v>0</v>
      </c>
      <c r="DU168" s="161">
        <f t="shared" si="257"/>
        <v>0</v>
      </c>
      <c r="DV168" s="161">
        <f t="shared" si="258"/>
        <v>0</v>
      </c>
      <c r="DW168" s="161">
        <f t="shared" si="259"/>
        <v>0</v>
      </c>
      <c r="DX168" s="161">
        <f t="shared" si="260"/>
        <v>0</v>
      </c>
      <c r="DY168" s="161">
        <f t="shared" si="261"/>
        <v>0</v>
      </c>
      <c r="DZ168" s="161">
        <f t="shared" si="262"/>
        <v>0</v>
      </c>
      <c r="EA168" s="161">
        <f t="shared" si="263"/>
        <v>0</v>
      </c>
      <c r="EB168" s="161">
        <f t="shared" si="264"/>
        <v>0</v>
      </c>
      <c r="EC168" s="161">
        <f t="shared" si="265"/>
        <v>0</v>
      </c>
      <c r="ED168" s="161">
        <f t="shared" si="266"/>
        <v>0</v>
      </c>
      <c r="EE168" s="161">
        <f t="shared" si="267"/>
        <v>0</v>
      </c>
      <c r="EF168" s="161">
        <f t="shared" si="268"/>
        <v>0</v>
      </c>
      <c r="EG168" s="161">
        <f t="shared" si="269"/>
        <v>0</v>
      </c>
      <c r="EH168" s="161">
        <f t="shared" si="270"/>
        <v>0</v>
      </c>
      <c r="EI168" s="161">
        <f t="shared" si="271"/>
        <v>0</v>
      </c>
      <c r="EJ168" s="161">
        <f t="shared" si="272"/>
        <v>0</v>
      </c>
      <c r="EK168" s="147">
        <f t="shared" si="204"/>
        <v>40.788152610441763</v>
      </c>
      <c r="EL168" s="149"/>
      <c r="EN168" s="146"/>
      <c r="EO168" s="146"/>
      <c r="EP168" s="139">
        <f t="shared" si="205"/>
        <v>0</v>
      </c>
      <c r="EQ168" s="139">
        <f t="shared" si="206"/>
        <v>0</v>
      </c>
      <c r="ER168" s="139">
        <f t="shared" si="207"/>
        <v>1.0515861435961247</v>
      </c>
      <c r="ES168" s="139">
        <f t="shared" si="208"/>
        <v>0</v>
      </c>
      <c r="ET168" s="139">
        <f t="shared" si="209"/>
        <v>0</v>
      </c>
      <c r="EU168" s="139">
        <f t="shared" si="210"/>
        <v>0</v>
      </c>
      <c r="EV168" s="139">
        <f t="shared" si="211"/>
        <v>0</v>
      </c>
      <c r="EW168" s="139">
        <f t="shared" si="212"/>
        <v>0</v>
      </c>
      <c r="EX168" s="139">
        <f t="shared" si="213"/>
        <v>0</v>
      </c>
      <c r="EY168" s="139">
        <f t="shared" si="214"/>
        <v>0</v>
      </c>
      <c r="EZ168" s="139">
        <f t="shared" si="215"/>
        <v>0</v>
      </c>
      <c r="FA168" s="139">
        <f t="shared" si="216"/>
        <v>0</v>
      </c>
      <c r="FB168" s="139">
        <f t="shared" si="217"/>
        <v>0</v>
      </c>
      <c r="FC168" s="139">
        <f t="shared" si="218"/>
        <v>0</v>
      </c>
      <c r="FD168" s="139">
        <f t="shared" si="219"/>
        <v>0</v>
      </c>
      <c r="FE168" s="139">
        <f t="shared" si="220"/>
        <v>0</v>
      </c>
      <c r="FF168" s="139">
        <f t="shared" si="221"/>
        <v>0</v>
      </c>
      <c r="FG168" s="139">
        <f t="shared" si="222"/>
        <v>0</v>
      </c>
      <c r="FH168" s="139">
        <f t="shared" si="223"/>
        <v>0</v>
      </c>
      <c r="FI168" s="139">
        <f t="shared" si="224"/>
        <v>0</v>
      </c>
      <c r="FJ168" s="139">
        <f t="shared" si="225"/>
        <v>0</v>
      </c>
      <c r="FK168" s="139">
        <f t="shared" si="226"/>
        <v>0</v>
      </c>
      <c r="FL168" s="139">
        <f t="shared" si="227"/>
        <v>0</v>
      </c>
      <c r="FM168" s="139">
        <f t="shared" si="228"/>
        <v>0</v>
      </c>
      <c r="FN168" s="139">
        <f t="shared" si="229"/>
        <v>0</v>
      </c>
      <c r="FO168" s="139">
        <f t="shared" si="230"/>
        <v>0</v>
      </c>
      <c r="FP168" s="139">
        <f t="shared" si="231"/>
        <v>0</v>
      </c>
      <c r="FQ168" s="139">
        <f t="shared" si="232"/>
        <v>0</v>
      </c>
      <c r="FR168" s="139">
        <f t="shared" si="233"/>
        <v>0</v>
      </c>
      <c r="FS168" s="139">
        <f t="shared" si="234"/>
        <v>0</v>
      </c>
      <c r="FT168" s="139">
        <f t="shared" si="235"/>
        <v>0</v>
      </c>
      <c r="FU168" s="148">
        <f t="shared" si="236"/>
        <v>1.0515861435961247</v>
      </c>
      <c r="FV168" s="149"/>
      <c r="FY168" s="210">
        <v>163</v>
      </c>
      <c r="FZ168">
        <v>47.104183549472367</v>
      </c>
      <c r="GA168">
        <v>52.57581395970594</v>
      </c>
      <c r="GB168">
        <v>3.2839285071742701</v>
      </c>
      <c r="GC168">
        <v>1.7592403094557851</v>
      </c>
      <c r="GD168">
        <v>0.96816643932647484</v>
      </c>
      <c r="GE168">
        <v>3.3029657236315106</v>
      </c>
      <c r="GF168">
        <v>7.7869519127056872</v>
      </c>
      <c r="GG168">
        <v>6.5745104918877422</v>
      </c>
      <c r="GH168">
        <v>5.2246584837923322</v>
      </c>
      <c r="GI168">
        <v>10.559764209474791</v>
      </c>
      <c r="GJ168"/>
      <c r="GK168"/>
      <c r="GL168"/>
      <c r="GM168"/>
    </row>
    <row r="169" spans="1:195" s="7" customFormat="1">
      <c r="A169" s="1"/>
      <c r="B169" s="76">
        <f ca="1">IF(C169="", "", RAND())</f>
        <v>0.80141002952412421</v>
      </c>
      <c r="C169">
        <v>4</v>
      </c>
      <c r="D169">
        <v>39949</v>
      </c>
      <c r="E169">
        <v>0</v>
      </c>
      <c r="F169">
        <v>91.324200913241995</v>
      </c>
      <c r="G169">
        <v>91.324200913241995</v>
      </c>
      <c r="H169">
        <v>0</v>
      </c>
      <c r="I169">
        <v>45.662100456620998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 s="2"/>
      <c r="AK169" s="80"/>
      <c r="AL169" s="74">
        <v>3.0028000000000028</v>
      </c>
      <c r="AM169" s="43">
        <v>153</v>
      </c>
      <c r="AN169">
        <v>117.06926688980241</v>
      </c>
      <c r="AO169">
        <v>10.853111523213247</v>
      </c>
      <c r="AP169">
        <v>106.78939087904939</v>
      </c>
      <c r="AQ169">
        <v>91.392259540054965</v>
      </c>
      <c r="AR169">
        <v>10.367392336950097</v>
      </c>
      <c r="AS169">
        <v>153.06084457964047</v>
      </c>
      <c r="AT169">
        <v>5.9383458913839222</v>
      </c>
      <c r="AU169">
        <v>23.594479174263189</v>
      </c>
      <c r="AV169"/>
      <c r="AW169"/>
      <c r="AX169" s="146"/>
      <c r="AY169" s="76">
        <f t="shared" ca="1" si="201"/>
        <v>0.21948874579946942</v>
      </c>
      <c r="AZ169">
        <v>2</v>
      </c>
      <c r="BA169" s="129">
        <f t="shared" ref="BA169:BA177" si="276">IF(AZ169="", "",$C$12)</f>
        <v>39949</v>
      </c>
      <c r="BB169">
        <v>0</v>
      </c>
      <c r="BC169">
        <v>0</v>
      </c>
      <c r="BD169">
        <v>0</v>
      </c>
      <c r="BE169">
        <v>0</v>
      </c>
      <c r="BF169">
        <v>3</v>
      </c>
      <c r="BG169">
        <v>0</v>
      </c>
      <c r="BH169">
        <v>1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 s="147"/>
      <c r="CH169" s="176"/>
      <c r="CJ169" s="146"/>
      <c r="CK169" s="76">
        <f t="shared" ca="1" si="237"/>
        <v>0.87587338454525465</v>
      </c>
      <c r="CL169" s="179">
        <f t="shared" si="238"/>
        <v>2</v>
      </c>
      <c r="CM169" s="180">
        <f t="shared" si="239"/>
        <v>39949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 s="160"/>
      <c r="CW169">
        <v>1</v>
      </c>
      <c r="CX169">
        <v>1</v>
      </c>
      <c r="CY169" s="160"/>
      <c r="CZ169" s="177">
        <f t="shared" si="240"/>
        <v>9.6000000000000002E-2</v>
      </c>
      <c r="DB169" s="146"/>
      <c r="DC169" s="76">
        <f t="shared" ca="1" si="203"/>
        <v>0.63470951067714032</v>
      </c>
      <c r="DD169">
        <f t="shared" si="241"/>
        <v>2</v>
      </c>
      <c r="DE169" s="129">
        <f t="shared" si="275"/>
        <v>39949</v>
      </c>
      <c r="DF169" s="161">
        <f t="shared" si="242"/>
        <v>0</v>
      </c>
      <c r="DG169" s="161">
        <f t="shared" si="243"/>
        <v>0</v>
      </c>
      <c r="DH169" s="161">
        <f t="shared" si="244"/>
        <v>0</v>
      </c>
      <c r="DI169" s="161">
        <f t="shared" si="245"/>
        <v>0</v>
      </c>
      <c r="DJ169" s="161">
        <f t="shared" si="246"/>
        <v>31.25</v>
      </c>
      <c r="DK169" s="161">
        <f t="shared" si="247"/>
        <v>0</v>
      </c>
      <c r="DL169" s="161">
        <f t="shared" si="248"/>
        <v>10.416666666666666</v>
      </c>
      <c r="DM169" s="161">
        <f t="shared" si="249"/>
        <v>0</v>
      </c>
      <c r="DN169" s="161">
        <f t="shared" si="250"/>
        <v>0</v>
      </c>
      <c r="DO169" s="161">
        <f t="shared" si="251"/>
        <v>0</v>
      </c>
      <c r="DP169" s="161">
        <f t="shared" si="252"/>
        <v>0</v>
      </c>
      <c r="DQ169" s="161">
        <f t="shared" si="253"/>
        <v>0</v>
      </c>
      <c r="DR169" s="161">
        <f t="shared" si="254"/>
        <v>0</v>
      </c>
      <c r="DS169" s="161">
        <f t="shared" si="255"/>
        <v>0</v>
      </c>
      <c r="DT169" s="161">
        <f t="shared" si="256"/>
        <v>0</v>
      </c>
      <c r="DU169" s="161">
        <f t="shared" si="257"/>
        <v>0</v>
      </c>
      <c r="DV169" s="161">
        <f t="shared" si="258"/>
        <v>0</v>
      </c>
      <c r="DW169" s="161">
        <f t="shared" si="259"/>
        <v>0</v>
      </c>
      <c r="DX169" s="161">
        <f t="shared" si="260"/>
        <v>0</v>
      </c>
      <c r="DY169" s="161">
        <f t="shared" si="261"/>
        <v>0</v>
      </c>
      <c r="DZ169" s="161">
        <f t="shared" si="262"/>
        <v>0</v>
      </c>
      <c r="EA169" s="161">
        <f t="shared" si="263"/>
        <v>0</v>
      </c>
      <c r="EB169" s="161">
        <f t="shared" si="264"/>
        <v>0</v>
      </c>
      <c r="EC169" s="161">
        <f t="shared" si="265"/>
        <v>0</v>
      </c>
      <c r="ED169" s="161">
        <f t="shared" si="266"/>
        <v>0</v>
      </c>
      <c r="EE169" s="161">
        <f t="shared" si="267"/>
        <v>0</v>
      </c>
      <c r="EF169" s="161">
        <f t="shared" si="268"/>
        <v>0</v>
      </c>
      <c r="EG169" s="161">
        <f t="shared" si="269"/>
        <v>0</v>
      </c>
      <c r="EH169" s="161">
        <f t="shared" si="270"/>
        <v>0</v>
      </c>
      <c r="EI169" s="161">
        <f t="shared" si="271"/>
        <v>0</v>
      </c>
      <c r="EJ169" s="161">
        <f t="shared" si="272"/>
        <v>0</v>
      </c>
      <c r="EK169" s="147">
        <f t="shared" si="204"/>
        <v>41.666666666666664</v>
      </c>
      <c r="EL169" s="149"/>
      <c r="EN169" s="146"/>
      <c r="EO169" s="146"/>
      <c r="EP169" s="139">
        <f t="shared" si="205"/>
        <v>0</v>
      </c>
      <c r="EQ169" s="139">
        <f t="shared" si="206"/>
        <v>0</v>
      </c>
      <c r="ER169" s="139">
        <f t="shared" si="207"/>
        <v>0</v>
      </c>
      <c r="ES169" s="139">
        <f t="shared" si="208"/>
        <v>0</v>
      </c>
      <c r="ET169" s="139">
        <f t="shared" si="209"/>
        <v>5.6383501000267069</v>
      </c>
      <c r="EU169" s="139">
        <f t="shared" si="210"/>
        <v>0</v>
      </c>
      <c r="EV169" s="139">
        <f t="shared" si="211"/>
        <v>5.865687857873775</v>
      </c>
      <c r="EW169" s="139">
        <f t="shared" si="212"/>
        <v>0</v>
      </c>
      <c r="EX169" s="139">
        <f t="shared" si="213"/>
        <v>0</v>
      </c>
      <c r="EY169" s="139">
        <f t="shared" si="214"/>
        <v>0</v>
      </c>
      <c r="EZ169" s="139">
        <f t="shared" si="215"/>
        <v>0</v>
      </c>
      <c r="FA169" s="139">
        <f t="shared" si="216"/>
        <v>0</v>
      </c>
      <c r="FB169" s="139">
        <f t="shared" si="217"/>
        <v>0</v>
      </c>
      <c r="FC169" s="139">
        <f t="shared" si="218"/>
        <v>0</v>
      </c>
      <c r="FD169" s="139">
        <f t="shared" si="219"/>
        <v>0</v>
      </c>
      <c r="FE169" s="139">
        <f t="shared" si="220"/>
        <v>0</v>
      </c>
      <c r="FF169" s="139">
        <f t="shared" si="221"/>
        <v>0</v>
      </c>
      <c r="FG169" s="139">
        <f t="shared" si="222"/>
        <v>0</v>
      </c>
      <c r="FH169" s="139">
        <f t="shared" si="223"/>
        <v>0</v>
      </c>
      <c r="FI169" s="139">
        <f t="shared" si="224"/>
        <v>0</v>
      </c>
      <c r="FJ169" s="139">
        <f t="shared" si="225"/>
        <v>0</v>
      </c>
      <c r="FK169" s="139">
        <f t="shared" si="226"/>
        <v>0</v>
      </c>
      <c r="FL169" s="139">
        <f t="shared" si="227"/>
        <v>0</v>
      </c>
      <c r="FM169" s="139">
        <f t="shared" si="228"/>
        <v>0</v>
      </c>
      <c r="FN169" s="139">
        <f t="shared" si="229"/>
        <v>0</v>
      </c>
      <c r="FO169" s="139">
        <f t="shared" si="230"/>
        <v>0</v>
      </c>
      <c r="FP169" s="139">
        <f t="shared" si="231"/>
        <v>0</v>
      </c>
      <c r="FQ169" s="139">
        <f t="shared" si="232"/>
        <v>0</v>
      </c>
      <c r="FR169" s="139">
        <f t="shared" si="233"/>
        <v>0</v>
      </c>
      <c r="FS169" s="139">
        <f t="shared" si="234"/>
        <v>0</v>
      </c>
      <c r="FT169" s="139">
        <f t="shared" si="235"/>
        <v>0</v>
      </c>
      <c r="FU169" s="148">
        <f t="shared" si="236"/>
        <v>11.504037957900483</v>
      </c>
      <c r="FV169" s="149"/>
      <c r="FY169" s="210">
        <v>164</v>
      </c>
      <c r="FZ169">
        <v>12.513632285579469</v>
      </c>
      <c r="GA169">
        <v>13.730491647491291</v>
      </c>
      <c r="GB169">
        <v>1.6524805530266378</v>
      </c>
      <c r="GC169">
        <v>0.76938059172899109</v>
      </c>
      <c r="GD169">
        <v>0.37630929153274606</v>
      </c>
      <c r="GE169">
        <v>0.93140052409902097</v>
      </c>
      <c r="GF169">
        <v>6.1474513192036602</v>
      </c>
      <c r="GG169">
        <v>6.9350309097879439</v>
      </c>
      <c r="GH169">
        <v>6.2039956101184011</v>
      </c>
      <c r="GI169">
        <v>4.5678798700630896</v>
      </c>
      <c r="GJ169"/>
      <c r="GK169"/>
      <c r="GL169"/>
      <c r="GM169"/>
    </row>
    <row r="170" spans="1:195" s="7" customFormat="1">
      <c r="A170" s="1"/>
      <c r="B170" s="76">
        <f ca="1">IF(C170="", "", RAND())</f>
        <v>0.81152012925341643</v>
      </c>
      <c r="C170">
        <v>5</v>
      </c>
      <c r="D170">
        <v>39949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 s="2"/>
      <c r="AK170" s="80"/>
      <c r="AL170" s="74">
        <v>3.0028000000000028</v>
      </c>
      <c r="AM170" s="43">
        <v>154</v>
      </c>
      <c r="AN170">
        <v>93.822930392083364</v>
      </c>
      <c r="AO170">
        <v>12.488520321158351</v>
      </c>
      <c r="AP170">
        <v>132.5715710338126</v>
      </c>
      <c r="AQ170">
        <v>112.7346715165762</v>
      </c>
      <c r="AR170">
        <v>12.238542702963477</v>
      </c>
      <c r="AS170">
        <v>169.47413731829332</v>
      </c>
      <c r="AT170">
        <v>7.8227241488491019</v>
      </c>
      <c r="AU170">
        <v>20.127289592339139</v>
      </c>
      <c r="AV170"/>
      <c r="AW170"/>
      <c r="AX170" s="146"/>
      <c r="AY170" s="76">
        <f t="shared" ca="1" si="201"/>
        <v>0.21419885700620189</v>
      </c>
      <c r="AZ170">
        <v>3</v>
      </c>
      <c r="BA170" s="129">
        <f t="shared" si="276"/>
        <v>39949</v>
      </c>
      <c r="BB170">
        <v>0</v>
      </c>
      <c r="BC170" s="224">
        <v>0</v>
      </c>
      <c r="BD170" s="224">
        <v>3</v>
      </c>
      <c r="BE170" s="224">
        <v>0</v>
      </c>
      <c r="BF170" s="224">
        <v>5</v>
      </c>
      <c r="BG170">
        <v>4</v>
      </c>
      <c r="BH170">
        <v>3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 s="147"/>
      <c r="CH170" s="176"/>
      <c r="CJ170" s="146"/>
      <c r="CK170" s="76">
        <f t="shared" ca="1" si="237"/>
        <v>0.10934333690410591</v>
      </c>
      <c r="CL170" s="179">
        <f t="shared" si="238"/>
        <v>3</v>
      </c>
      <c r="CM170" s="180">
        <f t="shared" si="239"/>
        <v>39949</v>
      </c>
      <c r="CN170">
        <v>0</v>
      </c>
      <c r="CO170">
        <v>5</v>
      </c>
      <c r="CP170">
        <v>11</v>
      </c>
      <c r="CQ170">
        <v>2</v>
      </c>
      <c r="CR170">
        <v>0</v>
      </c>
      <c r="CS170">
        <v>0</v>
      </c>
      <c r="CT170">
        <v>0</v>
      </c>
      <c r="CU170">
        <v>0</v>
      </c>
      <c r="CV170" s="160"/>
      <c r="CW170">
        <v>1</v>
      </c>
      <c r="CX170">
        <f>350/45</f>
        <v>7.7777777777777777</v>
      </c>
      <c r="CY170" s="160"/>
      <c r="CZ170" s="177">
        <f t="shared" si="240"/>
        <v>9.6000000000000002E-2</v>
      </c>
      <c r="DB170" s="146"/>
      <c r="DC170" s="76">
        <f t="shared" ca="1" si="203"/>
        <v>0.31736699547097125</v>
      </c>
      <c r="DD170">
        <f t="shared" si="241"/>
        <v>3</v>
      </c>
      <c r="DE170" s="129">
        <f t="shared" si="275"/>
        <v>39949</v>
      </c>
      <c r="DF170" s="161">
        <f t="shared" si="242"/>
        <v>0</v>
      </c>
      <c r="DG170" s="161">
        <f t="shared" si="243"/>
        <v>405.09259259259255</v>
      </c>
      <c r="DH170" s="161">
        <f t="shared" si="244"/>
        <v>922.4537037037037</v>
      </c>
      <c r="DI170" s="161">
        <f t="shared" si="245"/>
        <v>162.03703703703704</v>
      </c>
      <c r="DJ170" s="161">
        <f t="shared" si="246"/>
        <v>52.083333333333336</v>
      </c>
      <c r="DK170" s="161">
        <f t="shared" si="247"/>
        <v>41.666666666666664</v>
      </c>
      <c r="DL170" s="161">
        <f t="shared" si="248"/>
        <v>31.25</v>
      </c>
      <c r="DM170" s="161">
        <f t="shared" si="249"/>
        <v>0</v>
      </c>
      <c r="DN170" s="161">
        <f t="shared" si="250"/>
        <v>0</v>
      </c>
      <c r="DO170" s="161">
        <f t="shared" si="251"/>
        <v>0</v>
      </c>
      <c r="DP170" s="161">
        <f t="shared" si="252"/>
        <v>0</v>
      </c>
      <c r="DQ170" s="161">
        <f t="shared" si="253"/>
        <v>0</v>
      </c>
      <c r="DR170" s="161">
        <f t="shared" si="254"/>
        <v>0</v>
      </c>
      <c r="DS170" s="161">
        <f t="shared" si="255"/>
        <v>0</v>
      </c>
      <c r="DT170" s="161">
        <f t="shared" si="256"/>
        <v>0</v>
      </c>
      <c r="DU170" s="161">
        <f t="shared" si="257"/>
        <v>0</v>
      </c>
      <c r="DV170" s="161">
        <f t="shared" si="258"/>
        <v>0</v>
      </c>
      <c r="DW170" s="161">
        <f t="shared" si="259"/>
        <v>0</v>
      </c>
      <c r="DX170" s="161">
        <f t="shared" si="260"/>
        <v>0</v>
      </c>
      <c r="DY170" s="161">
        <f t="shared" si="261"/>
        <v>0</v>
      </c>
      <c r="DZ170" s="161">
        <f t="shared" si="262"/>
        <v>0</v>
      </c>
      <c r="EA170" s="161">
        <f t="shared" si="263"/>
        <v>0</v>
      </c>
      <c r="EB170" s="161">
        <f t="shared" si="264"/>
        <v>0</v>
      </c>
      <c r="EC170" s="161">
        <f t="shared" si="265"/>
        <v>0</v>
      </c>
      <c r="ED170" s="161">
        <f t="shared" si="266"/>
        <v>0</v>
      </c>
      <c r="EE170" s="161">
        <f t="shared" si="267"/>
        <v>0</v>
      </c>
      <c r="EF170" s="161">
        <f t="shared" si="268"/>
        <v>0</v>
      </c>
      <c r="EG170" s="161">
        <f t="shared" si="269"/>
        <v>0</v>
      </c>
      <c r="EH170" s="161">
        <f t="shared" si="270"/>
        <v>0</v>
      </c>
      <c r="EI170" s="161">
        <f t="shared" si="271"/>
        <v>0</v>
      </c>
      <c r="EJ170" s="161">
        <f t="shared" si="272"/>
        <v>0</v>
      </c>
      <c r="EK170" s="147">
        <f t="shared" si="204"/>
        <v>1614.5833333333333</v>
      </c>
      <c r="EL170" s="149"/>
      <c r="EN170" s="146"/>
      <c r="EO170" s="146"/>
      <c r="EP170" s="139">
        <f t="shared" si="205"/>
        <v>0</v>
      </c>
      <c r="EQ170" s="139">
        <f t="shared" si="206"/>
        <v>1.492361111111111</v>
      </c>
      <c r="ER170" s="139">
        <f t="shared" si="207"/>
        <v>23.782384610265726</v>
      </c>
      <c r="ES170" s="139">
        <f t="shared" si="208"/>
        <v>13.038069049265854</v>
      </c>
      <c r="ET170" s="139">
        <f t="shared" si="209"/>
        <v>9.3972501667111779</v>
      </c>
      <c r="EU170" s="139">
        <f t="shared" si="210"/>
        <v>14.064269571558365</v>
      </c>
      <c r="EV170" s="139">
        <f t="shared" si="211"/>
        <v>17.597063573621327</v>
      </c>
      <c r="EW170" s="139">
        <f t="shared" si="212"/>
        <v>0</v>
      </c>
      <c r="EX170" s="139">
        <f t="shared" si="213"/>
        <v>0</v>
      </c>
      <c r="EY170" s="139">
        <f t="shared" si="214"/>
        <v>0</v>
      </c>
      <c r="EZ170" s="139">
        <f t="shared" si="215"/>
        <v>0</v>
      </c>
      <c r="FA170" s="139">
        <f t="shared" si="216"/>
        <v>0</v>
      </c>
      <c r="FB170" s="139">
        <f t="shared" si="217"/>
        <v>0</v>
      </c>
      <c r="FC170" s="139">
        <f t="shared" si="218"/>
        <v>0</v>
      </c>
      <c r="FD170" s="139">
        <f t="shared" si="219"/>
        <v>0</v>
      </c>
      <c r="FE170" s="139">
        <f t="shared" si="220"/>
        <v>0</v>
      </c>
      <c r="FF170" s="139">
        <f t="shared" si="221"/>
        <v>0</v>
      </c>
      <c r="FG170" s="139">
        <f t="shared" si="222"/>
        <v>0</v>
      </c>
      <c r="FH170" s="139">
        <f t="shared" si="223"/>
        <v>0</v>
      </c>
      <c r="FI170" s="139">
        <f t="shared" si="224"/>
        <v>0</v>
      </c>
      <c r="FJ170" s="139">
        <f t="shared" si="225"/>
        <v>0</v>
      </c>
      <c r="FK170" s="139">
        <f t="shared" si="226"/>
        <v>0</v>
      </c>
      <c r="FL170" s="139">
        <f t="shared" si="227"/>
        <v>0</v>
      </c>
      <c r="FM170" s="139">
        <f t="shared" si="228"/>
        <v>0</v>
      </c>
      <c r="FN170" s="139">
        <f t="shared" si="229"/>
        <v>0</v>
      </c>
      <c r="FO170" s="139">
        <f t="shared" si="230"/>
        <v>0</v>
      </c>
      <c r="FP170" s="139">
        <f t="shared" si="231"/>
        <v>0</v>
      </c>
      <c r="FQ170" s="139">
        <f t="shared" si="232"/>
        <v>0</v>
      </c>
      <c r="FR170" s="139">
        <f t="shared" si="233"/>
        <v>0</v>
      </c>
      <c r="FS170" s="139">
        <f t="shared" si="234"/>
        <v>0</v>
      </c>
      <c r="FT170" s="139">
        <f t="shared" si="235"/>
        <v>0</v>
      </c>
      <c r="FU170" s="148">
        <f t="shared" si="236"/>
        <v>79.371398082533545</v>
      </c>
      <c r="FV170" s="149"/>
      <c r="FY170" s="210">
        <v>165</v>
      </c>
      <c r="FZ170">
        <v>11.328829886687821</v>
      </c>
      <c r="GA170">
        <v>16.035036588003411</v>
      </c>
      <c r="GB170">
        <v>2.8642555728360692</v>
      </c>
      <c r="GC170">
        <v>1.0006136080498866</v>
      </c>
      <c r="GD170">
        <v>0.91051290383562411</v>
      </c>
      <c r="GE170">
        <v>2.7230255447927041</v>
      </c>
      <c r="GF170">
        <v>2.0779821916503738</v>
      </c>
      <c r="GG170">
        <v>7.0733929283673449</v>
      </c>
      <c r="GH170">
        <v>12.403031880460027</v>
      </c>
      <c r="GI170">
        <v>5.2512804197559078</v>
      </c>
      <c r="GJ170"/>
      <c r="GK170"/>
      <c r="GL170"/>
      <c r="GM170"/>
    </row>
    <row r="171" spans="1:195" s="7" customFormat="1">
      <c r="A171" s="1"/>
      <c r="B171" s="76">
        <f ca="1">IF(C171="", "", RAND())</f>
        <v>0.80100969675583489</v>
      </c>
      <c r="C171">
        <v>3</v>
      </c>
      <c r="D171">
        <v>39949</v>
      </c>
      <c r="E171">
        <v>0</v>
      </c>
      <c r="F171">
        <v>405.09259259259255</v>
      </c>
      <c r="G171">
        <v>922.4537037037037</v>
      </c>
      <c r="H171">
        <v>162.03703703703704</v>
      </c>
      <c r="I171">
        <v>52.083333333333336</v>
      </c>
      <c r="J171">
        <v>41.666666666666664</v>
      </c>
      <c r="K171">
        <v>31.25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 s="2"/>
      <c r="AK171" s="80"/>
      <c r="AL171" s="74">
        <v>3.0028000000000028</v>
      </c>
      <c r="AM171" s="43">
        <v>155</v>
      </c>
      <c r="AN171">
        <v>87.57247109141116</v>
      </c>
      <c r="AO171">
        <v>10.984852967993133</v>
      </c>
      <c r="AP171">
        <v>117.2902011965412</v>
      </c>
      <c r="AQ171">
        <v>101.45306318349306</v>
      </c>
      <c r="AR171">
        <v>10.688748259120178</v>
      </c>
      <c r="AS171">
        <v>148.92312131052842</v>
      </c>
      <c r="AT171">
        <v>6.5183221035333716</v>
      </c>
      <c r="AU171">
        <v>69.693593961310512</v>
      </c>
      <c r="AV171"/>
      <c r="AW171"/>
      <c r="AX171" s="146"/>
      <c r="AY171" s="76">
        <f t="shared" ca="1" si="201"/>
        <v>0.37503373596224088</v>
      </c>
      <c r="AZ171">
        <v>4</v>
      </c>
      <c r="BA171" s="129">
        <f t="shared" si="276"/>
        <v>39949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 s="147"/>
      <c r="CH171" s="176"/>
      <c r="CJ171" s="146"/>
      <c r="CK171" s="76">
        <f t="shared" ca="1" si="237"/>
        <v>3.7198701107970855E-2</v>
      </c>
      <c r="CL171" s="179">
        <f t="shared" si="238"/>
        <v>4</v>
      </c>
      <c r="CM171" s="180">
        <f t="shared" si="239"/>
        <v>39949</v>
      </c>
      <c r="CN171">
        <v>0</v>
      </c>
      <c r="CO171">
        <v>2</v>
      </c>
      <c r="CP171">
        <v>2</v>
      </c>
      <c r="CQ171">
        <v>0</v>
      </c>
      <c r="CR171">
        <v>1</v>
      </c>
      <c r="CS171">
        <v>0</v>
      </c>
      <c r="CT171">
        <v>0</v>
      </c>
      <c r="CU171">
        <v>0</v>
      </c>
      <c r="CV171" s="160"/>
      <c r="CW171">
        <v>1</v>
      </c>
      <c r="CX171">
        <f>320/73</f>
        <v>4.3835616438356162</v>
      </c>
      <c r="CY171" s="160"/>
      <c r="CZ171" s="177">
        <f t="shared" si="240"/>
        <v>9.6000000000000002E-2</v>
      </c>
      <c r="DB171" s="146"/>
      <c r="DC171" s="76">
        <f t="shared" ca="1" si="203"/>
        <v>0.20842091644122807</v>
      </c>
      <c r="DD171">
        <f t="shared" si="241"/>
        <v>4</v>
      </c>
      <c r="DE171" s="129">
        <f t="shared" si="275"/>
        <v>39949</v>
      </c>
      <c r="DF171" s="161">
        <f t="shared" si="242"/>
        <v>0</v>
      </c>
      <c r="DG171" s="161">
        <f t="shared" si="243"/>
        <v>91.324200913241995</v>
      </c>
      <c r="DH171" s="161">
        <f t="shared" si="244"/>
        <v>91.324200913241995</v>
      </c>
      <c r="DI171" s="161">
        <f t="shared" si="245"/>
        <v>0</v>
      </c>
      <c r="DJ171" s="161">
        <f t="shared" si="246"/>
        <v>45.662100456620998</v>
      </c>
      <c r="DK171" s="161">
        <f t="shared" si="247"/>
        <v>0</v>
      </c>
      <c r="DL171" s="161">
        <f t="shared" si="248"/>
        <v>0</v>
      </c>
      <c r="DM171" s="161">
        <f t="shared" si="249"/>
        <v>0</v>
      </c>
      <c r="DN171" s="161">
        <f t="shared" si="250"/>
        <v>0</v>
      </c>
      <c r="DO171" s="161">
        <f t="shared" si="251"/>
        <v>0</v>
      </c>
      <c r="DP171" s="161">
        <f t="shared" si="252"/>
        <v>0</v>
      </c>
      <c r="DQ171" s="161">
        <f t="shared" si="253"/>
        <v>0</v>
      </c>
      <c r="DR171" s="161">
        <f t="shared" si="254"/>
        <v>0</v>
      </c>
      <c r="DS171" s="161">
        <f t="shared" si="255"/>
        <v>0</v>
      </c>
      <c r="DT171" s="161">
        <f t="shared" si="256"/>
        <v>0</v>
      </c>
      <c r="DU171" s="161">
        <f t="shared" si="257"/>
        <v>0</v>
      </c>
      <c r="DV171" s="161">
        <f t="shared" si="258"/>
        <v>0</v>
      </c>
      <c r="DW171" s="161">
        <f t="shared" si="259"/>
        <v>0</v>
      </c>
      <c r="DX171" s="161">
        <f t="shared" si="260"/>
        <v>0</v>
      </c>
      <c r="DY171" s="161">
        <f t="shared" si="261"/>
        <v>0</v>
      </c>
      <c r="DZ171" s="161">
        <f t="shared" si="262"/>
        <v>0</v>
      </c>
      <c r="EA171" s="161">
        <f t="shared" si="263"/>
        <v>0</v>
      </c>
      <c r="EB171" s="161">
        <f t="shared" si="264"/>
        <v>0</v>
      </c>
      <c r="EC171" s="161">
        <f t="shared" si="265"/>
        <v>0</v>
      </c>
      <c r="ED171" s="161">
        <f t="shared" si="266"/>
        <v>0</v>
      </c>
      <c r="EE171" s="161">
        <f t="shared" si="267"/>
        <v>0</v>
      </c>
      <c r="EF171" s="161">
        <f t="shared" si="268"/>
        <v>0</v>
      </c>
      <c r="EG171" s="161">
        <f t="shared" si="269"/>
        <v>0</v>
      </c>
      <c r="EH171" s="161">
        <f t="shared" si="270"/>
        <v>0</v>
      </c>
      <c r="EI171" s="161">
        <f t="shared" si="271"/>
        <v>0</v>
      </c>
      <c r="EJ171" s="161">
        <f t="shared" si="272"/>
        <v>0</v>
      </c>
      <c r="EK171" s="147">
        <f t="shared" si="204"/>
        <v>228.310502283105</v>
      </c>
      <c r="EL171" s="149"/>
      <c r="EN171" s="146"/>
      <c r="EO171" s="146"/>
      <c r="EP171" s="139">
        <f t="shared" si="205"/>
        <v>0</v>
      </c>
      <c r="EQ171" s="139">
        <f t="shared" si="206"/>
        <v>0.33643835616438356</v>
      </c>
      <c r="ER171" s="139">
        <f t="shared" si="207"/>
        <v>2.3544891864204907</v>
      </c>
      <c r="ES171" s="139">
        <f t="shared" si="208"/>
        <v>0</v>
      </c>
      <c r="ET171" s="139">
        <f t="shared" si="209"/>
        <v>8.2386850776645932</v>
      </c>
      <c r="EU171" s="139">
        <f t="shared" si="210"/>
        <v>0</v>
      </c>
      <c r="EV171" s="139">
        <f t="shared" si="211"/>
        <v>0</v>
      </c>
      <c r="EW171" s="139">
        <f t="shared" si="212"/>
        <v>0</v>
      </c>
      <c r="EX171" s="139">
        <f t="shared" si="213"/>
        <v>0</v>
      </c>
      <c r="EY171" s="139">
        <f t="shared" si="214"/>
        <v>0</v>
      </c>
      <c r="EZ171" s="139">
        <f t="shared" si="215"/>
        <v>0</v>
      </c>
      <c r="FA171" s="139">
        <f t="shared" si="216"/>
        <v>0</v>
      </c>
      <c r="FB171" s="139">
        <f t="shared" si="217"/>
        <v>0</v>
      </c>
      <c r="FC171" s="139">
        <f t="shared" si="218"/>
        <v>0</v>
      </c>
      <c r="FD171" s="139">
        <f t="shared" si="219"/>
        <v>0</v>
      </c>
      <c r="FE171" s="139">
        <f t="shared" si="220"/>
        <v>0</v>
      </c>
      <c r="FF171" s="139">
        <f t="shared" si="221"/>
        <v>0</v>
      </c>
      <c r="FG171" s="139">
        <f t="shared" si="222"/>
        <v>0</v>
      </c>
      <c r="FH171" s="139">
        <f t="shared" si="223"/>
        <v>0</v>
      </c>
      <c r="FI171" s="139">
        <f t="shared" si="224"/>
        <v>0</v>
      </c>
      <c r="FJ171" s="139">
        <f t="shared" si="225"/>
        <v>0</v>
      </c>
      <c r="FK171" s="139">
        <f t="shared" si="226"/>
        <v>0</v>
      </c>
      <c r="FL171" s="139">
        <f t="shared" si="227"/>
        <v>0</v>
      </c>
      <c r="FM171" s="139">
        <f t="shared" si="228"/>
        <v>0</v>
      </c>
      <c r="FN171" s="139">
        <f t="shared" si="229"/>
        <v>0</v>
      </c>
      <c r="FO171" s="139">
        <f t="shared" si="230"/>
        <v>0</v>
      </c>
      <c r="FP171" s="139">
        <f t="shared" si="231"/>
        <v>0</v>
      </c>
      <c r="FQ171" s="139">
        <f t="shared" si="232"/>
        <v>0</v>
      </c>
      <c r="FR171" s="139">
        <f t="shared" si="233"/>
        <v>0</v>
      </c>
      <c r="FS171" s="139">
        <f t="shared" si="234"/>
        <v>0</v>
      </c>
      <c r="FT171" s="139">
        <f t="shared" si="235"/>
        <v>0</v>
      </c>
      <c r="FU171" s="148">
        <f t="shared" si="236"/>
        <v>10.929612620249468</v>
      </c>
      <c r="FV171" s="149"/>
      <c r="FY171" s="210">
        <v>166</v>
      </c>
      <c r="FZ171">
        <v>12.432777577170969</v>
      </c>
      <c r="GA171">
        <v>15.725201884407431</v>
      </c>
      <c r="GB171">
        <v>3.3257104614646256</v>
      </c>
      <c r="GC171">
        <v>1.217108801583388</v>
      </c>
      <c r="GD171">
        <v>0.62173805853891229</v>
      </c>
      <c r="GE171">
        <v>2.5121832565205766</v>
      </c>
      <c r="GF171">
        <v>3.1383436857978051</v>
      </c>
      <c r="GG171">
        <v>2.6413322215261981</v>
      </c>
      <c r="GH171">
        <v>6.7472286655068556</v>
      </c>
      <c r="GI171">
        <v>4.6524893131482878</v>
      </c>
      <c r="GJ171"/>
      <c r="GK171"/>
      <c r="GL171"/>
      <c r="GM171"/>
    </row>
    <row r="172" spans="1:195" s="7" customFormat="1">
      <c r="A172" s="1"/>
      <c r="B172" s="76">
        <f ca="1">IF(C172="", "", RAND())</f>
        <v>0.16731458615882211</v>
      </c>
      <c r="C172">
        <v>1</v>
      </c>
      <c r="D172">
        <v>39949</v>
      </c>
      <c r="E172">
        <v>0</v>
      </c>
      <c r="F172">
        <v>0</v>
      </c>
      <c r="G172">
        <v>40.788152610441763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 s="2"/>
      <c r="AK172" s="80"/>
      <c r="AL172" s="74"/>
      <c r="AM172" s="43">
        <v>156</v>
      </c>
      <c r="AN172">
        <v>133.03039578862575</v>
      </c>
      <c r="AO172">
        <v>12.973437049279648</v>
      </c>
      <c r="AP172">
        <v>134.97014461042826</v>
      </c>
      <c r="AQ172">
        <v>115.29012853798049</v>
      </c>
      <c r="AR172">
        <v>12.281314911536537</v>
      </c>
      <c r="AS172">
        <v>206.66621059415206</v>
      </c>
      <c r="AT172">
        <v>7.4743456610504779</v>
      </c>
      <c r="AU172">
        <v>26.306477918834901</v>
      </c>
      <c r="AV172"/>
      <c r="AW172"/>
      <c r="AX172" s="146"/>
      <c r="AY172" s="76">
        <f t="shared" ca="1" si="201"/>
        <v>0.34277568037083017</v>
      </c>
      <c r="AZ172">
        <v>5</v>
      </c>
      <c r="BA172" s="129">
        <f t="shared" si="276"/>
        <v>39949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 s="147"/>
      <c r="CH172" s="176"/>
      <c r="CJ172" s="146"/>
      <c r="CK172" s="76">
        <f t="shared" ca="1" si="237"/>
        <v>0.87638223026259365</v>
      </c>
      <c r="CL172" s="179">
        <f t="shared" si="238"/>
        <v>5</v>
      </c>
      <c r="CM172" s="180">
        <f t="shared" si="239"/>
        <v>39949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 s="160"/>
      <c r="CW172">
        <v>1</v>
      </c>
      <c r="CX172">
        <v>1</v>
      </c>
      <c r="CY172" s="160"/>
      <c r="CZ172" s="177">
        <f t="shared" si="240"/>
        <v>9.6000000000000002E-2</v>
      </c>
      <c r="DB172" s="146"/>
      <c r="DC172" s="76">
        <f t="shared" ca="1" si="203"/>
        <v>0.6023844362526205</v>
      </c>
      <c r="DD172">
        <f t="shared" si="241"/>
        <v>5</v>
      </c>
      <c r="DE172" s="129">
        <f t="shared" si="275"/>
        <v>39949</v>
      </c>
      <c r="DF172" s="161">
        <f t="shared" si="242"/>
        <v>0</v>
      </c>
      <c r="DG172" s="161">
        <f t="shared" si="243"/>
        <v>0</v>
      </c>
      <c r="DH172" s="161">
        <f t="shared" si="244"/>
        <v>0</v>
      </c>
      <c r="DI172" s="161">
        <f t="shared" si="245"/>
        <v>0</v>
      </c>
      <c r="DJ172" s="161">
        <f t="shared" si="246"/>
        <v>0</v>
      </c>
      <c r="DK172" s="161">
        <f t="shared" si="247"/>
        <v>0</v>
      </c>
      <c r="DL172" s="161">
        <f t="shared" si="248"/>
        <v>0</v>
      </c>
      <c r="DM172" s="161">
        <f t="shared" si="249"/>
        <v>0</v>
      </c>
      <c r="DN172" s="161">
        <f t="shared" si="250"/>
        <v>0</v>
      </c>
      <c r="DO172" s="161">
        <f t="shared" si="251"/>
        <v>0</v>
      </c>
      <c r="DP172" s="161">
        <f t="shared" si="252"/>
        <v>0</v>
      </c>
      <c r="DQ172" s="161">
        <f t="shared" si="253"/>
        <v>0</v>
      </c>
      <c r="DR172" s="161">
        <f t="shared" si="254"/>
        <v>0</v>
      </c>
      <c r="DS172" s="161">
        <f t="shared" si="255"/>
        <v>0</v>
      </c>
      <c r="DT172" s="161">
        <f t="shared" si="256"/>
        <v>0</v>
      </c>
      <c r="DU172" s="161">
        <f t="shared" si="257"/>
        <v>0</v>
      </c>
      <c r="DV172" s="161">
        <f t="shared" si="258"/>
        <v>0</v>
      </c>
      <c r="DW172" s="161">
        <f t="shared" si="259"/>
        <v>0</v>
      </c>
      <c r="DX172" s="161">
        <f t="shared" si="260"/>
        <v>0</v>
      </c>
      <c r="DY172" s="161">
        <f t="shared" si="261"/>
        <v>0</v>
      </c>
      <c r="DZ172" s="161">
        <f t="shared" si="262"/>
        <v>0</v>
      </c>
      <c r="EA172" s="161">
        <f t="shared" si="263"/>
        <v>0</v>
      </c>
      <c r="EB172" s="161">
        <f t="shared" si="264"/>
        <v>0</v>
      </c>
      <c r="EC172" s="161">
        <f t="shared" si="265"/>
        <v>0</v>
      </c>
      <c r="ED172" s="161">
        <f t="shared" si="266"/>
        <v>0</v>
      </c>
      <c r="EE172" s="161">
        <f t="shared" si="267"/>
        <v>0</v>
      </c>
      <c r="EF172" s="161">
        <f t="shared" si="268"/>
        <v>0</v>
      </c>
      <c r="EG172" s="161">
        <f t="shared" si="269"/>
        <v>0</v>
      </c>
      <c r="EH172" s="161">
        <f t="shared" si="270"/>
        <v>0</v>
      </c>
      <c r="EI172" s="161">
        <f t="shared" si="271"/>
        <v>0</v>
      </c>
      <c r="EJ172" s="161">
        <f t="shared" si="272"/>
        <v>0</v>
      </c>
      <c r="EK172" s="147">
        <f t="shared" si="204"/>
        <v>0</v>
      </c>
      <c r="EL172" s="149"/>
      <c r="EN172" s="146"/>
      <c r="EO172" s="146"/>
      <c r="EP172" s="139">
        <f t="shared" si="205"/>
        <v>0</v>
      </c>
      <c r="EQ172" s="139">
        <f t="shared" si="206"/>
        <v>0</v>
      </c>
      <c r="ER172" s="139">
        <f t="shared" si="207"/>
        <v>0</v>
      </c>
      <c r="ES172" s="139">
        <f t="shared" si="208"/>
        <v>0</v>
      </c>
      <c r="ET172" s="139">
        <f t="shared" si="209"/>
        <v>0</v>
      </c>
      <c r="EU172" s="139">
        <f t="shared" si="210"/>
        <v>0</v>
      </c>
      <c r="EV172" s="139">
        <f t="shared" si="211"/>
        <v>0</v>
      </c>
      <c r="EW172" s="139">
        <f t="shared" si="212"/>
        <v>0</v>
      </c>
      <c r="EX172" s="139">
        <f t="shared" si="213"/>
        <v>0</v>
      </c>
      <c r="EY172" s="139">
        <f t="shared" si="214"/>
        <v>0</v>
      </c>
      <c r="EZ172" s="139">
        <f t="shared" si="215"/>
        <v>0</v>
      </c>
      <c r="FA172" s="139">
        <f t="shared" si="216"/>
        <v>0</v>
      </c>
      <c r="FB172" s="139">
        <f t="shared" si="217"/>
        <v>0</v>
      </c>
      <c r="FC172" s="139">
        <f t="shared" si="218"/>
        <v>0</v>
      </c>
      <c r="FD172" s="139">
        <f t="shared" si="219"/>
        <v>0</v>
      </c>
      <c r="FE172" s="139">
        <f t="shared" si="220"/>
        <v>0</v>
      </c>
      <c r="FF172" s="139">
        <f t="shared" si="221"/>
        <v>0</v>
      </c>
      <c r="FG172" s="139">
        <f t="shared" si="222"/>
        <v>0</v>
      </c>
      <c r="FH172" s="139">
        <f t="shared" si="223"/>
        <v>0</v>
      </c>
      <c r="FI172" s="139">
        <f t="shared" si="224"/>
        <v>0</v>
      </c>
      <c r="FJ172" s="139">
        <f t="shared" si="225"/>
        <v>0</v>
      </c>
      <c r="FK172" s="139">
        <f t="shared" si="226"/>
        <v>0</v>
      </c>
      <c r="FL172" s="139">
        <f t="shared" si="227"/>
        <v>0</v>
      </c>
      <c r="FM172" s="139">
        <f t="shared" si="228"/>
        <v>0</v>
      </c>
      <c r="FN172" s="139">
        <f t="shared" si="229"/>
        <v>0</v>
      </c>
      <c r="FO172" s="139">
        <f t="shared" si="230"/>
        <v>0</v>
      </c>
      <c r="FP172" s="139">
        <f t="shared" si="231"/>
        <v>0</v>
      </c>
      <c r="FQ172" s="139">
        <f t="shared" si="232"/>
        <v>0</v>
      </c>
      <c r="FR172" s="139">
        <f t="shared" si="233"/>
        <v>0</v>
      </c>
      <c r="FS172" s="139">
        <f t="shared" si="234"/>
        <v>0</v>
      </c>
      <c r="FT172" s="139">
        <f t="shared" si="235"/>
        <v>0</v>
      </c>
      <c r="FU172" s="148">
        <f t="shared" si="236"/>
        <v>0</v>
      </c>
      <c r="FV172" s="149"/>
      <c r="FY172" s="210">
        <v>167</v>
      </c>
      <c r="FZ172">
        <v>23.504693537089825</v>
      </c>
      <c r="GA172">
        <v>25.725020084308287</v>
      </c>
      <c r="GB172">
        <v>2.5542390803376982</v>
      </c>
      <c r="GC172">
        <v>1.4946046816409477</v>
      </c>
      <c r="GD172">
        <v>0.90911727546943899</v>
      </c>
      <c r="GE172">
        <v>5.3003499385329604</v>
      </c>
      <c r="GF172">
        <v>10.248384782570984</v>
      </c>
      <c r="GG172">
        <v>7.893653782126318</v>
      </c>
      <c r="GH172">
        <v>9.7697214617791026</v>
      </c>
      <c r="GI172">
        <v>8.0208281674569939</v>
      </c>
      <c r="GJ172"/>
      <c r="GK172"/>
      <c r="GL172"/>
      <c r="GM172"/>
    </row>
    <row r="173" spans="1:195" s="7" customFormat="1">
      <c r="A173" s="1"/>
      <c r="B173" s="76">
        <f ca="1">IF(C173="", "", RAND())</f>
        <v>0.24902511709955011</v>
      </c>
      <c r="C173">
        <v>7</v>
      </c>
      <c r="D173">
        <v>39949</v>
      </c>
      <c r="E173">
        <v>0</v>
      </c>
      <c r="F173">
        <v>0</v>
      </c>
      <c r="G173">
        <v>0</v>
      </c>
      <c r="H173">
        <v>10.416666666666666</v>
      </c>
      <c r="I173">
        <v>20.833333333333332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 s="2"/>
      <c r="AK173" s="80"/>
      <c r="AL173" s="74"/>
      <c r="AM173" s="43">
        <v>157</v>
      </c>
      <c r="AN173">
        <v>104.02339300485717</v>
      </c>
      <c r="AO173">
        <v>11.802133600566211</v>
      </c>
      <c r="AP173">
        <v>123.21407976360292</v>
      </c>
      <c r="AQ173">
        <v>105.82700972541767</v>
      </c>
      <c r="AR173">
        <v>11.183183715052119</v>
      </c>
      <c r="AS173">
        <v>160.53048767246432</v>
      </c>
      <c r="AT173">
        <v>6.9706700201680283</v>
      </c>
      <c r="AU173">
        <v>10.801137351015807</v>
      </c>
      <c r="AV173"/>
      <c r="AW173"/>
      <c r="AX173" s="146"/>
      <c r="AY173" s="76">
        <f t="shared" ca="1" si="201"/>
        <v>0.28613130543210508</v>
      </c>
      <c r="AZ173">
        <v>6</v>
      </c>
      <c r="BA173" s="129">
        <f t="shared" si="276"/>
        <v>39949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 s="147"/>
      <c r="CH173" s="176"/>
      <c r="CJ173" s="146"/>
      <c r="CK173" s="76">
        <f t="shared" ca="1" si="237"/>
        <v>0.15833929691129356</v>
      </c>
      <c r="CL173" s="179">
        <f t="shared" si="238"/>
        <v>6</v>
      </c>
      <c r="CM173" s="180">
        <f t="shared" si="239"/>
        <v>39949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 s="160"/>
      <c r="CW173">
        <v>1</v>
      </c>
      <c r="CX173">
        <v>1</v>
      </c>
      <c r="CY173" s="160"/>
      <c r="CZ173" s="177">
        <f t="shared" si="240"/>
        <v>9.6000000000000002E-2</v>
      </c>
      <c r="DB173" s="146"/>
      <c r="DC173" s="76">
        <f t="shared" ca="1" si="203"/>
        <v>0.79287162403466205</v>
      </c>
      <c r="DD173">
        <f t="shared" si="241"/>
        <v>6</v>
      </c>
      <c r="DE173" s="129">
        <f t="shared" si="275"/>
        <v>39949</v>
      </c>
      <c r="DF173" s="161">
        <f t="shared" si="242"/>
        <v>0</v>
      </c>
      <c r="DG173" s="161">
        <f t="shared" si="243"/>
        <v>0</v>
      </c>
      <c r="DH173" s="161">
        <f t="shared" si="244"/>
        <v>0</v>
      </c>
      <c r="DI173" s="161">
        <f t="shared" si="245"/>
        <v>0</v>
      </c>
      <c r="DJ173" s="161">
        <f t="shared" si="246"/>
        <v>0</v>
      </c>
      <c r="DK173" s="161">
        <f t="shared" si="247"/>
        <v>0</v>
      </c>
      <c r="DL173" s="161">
        <f t="shared" si="248"/>
        <v>0</v>
      </c>
      <c r="DM173" s="161">
        <f t="shared" si="249"/>
        <v>0</v>
      </c>
      <c r="DN173" s="161">
        <f t="shared" si="250"/>
        <v>0</v>
      </c>
      <c r="DO173" s="161">
        <f t="shared" si="251"/>
        <v>0</v>
      </c>
      <c r="DP173" s="161">
        <f t="shared" si="252"/>
        <v>0</v>
      </c>
      <c r="DQ173" s="161">
        <f t="shared" si="253"/>
        <v>0</v>
      </c>
      <c r="DR173" s="161">
        <f t="shared" si="254"/>
        <v>0</v>
      </c>
      <c r="DS173" s="161">
        <f t="shared" si="255"/>
        <v>0</v>
      </c>
      <c r="DT173" s="161">
        <f t="shared" si="256"/>
        <v>0</v>
      </c>
      <c r="DU173" s="161">
        <f t="shared" si="257"/>
        <v>0</v>
      </c>
      <c r="DV173" s="161">
        <f t="shared" si="258"/>
        <v>0</v>
      </c>
      <c r="DW173" s="161">
        <f t="shared" si="259"/>
        <v>0</v>
      </c>
      <c r="DX173" s="161">
        <f t="shared" si="260"/>
        <v>0</v>
      </c>
      <c r="DY173" s="161">
        <f t="shared" si="261"/>
        <v>0</v>
      </c>
      <c r="DZ173" s="161">
        <f t="shared" si="262"/>
        <v>0</v>
      </c>
      <c r="EA173" s="161">
        <f t="shared" si="263"/>
        <v>0</v>
      </c>
      <c r="EB173" s="161">
        <f t="shared" si="264"/>
        <v>0</v>
      </c>
      <c r="EC173" s="161">
        <f t="shared" si="265"/>
        <v>0</v>
      </c>
      <c r="ED173" s="161">
        <f t="shared" si="266"/>
        <v>0</v>
      </c>
      <c r="EE173" s="161">
        <f t="shared" si="267"/>
        <v>0</v>
      </c>
      <c r="EF173" s="161">
        <f t="shared" si="268"/>
        <v>0</v>
      </c>
      <c r="EG173" s="161">
        <f t="shared" si="269"/>
        <v>0</v>
      </c>
      <c r="EH173" s="161">
        <f t="shared" si="270"/>
        <v>0</v>
      </c>
      <c r="EI173" s="161">
        <f t="shared" si="271"/>
        <v>0</v>
      </c>
      <c r="EJ173" s="161">
        <f t="shared" si="272"/>
        <v>0</v>
      </c>
      <c r="EK173" s="147">
        <f t="shared" si="204"/>
        <v>0</v>
      </c>
      <c r="EL173" s="149"/>
      <c r="EN173" s="146"/>
      <c r="EO173" s="146"/>
      <c r="EP173" s="139">
        <f t="shared" si="205"/>
        <v>0</v>
      </c>
      <c r="EQ173" s="139">
        <f t="shared" si="206"/>
        <v>0</v>
      </c>
      <c r="ER173" s="139">
        <f t="shared" si="207"/>
        <v>0</v>
      </c>
      <c r="ES173" s="139">
        <f t="shared" si="208"/>
        <v>0</v>
      </c>
      <c r="ET173" s="139">
        <f t="shared" si="209"/>
        <v>0</v>
      </c>
      <c r="EU173" s="139">
        <f t="shared" si="210"/>
        <v>0</v>
      </c>
      <c r="EV173" s="139">
        <f t="shared" si="211"/>
        <v>0</v>
      </c>
      <c r="EW173" s="139">
        <f t="shared" si="212"/>
        <v>0</v>
      </c>
      <c r="EX173" s="139">
        <f t="shared" si="213"/>
        <v>0</v>
      </c>
      <c r="EY173" s="139">
        <f t="shared" si="214"/>
        <v>0</v>
      </c>
      <c r="EZ173" s="139">
        <f t="shared" si="215"/>
        <v>0</v>
      </c>
      <c r="FA173" s="139">
        <f t="shared" si="216"/>
        <v>0</v>
      </c>
      <c r="FB173" s="139">
        <f t="shared" si="217"/>
        <v>0</v>
      </c>
      <c r="FC173" s="139">
        <f t="shared" si="218"/>
        <v>0</v>
      </c>
      <c r="FD173" s="139">
        <f t="shared" si="219"/>
        <v>0</v>
      </c>
      <c r="FE173" s="139">
        <f t="shared" si="220"/>
        <v>0</v>
      </c>
      <c r="FF173" s="139">
        <f t="shared" si="221"/>
        <v>0</v>
      </c>
      <c r="FG173" s="139">
        <f t="shared" si="222"/>
        <v>0</v>
      </c>
      <c r="FH173" s="139">
        <f t="shared" si="223"/>
        <v>0</v>
      </c>
      <c r="FI173" s="139">
        <f t="shared" si="224"/>
        <v>0</v>
      </c>
      <c r="FJ173" s="139">
        <f t="shared" si="225"/>
        <v>0</v>
      </c>
      <c r="FK173" s="139">
        <f t="shared" si="226"/>
        <v>0</v>
      </c>
      <c r="FL173" s="139">
        <f t="shared" si="227"/>
        <v>0</v>
      </c>
      <c r="FM173" s="139">
        <f t="shared" si="228"/>
        <v>0</v>
      </c>
      <c r="FN173" s="139">
        <f t="shared" si="229"/>
        <v>0</v>
      </c>
      <c r="FO173" s="139">
        <f t="shared" si="230"/>
        <v>0</v>
      </c>
      <c r="FP173" s="139">
        <f t="shared" si="231"/>
        <v>0</v>
      </c>
      <c r="FQ173" s="139">
        <f t="shared" si="232"/>
        <v>0</v>
      </c>
      <c r="FR173" s="139">
        <f t="shared" si="233"/>
        <v>0</v>
      </c>
      <c r="FS173" s="139">
        <f t="shared" si="234"/>
        <v>0</v>
      </c>
      <c r="FT173" s="139">
        <f t="shared" si="235"/>
        <v>0</v>
      </c>
      <c r="FU173" s="148">
        <f t="shared" si="236"/>
        <v>0</v>
      </c>
      <c r="FV173" s="149"/>
      <c r="FY173" s="210">
        <v>168</v>
      </c>
      <c r="FZ173">
        <v>31.752488720794958</v>
      </c>
      <c r="GA173">
        <v>39.539245358610728</v>
      </c>
      <c r="GB173">
        <v>2.0134871664987881</v>
      </c>
      <c r="GC173">
        <v>0.89281527200763255</v>
      </c>
      <c r="GD173">
        <v>0.52452676607065796</v>
      </c>
      <c r="GE173">
        <v>0.53591725800486212</v>
      </c>
      <c r="GF173">
        <v>7.5656368285395494</v>
      </c>
      <c r="GG173">
        <v>13.13256184772529</v>
      </c>
      <c r="GH173">
        <v>12.872848816017585</v>
      </c>
      <c r="GI173">
        <v>8.8910227664266017</v>
      </c>
      <c r="GJ173"/>
      <c r="GK173"/>
      <c r="GL173"/>
      <c r="GM173"/>
    </row>
    <row r="174" spans="1:195" s="7" customFormat="1">
      <c r="A174" s="1"/>
      <c r="B174" s="76">
        <f ca="1">IF(C174="", "", RAND())</f>
        <v>0.43617722428746597</v>
      </c>
      <c r="C174">
        <v>8</v>
      </c>
      <c r="D174">
        <v>39949</v>
      </c>
      <c r="E174">
        <v>0</v>
      </c>
      <c r="F174">
        <v>0</v>
      </c>
      <c r="G174">
        <v>10.416666666666666</v>
      </c>
      <c r="H174">
        <v>0</v>
      </c>
      <c r="I174">
        <v>10.416666666666666</v>
      </c>
      <c r="J174">
        <v>0</v>
      </c>
      <c r="K174">
        <v>10.416666666666666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 s="2"/>
      <c r="AK174" s="80"/>
      <c r="AL174" s="74"/>
      <c r="AM174" s="43">
        <v>158</v>
      </c>
      <c r="AN174">
        <v>154.28255836320611</v>
      </c>
      <c r="AO174">
        <v>10.459591221892103</v>
      </c>
      <c r="AP174">
        <v>98.265813972974556</v>
      </c>
      <c r="AQ174">
        <v>82.673428934811696</v>
      </c>
      <c r="AR174">
        <v>10.008153381951567</v>
      </c>
      <c r="AS174">
        <v>168.5944564623527</v>
      </c>
      <c r="AT174">
        <v>5.8621540546717936</v>
      </c>
      <c r="AU174">
        <v>76.998379947960487</v>
      </c>
      <c r="AV174"/>
      <c r="AW174"/>
      <c r="AX174" s="146"/>
      <c r="AY174" s="76">
        <f t="shared" ca="1" si="201"/>
        <v>6.7585568318469846E-2</v>
      </c>
      <c r="AZ174">
        <v>7</v>
      </c>
      <c r="BA174" s="129">
        <f t="shared" si="276"/>
        <v>39949</v>
      </c>
      <c r="BB174" s="216">
        <v>0</v>
      </c>
      <c r="BC174" s="216">
        <v>0</v>
      </c>
      <c r="BD174" s="216">
        <v>0</v>
      </c>
      <c r="BE174" s="216">
        <v>1</v>
      </c>
      <c r="BF174" s="216">
        <v>2</v>
      </c>
      <c r="BG174" s="216">
        <v>0</v>
      </c>
      <c r="BH174" s="216">
        <v>0</v>
      </c>
      <c r="BI174" s="216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 s="147"/>
      <c r="CH174" s="176"/>
      <c r="CJ174" s="146"/>
      <c r="CK174" s="76">
        <f t="shared" ca="1" si="237"/>
        <v>0.44002097867223644</v>
      </c>
      <c r="CL174" s="179">
        <f t="shared" si="238"/>
        <v>7</v>
      </c>
      <c r="CM174" s="180">
        <f t="shared" si="239"/>
        <v>39949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 s="160"/>
      <c r="CW174">
        <v>1</v>
      </c>
      <c r="CX174">
        <v>1</v>
      </c>
      <c r="CY174" s="165"/>
      <c r="CZ174" s="177">
        <f t="shared" si="240"/>
        <v>9.6000000000000002E-2</v>
      </c>
      <c r="DB174" s="146"/>
      <c r="DC174" s="76">
        <f t="shared" ca="1" si="203"/>
        <v>0.46758989223156178</v>
      </c>
      <c r="DD174">
        <f t="shared" si="241"/>
        <v>7</v>
      </c>
      <c r="DE174" s="129">
        <f t="shared" si="275"/>
        <v>39949</v>
      </c>
      <c r="DF174" s="161">
        <f t="shared" si="242"/>
        <v>0</v>
      </c>
      <c r="DG174" s="161">
        <f t="shared" si="243"/>
        <v>0</v>
      </c>
      <c r="DH174" s="161">
        <f t="shared" si="244"/>
        <v>0</v>
      </c>
      <c r="DI174" s="161">
        <f t="shared" si="245"/>
        <v>10.416666666666666</v>
      </c>
      <c r="DJ174" s="161">
        <f t="shared" si="246"/>
        <v>20.833333333333332</v>
      </c>
      <c r="DK174" s="161">
        <f t="shared" si="247"/>
        <v>0</v>
      </c>
      <c r="DL174" s="161">
        <f t="shared" si="248"/>
        <v>0</v>
      </c>
      <c r="DM174" s="161">
        <f t="shared" si="249"/>
        <v>0</v>
      </c>
      <c r="DN174" s="161">
        <f t="shared" si="250"/>
        <v>0</v>
      </c>
      <c r="DO174" s="161">
        <f t="shared" si="251"/>
        <v>0</v>
      </c>
      <c r="DP174" s="161">
        <f t="shared" si="252"/>
        <v>0</v>
      </c>
      <c r="DQ174" s="161">
        <f t="shared" si="253"/>
        <v>0</v>
      </c>
      <c r="DR174" s="161">
        <f t="shared" si="254"/>
        <v>0</v>
      </c>
      <c r="DS174" s="161">
        <f t="shared" si="255"/>
        <v>0</v>
      </c>
      <c r="DT174" s="161">
        <f t="shared" si="256"/>
        <v>0</v>
      </c>
      <c r="DU174" s="161">
        <f t="shared" si="257"/>
        <v>0</v>
      </c>
      <c r="DV174" s="161">
        <f t="shared" si="258"/>
        <v>0</v>
      </c>
      <c r="DW174" s="161">
        <f t="shared" si="259"/>
        <v>0</v>
      </c>
      <c r="DX174" s="161">
        <f t="shared" si="260"/>
        <v>0</v>
      </c>
      <c r="DY174" s="161">
        <f t="shared" si="261"/>
        <v>0</v>
      </c>
      <c r="DZ174" s="161">
        <f t="shared" si="262"/>
        <v>0</v>
      </c>
      <c r="EA174" s="161">
        <f t="shared" si="263"/>
        <v>0</v>
      </c>
      <c r="EB174" s="161">
        <f t="shared" si="264"/>
        <v>0</v>
      </c>
      <c r="EC174" s="161">
        <f t="shared" si="265"/>
        <v>0</v>
      </c>
      <c r="ED174" s="161">
        <f t="shared" si="266"/>
        <v>0</v>
      </c>
      <c r="EE174" s="161">
        <f t="shared" si="267"/>
        <v>0</v>
      </c>
      <c r="EF174" s="161">
        <f t="shared" si="268"/>
        <v>0</v>
      </c>
      <c r="EG174" s="161">
        <f t="shared" si="269"/>
        <v>0</v>
      </c>
      <c r="EH174" s="161">
        <f t="shared" si="270"/>
        <v>0</v>
      </c>
      <c r="EI174" s="161">
        <f t="shared" si="271"/>
        <v>0</v>
      </c>
      <c r="EJ174" s="161">
        <f t="shared" si="272"/>
        <v>0</v>
      </c>
      <c r="EK174" s="147">
        <f t="shared" si="204"/>
        <v>31.25</v>
      </c>
      <c r="EL174" s="149"/>
      <c r="EN174" s="146"/>
      <c r="EO174" s="146"/>
      <c r="EP174" s="139">
        <f t="shared" si="205"/>
        <v>0</v>
      </c>
      <c r="EQ174" s="139">
        <f t="shared" si="206"/>
        <v>0</v>
      </c>
      <c r="ER174" s="139">
        <f t="shared" si="207"/>
        <v>0</v>
      </c>
      <c r="ES174" s="139">
        <f t="shared" si="208"/>
        <v>0.83816158173851918</v>
      </c>
      <c r="ET174" s="139">
        <f t="shared" si="209"/>
        <v>3.758900066684471</v>
      </c>
      <c r="EU174" s="139">
        <f t="shared" si="210"/>
        <v>0</v>
      </c>
      <c r="EV174" s="139">
        <f t="shared" si="211"/>
        <v>0</v>
      </c>
      <c r="EW174" s="139">
        <f t="shared" si="212"/>
        <v>0</v>
      </c>
      <c r="EX174" s="139">
        <f t="shared" si="213"/>
        <v>0</v>
      </c>
      <c r="EY174" s="139">
        <f t="shared" si="214"/>
        <v>0</v>
      </c>
      <c r="EZ174" s="139">
        <f t="shared" si="215"/>
        <v>0</v>
      </c>
      <c r="FA174" s="139">
        <f t="shared" si="216"/>
        <v>0</v>
      </c>
      <c r="FB174" s="139">
        <f t="shared" si="217"/>
        <v>0</v>
      </c>
      <c r="FC174" s="139">
        <f t="shared" si="218"/>
        <v>0</v>
      </c>
      <c r="FD174" s="139">
        <f t="shared" si="219"/>
        <v>0</v>
      </c>
      <c r="FE174" s="139">
        <f t="shared" si="220"/>
        <v>0</v>
      </c>
      <c r="FF174" s="139">
        <f t="shared" si="221"/>
        <v>0</v>
      </c>
      <c r="FG174" s="139">
        <f t="shared" si="222"/>
        <v>0</v>
      </c>
      <c r="FH174" s="139">
        <f t="shared" si="223"/>
        <v>0</v>
      </c>
      <c r="FI174" s="139">
        <f t="shared" si="224"/>
        <v>0</v>
      </c>
      <c r="FJ174" s="139">
        <f t="shared" si="225"/>
        <v>0</v>
      </c>
      <c r="FK174" s="139">
        <f t="shared" si="226"/>
        <v>0</v>
      </c>
      <c r="FL174" s="139">
        <f t="shared" si="227"/>
        <v>0</v>
      </c>
      <c r="FM174" s="139">
        <f t="shared" si="228"/>
        <v>0</v>
      </c>
      <c r="FN174" s="139">
        <f t="shared" si="229"/>
        <v>0</v>
      </c>
      <c r="FO174" s="139">
        <f t="shared" si="230"/>
        <v>0</v>
      </c>
      <c r="FP174" s="139">
        <f t="shared" si="231"/>
        <v>0</v>
      </c>
      <c r="FQ174" s="139">
        <f t="shared" si="232"/>
        <v>0</v>
      </c>
      <c r="FR174" s="139">
        <f t="shared" si="233"/>
        <v>0</v>
      </c>
      <c r="FS174" s="139">
        <f t="shared" si="234"/>
        <v>0</v>
      </c>
      <c r="FT174" s="139">
        <f t="shared" si="235"/>
        <v>0</v>
      </c>
      <c r="FU174" s="148">
        <f t="shared" si="236"/>
        <v>4.59706164842299</v>
      </c>
      <c r="FV174" s="149"/>
      <c r="FY174" s="210">
        <v>169</v>
      </c>
      <c r="FZ174">
        <v>36.356576348169384</v>
      </c>
      <c r="GA174">
        <v>41.337982999076232</v>
      </c>
      <c r="GB174">
        <v>4.8384550187758011</v>
      </c>
      <c r="GC174">
        <v>1.9864862787841395</v>
      </c>
      <c r="GD174">
        <v>0.41655076445276545</v>
      </c>
      <c r="GE174">
        <v>2.2672101669693152</v>
      </c>
      <c r="GF174">
        <v>10.996283706515955</v>
      </c>
      <c r="GG174">
        <v>12.979473975595402</v>
      </c>
      <c r="GH174">
        <v>9.461606235406439</v>
      </c>
      <c r="GI174">
        <v>10.299727266150422</v>
      </c>
      <c r="GJ174"/>
      <c r="GK174"/>
      <c r="GL174"/>
      <c r="GM174"/>
    </row>
    <row r="175" spans="1:195" s="7" customFormat="1">
      <c r="A175" s="1"/>
      <c r="B175" s="76">
        <f ca="1">IF(C175="", "", RAND())</f>
        <v>6.3514323948701934E-2</v>
      </c>
      <c r="C175">
        <v>10</v>
      </c>
      <c r="D175">
        <v>39949</v>
      </c>
      <c r="E175">
        <v>0</v>
      </c>
      <c r="F175">
        <v>0</v>
      </c>
      <c r="G175">
        <v>179.59770114942526</v>
      </c>
      <c r="H175">
        <v>0</v>
      </c>
      <c r="I175">
        <v>59.865900383141756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 s="2"/>
      <c r="AK175" s="80"/>
      <c r="AL175" s="74"/>
      <c r="AM175" s="43">
        <v>159</v>
      </c>
      <c r="AN175">
        <v>109.45955605054721</v>
      </c>
      <c r="AO175">
        <v>12.841003034258403</v>
      </c>
      <c r="AP175">
        <v>135.74658661603246</v>
      </c>
      <c r="AQ175">
        <v>115.92146427173405</v>
      </c>
      <c r="AR175">
        <v>12.402958538326908</v>
      </c>
      <c r="AS175">
        <v>180.71523609415644</v>
      </c>
      <c r="AT175">
        <v>7.497033128885267</v>
      </c>
      <c r="AU175">
        <v>58.54022646691913</v>
      </c>
      <c r="AV175"/>
      <c r="AW175"/>
      <c r="AX175" s="146"/>
      <c r="AY175" s="76">
        <f t="shared" ca="1" si="201"/>
        <v>0.92233803413460991</v>
      </c>
      <c r="AZ175">
        <v>8</v>
      </c>
      <c r="BA175" s="129">
        <f t="shared" si="276"/>
        <v>39949</v>
      </c>
      <c r="BB175">
        <v>0</v>
      </c>
      <c r="BC175">
        <v>0</v>
      </c>
      <c r="BD175">
        <v>1</v>
      </c>
      <c r="BE175">
        <v>0</v>
      </c>
      <c r="BF175">
        <v>1</v>
      </c>
      <c r="BG175">
        <v>0</v>
      </c>
      <c r="BH175">
        <v>1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 s="147"/>
      <c r="CH175" s="176"/>
      <c r="CJ175" s="146"/>
      <c r="CK175" s="76">
        <f t="shared" ca="1" si="237"/>
        <v>0.14545879582355603</v>
      </c>
      <c r="CL175" s="179">
        <f t="shared" si="238"/>
        <v>8</v>
      </c>
      <c r="CM175" s="180">
        <f t="shared" si="239"/>
        <v>39949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 s="160"/>
      <c r="CW175">
        <v>1</v>
      </c>
      <c r="CX175">
        <v>1</v>
      </c>
      <c r="CY175" s="165"/>
      <c r="CZ175" s="177">
        <f t="shared" si="240"/>
        <v>9.6000000000000002E-2</v>
      </c>
      <c r="DB175" s="146"/>
      <c r="DC175" s="76">
        <f t="shared" ca="1" si="203"/>
        <v>0.82551341364193398</v>
      </c>
      <c r="DD175">
        <f t="shared" si="241"/>
        <v>8</v>
      </c>
      <c r="DE175" s="129">
        <f t="shared" si="275"/>
        <v>39949</v>
      </c>
      <c r="DF175" s="161">
        <f t="shared" si="242"/>
        <v>0</v>
      </c>
      <c r="DG175" s="161">
        <f t="shared" si="243"/>
        <v>0</v>
      </c>
      <c r="DH175" s="161">
        <f t="shared" si="244"/>
        <v>10.416666666666666</v>
      </c>
      <c r="DI175" s="161">
        <f t="shared" si="245"/>
        <v>0</v>
      </c>
      <c r="DJ175" s="161">
        <f t="shared" si="246"/>
        <v>10.416666666666666</v>
      </c>
      <c r="DK175" s="161">
        <f t="shared" si="247"/>
        <v>0</v>
      </c>
      <c r="DL175" s="161">
        <f t="shared" si="248"/>
        <v>10.416666666666666</v>
      </c>
      <c r="DM175" s="161">
        <f t="shared" si="249"/>
        <v>0</v>
      </c>
      <c r="DN175" s="161">
        <f t="shared" si="250"/>
        <v>0</v>
      </c>
      <c r="DO175" s="161">
        <f t="shared" si="251"/>
        <v>0</v>
      </c>
      <c r="DP175" s="161">
        <f t="shared" si="252"/>
        <v>0</v>
      </c>
      <c r="DQ175" s="161">
        <f t="shared" si="253"/>
        <v>0</v>
      </c>
      <c r="DR175" s="161">
        <f t="shared" si="254"/>
        <v>0</v>
      </c>
      <c r="DS175" s="161">
        <f t="shared" si="255"/>
        <v>0</v>
      </c>
      <c r="DT175" s="161">
        <f t="shared" si="256"/>
        <v>0</v>
      </c>
      <c r="DU175" s="161">
        <f t="shared" si="257"/>
        <v>0</v>
      </c>
      <c r="DV175" s="161">
        <f t="shared" si="258"/>
        <v>0</v>
      </c>
      <c r="DW175" s="161">
        <f t="shared" si="259"/>
        <v>0</v>
      </c>
      <c r="DX175" s="161">
        <f t="shared" si="260"/>
        <v>0</v>
      </c>
      <c r="DY175" s="161">
        <f t="shared" si="261"/>
        <v>0</v>
      </c>
      <c r="DZ175" s="161">
        <f t="shared" si="262"/>
        <v>0</v>
      </c>
      <c r="EA175" s="161">
        <f t="shared" si="263"/>
        <v>0</v>
      </c>
      <c r="EB175" s="161">
        <f t="shared" si="264"/>
        <v>0</v>
      </c>
      <c r="EC175" s="161">
        <f t="shared" si="265"/>
        <v>0</v>
      </c>
      <c r="ED175" s="161">
        <f t="shared" si="266"/>
        <v>0</v>
      </c>
      <c r="EE175" s="161">
        <f t="shared" si="267"/>
        <v>0</v>
      </c>
      <c r="EF175" s="161">
        <f t="shared" si="268"/>
        <v>0</v>
      </c>
      <c r="EG175" s="161">
        <f t="shared" si="269"/>
        <v>0</v>
      </c>
      <c r="EH175" s="161">
        <f t="shared" si="270"/>
        <v>0</v>
      </c>
      <c r="EI175" s="161">
        <f t="shared" si="271"/>
        <v>0</v>
      </c>
      <c r="EJ175" s="161">
        <f t="shared" si="272"/>
        <v>0</v>
      </c>
      <c r="EK175" s="147">
        <f t="shared" si="204"/>
        <v>31.25</v>
      </c>
      <c r="EL175" s="149"/>
      <c r="EN175" s="146"/>
      <c r="EO175" s="146"/>
      <c r="EP175" s="139">
        <f t="shared" si="205"/>
        <v>0</v>
      </c>
      <c r="EQ175" s="139">
        <f t="shared" si="206"/>
        <v>0</v>
      </c>
      <c r="ER175" s="139">
        <f t="shared" si="207"/>
        <v>0.26855892282608723</v>
      </c>
      <c r="ES175" s="139">
        <f t="shared" si="208"/>
        <v>0</v>
      </c>
      <c r="ET175" s="139">
        <f t="shared" si="209"/>
        <v>1.8794500333422355</v>
      </c>
      <c r="EU175" s="139">
        <f t="shared" si="210"/>
        <v>0</v>
      </c>
      <c r="EV175" s="139">
        <f t="shared" si="211"/>
        <v>5.865687857873775</v>
      </c>
      <c r="EW175" s="139">
        <f t="shared" si="212"/>
        <v>0</v>
      </c>
      <c r="EX175" s="139">
        <f t="shared" si="213"/>
        <v>0</v>
      </c>
      <c r="EY175" s="139">
        <f t="shared" si="214"/>
        <v>0</v>
      </c>
      <c r="EZ175" s="139">
        <f t="shared" si="215"/>
        <v>0</v>
      </c>
      <c r="FA175" s="139">
        <f t="shared" si="216"/>
        <v>0</v>
      </c>
      <c r="FB175" s="139">
        <f t="shared" si="217"/>
        <v>0</v>
      </c>
      <c r="FC175" s="139">
        <f t="shared" si="218"/>
        <v>0</v>
      </c>
      <c r="FD175" s="139">
        <f t="shared" si="219"/>
        <v>0</v>
      </c>
      <c r="FE175" s="139">
        <f t="shared" si="220"/>
        <v>0</v>
      </c>
      <c r="FF175" s="139">
        <f t="shared" si="221"/>
        <v>0</v>
      </c>
      <c r="FG175" s="139">
        <f t="shared" si="222"/>
        <v>0</v>
      </c>
      <c r="FH175" s="139">
        <f t="shared" si="223"/>
        <v>0</v>
      </c>
      <c r="FI175" s="139">
        <f t="shared" si="224"/>
        <v>0</v>
      </c>
      <c r="FJ175" s="139">
        <f t="shared" si="225"/>
        <v>0</v>
      </c>
      <c r="FK175" s="139">
        <f t="shared" si="226"/>
        <v>0</v>
      </c>
      <c r="FL175" s="139">
        <f t="shared" si="227"/>
        <v>0</v>
      </c>
      <c r="FM175" s="139">
        <f t="shared" si="228"/>
        <v>0</v>
      </c>
      <c r="FN175" s="139">
        <f t="shared" si="229"/>
        <v>0</v>
      </c>
      <c r="FO175" s="139">
        <f t="shared" si="230"/>
        <v>0</v>
      </c>
      <c r="FP175" s="139">
        <f t="shared" si="231"/>
        <v>0</v>
      </c>
      <c r="FQ175" s="139">
        <f t="shared" si="232"/>
        <v>0</v>
      </c>
      <c r="FR175" s="139">
        <f t="shared" si="233"/>
        <v>0</v>
      </c>
      <c r="FS175" s="139">
        <f t="shared" si="234"/>
        <v>0</v>
      </c>
      <c r="FT175" s="139">
        <f t="shared" si="235"/>
        <v>0</v>
      </c>
      <c r="FU175" s="148">
        <f t="shared" si="236"/>
        <v>8.0136968140420972</v>
      </c>
      <c r="FV175" s="149"/>
      <c r="FY175" s="210">
        <v>170</v>
      </c>
      <c r="FZ175">
        <v>27.17396255504433</v>
      </c>
      <c r="GA175">
        <v>27.516160127835356</v>
      </c>
      <c r="GB175">
        <v>1.1972295309268777</v>
      </c>
      <c r="GC175">
        <v>0.5340575414703953</v>
      </c>
      <c r="GD175">
        <v>1.2669349409656894</v>
      </c>
      <c r="GE175">
        <v>3.72531681178297</v>
      </c>
      <c r="GF175">
        <v>4.9493743443579241</v>
      </c>
      <c r="GG175">
        <v>9.0744990036492581</v>
      </c>
      <c r="GH175">
        <v>13.052039328031917</v>
      </c>
      <c r="GI175">
        <v>8.0013494832973109</v>
      </c>
      <c r="GJ175"/>
      <c r="GK175"/>
      <c r="GL175"/>
      <c r="GM175"/>
    </row>
    <row r="176" spans="1:195" s="7" customFormat="1">
      <c r="A176" s="1"/>
      <c r="B176" s="76">
        <f ca="1">IF(C176="", "", RAND())</f>
        <v>0.8143268139424924</v>
      </c>
      <c r="C176">
        <v>2</v>
      </c>
      <c r="D176">
        <v>39949</v>
      </c>
      <c r="E176">
        <v>0</v>
      </c>
      <c r="F176">
        <v>0</v>
      </c>
      <c r="G176">
        <v>0</v>
      </c>
      <c r="H176">
        <v>0</v>
      </c>
      <c r="I176">
        <v>31.25</v>
      </c>
      <c r="J176">
        <v>0</v>
      </c>
      <c r="K176">
        <v>10.416666666666666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 s="2"/>
      <c r="AK176" s="80"/>
      <c r="AL176" s="74"/>
      <c r="AM176" s="43">
        <v>160</v>
      </c>
      <c r="AN176">
        <v>140.47901646637331</v>
      </c>
      <c r="AO176">
        <v>10.79652002011343</v>
      </c>
      <c r="AP176">
        <v>105.68292478589549</v>
      </c>
      <c r="AQ176">
        <v>91.146428861948621</v>
      </c>
      <c r="AR176">
        <v>10.13185663786123</v>
      </c>
      <c r="AS176">
        <v>162.24421527015377</v>
      </c>
      <c r="AT176">
        <v>6.0698783409430801</v>
      </c>
      <c r="AU176">
        <v>11.535780579628451</v>
      </c>
      <c r="AV176"/>
      <c r="AW176"/>
      <c r="AX176" s="146"/>
      <c r="AY176" s="76">
        <f t="shared" ca="1" si="201"/>
        <v>0.35461466540138176</v>
      </c>
      <c r="AZ176">
        <v>9</v>
      </c>
      <c r="BA176" s="129">
        <f t="shared" si="276"/>
        <v>39949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1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 s="147"/>
      <c r="CH176" s="176"/>
      <c r="CJ176" s="146"/>
      <c r="CK176" s="76">
        <f t="shared" ca="1" si="237"/>
        <v>0.3530957142535831</v>
      </c>
      <c r="CL176" s="179">
        <f t="shared" si="238"/>
        <v>9</v>
      </c>
      <c r="CM176" s="180">
        <f t="shared" si="239"/>
        <v>39949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 s="160"/>
      <c r="CW176">
        <v>1</v>
      </c>
      <c r="CX176">
        <v>1</v>
      </c>
      <c r="CY176" s="165"/>
      <c r="CZ176" s="177">
        <f t="shared" si="240"/>
        <v>9.6000000000000002E-2</v>
      </c>
      <c r="DB176" s="146"/>
      <c r="DC176" s="76">
        <f t="shared" ca="1" si="203"/>
        <v>0.45824629960956198</v>
      </c>
      <c r="DD176">
        <f t="shared" si="241"/>
        <v>9</v>
      </c>
      <c r="DE176" s="129">
        <f t="shared" si="275"/>
        <v>39949</v>
      </c>
      <c r="DF176" s="161">
        <f t="shared" si="242"/>
        <v>0</v>
      </c>
      <c r="DG176" s="161">
        <f t="shared" si="243"/>
        <v>0</v>
      </c>
      <c r="DH176" s="161">
        <f t="shared" si="244"/>
        <v>0</v>
      </c>
      <c r="DI176" s="161">
        <f t="shared" si="245"/>
        <v>0</v>
      </c>
      <c r="DJ176" s="161">
        <f t="shared" si="246"/>
        <v>0</v>
      </c>
      <c r="DK176" s="161">
        <f t="shared" si="247"/>
        <v>10.416666666666666</v>
      </c>
      <c r="DL176" s="161">
        <f t="shared" si="248"/>
        <v>0</v>
      </c>
      <c r="DM176" s="161">
        <f t="shared" si="249"/>
        <v>0</v>
      </c>
      <c r="DN176" s="161">
        <f t="shared" si="250"/>
        <v>0</v>
      </c>
      <c r="DO176" s="161">
        <f t="shared" si="251"/>
        <v>0</v>
      </c>
      <c r="DP176" s="161">
        <f t="shared" si="252"/>
        <v>0</v>
      </c>
      <c r="DQ176" s="161">
        <f t="shared" si="253"/>
        <v>0</v>
      </c>
      <c r="DR176" s="161">
        <f t="shared" si="254"/>
        <v>0</v>
      </c>
      <c r="DS176" s="161">
        <f t="shared" si="255"/>
        <v>0</v>
      </c>
      <c r="DT176" s="161">
        <f t="shared" si="256"/>
        <v>0</v>
      </c>
      <c r="DU176" s="161">
        <f t="shared" si="257"/>
        <v>0</v>
      </c>
      <c r="DV176" s="161">
        <f t="shared" si="258"/>
        <v>0</v>
      </c>
      <c r="DW176" s="161">
        <f t="shared" si="259"/>
        <v>0</v>
      </c>
      <c r="DX176" s="161">
        <f t="shared" si="260"/>
        <v>0</v>
      </c>
      <c r="DY176" s="161">
        <f t="shared" si="261"/>
        <v>0</v>
      </c>
      <c r="DZ176" s="161">
        <f t="shared" si="262"/>
        <v>0</v>
      </c>
      <c r="EA176" s="161">
        <f t="shared" si="263"/>
        <v>0</v>
      </c>
      <c r="EB176" s="161">
        <f t="shared" si="264"/>
        <v>0</v>
      </c>
      <c r="EC176" s="161">
        <f t="shared" si="265"/>
        <v>0</v>
      </c>
      <c r="ED176" s="161">
        <f t="shared" si="266"/>
        <v>0</v>
      </c>
      <c r="EE176" s="161">
        <f t="shared" si="267"/>
        <v>0</v>
      </c>
      <c r="EF176" s="161">
        <f t="shared" si="268"/>
        <v>0</v>
      </c>
      <c r="EG176" s="161">
        <f t="shared" si="269"/>
        <v>0</v>
      </c>
      <c r="EH176" s="161">
        <f t="shared" si="270"/>
        <v>0</v>
      </c>
      <c r="EI176" s="161">
        <f t="shared" si="271"/>
        <v>0</v>
      </c>
      <c r="EJ176" s="161">
        <f t="shared" si="272"/>
        <v>0</v>
      </c>
      <c r="EK176" s="147">
        <f t="shared" si="204"/>
        <v>10.416666666666666</v>
      </c>
      <c r="EL176" s="149"/>
      <c r="EN176" s="146"/>
      <c r="EO176" s="146"/>
      <c r="EP176" s="139">
        <f t="shared" si="205"/>
        <v>0</v>
      </c>
      <c r="EQ176" s="139">
        <f t="shared" si="206"/>
        <v>0</v>
      </c>
      <c r="ER176" s="139">
        <f t="shared" si="207"/>
        <v>0</v>
      </c>
      <c r="ES176" s="139">
        <f t="shared" si="208"/>
        <v>0</v>
      </c>
      <c r="ET176" s="139">
        <f t="shared" si="209"/>
        <v>0</v>
      </c>
      <c r="EU176" s="139">
        <f t="shared" si="210"/>
        <v>3.5160673928895911</v>
      </c>
      <c r="EV176" s="139">
        <f t="shared" si="211"/>
        <v>0</v>
      </c>
      <c r="EW176" s="139">
        <f t="shared" si="212"/>
        <v>0</v>
      </c>
      <c r="EX176" s="139">
        <f t="shared" si="213"/>
        <v>0</v>
      </c>
      <c r="EY176" s="139">
        <f t="shared" si="214"/>
        <v>0</v>
      </c>
      <c r="EZ176" s="139">
        <f t="shared" si="215"/>
        <v>0</v>
      </c>
      <c r="FA176" s="139">
        <f t="shared" si="216"/>
        <v>0</v>
      </c>
      <c r="FB176" s="139">
        <f t="shared" si="217"/>
        <v>0</v>
      </c>
      <c r="FC176" s="139">
        <f t="shared" si="218"/>
        <v>0</v>
      </c>
      <c r="FD176" s="139">
        <f t="shared" si="219"/>
        <v>0</v>
      </c>
      <c r="FE176" s="139">
        <f t="shared" si="220"/>
        <v>0</v>
      </c>
      <c r="FF176" s="139">
        <f t="shared" si="221"/>
        <v>0</v>
      </c>
      <c r="FG176" s="139">
        <f t="shared" si="222"/>
        <v>0</v>
      </c>
      <c r="FH176" s="139">
        <f t="shared" si="223"/>
        <v>0</v>
      </c>
      <c r="FI176" s="139">
        <f t="shared" si="224"/>
        <v>0</v>
      </c>
      <c r="FJ176" s="139">
        <f t="shared" si="225"/>
        <v>0</v>
      </c>
      <c r="FK176" s="139">
        <f t="shared" si="226"/>
        <v>0</v>
      </c>
      <c r="FL176" s="139">
        <f t="shared" si="227"/>
        <v>0</v>
      </c>
      <c r="FM176" s="139">
        <f t="shared" si="228"/>
        <v>0</v>
      </c>
      <c r="FN176" s="139">
        <f t="shared" si="229"/>
        <v>0</v>
      </c>
      <c r="FO176" s="139">
        <f t="shared" si="230"/>
        <v>0</v>
      </c>
      <c r="FP176" s="139">
        <f t="shared" si="231"/>
        <v>0</v>
      </c>
      <c r="FQ176" s="139">
        <f t="shared" si="232"/>
        <v>0</v>
      </c>
      <c r="FR176" s="139">
        <f t="shared" si="233"/>
        <v>0</v>
      </c>
      <c r="FS176" s="139">
        <f t="shared" si="234"/>
        <v>0</v>
      </c>
      <c r="FT176" s="139">
        <f t="shared" si="235"/>
        <v>0</v>
      </c>
      <c r="FU176" s="148">
        <f t="shared" si="236"/>
        <v>3.5160673928895911</v>
      </c>
      <c r="FV176" s="149"/>
      <c r="FY176" s="210">
        <v>171</v>
      </c>
      <c r="FZ176">
        <v>0.36383027966510262</v>
      </c>
      <c r="GA176">
        <v>2.1258431336545849</v>
      </c>
      <c r="GB176">
        <v>3.0843728688010992</v>
      </c>
      <c r="GC176">
        <v>1.5174515460512472</v>
      </c>
      <c r="GD176">
        <v>0.59656481368714698</v>
      </c>
      <c r="GE176">
        <v>0.98798717776156519</v>
      </c>
      <c r="GF176">
        <v>4.8043592708305276</v>
      </c>
      <c r="GG176">
        <v>8.499804573760775</v>
      </c>
      <c r="GH176">
        <v>8.2065131258949009</v>
      </c>
      <c r="GI176">
        <v>3.3262740379640499</v>
      </c>
      <c r="GJ176"/>
      <c r="GK176"/>
      <c r="GL176"/>
      <c r="GM176"/>
    </row>
    <row r="177" spans="1:195" s="7" customFormat="1">
      <c r="A177" s="1"/>
      <c r="B177" s="76">
        <f ca="1">IF(C177="", "", RAND())</f>
        <v>0.89544399972781274</v>
      </c>
      <c r="C177">
        <v>9</v>
      </c>
      <c r="D177">
        <v>39949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10.416666666666666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 s="2"/>
      <c r="AK177" s="80"/>
      <c r="AL177" s="74"/>
      <c r="AM177" s="43">
        <v>161</v>
      </c>
      <c r="AN177">
        <v>104.32281702862898</v>
      </c>
      <c r="AO177">
        <v>7.7046968153170239</v>
      </c>
      <c r="AP177">
        <v>76.291931046557011</v>
      </c>
      <c r="AQ177">
        <v>63.786749540736182</v>
      </c>
      <c r="AR177">
        <v>7.253850983025603</v>
      </c>
      <c r="AS177">
        <v>143.43697564860233</v>
      </c>
      <c r="AT177">
        <v>4.136464110887248</v>
      </c>
      <c r="AU177">
        <v>17.329104803221774</v>
      </c>
      <c r="AV177"/>
      <c r="AW177"/>
      <c r="AX177" s="146"/>
      <c r="AY177" s="76">
        <f t="shared" ca="1" si="201"/>
        <v>0.64897222654397879</v>
      </c>
      <c r="AZ177">
        <v>10</v>
      </c>
      <c r="BA177" s="129">
        <f t="shared" si="276"/>
        <v>39949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 s="147"/>
      <c r="CH177" s="176"/>
      <c r="CJ177" s="146"/>
      <c r="CK177" s="76">
        <f t="shared" ca="1" si="237"/>
        <v>0.46452676335544307</v>
      </c>
      <c r="CL177" s="179">
        <f t="shared" si="238"/>
        <v>10</v>
      </c>
      <c r="CM177" s="180">
        <f t="shared" si="239"/>
        <v>39949</v>
      </c>
      <c r="CN177">
        <v>0</v>
      </c>
      <c r="CO177">
        <v>0</v>
      </c>
      <c r="CP177">
        <v>3</v>
      </c>
      <c r="CQ177">
        <v>0</v>
      </c>
      <c r="CR177">
        <v>1</v>
      </c>
      <c r="CS177">
        <v>0</v>
      </c>
      <c r="CT177">
        <v>0</v>
      </c>
      <c r="CU177">
        <v>0</v>
      </c>
      <c r="CV177" s="160"/>
      <c r="CW177">
        <v>1</v>
      </c>
      <c r="CX177">
        <f>500/87</f>
        <v>5.7471264367816088</v>
      </c>
      <c r="CY177" s="165"/>
      <c r="CZ177" s="177">
        <f t="shared" si="240"/>
        <v>9.6000000000000002E-2</v>
      </c>
      <c r="DB177" s="146"/>
      <c r="DC177" s="76">
        <f t="shared" ca="1" si="203"/>
        <v>0.4871215301511338</v>
      </c>
      <c r="DD177">
        <f t="shared" si="241"/>
        <v>10</v>
      </c>
      <c r="DE177" s="129">
        <f t="shared" si="275"/>
        <v>39949</v>
      </c>
      <c r="DF177" s="161">
        <f t="shared" si="242"/>
        <v>0</v>
      </c>
      <c r="DG177" s="161">
        <f t="shared" si="243"/>
        <v>0</v>
      </c>
      <c r="DH177" s="161">
        <f t="shared" si="244"/>
        <v>179.59770114942526</v>
      </c>
      <c r="DI177" s="161">
        <f t="shared" si="245"/>
        <v>0</v>
      </c>
      <c r="DJ177" s="161">
        <f t="shared" si="246"/>
        <v>59.865900383141756</v>
      </c>
      <c r="DK177" s="161">
        <f t="shared" si="247"/>
        <v>0</v>
      </c>
      <c r="DL177" s="161">
        <f t="shared" si="248"/>
        <v>0</v>
      </c>
      <c r="DM177" s="161">
        <f t="shared" si="249"/>
        <v>0</v>
      </c>
      <c r="DN177" s="161">
        <f t="shared" si="250"/>
        <v>0</v>
      </c>
      <c r="DO177" s="161">
        <f t="shared" si="251"/>
        <v>0</v>
      </c>
      <c r="DP177" s="161">
        <f t="shared" si="252"/>
        <v>0</v>
      </c>
      <c r="DQ177" s="161">
        <f t="shared" si="253"/>
        <v>0</v>
      </c>
      <c r="DR177" s="161">
        <f t="shared" si="254"/>
        <v>0</v>
      </c>
      <c r="DS177" s="161">
        <f t="shared" si="255"/>
        <v>0</v>
      </c>
      <c r="DT177" s="161">
        <f t="shared" si="256"/>
        <v>0</v>
      </c>
      <c r="DU177" s="161">
        <f t="shared" si="257"/>
        <v>0</v>
      </c>
      <c r="DV177" s="161">
        <f t="shared" si="258"/>
        <v>0</v>
      </c>
      <c r="DW177" s="161">
        <f t="shared" si="259"/>
        <v>0</v>
      </c>
      <c r="DX177" s="161">
        <f t="shared" si="260"/>
        <v>0</v>
      </c>
      <c r="DY177" s="161">
        <f t="shared" si="261"/>
        <v>0</v>
      </c>
      <c r="DZ177" s="161">
        <f t="shared" si="262"/>
        <v>0</v>
      </c>
      <c r="EA177" s="161">
        <f t="shared" si="263"/>
        <v>0</v>
      </c>
      <c r="EB177" s="161">
        <f t="shared" si="264"/>
        <v>0</v>
      </c>
      <c r="EC177" s="161">
        <f t="shared" si="265"/>
        <v>0</v>
      </c>
      <c r="ED177" s="161">
        <f t="shared" si="266"/>
        <v>0</v>
      </c>
      <c r="EE177" s="161">
        <f t="shared" si="267"/>
        <v>0</v>
      </c>
      <c r="EF177" s="161">
        <f t="shared" si="268"/>
        <v>0</v>
      </c>
      <c r="EG177" s="161">
        <f t="shared" si="269"/>
        <v>0</v>
      </c>
      <c r="EH177" s="161">
        <f t="shared" si="270"/>
        <v>0</v>
      </c>
      <c r="EI177" s="161">
        <f t="shared" si="271"/>
        <v>0</v>
      </c>
      <c r="EJ177" s="161">
        <f t="shared" si="272"/>
        <v>0</v>
      </c>
      <c r="EK177" s="147">
        <f t="shared" si="204"/>
        <v>239.46360153256703</v>
      </c>
      <c r="EL177" s="149"/>
      <c r="EN177" s="146"/>
      <c r="EO177" s="146"/>
      <c r="EP177" s="139">
        <f t="shared" si="205"/>
        <v>0</v>
      </c>
      <c r="EQ177" s="139">
        <f t="shared" si="206"/>
        <v>0</v>
      </c>
      <c r="ER177" s="139">
        <f t="shared" si="207"/>
        <v>4.6303262556221938</v>
      </c>
      <c r="ES177" s="139">
        <f t="shared" si="208"/>
        <v>0</v>
      </c>
      <c r="ET177" s="139">
        <f t="shared" si="209"/>
        <v>10.801436973231239</v>
      </c>
      <c r="EU177" s="139">
        <f t="shared" si="210"/>
        <v>0</v>
      </c>
      <c r="EV177" s="139">
        <f t="shared" si="211"/>
        <v>0</v>
      </c>
      <c r="EW177" s="139">
        <f t="shared" si="212"/>
        <v>0</v>
      </c>
      <c r="EX177" s="139">
        <f t="shared" si="213"/>
        <v>0</v>
      </c>
      <c r="EY177" s="139">
        <f t="shared" si="214"/>
        <v>0</v>
      </c>
      <c r="EZ177" s="139">
        <f t="shared" si="215"/>
        <v>0</v>
      </c>
      <c r="FA177" s="139">
        <f t="shared" si="216"/>
        <v>0</v>
      </c>
      <c r="FB177" s="139">
        <f t="shared" si="217"/>
        <v>0</v>
      </c>
      <c r="FC177" s="139">
        <f t="shared" si="218"/>
        <v>0</v>
      </c>
      <c r="FD177" s="139">
        <f t="shared" si="219"/>
        <v>0</v>
      </c>
      <c r="FE177" s="139">
        <f t="shared" si="220"/>
        <v>0</v>
      </c>
      <c r="FF177" s="139">
        <f t="shared" si="221"/>
        <v>0</v>
      </c>
      <c r="FG177" s="139">
        <f t="shared" si="222"/>
        <v>0</v>
      </c>
      <c r="FH177" s="139">
        <f t="shared" si="223"/>
        <v>0</v>
      </c>
      <c r="FI177" s="139">
        <f t="shared" si="224"/>
        <v>0</v>
      </c>
      <c r="FJ177" s="139">
        <f t="shared" si="225"/>
        <v>0</v>
      </c>
      <c r="FK177" s="139">
        <f t="shared" si="226"/>
        <v>0</v>
      </c>
      <c r="FL177" s="139">
        <f t="shared" si="227"/>
        <v>0</v>
      </c>
      <c r="FM177" s="139">
        <f t="shared" si="228"/>
        <v>0</v>
      </c>
      <c r="FN177" s="139">
        <f t="shared" si="229"/>
        <v>0</v>
      </c>
      <c r="FO177" s="139">
        <f t="shared" si="230"/>
        <v>0</v>
      </c>
      <c r="FP177" s="139">
        <f t="shared" si="231"/>
        <v>0</v>
      </c>
      <c r="FQ177" s="139">
        <f t="shared" si="232"/>
        <v>0</v>
      </c>
      <c r="FR177" s="139">
        <f t="shared" si="233"/>
        <v>0</v>
      </c>
      <c r="FS177" s="139">
        <f t="shared" si="234"/>
        <v>0</v>
      </c>
      <c r="FT177" s="139">
        <f t="shared" si="235"/>
        <v>0</v>
      </c>
      <c r="FU177" s="148">
        <f t="shared" si="236"/>
        <v>15.431763228853432</v>
      </c>
      <c r="FV177" s="149"/>
      <c r="FY177" s="210">
        <v>172</v>
      </c>
      <c r="FZ177">
        <v>23.217927187791773</v>
      </c>
      <c r="GA177">
        <v>28.681220393527525</v>
      </c>
      <c r="GB177">
        <v>2.773780679708417</v>
      </c>
      <c r="GC177">
        <v>0.81548434615459398</v>
      </c>
      <c r="GD177">
        <v>1.1271594415178281</v>
      </c>
      <c r="GE177">
        <v>3.9552999137994687</v>
      </c>
      <c r="GF177">
        <v>9.5175540621772718</v>
      </c>
      <c r="GG177">
        <v>10.663034201509916</v>
      </c>
      <c r="GH177">
        <v>10.559567211105044</v>
      </c>
      <c r="GI177">
        <v>8.1622323070289795</v>
      </c>
      <c r="GJ177"/>
      <c r="GK177"/>
      <c r="GL177"/>
      <c r="GM177"/>
    </row>
    <row r="178" spans="1:195" s="7" customFormat="1">
      <c r="A178" s="128"/>
      <c r="B178" s="76">
        <f ca="1">IF(C178="", "", RAND())</f>
        <v>2.68263228132537E-3</v>
      </c>
      <c r="C178">
        <v>8</v>
      </c>
      <c r="D178">
        <v>39987</v>
      </c>
      <c r="E178">
        <v>0</v>
      </c>
      <c r="F178">
        <v>0</v>
      </c>
      <c r="G178">
        <v>0</v>
      </c>
      <c r="H178">
        <v>0</v>
      </c>
      <c r="I178">
        <v>56.089743589743591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 s="2"/>
      <c r="AK178" s="80"/>
      <c r="AL178" s="74">
        <v>3.0028000000000028</v>
      </c>
      <c r="AM178" s="43">
        <v>162</v>
      </c>
      <c r="AN178">
        <v>123.59846694623718</v>
      </c>
      <c r="AO178">
        <v>11.899274332802177</v>
      </c>
      <c r="AP178">
        <v>122.95044436525799</v>
      </c>
      <c r="AQ178">
        <v>102.71185712295846</v>
      </c>
      <c r="AR178">
        <v>11.447113556763682</v>
      </c>
      <c r="AS178">
        <v>193.58757485226735</v>
      </c>
      <c r="AT178">
        <v>6.7331738479306935</v>
      </c>
      <c r="AU178">
        <v>26.526065524042075</v>
      </c>
      <c r="AV178"/>
      <c r="AW178"/>
      <c r="AX178" s="128"/>
      <c r="AY178" s="76">
        <f t="shared" ca="1" si="201"/>
        <v>0.98790538371295744</v>
      </c>
      <c r="AZ178">
        <v>1</v>
      </c>
      <c r="BA178" s="129">
        <f>IF(AZ178="", "",$C$13)</f>
        <v>39987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 s="147"/>
      <c r="CH178" s="176"/>
      <c r="CJ178" s="128"/>
      <c r="CK178" s="76">
        <f t="shared" ca="1" si="237"/>
        <v>0.21985736956800328</v>
      </c>
      <c r="CL178" s="179">
        <f t="shared" si="238"/>
        <v>1</v>
      </c>
      <c r="CM178" s="180">
        <f t="shared" si="239"/>
        <v>39987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 s="160"/>
      <c r="CW178">
        <v>1</v>
      </c>
      <c r="CX178">
        <f>350/47</f>
        <v>7.4468085106382977</v>
      </c>
      <c r="CY178" s="160"/>
      <c r="CZ178" s="177">
        <f t="shared" si="240"/>
        <v>9.6000000000000002E-2</v>
      </c>
      <c r="DB178" s="128"/>
      <c r="DC178" s="76">
        <f t="shared" ca="1" si="203"/>
        <v>0.49137866877949321</v>
      </c>
      <c r="DD178">
        <f t="shared" si="241"/>
        <v>1</v>
      </c>
      <c r="DE178" s="129">
        <f t="shared" ref="DE178:DE187" si="277">IF((DD178)="", "", $C$13)</f>
        <v>39987</v>
      </c>
      <c r="DF178" s="161">
        <f t="shared" si="242"/>
        <v>0</v>
      </c>
      <c r="DG178" s="161">
        <f t="shared" si="243"/>
        <v>0</v>
      </c>
      <c r="DH178" s="161">
        <f t="shared" si="244"/>
        <v>0</v>
      </c>
      <c r="DI178" s="161">
        <f t="shared" si="245"/>
        <v>0</v>
      </c>
      <c r="DJ178" s="161">
        <f t="shared" si="246"/>
        <v>0</v>
      </c>
      <c r="DK178" s="161">
        <f t="shared" si="247"/>
        <v>0</v>
      </c>
      <c r="DL178" s="161">
        <f t="shared" si="248"/>
        <v>0</v>
      </c>
      <c r="DM178" s="161">
        <f t="shared" si="249"/>
        <v>0</v>
      </c>
      <c r="DN178" s="161">
        <f t="shared" si="250"/>
        <v>0</v>
      </c>
      <c r="DO178" s="161">
        <f t="shared" si="251"/>
        <v>0</v>
      </c>
      <c r="DP178" s="161">
        <f t="shared" si="252"/>
        <v>0</v>
      </c>
      <c r="DQ178" s="161">
        <f t="shared" si="253"/>
        <v>0</v>
      </c>
      <c r="DR178" s="161">
        <f t="shared" si="254"/>
        <v>0</v>
      </c>
      <c r="DS178" s="161">
        <f t="shared" si="255"/>
        <v>0</v>
      </c>
      <c r="DT178" s="161">
        <f t="shared" si="256"/>
        <v>0</v>
      </c>
      <c r="DU178" s="161">
        <f t="shared" si="257"/>
        <v>0</v>
      </c>
      <c r="DV178" s="161">
        <f t="shared" si="258"/>
        <v>0</v>
      </c>
      <c r="DW178" s="161">
        <f t="shared" si="259"/>
        <v>0</v>
      </c>
      <c r="DX178" s="161">
        <f t="shared" si="260"/>
        <v>0</v>
      </c>
      <c r="DY178" s="161">
        <f t="shared" si="261"/>
        <v>0</v>
      </c>
      <c r="DZ178" s="161">
        <f t="shared" si="262"/>
        <v>0</v>
      </c>
      <c r="EA178" s="161">
        <f t="shared" si="263"/>
        <v>0</v>
      </c>
      <c r="EB178" s="161">
        <f t="shared" si="264"/>
        <v>0</v>
      </c>
      <c r="EC178" s="161">
        <f t="shared" si="265"/>
        <v>0</v>
      </c>
      <c r="ED178" s="161">
        <f t="shared" si="266"/>
        <v>0</v>
      </c>
      <c r="EE178" s="161">
        <f t="shared" si="267"/>
        <v>0</v>
      </c>
      <c r="EF178" s="161">
        <f t="shared" si="268"/>
        <v>0</v>
      </c>
      <c r="EG178" s="161">
        <f t="shared" si="269"/>
        <v>0</v>
      </c>
      <c r="EH178" s="161">
        <f t="shared" si="270"/>
        <v>0</v>
      </c>
      <c r="EI178" s="161">
        <f t="shared" si="271"/>
        <v>0</v>
      </c>
      <c r="EJ178" s="161">
        <f t="shared" si="272"/>
        <v>0</v>
      </c>
      <c r="EK178" s="147">
        <f t="shared" si="204"/>
        <v>0</v>
      </c>
      <c r="EL178" s="149"/>
      <c r="EN178" s="146"/>
      <c r="EO178" s="146"/>
      <c r="EP178" s="139">
        <f t="shared" si="205"/>
        <v>0</v>
      </c>
      <c r="EQ178" s="139">
        <f t="shared" si="206"/>
        <v>0</v>
      </c>
      <c r="ER178" s="139">
        <f t="shared" si="207"/>
        <v>0</v>
      </c>
      <c r="ES178" s="139">
        <f t="shared" si="208"/>
        <v>0</v>
      </c>
      <c r="ET178" s="139">
        <f t="shared" si="209"/>
        <v>0</v>
      </c>
      <c r="EU178" s="139">
        <f t="shared" si="210"/>
        <v>0</v>
      </c>
      <c r="EV178" s="139">
        <f t="shared" si="211"/>
        <v>0</v>
      </c>
      <c r="EW178" s="139">
        <f t="shared" si="212"/>
        <v>0</v>
      </c>
      <c r="EX178" s="139">
        <f t="shared" si="213"/>
        <v>0</v>
      </c>
      <c r="EY178" s="139">
        <f t="shared" si="214"/>
        <v>0</v>
      </c>
      <c r="EZ178" s="139">
        <f t="shared" si="215"/>
        <v>0</v>
      </c>
      <c r="FA178" s="139">
        <f t="shared" si="216"/>
        <v>0</v>
      </c>
      <c r="FB178" s="139">
        <f t="shared" si="217"/>
        <v>0</v>
      </c>
      <c r="FC178" s="139">
        <f t="shared" si="218"/>
        <v>0</v>
      </c>
      <c r="FD178" s="139">
        <f t="shared" si="219"/>
        <v>0</v>
      </c>
      <c r="FE178" s="139">
        <f t="shared" si="220"/>
        <v>0</v>
      </c>
      <c r="FF178" s="139">
        <f t="shared" si="221"/>
        <v>0</v>
      </c>
      <c r="FG178" s="139">
        <f t="shared" si="222"/>
        <v>0</v>
      </c>
      <c r="FH178" s="139">
        <f t="shared" si="223"/>
        <v>0</v>
      </c>
      <c r="FI178" s="139">
        <f t="shared" si="224"/>
        <v>0</v>
      </c>
      <c r="FJ178" s="139">
        <f t="shared" si="225"/>
        <v>0</v>
      </c>
      <c r="FK178" s="139">
        <f t="shared" si="226"/>
        <v>0</v>
      </c>
      <c r="FL178" s="139">
        <f t="shared" si="227"/>
        <v>0</v>
      </c>
      <c r="FM178" s="139">
        <f t="shared" si="228"/>
        <v>0</v>
      </c>
      <c r="FN178" s="139">
        <f t="shared" si="229"/>
        <v>0</v>
      </c>
      <c r="FO178" s="139">
        <f t="shared" si="230"/>
        <v>0</v>
      </c>
      <c r="FP178" s="139">
        <f t="shared" si="231"/>
        <v>0</v>
      </c>
      <c r="FQ178" s="139">
        <f t="shared" si="232"/>
        <v>0</v>
      </c>
      <c r="FR178" s="139">
        <f t="shared" si="233"/>
        <v>0</v>
      </c>
      <c r="FS178" s="139">
        <f t="shared" si="234"/>
        <v>0</v>
      </c>
      <c r="FT178" s="139">
        <f t="shared" si="235"/>
        <v>0</v>
      </c>
      <c r="FU178" s="148">
        <f t="shared" si="236"/>
        <v>0</v>
      </c>
      <c r="FV178" s="149"/>
      <c r="FY178" s="210">
        <v>173</v>
      </c>
      <c r="FZ178">
        <v>26.656594735673576</v>
      </c>
      <c r="GA178">
        <v>28.364678275577507</v>
      </c>
      <c r="GB178">
        <v>4.1855911404329884</v>
      </c>
      <c r="GC178">
        <v>1.9093551275185168</v>
      </c>
      <c r="GD178">
        <v>0.84205783157915448</v>
      </c>
      <c r="GE178">
        <v>1.3919699789073297</v>
      </c>
      <c r="GF178">
        <v>4.3113494036393156</v>
      </c>
      <c r="GG178">
        <v>5.4803699611319949</v>
      </c>
      <c r="GH178">
        <v>5.0551312245418529</v>
      </c>
      <c r="GI178">
        <v>7.0393968474736415</v>
      </c>
      <c r="GJ178"/>
      <c r="GK178"/>
      <c r="GL178"/>
      <c r="GM178"/>
    </row>
    <row r="179" spans="1:195" s="7" customFormat="1">
      <c r="A179" s="1"/>
      <c r="B179" s="76">
        <f ca="1">IF(C179="", "", RAND())</f>
        <v>0.28848937477775438</v>
      </c>
      <c r="C179">
        <v>10</v>
      </c>
      <c r="D179">
        <v>39987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10.416666666666666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 s="2"/>
      <c r="AK179" s="80"/>
      <c r="AL179" s="74">
        <v>3.0028000000000028</v>
      </c>
      <c r="AM179" s="43">
        <v>163</v>
      </c>
      <c r="AN179">
        <v>154.57210508197798</v>
      </c>
      <c r="AO179">
        <v>15.325295095601055</v>
      </c>
      <c r="AP179">
        <v>160.3704746055993</v>
      </c>
      <c r="AQ179">
        <v>139.1401835866269</v>
      </c>
      <c r="AR179">
        <v>14.635862032711504</v>
      </c>
      <c r="AS179">
        <v>244.44458735231717</v>
      </c>
      <c r="AT179">
        <v>8.9387643312731733</v>
      </c>
      <c r="AU179">
        <v>-1.318058619694261</v>
      </c>
      <c r="AV179"/>
      <c r="AW179"/>
      <c r="AX179" s="146"/>
      <c r="AY179" s="76">
        <f t="shared" ca="1" si="201"/>
        <v>0.45295700108207981</v>
      </c>
      <c r="AZ179">
        <v>2</v>
      </c>
      <c r="BA179" s="129">
        <f t="shared" ref="BA179:BA187" si="278">IF(AZ179="", "",$C$13)</f>
        <v>39987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1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 s="147"/>
      <c r="CH179" s="176"/>
      <c r="CJ179" s="146"/>
      <c r="CK179" s="76">
        <f t="shared" ca="1" si="237"/>
        <v>0.19140688499357394</v>
      </c>
      <c r="CL179" s="179">
        <f t="shared" si="238"/>
        <v>2</v>
      </c>
      <c r="CM179" s="180">
        <f t="shared" si="239"/>
        <v>39987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 s="160"/>
      <c r="CW179">
        <v>1</v>
      </c>
      <c r="CX179">
        <f>355/64</f>
        <v>5.546875</v>
      </c>
      <c r="CY179" s="160"/>
      <c r="CZ179" s="177">
        <f t="shared" si="240"/>
        <v>9.6000000000000002E-2</v>
      </c>
      <c r="DB179" s="146"/>
      <c r="DC179" s="76">
        <f t="shared" ca="1" si="203"/>
        <v>0.7023917621490523</v>
      </c>
      <c r="DD179">
        <f t="shared" si="241"/>
        <v>2</v>
      </c>
      <c r="DE179" s="129">
        <f t="shared" si="277"/>
        <v>39987</v>
      </c>
      <c r="DF179" s="161">
        <f t="shared" si="242"/>
        <v>0</v>
      </c>
      <c r="DG179" s="161">
        <f t="shared" si="243"/>
        <v>0</v>
      </c>
      <c r="DH179" s="161">
        <f t="shared" si="244"/>
        <v>0</v>
      </c>
      <c r="DI179" s="161">
        <f t="shared" si="245"/>
        <v>0</v>
      </c>
      <c r="DJ179" s="161">
        <f t="shared" si="246"/>
        <v>0</v>
      </c>
      <c r="DK179" s="161">
        <f t="shared" si="247"/>
        <v>0</v>
      </c>
      <c r="DL179" s="161">
        <f t="shared" si="248"/>
        <v>10.416666666666666</v>
      </c>
      <c r="DM179" s="161">
        <f t="shared" si="249"/>
        <v>0</v>
      </c>
      <c r="DN179" s="161">
        <f t="shared" si="250"/>
        <v>0</v>
      </c>
      <c r="DO179" s="161">
        <f t="shared" si="251"/>
        <v>0</v>
      </c>
      <c r="DP179" s="161">
        <f t="shared" si="252"/>
        <v>0</v>
      </c>
      <c r="DQ179" s="161">
        <f t="shared" si="253"/>
        <v>0</v>
      </c>
      <c r="DR179" s="161">
        <f t="shared" si="254"/>
        <v>0</v>
      </c>
      <c r="DS179" s="161">
        <f t="shared" si="255"/>
        <v>0</v>
      </c>
      <c r="DT179" s="161">
        <f t="shared" si="256"/>
        <v>0</v>
      </c>
      <c r="DU179" s="161">
        <f t="shared" si="257"/>
        <v>0</v>
      </c>
      <c r="DV179" s="161">
        <f t="shared" si="258"/>
        <v>0</v>
      </c>
      <c r="DW179" s="161">
        <f t="shared" si="259"/>
        <v>0</v>
      </c>
      <c r="DX179" s="161">
        <f t="shared" si="260"/>
        <v>0</v>
      </c>
      <c r="DY179" s="161">
        <f t="shared" si="261"/>
        <v>0</v>
      </c>
      <c r="DZ179" s="161">
        <f t="shared" si="262"/>
        <v>0</v>
      </c>
      <c r="EA179" s="161">
        <f t="shared" si="263"/>
        <v>0</v>
      </c>
      <c r="EB179" s="161">
        <f t="shared" si="264"/>
        <v>0</v>
      </c>
      <c r="EC179" s="161">
        <f t="shared" si="265"/>
        <v>0</v>
      </c>
      <c r="ED179" s="161">
        <f t="shared" si="266"/>
        <v>0</v>
      </c>
      <c r="EE179" s="161">
        <f t="shared" si="267"/>
        <v>0</v>
      </c>
      <c r="EF179" s="161">
        <f t="shared" si="268"/>
        <v>0</v>
      </c>
      <c r="EG179" s="161">
        <f t="shared" si="269"/>
        <v>0</v>
      </c>
      <c r="EH179" s="161">
        <f t="shared" si="270"/>
        <v>0</v>
      </c>
      <c r="EI179" s="161">
        <f t="shared" si="271"/>
        <v>0</v>
      </c>
      <c r="EJ179" s="161">
        <f t="shared" si="272"/>
        <v>0</v>
      </c>
      <c r="EK179" s="147">
        <f t="shared" si="204"/>
        <v>10.416666666666666</v>
      </c>
      <c r="EL179" s="149"/>
      <c r="EN179" s="146"/>
      <c r="EO179" s="146"/>
      <c r="EP179" s="139">
        <f t="shared" si="205"/>
        <v>0</v>
      </c>
      <c r="EQ179" s="139">
        <f t="shared" si="206"/>
        <v>0</v>
      </c>
      <c r="ER179" s="139">
        <f t="shared" si="207"/>
        <v>0</v>
      </c>
      <c r="ES179" s="139">
        <f t="shared" si="208"/>
        <v>0</v>
      </c>
      <c r="ET179" s="139">
        <f t="shared" si="209"/>
        <v>0</v>
      </c>
      <c r="EU179" s="139">
        <f t="shared" si="210"/>
        <v>0</v>
      </c>
      <c r="EV179" s="139">
        <f t="shared" si="211"/>
        <v>5.865687857873775</v>
      </c>
      <c r="EW179" s="139">
        <f t="shared" si="212"/>
        <v>0</v>
      </c>
      <c r="EX179" s="139">
        <f t="shared" si="213"/>
        <v>0</v>
      </c>
      <c r="EY179" s="139">
        <f t="shared" si="214"/>
        <v>0</v>
      </c>
      <c r="EZ179" s="139">
        <f t="shared" si="215"/>
        <v>0</v>
      </c>
      <c r="FA179" s="139">
        <f t="shared" si="216"/>
        <v>0</v>
      </c>
      <c r="FB179" s="139">
        <f t="shared" si="217"/>
        <v>0</v>
      </c>
      <c r="FC179" s="139">
        <f t="shared" si="218"/>
        <v>0</v>
      </c>
      <c r="FD179" s="139">
        <f t="shared" si="219"/>
        <v>0</v>
      </c>
      <c r="FE179" s="139">
        <f t="shared" si="220"/>
        <v>0</v>
      </c>
      <c r="FF179" s="139">
        <f t="shared" si="221"/>
        <v>0</v>
      </c>
      <c r="FG179" s="139">
        <f t="shared" si="222"/>
        <v>0</v>
      </c>
      <c r="FH179" s="139">
        <f t="shared" si="223"/>
        <v>0</v>
      </c>
      <c r="FI179" s="139">
        <f t="shared" si="224"/>
        <v>0</v>
      </c>
      <c r="FJ179" s="139">
        <f t="shared" si="225"/>
        <v>0</v>
      </c>
      <c r="FK179" s="139">
        <f t="shared" si="226"/>
        <v>0</v>
      </c>
      <c r="FL179" s="139">
        <f t="shared" si="227"/>
        <v>0</v>
      </c>
      <c r="FM179" s="139">
        <f t="shared" si="228"/>
        <v>0</v>
      </c>
      <c r="FN179" s="139">
        <f t="shared" si="229"/>
        <v>0</v>
      </c>
      <c r="FO179" s="139">
        <f t="shared" si="230"/>
        <v>0</v>
      </c>
      <c r="FP179" s="139">
        <f t="shared" si="231"/>
        <v>0</v>
      </c>
      <c r="FQ179" s="139">
        <f t="shared" si="232"/>
        <v>0</v>
      </c>
      <c r="FR179" s="139">
        <f t="shared" si="233"/>
        <v>0</v>
      </c>
      <c r="FS179" s="139">
        <f t="shared" si="234"/>
        <v>0</v>
      </c>
      <c r="FT179" s="139">
        <f t="shared" si="235"/>
        <v>0</v>
      </c>
      <c r="FU179" s="148">
        <f t="shared" si="236"/>
        <v>5.865687857873775</v>
      </c>
      <c r="FV179" s="149"/>
      <c r="FY179" s="210">
        <v>174</v>
      </c>
      <c r="FZ179">
        <v>0.73979741233210006</v>
      </c>
      <c r="GA179">
        <v>0.90795977283596851</v>
      </c>
      <c r="GB179">
        <v>3.3537434352488429</v>
      </c>
      <c r="GC179">
        <v>1.8594334980680911</v>
      </c>
      <c r="GD179">
        <v>0.91689735113447557</v>
      </c>
      <c r="GE179">
        <v>2.6803683495177233</v>
      </c>
      <c r="GF179">
        <v>3.8890691849483692</v>
      </c>
      <c r="GG179">
        <v>6.1680350610668153</v>
      </c>
      <c r="GH179">
        <v>9.1815769923614994</v>
      </c>
      <c r="GI179">
        <v>3.6238611129781275</v>
      </c>
      <c r="GJ179"/>
      <c r="GK179"/>
      <c r="GL179"/>
      <c r="GM179"/>
    </row>
    <row r="180" spans="1:195" s="7" customFormat="1">
      <c r="A180" s="1"/>
      <c r="B180" s="76">
        <f ca="1">IF(C180="", "", RAND())</f>
        <v>0.74279936043439854</v>
      </c>
      <c r="C180">
        <v>9</v>
      </c>
      <c r="D180">
        <v>39987</v>
      </c>
      <c r="E180">
        <v>0</v>
      </c>
      <c r="F180">
        <v>0</v>
      </c>
      <c r="G180">
        <v>0</v>
      </c>
      <c r="H180">
        <v>0</v>
      </c>
      <c r="I180">
        <v>20.833333333333332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 s="2"/>
      <c r="AK180" s="80"/>
      <c r="AL180" s="74">
        <v>3.0028000000000028</v>
      </c>
      <c r="AM180" s="43">
        <v>164</v>
      </c>
      <c r="AN180">
        <v>60.050492427604055</v>
      </c>
      <c r="AO180">
        <v>6.3311199699127139</v>
      </c>
      <c r="AP180">
        <v>64.706858524991986</v>
      </c>
      <c r="AQ180">
        <v>53.828052602631253</v>
      </c>
      <c r="AR180">
        <v>6.3431210852128972</v>
      </c>
      <c r="AS180">
        <v>87.330739665644174</v>
      </c>
      <c r="AT180">
        <v>4.1388904613318012</v>
      </c>
      <c r="AU180">
        <v>9.3949635436736525</v>
      </c>
      <c r="AV180"/>
      <c r="AW180"/>
      <c r="AX180" s="146"/>
      <c r="AY180" s="76">
        <f t="shared" ca="1" si="201"/>
        <v>0.45059623492299705</v>
      </c>
      <c r="AZ180">
        <v>3</v>
      </c>
      <c r="BA180" s="129">
        <f t="shared" si="278"/>
        <v>39987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 s="147"/>
      <c r="CH180" s="176"/>
      <c r="CJ180" s="146"/>
      <c r="CK180" s="76">
        <f t="shared" ca="1" si="237"/>
        <v>0.47850602446475232</v>
      </c>
      <c r="CL180" s="179">
        <f t="shared" si="238"/>
        <v>3</v>
      </c>
      <c r="CM180" s="180">
        <f t="shared" si="239"/>
        <v>39987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 s="160"/>
      <c r="CW180">
        <v>1</v>
      </c>
      <c r="CX180">
        <f>350/54</f>
        <v>6.4814814814814818</v>
      </c>
      <c r="CY180" s="160"/>
      <c r="CZ180" s="177">
        <f t="shared" si="240"/>
        <v>9.6000000000000002E-2</v>
      </c>
      <c r="DB180" s="146"/>
      <c r="DC180" s="76">
        <f t="shared" ca="1" si="203"/>
        <v>0.69870929754029465</v>
      </c>
      <c r="DD180">
        <f t="shared" si="241"/>
        <v>3</v>
      </c>
      <c r="DE180" s="129">
        <f t="shared" si="277"/>
        <v>39987</v>
      </c>
      <c r="DF180" s="161">
        <f t="shared" si="242"/>
        <v>0</v>
      </c>
      <c r="DG180" s="161">
        <f t="shared" si="243"/>
        <v>0</v>
      </c>
      <c r="DH180" s="161">
        <f t="shared" si="244"/>
        <v>0</v>
      </c>
      <c r="DI180" s="161">
        <f t="shared" si="245"/>
        <v>0</v>
      </c>
      <c r="DJ180" s="161">
        <f t="shared" si="246"/>
        <v>0</v>
      </c>
      <c r="DK180" s="161">
        <f t="shared" si="247"/>
        <v>0</v>
      </c>
      <c r="DL180" s="161">
        <f t="shared" si="248"/>
        <v>0</v>
      </c>
      <c r="DM180" s="161">
        <f t="shared" si="249"/>
        <v>0</v>
      </c>
      <c r="DN180" s="161">
        <f t="shared" si="250"/>
        <v>0</v>
      </c>
      <c r="DO180" s="161">
        <f t="shared" si="251"/>
        <v>0</v>
      </c>
      <c r="DP180" s="161">
        <f t="shared" si="252"/>
        <v>0</v>
      </c>
      <c r="DQ180" s="161">
        <f t="shared" si="253"/>
        <v>0</v>
      </c>
      <c r="DR180" s="161">
        <f t="shared" si="254"/>
        <v>0</v>
      </c>
      <c r="DS180" s="161">
        <f t="shared" si="255"/>
        <v>0</v>
      </c>
      <c r="DT180" s="161">
        <f t="shared" si="256"/>
        <v>0</v>
      </c>
      <c r="DU180" s="161">
        <f t="shared" si="257"/>
        <v>0</v>
      </c>
      <c r="DV180" s="161">
        <f t="shared" si="258"/>
        <v>0</v>
      </c>
      <c r="DW180" s="161">
        <f t="shared" si="259"/>
        <v>0</v>
      </c>
      <c r="DX180" s="161">
        <f t="shared" si="260"/>
        <v>0</v>
      </c>
      <c r="DY180" s="161">
        <f t="shared" si="261"/>
        <v>0</v>
      </c>
      <c r="DZ180" s="161">
        <f t="shared" si="262"/>
        <v>0</v>
      </c>
      <c r="EA180" s="161">
        <f t="shared" si="263"/>
        <v>0</v>
      </c>
      <c r="EB180" s="161">
        <f t="shared" si="264"/>
        <v>0</v>
      </c>
      <c r="EC180" s="161">
        <f t="shared" si="265"/>
        <v>0</v>
      </c>
      <c r="ED180" s="161">
        <f t="shared" si="266"/>
        <v>0</v>
      </c>
      <c r="EE180" s="161">
        <f t="shared" si="267"/>
        <v>0</v>
      </c>
      <c r="EF180" s="161">
        <f t="shared" si="268"/>
        <v>0</v>
      </c>
      <c r="EG180" s="161">
        <f t="shared" si="269"/>
        <v>0</v>
      </c>
      <c r="EH180" s="161">
        <f t="shared" si="270"/>
        <v>0</v>
      </c>
      <c r="EI180" s="161">
        <f t="shared" si="271"/>
        <v>0</v>
      </c>
      <c r="EJ180" s="161">
        <f t="shared" si="272"/>
        <v>0</v>
      </c>
      <c r="EK180" s="147">
        <f t="shared" si="204"/>
        <v>0</v>
      </c>
      <c r="EL180" s="149"/>
      <c r="EN180" s="146"/>
      <c r="EO180" s="146"/>
      <c r="EP180" s="139">
        <f t="shared" si="205"/>
        <v>0</v>
      </c>
      <c r="EQ180" s="139">
        <f t="shared" si="206"/>
        <v>0</v>
      </c>
      <c r="ER180" s="139">
        <f t="shared" si="207"/>
        <v>0</v>
      </c>
      <c r="ES180" s="139">
        <f t="shared" si="208"/>
        <v>0</v>
      </c>
      <c r="ET180" s="139">
        <f t="shared" si="209"/>
        <v>0</v>
      </c>
      <c r="EU180" s="139">
        <f t="shared" si="210"/>
        <v>0</v>
      </c>
      <c r="EV180" s="139">
        <f t="shared" si="211"/>
        <v>0</v>
      </c>
      <c r="EW180" s="139">
        <f t="shared" si="212"/>
        <v>0</v>
      </c>
      <c r="EX180" s="139">
        <f t="shared" si="213"/>
        <v>0</v>
      </c>
      <c r="EY180" s="139">
        <f t="shared" si="214"/>
        <v>0</v>
      </c>
      <c r="EZ180" s="139">
        <f t="shared" si="215"/>
        <v>0</v>
      </c>
      <c r="FA180" s="139">
        <f t="shared" si="216"/>
        <v>0</v>
      </c>
      <c r="FB180" s="139">
        <f t="shared" si="217"/>
        <v>0</v>
      </c>
      <c r="FC180" s="139">
        <f t="shared" si="218"/>
        <v>0</v>
      </c>
      <c r="FD180" s="139">
        <f t="shared" si="219"/>
        <v>0</v>
      </c>
      <c r="FE180" s="139">
        <f t="shared" si="220"/>
        <v>0</v>
      </c>
      <c r="FF180" s="139">
        <f t="shared" si="221"/>
        <v>0</v>
      </c>
      <c r="FG180" s="139">
        <f t="shared" si="222"/>
        <v>0</v>
      </c>
      <c r="FH180" s="139">
        <f t="shared" si="223"/>
        <v>0</v>
      </c>
      <c r="FI180" s="139">
        <f t="shared" si="224"/>
        <v>0</v>
      </c>
      <c r="FJ180" s="139">
        <f t="shared" si="225"/>
        <v>0</v>
      </c>
      <c r="FK180" s="139">
        <f t="shared" si="226"/>
        <v>0</v>
      </c>
      <c r="FL180" s="139">
        <f t="shared" si="227"/>
        <v>0</v>
      </c>
      <c r="FM180" s="139">
        <f t="shared" si="228"/>
        <v>0</v>
      </c>
      <c r="FN180" s="139">
        <f t="shared" si="229"/>
        <v>0</v>
      </c>
      <c r="FO180" s="139">
        <f t="shared" si="230"/>
        <v>0</v>
      </c>
      <c r="FP180" s="139">
        <f t="shared" si="231"/>
        <v>0</v>
      </c>
      <c r="FQ180" s="139">
        <f t="shared" si="232"/>
        <v>0</v>
      </c>
      <c r="FR180" s="139">
        <f t="shared" si="233"/>
        <v>0</v>
      </c>
      <c r="FS180" s="139">
        <f t="shared" si="234"/>
        <v>0</v>
      </c>
      <c r="FT180" s="139">
        <f t="shared" si="235"/>
        <v>0</v>
      </c>
      <c r="FU180" s="148">
        <f t="shared" si="236"/>
        <v>0</v>
      </c>
      <c r="FV180" s="149"/>
      <c r="FY180" s="210">
        <v>175</v>
      </c>
      <c r="FZ180">
        <v>24.704436058553391</v>
      </c>
      <c r="GA180">
        <v>30.332864544781518</v>
      </c>
      <c r="GB180">
        <v>4.1058237541835947</v>
      </c>
      <c r="GC180">
        <v>1.0715835858506593</v>
      </c>
      <c r="GD180">
        <v>1.0953174938778263</v>
      </c>
      <c r="GE180">
        <v>2.9748944501198729</v>
      </c>
      <c r="GF180">
        <v>6.9719231240661603</v>
      </c>
      <c r="GG180">
        <v>10.313697485175034</v>
      </c>
      <c r="GH180">
        <v>11.10004246619534</v>
      </c>
      <c r="GI180">
        <v>8.3356283767234665</v>
      </c>
      <c r="GJ180"/>
      <c r="GK180"/>
      <c r="GL180"/>
      <c r="GM180"/>
    </row>
    <row r="181" spans="1:195" s="7" customFormat="1">
      <c r="A181" s="1"/>
      <c r="B181" s="76">
        <f ca="1">IF(C181="", "", RAND())</f>
        <v>2.6582946192064583E-2</v>
      </c>
      <c r="C181">
        <v>3</v>
      </c>
      <c r="D181">
        <v>39987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 s="2"/>
      <c r="AK181" s="80"/>
      <c r="AL181" s="74">
        <v>3.0028000000000028</v>
      </c>
      <c r="AM181" s="43">
        <v>165</v>
      </c>
      <c r="AN181">
        <v>88.309262950305737</v>
      </c>
      <c r="AO181">
        <v>7.5449750958493951</v>
      </c>
      <c r="AP181">
        <v>73.099542667790743</v>
      </c>
      <c r="AQ181">
        <v>61.667961524439171</v>
      </c>
      <c r="AR181">
        <v>7.2456578696491416</v>
      </c>
      <c r="AS181">
        <v>120.25162609635689</v>
      </c>
      <c r="AT181">
        <v>4.6214419492380561</v>
      </c>
      <c r="AU181">
        <v>36.120687844960258</v>
      </c>
      <c r="AV181"/>
      <c r="AW181"/>
      <c r="AX181" s="146"/>
      <c r="AY181" s="76">
        <f t="shared" ca="1" si="201"/>
        <v>0.64438370839626646</v>
      </c>
      <c r="AZ181">
        <v>4</v>
      </c>
      <c r="BA181" s="129">
        <f t="shared" si="278"/>
        <v>39987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 s="147"/>
      <c r="CH181" s="176"/>
      <c r="CJ181" s="146"/>
      <c r="CK181" s="76">
        <f t="shared" ca="1" si="237"/>
        <v>0.74808156893488142</v>
      </c>
      <c r="CL181" s="179">
        <f t="shared" si="238"/>
        <v>4</v>
      </c>
      <c r="CM181" s="180">
        <f t="shared" si="239"/>
        <v>39987</v>
      </c>
      <c r="CN181">
        <v>0</v>
      </c>
      <c r="CO181">
        <v>0</v>
      </c>
      <c r="CP181">
        <v>0</v>
      </c>
      <c r="CQ181">
        <v>0</v>
      </c>
      <c r="CR181">
        <v>1</v>
      </c>
      <c r="CS181">
        <v>0</v>
      </c>
      <c r="CT181">
        <v>0</v>
      </c>
      <c r="CU181">
        <v>0</v>
      </c>
      <c r="CV181" s="160"/>
      <c r="CW181">
        <v>1</v>
      </c>
      <c r="CX181">
        <f>350/41</f>
        <v>8.536585365853659</v>
      </c>
      <c r="CY181" s="160"/>
      <c r="CZ181" s="177">
        <f t="shared" si="240"/>
        <v>9.6000000000000002E-2</v>
      </c>
      <c r="DB181" s="146"/>
      <c r="DC181" s="76">
        <f t="shared" ca="1" si="203"/>
        <v>0.39638321305464386</v>
      </c>
      <c r="DD181">
        <f t="shared" si="241"/>
        <v>4</v>
      </c>
      <c r="DE181" s="129">
        <f t="shared" si="277"/>
        <v>39987</v>
      </c>
      <c r="DF181" s="161">
        <f t="shared" si="242"/>
        <v>0</v>
      </c>
      <c r="DG181" s="161">
        <f t="shared" si="243"/>
        <v>0</v>
      </c>
      <c r="DH181" s="161">
        <f t="shared" si="244"/>
        <v>0</v>
      </c>
      <c r="DI181" s="161">
        <f t="shared" si="245"/>
        <v>0</v>
      </c>
      <c r="DJ181" s="161">
        <f t="shared" si="246"/>
        <v>88.922764227642276</v>
      </c>
      <c r="DK181" s="161">
        <f t="shared" si="247"/>
        <v>0</v>
      </c>
      <c r="DL181" s="161">
        <f t="shared" si="248"/>
        <v>0</v>
      </c>
      <c r="DM181" s="161">
        <f t="shared" si="249"/>
        <v>0</v>
      </c>
      <c r="DN181" s="161">
        <f t="shared" si="250"/>
        <v>0</v>
      </c>
      <c r="DO181" s="161">
        <f t="shared" si="251"/>
        <v>0</v>
      </c>
      <c r="DP181" s="161">
        <f t="shared" si="252"/>
        <v>0</v>
      </c>
      <c r="DQ181" s="161">
        <f t="shared" si="253"/>
        <v>0</v>
      </c>
      <c r="DR181" s="161">
        <f t="shared" si="254"/>
        <v>0</v>
      </c>
      <c r="DS181" s="161">
        <f t="shared" si="255"/>
        <v>0</v>
      </c>
      <c r="DT181" s="161">
        <f t="shared" si="256"/>
        <v>0</v>
      </c>
      <c r="DU181" s="161">
        <f t="shared" si="257"/>
        <v>0</v>
      </c>
      <c r="DV181" s="161">
        <f t="shared" si="258"/>
        <v>0</v>
      </c>
      <c r="DW181" s="161">
        <f t="shared" si="259"/>
        <v>0</v>
      </c>
      <c r="DX181" s="161">
        <f t="shared" si="260"/>
        <v>0</v>
      </c>
      <c r="DY181" s="161">
        <f t="shared" si="261"/>
        <v>0</v>
      </c>
      <c r="DZ181" s="161">
        <f t="shared" si="262"/>
        <v>0</v>
      </c>
      <c r="EA181" s="161">
        <f t="shared" si="263"/>
        <v>0</v>
      </c>
      <c r="EB181" s="161">
        <f t="shared" si="264"/>
        <v>0</v>
      </c>
      <c r="EC181" s="161">
        <f t="shared" si="265"/>
        <v>0</v>
      </c>
      <c r="ED181" s="161">
        <f t="shared" si="266"/>
        <v>0</v>
      </c>
      <c r="EE181" s="161">
        <f t="shared" si="267"/>
        <v>0</v>
      </c>
      <c r="EF181" s="161">
        <f t="shared" si="268"/>
        <v>0</v>
      </c>
      <c r="EG181" s="161">
        <f t="shared" si="269"/>
        <v>0</v>
      </c>
      <c r="EH181" s="161">
        <f t="shared" si="270"/>
        <v>0</v>
      </c>
      <c r="EI181" s="161">
        <f t="shared" si="271"/>
        <v>0</v>
      </c>
      <c r="EJ181" s="161">
        <f t="shared" si="272"/>
        <v>0</v>
      </c>
      <c r="EK181" s="147">
        <f t="shared" si="204"/>
        <v>88.922764227642276</v>
      </c>
      <c r="EL181" s="149"/>
      <c r="EN181" s="146"/>
      <c r="EO181" s="146"/>
      <c r="EP181" s="139">
        <f t="shared" si="205"/>
        <v>0</v>
      </c>
      <c r="EQ181" s="139">
        <f t="shared" si="206"/>
        <v>0</v>
      </c>
      <c r="ER181" s="139">
        <f t="shared" si="207"/>
        <v>0</v>
      </c>
      <c r="ES181" s="139">
        <f t="shared" si="208"/>
        <v>0</v>
      </c>
      <c r="ET181" s="139">
        <f t="shared" si="209"/>
        <v>16.044085650482501</v>
      </c>
      <c r="EU181" s="139">
        <f t="shared" si="210"/>
        <v>0</v>
      </c>
      <c r="EV181" s="139">
        <f t="shared" si="211"/>
        <v>0</v>
      </c>
      <c r="EW181" s="139">
        <f t="shared" si="212"/>
        <v>0</v>
      </c>
      <c r="EX181" s="139">
        <f t="shared" si="213"/>
        <v>0</v>
      </c>
      <c r="EY181" s="139">
        <f t="shared" si="214"/>
        <v>0</v>
      </c>
      <c r="EZ181" s="139">
        <f t="shared" si="215"/>
        <v>0</v>
      </c>
      <c r="FA181" s="139">
        <f t="shared" si="216"/>
        <v>0</v>
      </c>
      <c r="FB181" s="139">
        <f t="shared" si="217"/>
        <v>0</v>
      </c>
      <c r="FC181" s="139">
        <f t="shared" si="218"/>
        <v>0</v>
      </c>
      <c r="FD181" s="139">
        <f t="shared" si="219"/>
        <v>0</v>
      </c>
      <c r="FE181" s="139">
        <f t="shared" si="220"/>
        <v>0</v>
      </c>
      <c r="FF181" s="139">
        <f t="shared" si="221"/>
        <v>0</v>
      </c>
      <c r="FG181" s="139">
        <f t="shared" si="222"/>
        <v>0</v>
      </c>
      <c r="FH181" s="139">
        <f t="shared" si="223"/>
        <v>0</v>
      </c>
      <c r="FI181" s="139">
        <f t="shared" si="224"/>
        <v>0</v>
      </c>
      <c r="FJ181" s="139">
        <f t="shared" si="225"/>
        <v>0</v>
      </c>
      <c r="FK181" s="139">
        <f t="shared" si="226"/>
        <v>0</v>
      </c>
      <c r="FL181" s="139">
        <f t="shared" si="227"/>
        <v>0</v>
      </c>
      <c r="FM181" s="139">
        <f t="shared" si="228"/>
        <v>0</v>
      </c>
      <c r="FN181" s="139">
        <f t="shared" si="229"/>
        <v>0</v>
      </c>
      <c r="FO181" s="139">
        <f t="shared" si="230"/>
        <v>0</v>
      </c>
      <c r="FP181" s="139">
        <f t="shared" si="231"/>
        <v>0</v>
      </c>
      <c r="FQ181" s="139">
        <f t="shared" si="232"/>
        <v>0</v>
      </c>
      <c r="FR181" s="139">
        <f t="shared" si="233"/>
        <v>0</v>
      </c>
      <c r="FS181" s="139">
        <f t="shared" si="234"/>
        <v>0</v>
      </c>
      <c r="FT181" s="139">
        <f t="shared" si="235"/>
        <v>0</v>
      </c>
      <c r="FU181" s="148">
        <f t="shared" si="236"/>
        <v>16.044085650482501</v>
      </c>
      <c r="FV181" s="149"/>
      <c r="FY181" s="210">
        <v>176</v>
      </c>
      <c r="FZ181">
        <v>24.990486680718671</v>
      </c>
      <c r="GA181">
        <v>28.309892229764131</v>
      </c>
      <c r="GB181">
        <v>3.1850956098914098</v>
      </c>
      <c r="GC181">
        <v>1.4316882148686216</v>
      </c>
      <c r="GD181">
        <v>0.84271213815568946</v>
      </c>
      <c r="GE181">
        <v>3.1461806069345366</v>
      </c>
      <c r="GF181">
        <v>3.4947446611686277</v>
      </c>
      <c r="GG181">
        <v>3.9246417241405345</v>
      </c>
      <c r="GH181">
        <v>7.5768541049923233</v>
      </c>
      <c r="GI181">
        <v>6.7951502707229734</v>
      </c>
      <c r="GJ181"/>
      <c r="GK181"/>
      <c r="GL181"/>
      <c r="GM181"/>
    </row>
    <row r="182" spans="1:195" s="7" customFormat="1">
      <c r="A182" s="1"/>
      <c r="B182" s="76">
        <f ca="1">IF(C182="", "", RAND())</f>
        <v>0.14338453468087486</v>
      </c>
      <c r="C182">
        <v>7</v>
      </c>
      <c r="D182">
        <v>39987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 s="2"/>
      <c r="AK182" s="80"/>
      <c r="AL182" s="74"/>
      <c r="AM182" s="43">
        <v>166</v>
      </c>
      <c r="AN182">
        <v>68.429892695098587</v>
      </c>
      <c r="AO182">
        <v>6.4093896301961966</v>
      </c>
      <c r="AP182">
        <v>62.979391786747684</v>
      </c>
      <c r="AQ182">
        <v>53.014113925665043</v>
      </c>
      <c r="AR182">
        <v>6.371747686204472</v>
      </c>
      <c r="AS182">
        <v>116.02524407459818</v>
      </c>
      <c r="AT182">
        <v>4.1135306912906602</v>
      </c>
      <c r="AU182">
        <v>-0.57503734592311195</v>
      </c>
      <c r="AV182"/>
      <c r="AW182"/>
      <c r="AX182" s="146"/>
      <c r="AY182" s="76">
        <f t="shared" ca="1" si="201"/>
        <v>0.64642422851487424</v>
      </c>
      <c r="AZ182">
        <v>5</v>
      </c>
      <c r="BA182" s="129">
        <f t="shared" si="278"/>
        <v>39987</v>
      </c>
      <c r="BB182">
        <v>0</v>
      </c>
      <c r="BC182">
        <v>0</v>
      </c>
      <c r="BD182">
        <v>0</v>
      </c>
      <c r="BE182">
        <v>0</v>
      </c>
      <c r="BF182">
        <v>1</v>
      </c>
      <c r="BG182">
        <v>1</v>
      </c>
      <c r="BH182">
        <v>0</v>
      </c>
      <c r="BI182">
        <v>1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 s="147"/>
      <c r="CH182" s="176"/>
      <c r="CJ182" s="146"/>
      <c r="CK182" s="76">
        <f t="shared" ca="1" si="237"/>
        <v>0.85191597510168537</v>
      </c>
      <c r="CL182" s="179">
        <f t="shared" si="238"/>
        <v>5</v>
      </c>
      <c r="CM182" s="180">
        <f t="shared" si="239"/>
        <v>39987</v>
      </c>
      <c r="CN182">
        <v>0</v>
      </c>
      <c r="CO182">
        <v>0</v>
      </c>
      <c r="CP182">
        <v>1</v>
      </c>
      <c r="CQ182">
        <v>0</v>
      </c>
      <c r="CR182">
        <v>0</v>
      </c>
      <c r="CS182">
        <v>0</v>
      </c>
      <c r="CT182">
        <v>0</v>
      </c>
      <c r="CU182">
        <v>0</v>
      </c>
      <c r="CV182" s="160"/>
      <c r="CW182">
        <v>1</v>
      </c>
      <c r="CX182">
        <f>350/60</f>
        <v>5.833333333333333</v>
      </c>
      <c r="CY182" s="160"/>
      <c r="CZ182" s="177">
        <f t="shared" si="240"/>
        <v>9.6000000000000002E-2</v>
      </c>
      <c r="DB182" s="146"/>
      <c r="DC182" s="76">
        <f t="shared" ca="1" si="203"/>
        <v>0.67579348326253719</v>
      </c>
      <c r="DD182">
        <f t="shared" si="241"/>
        <v>5</v>
      </c>
      <c r="DE182" s="129">
        <f t="shared" si="277"/>
        <v>39987</v>
      </c>
      <c r="DF182" s="161">
        <f t="shared" si="242"/>
        <v>0</v>
      </c>
      <c r="DG182" s="161">
        <f t="shared" si="243"/>
        <v>0</v>
      </c>
      <c r="DH182" s="161">
        <f t="shared" si="244"/>
        <v>60.763888888888886</v>
      </c>
      <c r="DI182" s="161">
        <f t="shared" si="245"/>
        <v>0</v>
      </c>
      <c r="DJ182" s="161">
        <f t="shared" si="246"/>
        <v>10.416666666666666</v>
      </c>
      <c r="DK182" s="161">
        <f t="shared" si="247"/>
        <v>10.416666666666666</v>
      </c>
      <c r="DL182" s="161">
        <f t="shared" si="248"/>
        <v>0</v>
      </c>
      <c r="DM182" s="161">
        <f t="shared" si="249"/>
        <v>10.416666666666666</v>
      </c>
      <c r="DN182" s="161">
        <f t="shared" si="250"/>
        <v>0</v>
      </c>
      <c r="DO182" s="161">
        <f t="shared" si="251"/>
        <v>0</v>
      </c>
      <c r="DP182" s="161">
        <f t="shared" si="252"/>
        <v>0</v>
      </c>
      <c r="DQ182" s="161">
        <f t="shared" si="253"/>
        <v>0</v>
      </c>
      <c r="DR182" s="161">
        <f t="shared" si="254"/>
        <v>0</v>
      </c>
      <c r="DS182" s="161">
        <f t="shared" si="255"/>
        <v>0</v>
      </c>
      <c r="DT182" s="161">
        <f t="shared" si="256"/>
        <v>0</v>
      </c>
      <c r="DU182" s="161">
        <f t="shared" si="257"/>
        <v>0</v>
      </c>
      <c r="DV182" s="161">
        <f t="shared" si="258"/>
        <v>0</v>
      </c>
      <c r="DW182" s="161">
        <f t="shared" si="259"/>
        <v>0</v>
      </c>
      <c r="DX182" s="161">
        <f t="shared" si="260"/>
        <v>0</v>
      </c>
      <c r="DY182" s="161">
        <f t="shared" si="261"/>
        <v>0</v>
      </c>
      <c r="DZ182" s="161">
        <f t="shared" si="262"/>
        <v>0</v>
      </c>
      <c r="EA182" s="161">
        <f t="shared" si="263"/>
        <v>0</v>
      </c>
      <c r="EB182" s="161">
        <f t="shared" si="264"/>
        <v>0</v>
      </c>
      <c r="EC182" s="161">
        <f t="shared" si="265"/>
        <v>0</v>
      </c>
      <c r="ED182" s="161">
        <f t="shared" si="266"/>
        <v>0</v>
      </c>
      <c r="EE182" s="161">
        <f t="shared" si="267"/>
        <v>0</v>
      </c>
      <c r="EF182" s="161">
        <f t="shared" si="268"/>
        <v>0</v>
      </c>
      <c r="EG182" s="161">
        <f t="shared" si="269"/>
        <v>0</v>
      </c>
      <c r="EH182" s="161">
        <f t="shared" si="270"/>
        <v>0</v>
      </c>
      <c r="EI182" s="161">
        <f t="shared" si="271"/>
        <v>0</v>
      </c>
      <c r="EJ182" s="161">
        <f t="shared" si="272"/>
        <v>0</v>
      </c>
      <c r="EK182" s="147">
        <f t="shared" si="204"/>
        <v>92.0138888888889</v>
      </c>
      <c r="EL182" s="149"/>
      <c r="EN182" s="146"/>
      <c r="EO182" s="146"/>
      <c r="EP182" s="139">
        <f t="shared" si="205"/>
        <v>0</v>
      </c>
      <c r="EQ182" s="139">
        <f t="shared" si="206"/>
        <v>0</v>
      </c>
      <c r="ER182" s="139">
        <f t="shared" si="207"/>
        <v>1.566593716485509</v>
      </c>
      <c r="ES182" s="139">
        <f t="shared" si="208"/>
        <v>0</v>
      </c>
      <c r="ET182" s="139">
        <f t="shared" si="209"/>
        <v>1.8794500333422355</v>
      </c>
      <c r="EU182" s="139">
        <f t="shared" si="210"/>
        <v>3.5160673928895911</v>
      </c>
      <c r="EV182" s="139">
        <f t="shared" si="211"/>
        <v>0</v>
      </c>
      <c r="EW182" s="139">
        <f t="shared" si="212"/>
        <v>9.0414604478692766</v>
      </c>
      <c r="EX182" s="139">
        <f t="shared" si="213"/>
        <v>0</v>
      </c>
      <c r="EY182" s="139">
        <f t="shared" si="214"/>
        <v>0</v>
      </c>
      <c r="EZ182" s="139">
        <f t="shared" si="215"/>
        <v>0</v>
      </c>
      <c r="FA182" s="139">
        <f t="shared" si="216"/>
        <v>0</v>
      </c>
      <c r="FB182" s="139">
        <f t="shared" si="217"/>
        <v>0</v>
      </c>
      <c r="FC182" s="139">
        <f t="shared" si="218"/>
        <v>0</v>
      </c>
      <c r="FD182" s="139">
        <f t="shared" si="219"/>
        <v>0</v>
      </c>
      <c r="FE182" s="139">
        <f t="shared" si="220"/>
        <v>0</v>
      </c>
      <c r="FF182" s="139">
        <f t="shared" si="221"/>
        <v>0</v>
      </c>
      <c r="FG182" s="139">
        <f t="shared" si="222"/>
        <v>0</v>
      </c>
      <c r="FH182" s="139">
        <f t="shared" si="223"/>
        <v>0</v>
      </c>
      <c r="FI182" s="139">
        <f t="shared" si="224"/>
        <v>0</v>
      </c>
      <c r="FJ182" s="139">
        <f t="shared" si="225"/>
        <v>0</v>
      </c>
      <c r="FK182" s="139">
        <f t="shared" si="226"/>
        <v>0</v>
      </c>
      <c r="FL182" s="139">
        <f t="shared" si="227"/>
        <v>0</v>
      </c>
      <c r="FM182" s="139">
        <f t="shared" si="228"/>
        <v>0</v>
      </c>
      <c r="FN182" s="139">
        <f t="shared" si="229"/>
        <v>0</v>
      </c>
      <c r="FO182" s="139">
        <f t="shared" si="230"/>
        <v>0</v>
      </c>
      <c r="FP182" s="139">
        <f t="shared" si="231"/>
        <v>0</v>
      </c>
      <c r="FQ182" s="139">
        <f t="shared" si="232"/>
        <v>0</v>
      </c>
      <c r="FR182" s="139">
        <f t="shared" si="233"/>
        <v>0</v>
      </c>
      <c r="FS182" s="139">
        <f t="shared" si="234"/>
        <v>0</v>
      </c>
      <c r="FT182" s="139">
        <f t="shared" si="235"/>
        <v>0</v>
      </c>
      <c r="FU182" s="148">
        <f t="shared" si="236"/>
        <v>16.00357159058661</v>
      </c>
      <c r="FV182" s="149"/>
      <c r="FY182" s="210">
        <v>177</v>
      </c>
      <c r="FZ182">
        <v>13.233728264225261</v>
      </c>
      <c r="GA182">
        <v>13.729983635900851</v>
      </c>
      <c r="GB182">
        <v>2.5025368663901553</v>
      </c>
      <c r="GC182">
        <v>1.6671069393867244</v>
      </c>
      <c r="GD182">
        <v>0.80335526998468398</v>
      </c>
      <c r="GE182">
        <v>3.7530163333315802</v>
      </c>
      <c r="GF182">
        <v>12.350229555841848</v>
      </c>
      <c r="GG182">
        <v>9.9910279530099722</v>
      </c>
      <c r="GH182">
        <v>6.3243057849668709</v>
      </c>
      <c r="GI182">
        <v>6.26674135718123</v>
      </c>
      <c r="GJ182"/>
      <c r="GK182"/>
      <c r="GL182"/>
      <c r="GM182"/>
    </row>
    <row r="183" spans="1:195" s="7" customFormat="1">
      <c r="A183" s="1"/>
      <c r="B183" s="76">
        <f ca="1">IF(C183="", "", RAND())</f>
        <v>0.51800941470537176</v>
      </c>
      <c r="C183">
        <v>5</v>
      </c>
      <c r="D183">
        <v>39987</v>
      </c>
      <c r="E183">
        <v>0</v>
      </c>
      <c r="F183">
        <v>0</v>
      </c>
      <c r="G183">
        <v>60.763888888888886</v>
      </c>
      <c r="H183">
        <v>0</v>
      </c>
      <c r="I183">
        <v>10.416666666666666</v>
      </c>
      <c r="J183">
        <v>10.416666666666666</v>
      </c>
      <c r="K183">
        <v>0</v>
      </c>
      <c r="L183">
        <v>10.416666666666666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 s="2"/>
      <c r="AK183" s="80"/>
      <c r="AL183" s="74"/>
      <c r="AM183" s="43">
        <v>167</v>
      </c>
      <c r="AN183">
        <v>148.99539804086052</v>
      </c>
      <c r="AO183">
        <v>11.380388160387684</v>
      </c>
      <c r="AP183">
        <v>111.08869459096</v>
      </c>
      <c r="AQ183">
        <v>95.420612791312564</v>
      </c>
      <c r="AR183">
        <v>10.901937695710332</v>
      </c>
      <c r="AS183">
        <v>169.86275023115232</v>
      </c>
      <c r="AT183">
        <v>6.7051073955221296</v>
      </c>
      <c r="AU183">
        <v>18.004164278020394</v>
      </c>
      <c r="AV183"/>
      <c r="AW183"/>
      <c r="AX183" s="146"/>
      <c r="AY183" s="76">
        <f t="shared" ca="1" si="201"/>
        <v>0.79516099640034188</v>
      </c>
      <c r="AZ183">
        <v>6</v>
      </c>
      <c r="BA183" s="129">
        <f t="shared" si="278"/>
        <v>39987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1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 s="147"/>
      <c r="CH183" s="176"/>
      <c r="CJ183" s="146"/>
      <c r="CK183" s="76">
        <f t="shared" ca="1" si="237"/>
        <v>3.8158107327672663E-2</v>
      </c>
      <c r="CL183" s="179">
        <f t="shared" si="238"/>
        <v>6</v>
      </c>
      <c r="CM183" s="180">
        <f t="shared" si="239"/>
        <v>39987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 s="160"/>
      <c r="CW183">
        <v>1</v>
      </c>
      <c r="CX183">
        <f>350/50</f>
        <v>7</v>
      </c>
      <c r="CY183" s="160"/>
      <c r="CZ183" s="177">
        <f t="shared" si="240"/>
        <v>9.6000000000000002E-2</v>
      </c>
      <c r="DB183" s="146"/>
      <c r="DC183" s="76">
        <f t="shared" ca="1" si="203"/>
        <v>0.55889605495417216</v>
      </c>
      <c r="DD183">
        <f t="shared" si="241"/>
        <v>6</v>
      </c>
      <c r="DE183" s="129">
        <f t="shared" si="277"/>
        <v>39987</v>
      </c>
      <c r="DF183" s="161">
        <f t="shared" si="242"/>
        <v>0</v>
      </c>
      <c r="DG183" s="161">
        <f t="shared" si="243"/>
        <v>0</v>
      </c>
      <c r="DH183" s="161">
        <f t="shared" si="244"/>
        <v>0</v>
      </c>
      <c r="DI183" s="161">
        <f t="shared" si="245"/>
        <v>0</v>
      </c>
      <c r="DJ183" s="161">
        <f t="shared" si="246"/>
        <v>0</v>
      </c>
      <c r="DK183" s="161">
        <f t="shared" si="247"/>
        <v>0</v>
      </c>
      <c r="DL183" s="161">
        <f t="shared" si="248"/>
        <v>0</v>
      </c>
      <c r="DM183" s="161">
        <f t="shared" si="249"/>
        <v>10.416666666666666</v>
      </c>
      <c r="DN183" s="161">
        <f t="shared" si="250"/>
        <v>0</v>
      </c>
      <c r="DO183" s="161">
        <f t="shared" si="251"/>
        <v>0</v>
      </c>
      <c r="DP183" s="161">
        <f t="shared" si="252"/>
        <v>0</v>
      </c>
      <c r="DQ183" s="161">
        <f t="shared" si="253"/>
        <v>0</v>
      </c>
      <c r="DR183" s="161">
        <f t="shared" si="254"/>
        <v>0</v>
      </c>
      <c r="DS183" s="161">
        <f t="shared" si="255"/>
        <v>0</v>
      </c>
      <c r="DT183" s="161">
        <f t="shared" si="256"/>
        <v>0</v>
      </c>
      <c r="DU183" s="161">
        <f t="shared" si="257"/>
        <v>0</v>
      </c>
      <c r="DV183" s="161">
        <f t="shared" si="258"/>
        <v>0</v>
      </c>
      <c r="DW183" s="161">
        <f t="shared" si="259"/>
        <v>0</v>
      </c>
      <c r="DX183" s="161">
        <f t="shared" si="260"/>
        <v>0</v>
      </c>
      <c r="DY183" s="161">
        <f t="shared" si="261"/>
        <v>0</v>
      </c>
      <c r="DZ183" s="161">
        <f t="shared" si="262"/>
        <v>0</v>
      </c>
      <c r="EA183" s="161">
        <f t="shared" si="263"/>
        <v>0</v>
      </c>
      <c r="EB183" s="161">
        <f t="shared" si="264"/>
        <v>0</v>
      </c>
      <c r="EC183" s="161">
        <f t="shared" si="265"/>
        <v>0</v>
      </c>
      <c r="ED183" s="161">
        <f t="shared" si="266"/>
        <v>0</v>
      </c>
      <c r="EE183" s="161">
        <f t="shared" si="267"/>
        <v>0</v>
      </c>
      <c r="EF183" s="161">
        <f t="shared" si="268"/>
        <v>0</v>
      </c>
      <c r="EG183" s="161">
        <f t="shared" si="269"/>
        <v>0</v>
      </c>
      <c r="EH183" s="161">
        <f t="shared" si="270"/>
        <v>0</v>
      </c>
      <c r="EI183" s="161">
        <f t="shared" si="271"/>
        <v>0</v>
      </c>
      <c r="EJ183" s="161">
        <f t="shared" si="272"/>
        <v>0</v>
      </c>
      <c r="EK183" s="147">
        <f t="shared" si="204"/>
        <v>10.416666666666666</v>
      </c>
      <c r="EL183" s="149"/>
      <c r="EN183" s="146"/>
      <c r="EO183" s="146"/>
      <c r="EP183" s="139">
        <f t="shared" si="205"/>
        <v>0</v>
      </c>
      <c r="EQ183" s="139">
        <f t="shared" si="206"/>
        <v>0</v>
      </c>
      <c r="ER183" s="139">
        <f t="shared" si="207"/>
        <v>0</v>
      </c>
      <c r="ES183" s="139">
        <f t="shared" si="208"/>
        <v>0</v>
      </c>
      <c r="ET183" s="139">
        <f t="shared" si="209"/>
        <v>0</v>
      </c>
      <c r="EU183" s="139">
        <f t="shared" si="210"/>
        <v>0</v>
      </c>
      <c r="EV183" s="139">
        <f t="shared" si="211"/>
        <v>0</v>
      </c>
      <c r="EW183" s="139">
        <f t="shared" si="212"/>
        <v>9.0414604478692766</v>
      </c>
      <c r="EX183" s="139">
        <f t="shared" si="213"/>
        <v>0</v>
      </c>
      <c r="EY183" s="139">
        <f t="shared" si="214"/>
        <v>0</v>
      </c>
      <c r="EZ183" s="139">
        <f t="shared" si="215"/>
        <v>0</v>
      </c>
      <c r="FA183" s="139">
        <f t="shared" si="216"/>
        <v>0</v>
      </c>
      <c r="FB183" s="139">
        <f t="shared" si="217"/>
        <v>0</v>
      </c>
      <c r="FC183" s="139">
        <f t="shared" si="218"/>
        <v>0</v>
      </c>
      <c r="FD183" s="139">
        <f t="shared" si="219"/>
        <v>0</v>
      </c>
      <c r="FE183" s="139">
        <f t="shared" si="220"/>
        <v>0</v>
      </c>
      <c r="FF183" s="139">
        <f t="shared" si="221"/>
        <v>0</v>
      </c>
      <c r="FG183" s="139">
        <f t="shared" si="222"/>
        <v>0</v>
      </c>
      <c r="FH183" s="139">
        <f t="shared" si="223"/>
        <v>0</v>
      </c>
      <c r="FI183" s="139">
        <f t="shared" si="224"/>
        <v>0</v>
      </c>
      <c r="FJ183" s="139">
        <f t="shared" si="225"/>
        <v>0</v>
      </c>
      <c r="FK183" s="139">
        <f t="shared" si="226"/>
        <v>0</v>
      </c>
      <c r="FL183" s="139">
        <f t="shared" si="227"/>
        <v>0</v>
      </c>
      <c r="FM183" s="139">
        <f t="shared" si="228"/>
        <v>0</v>
      </c>
      <c r="FN183" s="139">
        <f t="shared" si="229"/>
        <v>0</v>
      </c>
      <c r="FO183" s="139">
        <f t="shared" si="230"/>
        <v>0</v>
      </c>
      <c r="FP183" s="139">
        <f t="shared" si="231"/>
        <v>0</v>
      </c>
      <c r="FQ183" s="139">
        <f t="shared" si="232"/>
        <v>0</v>
      </c>
      <c r="FR183" s="139">
        <f t="shared" si="233"/>
        <v>0</v>
      </c>
      <c r="FS183" s="139">
        <f t="shared" si="234"/>
        <v>0</v>
      </c>
      <c r="FT183" s="139">
        <f t="shared" si="235"/>
        <v>0</v>
      </c>
      <c r="FU183" s="148">
        <f t="shared" si="236"/>
        <v>9.0414604478692766</v>
      </c>
      <c r="FV183" s="149"/>
      <c r="FY183" s="210">
        <v>178</v>
      </c>
      <c r="FZ183">
        <v>16.62516732887061</v>
      </c>
      <c r="GA183">
        <v>17.476668987738506</v>
      </c>
      <c r="GB183">
        <v>4.1714349808172502</v>
      </c>
      <c r="GC183">
        <v>1.776684520826342</v>
      </c>
      <c r="GD183">
        <v>1.4601474745764653</v>
      </c>
      <c r="GE183">
        <v>2.4391007048317861</v>
      </c>
      <c r="GF183">
        <v>2.2189331397839607</v>
      </c>
      <c r="GG183">
        <v>11.168258033168192</v>
      </c>
      <c r="GH183">
        <v>15.21092067917338</v>
      </c>
      <c r="GI183">
        <v>7.1403492002184219</v>
      </c>
      <c r="GJ183"/>
      <c r="GK183"/>
      <c r="GL183"/>
      <c r="GM183"/>
    </row>
    <row r="184" spans="1:195" s="7" customFormat="1">
      <c r="A184" s="1"/>
      <c r="B184" s="76">
        <f ca="1">IF(C184="", "", RAND())</f>
        <v>0.92158487661958288</v>
      </c>
      <c r="C184">
        <v>2</v>
      </c>
      <c r="D184">
        <v>39987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10.416666666666666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 s="2"/>
      <c r="AK184" s="80"/>
      <c r="AL184" s="74"/>
      <c r="AM184" s="43">
        <v>168</v>
      </c>
      <c r="AN184">
        <v>138.24362995164665</v>
      </c>
      <c r="AO184">
        <v>12.974278396625948</v>
      </c>
      <c r="AP184">
        <v>139.72974789791235</v>
      </c>
      <c r="AQ184">
        <v>117.72055080069666</v>
      </c>
      <c r="AR184">
        <v>12.427670492474352</v>
      </c>
      <c r="AS184">
        <v>193.49535590023217</v>
      </c>
      <c r="AT184">
        <v>8.5850752492846372</v>
      </c>
      <c r="AU184">
        <v>68.594786843519842</v>
      </c>
      <c r="AV184"/>
      <c r="AW184"/>
      <c r="AX184" s="146"/>
      <c r="AY184" s="76">
        <f t="shared" ca="1" si="201"/>
        <v>0.27464449655411927</v>
      </c>
      <c r="AZ184">
        <v>7</v>
      </c>
      <c r="BA184" s="129">
        <f t="shared" si="278"/>
        <v>39987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 s="147"/>
      <c r="CH184" s="176"/>
      <c r="CJ184" s="146"/>
      <c r="CK184" s="76">
        <f t="shared" ca="1" si="237"/>
        <v>0.38427779650846006</v>
      </c>
      <c r="CL184" s="179">
        <f t="shared" si="238"/>
        <v>7</v>
      </c>
      <c r="CM184" s="180">
        <f t="shared" si="239"/>
        <v>39987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 s="160"/>
      <c r="CW184">
        <v>1</v>
      </c>
      <c r="CX184">
        <f>350/51</f>
        <v>6.8627450980392153</v>
      </c>
      <c r="CY184" s="165"/>
      <c r="CZ184" s="177">
        <f t="shared" si="240"/>
        <v>9.6000000000000002E-2</v>
      </c>
      <c r="DB184" s="146"/>
      <c r="DC184" s="76">
        <f t="shared" ca="1" si="203"/>
        <v>0.67691080120489833</v>
      </c>
      <c r="DD184">
        <f t="shared" si="241"/>
        <v>7</v>
      </c>
      <c r="DE184" s="129">
        <f t="shared" si="277"/>
        <v>39987</v>
      </c>
      <c r="DF184" s="161">
        <f t="shared" si="242"/>
        <v>0</v>
      </c>
      <c r="DG184" s="161">
        <f t="shared" si="243"/>
        <v>0</v>
      </c>
      <c r="DH184" s="161">
        <f t="shared" si="244"/>
        <v>0</v>
      </c>
      <c r="DI184" s="161">
        <f t="shared" si="245"/>
        <v>0</v>
      </c>
      <c r="DJ184" s="161">
        <f t="shared" si="246"/>
        <v>0</v>
      </c>
      <c r="DK184" s="161">
        <f t="shared" si="247"/>
        <v>0</v>
      </c>
      <c r="DL184" s="161">
        <f t="shared" si="248"/>
        <v>0</v>
      </c>
      <c r="DM184" s="161">
        <f t="shared" si="249"/>
        <v>0</v>
      </c>
      <c r="DN184" s="161">
        <f t="shared" si="250"/>
        <v>0</v>
      </c>
      <c r="DO184" s="161">
        <f t="shared" si="251"/>
        <v>0</v>
      </c>
      <c r="DP184" s="161">
        <f t="shared" si="252"/>
        <v>0</v>
      </c>
      <c r="DQ184" s="161">
        <f t="shared" si="253"/>
        <v>0</v>
      </c>
      <c r="DR184" s="161">
        <f t="shared" si="254"/>
        <v>0</v>
      </c>
      <c r="DS184" s="161">
        <f t="shared" si="255"/>
        <v>0</v>
      </c>
      <c r="DT184" s="161">
        <f t="shared" si="256"/>
        <v>0</v>
      </c>
      <c r="DU184" s="161">
        <f t="shared" si="257"/>
        <v>0</v>
      </c>
      <c r="DV184" s="161">
        <f t="shared" si="258"/>
        <v>0</v>
      </c>
      <c r="DW184" s="161">
        <f t="shared" si="259"/>
        <v>0</v>
      </c>
      <c r="DX184" s="161">
        <f t="shared" si="260"/>
        <v>0</v>
      </c>
      <c r="DY184" s="161">
        <f t="shared" si="261"/>
        <v>0</v>
      </c>
      <c r="DZ184" s="161">
        <f t="shared" si="262"/>
        <v>0</v>
      </c>
      <c r="EA184" s="161">
        <f t="shared" si="263"/>
        <v>0</v>
      </c>
      <c r="EB184" s="161">
        <f t="shared" si="264"/>
        <v>0</v>
      </c>
      <c r="EC184" s="161">
        <f t="shared" si="265"/>
        <v>0</v>
      </c>
      <c r="ED184" s="161">
        <f t="shared" si="266"/>
        <v>0</v>
      </c>
      <c r="EE184" s="161">
        <f t="shared" si="267"/>
        <v>0</v>
      </c>
      <c r="EF184" s="161">
        <f t="shared" si="268"/>
        <v>0</v>
      </c>
      <c r="EG184" s="161">
        <f t="shared" si="269"/>
        <v>0</v>
      </c>
      <c r="EH184" s="161">
        <f t="shared" si="270"/>
        <v>0</v>
      </c>
      <c r="EI184" s="161">
        <f t="shared" si="271"/>
        <v>0</v>
      </c>
      <c r="EJ184" s="161">
        <f t="shared" si="272"/>
        <v>0</v>
      </c>
      <c r="EK184" s="147">
        <f t="shared" ref="EK184:EK207" si="279">IF(DF184="", "", SUM(DF184:EJ184))</f>
        <v>0</v>
      </c>
      <c r="EL184" s="149"/>
      <c r="EN184" s="146"/>
      <c r="EO184" s="146"/>
      <c r="EP184" s="139">
        <f t="shared" ref="EP184:EP207" si="280">IF(DF184="", "", DF184*G$36)</f>
        <v>0</v>
      </c>
      <c r="EQ184" s="139">
        <f t="shared" ref="EQ184:EQ207" si="281">IF(DG184="", "", DG184*H$36)</f>
        <v>0</v>
      </c>
      <c r="ER184" s="139">
        <f t="shared" ref="ER184:ER207" si="282">IF(DH184="", "", DH184*I$36)</f>
        <v>0</v>
      </c>
      <c r="ES184" s="139">
        <f t="shared" ref="ES184:ES207" si="283">IF(DI184="", "", DI184*J$36)</f>
        <v>0</v>
      </c>
      <c r="ET184" s="139">
        <f t="shared" ref="ET184:ET207" si="284">IF(DJ184="", "", DJ184*K$36)</f>
        <v>0</v>
      </c>
      <c r="EU184" s="139">
        <f t="shared" ref="EU184:EU207" si="285">IF(DK184="", "", DK184*L$36)</f>
        <v>0</v>
      </c>
      <c r="EV184" s="139">
        <f t="shared" ref="EV184:EV207" si="286">IF(DL184="", "", DL184*M$36)</f>
        <v>0</v>
      </c>
      <c r="EW184" s="139">
        <f t="shared" ref="EW184:EW207" si="287">IF(DM184="", "", DM184*N$36)</f>
        <v>0</v>
      </c>
      <c r="EX184" s="139">
        <f t="shared" ref="EX184:EX207" si="288">IF(DN184="", "", DN184*O$36)</f>
        <v>0</v>
      </c>
      <c r="EY184" s="139">
        <f t="shared" ref="EY184:EY207" si="289">IF(DO184="", "", DO184*P$36)</f>
        <v>0</v>
      </c>
      <c r="EZ184" s="139">
        <f t="shared" ref="EZ184:EZ207" si="290">IF(DP184="", "", DP184*Q$36)</f>
        <v>0</v>
      </c>
      <c r="FA184" s="139">
        <f t="shared" ref="FA184:FA207" si="291">IF(DQ184="", "", DQ184*R$36)</f>
        <v>0</v>
      </c>
      <c r="FB184" s="139">
        <f t="shared" ref="FB184:FB207" si="292">IF(DR184="", "", DR184*S$36)</f>
        <v>0</v>
      </c>
      <c r="FC184" s="139">
        <f t="shared" ref="FC184:FC207" si="293">IF(DS184="", "", DS184*T$36)</f>
        <v>0</v>
      </c>
      <c r="FD184" s="139">
        <f t="shared" ref="FD184:FD207" si="294">IF(DT184="", "", DT184*U$36)</f>
        <v>0</v>
      </c>
      <c r="FE184" s="139">
        <f t="shared" ref="FE184:FE207" si="295">IF(DU184="", "", DU184*V$36)</f>
        <v>0</v>
      </c>
      <c r="FF184" s="139">
        <f t="shared" ref="FF184:FF207" si="296">IF(DV184="", "", DV184*W$36)</f>
        <v>0</v>
      </c>
      <c r="FG184" s="139">
        <f t="shared" ref="FG184:FG207" si="297">IF(DW184="", "", DW184*X$36)</f>
        <v>0</v>
      </c>
      <c r="FH184" s="139">
        <f t="shared" ref="FH184:FH207" si="298">IF(DX184="", "", DX184*Y$36)</f>
        <v>0</v>
      </c>
      <c r="FI184" s="139">
        <f t="shared" ref="FI184:FI207" si="299">IF(DY184="", "", DY184*Z$36)</f>
        <v>0</v>
      </c>
      <c r="FJ184" s="139">
        <f t="shared" ref="FJ184:FJ207" si="300">IF(DZ184="", "", DZ184*AA$36)</f>
        <v>0</v>
      </c>
      <c r="FK184" s="139">
        <f t="shared" ref="FK184:FK207" si="301">IF(EA184="", "", EA184*AB$36)</f>
        <v>0</v>
      </c>
      <c r="FL184" s="139">
        <f t="shared" ref="FL184:FL207" si="302">IF(EB184="", "", EB184*AC$36)</f>
        <v>0</v>
      </c>
      <c r="FM184" s="139">
        <f t="shared" ref="FM184:FM207" si="303">IF(EC184="", "", EC184*AD$36)</f>
        <v>0</v>
      </c>
      <c r="FN184" s="139">
        <f t="shared" ref="FN184:FN207" si="304">IF(ED184="", "", ED184*AE$36)</f>
        <v>0</v>
      </c>
      <c r="FO184" s="139">
        <f t="shared" ref="FO184:FO207" si="305">IF(EE184="", "", EE184*AF$36)</f>
        <v>0</v>
      </c>
      <c r="FP184" s="139">
        <f t="shared" ref="FP184:FP207" si="306">IF(EF184="", "", EF184*AG$36)</f>
        <v>0</v>
      </c>
      <c r="FQ184" s="139">
        <f t="shared" ref="FQ184:FQ207" si="307">IF(EG184="", "", EG184*AH$36)</f>
        <v>0</v>
      </c>
      <c r="FR184" s="139">
        <f t="shared" ref="FR184:FR207" si="308">IF(EH184="", "", EH184*AI$36)</f>
        <v>0</v>
      </c>
      <c r="FS184" s="139">
        <f t="shared" ref="FS184:FS207" si="309">IF(EI184="", "", EI184*AJ$36)</f>
        <v>0</v>
      </c>
      <c r="FT184" s="139">
        <f t="shared" ref="FT184:FT207" si="310">IF(EJ184="", "", EJ184*AK$36)</f>
        <v>0</v>
      </c>
      <c r="FU184" s="148">
        <f t="shared" ref="FU184:FU207" si="311">IF(EP184="","",SUM(EP184:FT184))</f>
        <v>0</v>
      </c>
      <c r="FV184" s="149"/>
      <c r="FY184" s="210">
        <v>179</v>
      </c>
      <c r="FZ184">
        <v>31.939620669326359</v>
      </c>
      <c r="GA184">
        <v>39.595384678049449</v>
      </c>
      <c r="GB184">
        <v>2.856406723360525</v>
      </c>
      <c r="GC184">
        <v>1.1833781505396315</v>
      </c>
      <c r="GD184">
        <v>0.86277758318821607</v>
      </c>
      <c r="GE184">
        <v>1.7245487907685813</v>
      </c>
      <c r="GF184">
        <v>1.0699108580939167</v>
      </c>
      <c r="GG184">
        <v>3.060893261005083</v>
      </c>
      <c r="GH184">
        <v>6.1679734709723597</v>
      </c>
      <c r="GI184">
        <v>7.1006253522614413</v>
      </c>
      <c r="GJ184"/>
      <c r="GK184"/>
      <c r="GL184"/>
      <c r="GM184"/>
    </row>
    <row r="185" spans="1:195" s="7" customFormat="1">
      <c r="A185" s="1"/>
      <c r="B185" s="76">
        <f ca="1">IF(C185="", "", RAND())</f>
        <v>2.0869958501698038E-2</v>
      </c>
      <c r="C185">
        <v>4</v>
      </c>
      <c r="D185">
        <v>39987</v>
      </c>
      <c r="E185">
        <v>0</v>
      </c>
      <c r="F185">
        <v>0</v>
      </c>
      <c r="G185">
        <v>0</v>
      </c>
      <c r="H185">
        <v>0</v>
      </c>
      <c r="I185">
        <v>88.922764227642276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 s="2"/>
      <c r="AK185" s="80"/>
      <c r="AL185" s="74"/>
      <c r="AM185" s="43">
        <v>169</v>
      </c>
      <c r="AN185">
        <v>161.42785413951188</v>
      </c>
      <c r="AO185">
        <v>14.921647249994768</v>
      </c>
      <c r="AP185">
        <v>155.59957298300336</v>
      </c>
      <c r="AQ185">
        <v>130.94035275989586</v>
      </c>
      <c r="AR185">
        <v>14.275168337217698</v>
      </c>
      <c r="AS185">
        <v>213.5546450085009</v>
      </c>
      <c r="AT185">
        <v>8.4870760170164274</v>
      </c>
      <c r="AU185">
        <v>36.497412672719605</v>
      </c>
      <c r="AV185"/>
      <c r="AW185"/>
      <c r="AX185" s="146"/>
      <c r="AY185" s="76">
        <f t="shared" ca="1" si="201"/>
        <v>0.93938046654392626</v>
      </c>
      <c r="AZ185">
        <v>8</v>
      </c>
      <c r="BA185" s="129">
        <f t="shared" si="278"/>
        <v>39987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 s="147"/>
      <c r="CH185" s="176"/>
      <c r="CJ185" s="146"/>
      <c r="CK185" s="76">
        <f t="shared" ca="1" si="237"/>
        <v>0.81580338945234243</v>
      </c>
      <c r="CL185" s="179">
        <f t="shared" si="238"/>
        <v>8</v>
      </c>
      <c r="CM185" s="180">
        <f t="shared" si="239"/>
        <v>39987</v>
      </c>
      <c r="CN185">
        <v>0</v>
      </c>
      <c r="CO185">
        <v>0</v>
      </c>
      <c r="CP185">
        <v>0</v>
      </c>
      <c r="CQ185">
        <v>0</v>
      </c>
      <c r="CR185">
        <v>1</v>
      </c>
      <c r="CS185">
        <v>0</v>
      </c>
      <c r="CT185">
        <v>0</v>
      </c>
      <c r="CU185">
        <v>0</v>
      </c>
      <c r="CV185" s="160"/>
      <c r="CW185">
        <v>1</v>
      </c>
      <c r="CX185">
        <f>350/65</f>
        <v>5.384615384615385</v>
      </c>
      <c r="CY185" s="165"/>
      <c r="CZ185" s="177">
        <f t="shared" si="240"/>
        <v>9.6000000000000002E-2</v>
      </c>
      <c r="DB185" s="146"/>
      <c r="DC185" s="76">
        <f t="shared" ca="1" si="203"/>
        <v>0.91781558682087905</v>
      </c>
      <c r="DD185">
        <f t="shared" si="241"/>
        <v>8</v>
      </c>
      <c r="DE185" s="129">
        <f t="shared" si="277"/>
        <v>39987</v>
      </c>
      <c r="DF185" s="161">
        <f t="shared" si="242"/>
        <v>0</v>
      </c>
      <c r="DG185" s="161">
        <f t="shared" si="243"/>
        <v>0</v>
      </c>
      <c r="DH185" s="161">
        <f t="shared" si="244"/>
        <v>0</v>
      </c>
      <c r="DI185" s="161">
        <f t="shared" si="245"/>
        <v>0</v>
      </c>
      <c r="DJ185" s="161">
        <f t="shared" si="246"/>
        <v>56.089743589743591</v>
      </c>
      <c r="DK185" s="161">
        <f t="shared" si="247"/>
        <v>0</v>
      </c>
      <c r="DL185" s="161">
        <f t="shared" si="248"/>
        <v>0</v>
      </c>
      <c r="DM185" s="161">
        <f t="shared" si="249"/>
        <v>0</v>
      </c>
      <c r="DN185" s="161">
        <f t="shared" si="250"/>
        <v>0</v>
      </c>
      <c r="DO185" s="161">
        <f t="shared" si="251"/>
        <v>0</v>
      </c>
      <c r="DP185" s="161">
        <f t="shared" si="252"/>
        <v>0</v>
      </c>
      <c r="DQ185" s="161">
        <f t="shared" si="253"/>
        <v>0</v>
      </c>
      <c r="DR185" s="161">
        <f t="shared" si="254"/>
        <v>0</v>
      </c>
      <c r="DS185" s="161">
        <f t="shared" si="255"/>
        <v>0</v>
      </c>
      <c r="DT185" s="161">
        <f t="shared" si="256"/>
        <v>0</v>
      </c>
      <c r="DU185" s="161">
        <f t="shared" si="257"/>
        <v>0</v>
      </c>
      <c r="DV185" s="161">
        <f t="shared" si="258"/>
        <v>0</v>
      </c>
      <c r="DW185" s="161">
        <f t="shared" si="259"/>
        <v>0</v>
      </c>
      <c r="DX185" s="161">
        <f t="shared" si="260"/>
        <v>0</v>
      </c>
      <c r="DY185" s="161">
        <f t="shared" si="261"/>
        <v>0</v>
      </c>
      <c r="DZ185" s="161">
        <f t="shared" si="262"/>
        <v>0</v>
      </c>
      <c r="EA185" s="161">
        <f t="shared" si="263"/>
        <v>0</v>
      </c>
      <c r="EB185" s="161">
        <f t="shared" si="264"/>
        <v>0</v>
      </c>
      <c r="EC185" s="161">
        <f t="shared" si="265"/>
        <v>0</v>
      </c>
      <c r="ED185" s="161">
        <f t="shared" si="266"/>
        <v>0</v>
      </c>
      <c r="EE185" s="161">
        <f t="shared" si="267"/>
        <v>0</v>
      </c>
      <c r="EF185" s="161">
        <f t="shared" si="268"/>
        <v>0</v>
      </c>
      <c r="EG185" s="161">
        <f t="shared" si="269"/>
        <v>0</v>
      </c>
      <c r="EH185" s="161">
        <f t="shared" si="270"/>
        <v>0</v>
      </c>
      <c r="EI185" s="161">
        <f t="shared" si="271"/>
        <v>0</v>
      </c>
      <c r="EJ185" s="161">
        <f t="shared" si="272"/>
        <v>0</v>
      </c>
      <c r="EK185" s="147">
        <f t="shared" si="279"/>
        <v>56.089743589743591</v>
      </c>
      <c r="EL185" s="149"/>
      <c r="EN185" s="146"/>
      <c r="EO185" s="146"/>
      <c r="EP185" s="139">
        <f t="shared" si="280"/>
        <v>0</v>
      </c>
      <c r="EQ185" s="139">
        <f t="shared" si="281"/>
        <v>0</v>
      </c>
      <c r="ER185" s="139">
        <f t="shared" si="282"/>
        <v>0</v>
      </c>
      <c r="ES185" s="139">
        <f t="shared" si="283"/>
        <v>0</v>
      </c>
      <c r="ET185" s="139">
        <f t="shared" si="284"/>
        <v>10.120115564150499</v>
      </c>
      <c r="EU185" s="139">
        <f t="shared" si="285"/>
        <v>0</v>
      </c>
      <c r="EV185" s="139">
        <f t="shared" si="286"/>
        <v>0</v>
      </c>
      <c r="EW185" s="139">
        <f t="shared" si="287"/>
        <v>0</v>
      </c>
      <c r="EX185" s="139">
        <f t="shared" si="288"/>
        <v>0</v>
      </c>
      <c r="EY185" s="139">
        <f t="shared" si="289"/>
        <v>0</v>
      </c>
      <c r="EZ185" s="139">
        <f t="shared" si="290"/>
        <v>0</v>
      </c>
      <c r="FA185" s="139">
        <f t="shared" si="291"/>
        <v>0</v>
      </c>
      <c r="FB185" s="139">
        <f t="shared" si="292"/>
        <v>0</v>
      </c>
      <c r="FC185" s="139">
        <f t="shared" si="293"/>
        <v>0</v>
      </c>
      <c r="FD185" s="139">
        <f t="shared" si="294"/>
        <v>0</v>
      </c>
      <c r="FE185" s="139">
        <f t="shared" si="295"/>
        <v>0</v>
      </c>
      <c r="FF185" s="139">
        <f t="shared" si="296"/>
        <v>0</v>
      </c>
      <c r="FG185" s="139">
        <f t="shared" si="297"/>
        <v>0</v>
      </c>
      <c r="FH185" s="139">
        <f t="shared" si="298"/>
        <v>0</v>
      </c>
      <c r="FI185" s="139">
        <f t="shared" si="299"/>
        <v>0</v>
      </c>
      <c r="FJ185" s="139">
        <f t="shared" si="300"/>
        <v>0</v>
      </c>
      <c r="FK185" s="139">
        <f t="shared" si="301"/>
        <v>0</v>
      </c>
      <c r="FL185" s="139">
        <f t="shared" si="302"/>
        <v>0</v>
      </c>
      <c r="FM185" s="139">
        <f t="shared" si="303"/>
        <v>0</v>
      </c>
      <c r="FN185" s="139">
        <f t="shared" si="304"/>
        <v>0</v>
      </c>
      <c r="FO185" s="139">
        <f t="shared" si="305"/>
        <v>0</v>
      </c>
      <c r="FP185" s="139">
        <f t="shared" si="306"/>
        <v>0</v>
      </c>
      <c r="FQ185" s="139">
        <f t="shared" si="307"/>
        <v>0</v>
      </c>
      <c r="FR185" s="139">
        <f t="shared" si="308"/>
        <v>0</v>
      </c>
      <c r="FS185" s="139">
        <f t="shared" si="309"/>
        <v>0</v>
      </c>
      <c r="FT185" s="139">
        <f t="shared" si="310"/>
        <v>0</v>
      </c>
      <c r="FU185" s="148">
        <f t="shared" si="311"/>
        <v>10.120115564150499</v>
      </c>
      <c r="FV185" s="149"/>
      <c r="FY185" s="210">
        <v>180</v>
      </c>
      <c r="FZ185">
        <v>12.584786079121521</v>
      </c>
      <c r="GA185">
        <v>13.438328873170043</v>
      </c>
      <c r="GB185">
        <v>2.3841789276458591</v>
      </c>
      <c r="GC185">
        <v>1.6628989592733459</v>
      </c>
      <c r="GD185">
        <v>0.53832129710358645</v>
      </c>
      <c r="GE185">
        <v>0.69830220682356636</v>
      </c>
      <c r="GF185">
        <v>5.7469281885170238</v>
      </c>
      <c r="GG185">
        <v>8.5576817859292706</v>
      </c>
      <c r="GH185">
        <v>9.0922939894572217</v>
      </c>
      <c r="GI185">
        <v>5.2319194387089709</v>
      </c>
      <c r="GJ185"/>
      <c r="GK185"/>
      <c r="GL185"/>
      <c r="GM185"/>
    </row>
    <row r="186" spans="1:195" s="7" customFormat="1">
      <c r="A186" s="1"/>
      <c r="B186" s="76">
        <f ca="1">IF(C186="", "", RAND())</f>
        <v>0.46856248470313688</v>
      </c>
      <c r="C186">
        <v>1</v>
      </c>
      <c r="D186">
        <v>39987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 s="2"/>
      <c r="AK186" s="80"/>
      <c r="AL186" s="74"/>
      <c r="AM186" s="43">
        <v>170</v>
      </c>
      <c r="AN186">
        <v>133.38318360475753</v>
      </c>
      <c r="AO186">
        <v>11.125495767350131</v>
      </c>
      <c r="AP186">
        <v>111.20221497995732</v>
      </c>
      <c r="AQ186">
        <v>96.49092366736204</v>
      </c>
      <c r="AR186">
        <v>11.051677060283705</v>
      </c>
      <c r="AS186">
        <v>167.24111070809354</v>
      </c>
      <c r="AT186">
        <v>6.4397399837208704</v>
      </c>
      <c r="AU186">
        <v>29.765760274405913</v>
      </c>
      <c r="AV186"/>
      <c r="AW186"/>
      <c r="AX186" s="146"/>
      <c r="AY186" s="76">
        <f t="shared" ca="1" si="201"/>
        <v>0.805736972329262</v>
      </c>
      <c r="AZ186">
        <v>9</v>
      </c>
      <c r="BA186" s="129">
        <f t="shared" si="278"/>
        <v>39987</v>
      </c>
      <c r="BB186">
        <v>0</v>
      </c>
      <c r="BC186">
        <v>0</v>
      </c>
      <c r="BD186">
        <v>0</v>
      </c>
      <c r="BE186">
        <v>0</v>
      </c>
      <c r="BF186">
        <v>2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 s="147"/>
      <c r="CH186" s="176"/>
      <c r="CJ186" s="146"/>
      <c r="CK186" s="76">
        <f t="shared" ca="1" si="237"/>
        <v>0.27823705076695671</v>
      </c>
      <c r="CL186" s="179">
        <f t="shared" si="238"/>
        <v>9</v>
      </c>
      <c r="CM186" s="180">
        <f t="shared" si="239"/>
        <v>39987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 s="160"/>
      <c r="CW186">
        <v>1</v>
      </c>
      <c r="CX186">
        <f>350/52</f>
        <v>6.7307692307692308</v>
      </c>
      <c r="CY186" s="165"/>
      <c r="CZ186" s="177">
        <f t="shared" si="240"/>
        <v>9.6000000000000002E-2</v>
      </c>
      <c r="DB186" s="146"/>
      <c r="DC186" s="76">
        <f t="shared" ca="1" si="203"/>
        <v>0.28599374410164291</v>
      </c>
      <c r="DD186">
        <f t="shared" si="241"/>
        <v>9</v>
      </c>
      <c r="DE186" s="129">
        <f t="shared" si="277"/>
        <v>39987</v>
      </c>
      <c r="DF186" s="161">
        <f t="shared" si="242"/>
        <v>0</v>
      </c>
      <c r="DG186" s="161">
        <f t="shared" si="243"/>
        <v>0</v>
      </c>
      <c r="DH186" s="161">
        <f t="shared" si="244"/>
        <v>0</v>
      </c>
      <c r="DI186" s="161">
        <f t="shared" si="245"/>
        <v>0</v>
      </c>
      <c r="DJ186" s="161">
        <f t="shared" si="246"/>
        <v>20.833333333333332</v>
      </c>
      <c r="DK186" s="161">
        <f t="shared" si="247"/>
        <v>0</v>
      </c>
      <c r="DL186" s="161">
        <f t="shared" si="248"/>
        <v>0</v>
      </c>
      <c r="DM186" s="161">
        <f t="shared" si="249"/>
        <v>0</v>
      </c>
      <c r="DN186" s="161">
        <f t="shared" si="250"/>
        <v>0</v>
      </c>
      <c r="DO186" s="161">
        <f t="shared" si="251"/>
        <v>0</v>
      </c>
      <c r="DP186" s="161">
        <f t="shared" si="252"/>
        <v>0</v>
      </c>
      <c r="DQ186" s="161">
        <f t="shared" si="253"/>
        <v>0</v>
      </c>
      <c r="DR186" s="161">
        <f t="shared" si="254"/>
        <v>0</v>
      </c>
      <c r="DS186" s="161">
        <f t="shared" si="255"/>
        <v>0</v>
      </c>
      <c r="DT186" s="161">
        <f t="shared" si="256"/>
        <v>0</v>
      </c>
      <c r="DU186" s="161">
        <f t="shared" si="257"/>
        <v>0</v>
      </c>
      <c r="DV186" s="161">
        <f t="shared" si="258"/>
        <v>0</v>
      </c>
      <c r="DW186" s="161">
        <f t="shared" si="259"/>
        <v>0</v>
      </c>
      <c r="DX186" s="161">
        <f t="shared" si="260"/>
        <v>0</v>
      </c>
      <c r="DY186" s="161">
        <f t="shared" si="261"/>
        <v>0</v>
      </c>
      <c r="DZ186" s="161">
        <f t="shared" si="262"/>
        <v>0</v>
      </c>
      <c r="EA186" s="161">
        <f t="shared" si="263"/>
        <v>0</v>
      </c>
      <c r="EB186" s="161">
        <f t="shared" si="264"/>
        <v>0</v>
      </c>
      <c r="EC186" s="161">
        <f t="shared" si="265"/>
        <v>0</v>
      </c>
      <c r="ED186" s="161">
        <f t="shared" si="266"/>
        <v>0</v>
      </c>
      <c r="EE186" s="161">
        <f t="shared" si="267"/>
        <v>0</v>
      </c>
      <c r="EF186" s="161">
        <f t="shared" si="268"/>
        <v>0</v>
      </c>
      <c r="EG186" s="161">
        <f t="shared" si="269"/>
        <v>0</v>
      </c>
      <c r="EH186" s="161">
        <f t="shared" si="270"/>
        <v>0</v>
      </c>
      <c r="EI186" s="161">
        <f t="shared" si="271"/>
        <v>0</v>
      </c>
      <c r="EJ186" s="161">
        <f t="shared" si="272"/>
        <v>0</v>
      </c>
      <c r="EK186" s="147">
        <f t="shared" si="279"/>
        <v>20.833333333333332</v>
      </c>
      <c r="EL186" s="149"/>
      <c r="EN186" s="146"/>
      <c r="EO186" s="146"/>
      <c r="EP186" s="139">
        <f t="shared" si="280"/>
        <v>0</v>
      </c>
      <c r="EQ186" s="139">
        <f t="shared" si="281"/>
        <v>0</v>
      </c>
      <c r="ER186" s="139">
        <f t="shared" si="282"/>
        <v>0</v>
      </c>
      <c r="ES186" s="139">
        <f t="shared" si="283"/>
        <v>0</v>
      </c>
      <c r="ET186" s="139">
        <f t="shared" si="284"/>
        <v>3.758900066684471</v>
      </c>
      <c r="EU186" s="139">
        <f t="shared" si="285"/>
        <v>0</v>
      </c>
      <c r="EV186" s="139">
        <f t="shared" si="286"/>
        <v>0</v>
      </c>
      <c r="EW186" s="139">
        <f t="shared" si="287"/>
        <v>0</v>
      </c>
      <c r="EX186" s="139">
        <f t="shared" si="288"/>
        <v>0</v>
      </c>
      <c r="EY186" s="139">
        <f t="shared" si="289"/>
        <v>0</v>
      </c>
      <c r="EZ186" s="139">
        <f t="shared" si="290"/>
        <v>0</v>
      </c>
      <c r="FA186" s="139">
        <f t="shared" si="291"/>
        <v>0</v>
      </c>
      <c r="FB186" s="139">
        <f t="shared" si="292"/>
        <v>0</v>
      </c>
      <c r="FC186" s="139">
        <f t="shared" si="293"/>
        <v>0</v>
      </c>
      <c r="FD186" s="139">
        <f t="shared" si="294"/>
        <v>0</v>
      </c>
      <c r="FE186" s="139">
        <f t="shared" si="295"/>
        <v>0</v>
      </c>
      <c r="FF186" s="139">
        <f t="shared" si="296"/>
        <v>0</v>
      </c>
      <c r="FG186" s="139">
        <f t="shared" si="297"/>
        <v>0</v>
      </c>
      <c r="FH186" s="139">
        <f t="shared" si="298"/>
        <v>0</v>
      </c>
      <c r="FI186" s="139">
        <f t="shared" si="299"/>
        <v>0</v>
      </c>
      <c r="FJ186" s="139">
        <f t="shared" si="300"/>
        <v>0</v>
      </c>
      <c r="FK186" s="139">
        <f t="shared" si="301"/>
        <v>0</v>
      </c>
      <c r="FL186" s="139">
        <f t="shared" si="302"/>
        <v>0</v>
      </c>
      <c r="FM186" s="139">
        <f t="shared" si="303"/>
        <v>0</v>
      </c>
      <c r="FN186" s="139">
        <f t="shared" si="304"/>
        <v>0</v>
      </c>
      <c r="FO186" s="139">
        <f t="shared" si="305"/>
        <v>0</v>
      </c>
      <c r="FP186" s="139">
        <f t="shared" si="306"/>
        <v>0</v>
      </c>
      <c r="FQ186" s="139">
        <f t="shared" si="307"/>
        <v>0</v>
      </c>
      <c r="FR186" s="139">
        <f t="shared" si="308"/>
        <v>0</v>
      </c>
      <c r="FS186" s="139">
        <f t="shared" si="309"/>
        <v>0</v>
      </c>
      <c r="FT186" s="139">
        <f t="shared" si="310"/>
        <v>0</v>
      </c>
      <c r="FU186" s="148">
        <f t="shared" si="311"/>
        <v>3.758900066684471</v>
      </c>
      <c r="FV186" s="149"/>
      <c r="FY186" s="210">
        <v>181</v>
      </c>
      <c r="FZ186">
        <v>11.426202547168119</v>
      </c>
      <c r="GA186">
        <v>13.861155220711717</v>
      </c>
      <c r="GB186">
        <v>1.1640757913004627</v>
      </c>
      <c r="GC186">
        <v>0.75519533652390369</v>
      </c>
      <c r="GD186">
        <v>1.2906230460451913</v>
      </c>
      <c r="GE186">
        <v>3.1196371802697747</v>
      </c>
      <c r="GF186">
        <v>6.5579900367092954</v>
      </c>
      <c r="GG186">
        <v>13.646779489609628</v>
      </c>
      <c r="GH186">
        <v>16.656523171739131</v>
      </c>
      <c r="GI186">
        <v>6.5583691841997833</v>
      </c>
      <c r="GJ186"/>
      <c r="GK186"/>
      <c r="GL186"/>
      <c r="GM186"/>
    </row>
    <row r="187" spans="1:195" s="7" customFormat="1">
      <c r="A187" s="1"/>
      <c r="B187" s="76">
        <f ca="1">IF(C187="", "", RAND())</f>
        <v>0.43393816126204321</v>
      </c>
      <c r="C187">
        <v>6</v>
      </c>
      <c r="D187">
        <v>39987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10.416666666666666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 s="2"/>
      <c r="AK187" s="80"/>
      <c r="AL187" s="74"/>
      <c r="AM187" s="43">
        <v>171</v>
      </c>
      <c r="AN187">
        <v>75.292051276273952</v>
      </c>
      <c r="AO187">
        <v>4.7413450552098073</v>
      </c>
      <c r="AP187">
        <v>42.046857264939739</v>
      </c>
      <c r="AQ187">
        <v>33.513000828071</v>
      </c>
      <c r="AR187">
        <v>4.5904487015010664</v>
      </c>
      <c r="AS187">
        <v>77.435203312329804</v>
      </c>
      <c r="AT187">
        <v>2.6403574438129001</v>
      </c>
      <c r="AU187">
        <v>6.750054817524294</v>
      </c>
      <c r="AV187"/>
      <c r="AW187"/>
      <c r="AX187" s="146"/>
      <c r="AY187" s="76">
        <f t="shared" ca="1" si="201"/>
        <v>0.89543809608657998</v>
      </c>
      <c r="AZ187">
        <v>10</v>
      </c>
      <c r="BA187" s="129">
        <f t="shared" si="278"/>
        <v>39987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1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 s="147"/>
      <c r="CH187" s="176"/>
      <c r="CJ187" s="146"/>
      <c r="CK187" s="76">
        <f t="shared" ca="1" si="237"/>
        <v>0.91083910611772279</v>
      </c>
      <c r="CL187" s="179">
        <f t="shared" si="238"/>
        <v>10</v>
      </c>
      <c r="CM187" s="180">
        <f t="shared" si="239"/>
        <v>39987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 s="160"/>
      <c r="CW187">
        <v>1</v>
      </c>
      <c r="CX187">
        <f>350/73</f>
        <v>4.7945205479452051</v>
      </c>
      <c r="CY187" s="165"/>
      <c r="CZ187" s="177">
        <f t="shared" si="240"/>
        <v>9.6000000000000002E-2</v>
      </c>
      <c r="DB187" s="146"/>
      <c r="DC187" s="76">
        <f t="shared" ca="1" si="203"/>
        <v>0.87373151508521119</v>
      </c>
      <c r="DD187">
        <f t="shared" si="241"/>
        <v>10</v>
      </c>
      <c r="DE187" s="129">
        <f t="shared" si="277"/>
        <v>39987</v>
      </c>
      <c r="DF187" s="161">
        <f t="shared" si="242"/>
        <v>0</v>
      </c>
      <c r="DG187" s="161">
        <f t="shared" si="243"/>
        <v>0</v>
      </c>
      <c r="DH187" s="161">
        <f t="shared" si="244"/>
        <v>0</v>
      </c>
      <c r="DI187" s="161">
        <f t="shared" si="245"/>
        <v>0</v>
      </c>
      <c r="DJ187" s="161">
        <f t="shared" si="246"/>
        <v>0</v>
      </c>
      <c r="DK187" s="161">
        <f t="shared" si="247"/>
        <v>0</v>
      </c>
      <c r="DL187" s="161">
        <f t="shared" si="248"/>
        <v>0</v>
      </c>
      <c r="DM187" s="161">
        <f t="shared" si="249"/>
        <v>10.416666666666666</v>
      </c>
      <c r="DN187" s="161">
        <f t="shared" si="250"/>
        <v>0</v>
      </c>
      <c r="DO187" s="161">
        <f t="shared" si="251"/>
        <v>0</v>
      </c>
      <c r="DP187" s="161">
        <f t="shared" si="252"/>
        <v>0</v>
      </c>
      <c r="DQ187" s="161">
        <f t="shared" si="253"/>
        <v>0</v>
      </c>
      <c r="DR187" s="161">
        <f t="shared" si="254"/>
        <v>0</v>
      </c>
      <c r="DS187" s="161">
        <f t="shared" si="255"/>
        <v>0</v>
      </c>
      <c r="DT187" s="161">
        <f t="shared" si="256"/>
        <v>0</v>
      </c>
      <c r="DU187" s="161">
        <f t="shared" si="257"/>
        <v>0</v>
      </c>
      <c r="DV187" s="161">
        <f t="shared" si="258"/>
        <v>0</v>
      </c>
      <c r="DW187" s="161">
        <f t="shared" si="259"/>
        <v>0</v>
      </c>
      <c r="DX187" s="161">
        <f t="shared" si="260"/>
        <v>0</v>
      </c>
      <c r="DY187" s="161">
        <f t="shared" si="261"/>
        <v>0</v>
      </c>
      <c r="DZ187" s="161">
        <f t="shared" si="262"/>
        <v>0</v>
      </c>
      <c r="EA187" s="161">
        <f t="shared" si="263"/>
        <v>0</v>
      </c>
      <c r="EB187" s="161">
        <f t="shared" si="264"/>
        <v>0</v>
      </c>
      <c r="EC187" s="161">
        <f t="shared" si="265"/>
        <v>0</v>
      </c>
      <c r="ED187" s="161">
        <f t="shared" si="266"/>
        <v>0</v>
      </c>
      <c r="EE187" s="161">
        <f t="shared" si="267"/>
        <v>0</v>
      </c>
      <c r="EF187" s="161">
        <f t="shared" si="268"/>
        <v>0</v>
      </c>
      <c r="EG187" s="161">
        <f t="shared" si="269"/>
        <v>0</v>
      </c>
      <c r="EH187" s="161">
        <f t="shared" si="270"/>
        <v>0</v>
      </c>
      <c r="EI187" s="161">
        <f t="shared" si="271"/>
        <v>0</v>
      </c>
      <c r="EJ187" s="161">
        <f t="shared" si="272"/>
        <v>0</v>
      </c>
      <c r="EK187" s="147">
        <f t="shared" si="279"/>
        <v>10.416666666666666</v>
      </c>
      <c r="EL187" s="149"/>
      <c r="EN187" s="146"/>
      <c r="EO187" s="146"/>
      <c r="EP187" s="139">
        <f t="shared" si="280"/>
        <v>0</v>
      </c>
      <c r="EQ187" s="139">
        <f t="shared" si="281"/>
        <v>0</v>
      </c>
      <c r="ER187" s="139">
        <f t="shared" si="282"/>
        <v>0</v>
      </c>
      <c r="ES187" s="139">
        <f t="shared" si="283"/>
        <v>0</v>
      </c>
      <c r="ET187" s="139">
        <f t="shared" si="284"/>
        <v>0</v>
      </c>
      <c r="EU187" s="139">
        <f t="shared" si="285"/>
        <v>0</v>
      </c>
      <c r="EV187" s="139">
        <f t="shared" si="286"/>
        <v>0</v>
      </c>
      <c r="EW187" s="139">
        <f t="shared" si="287"/>
        <v>9.0414604478692766</v>
      </c>
      <c r="EX187" s="139">
        <f t="shared" si="288"/>
        <v>0</v>
      </c>
      <c r="EY187" s="139">
        <f t="shared" si="289"/>
        <v>0</v>
      </c>
      <c r="EZ187" s="139">
        <f t="shared" si="290"/>
        <v>0</v>
      </c>
      <c r="FA187" s="139">
        <f t="shared" si="291"/>
        <v>0</v>
      </c>
      <c r="FB187" s="139">
        <f t="shared" si="292"/>
        <v>0</v>
      </c>
      <c r="FC187" s="139">
        <f t="shared" si="293"/>
        <v>0</v>
      </c>
      <c r="FD187" s="139">
        <f t="shared" si="294"/>
        <v>0</v>
      </c>
      <c r="FE187" s="139">
        <f t="shared" si="295"/>
        <v>0</v>
      </c>
      <c r="FF187" s="139">
        <f t="shared" si="296"/>
        <v>0</v>
      </c>
      <c r="FG187" s="139">
        <f t="shared" si="297"/>
        <v>0</v>
      </c>
      <c r="FH187" s="139">
        <f t="shared" si="298"/>
        <v>0</v>
      </c>
      <c r="FI187" s="139">
        <f t="shared" si="299"/>
        <v>0</v>
      </c>
      <c r="FJ187" s="139">
        <f t="shared" si="300"/>
        <v>0</v>
      </c>
      <c r="FK187" s="139">
        <f t="shared" si="301"/>
        <v>0</v>
      </c>
      <c r="FL187" s="139">
        <f t="shared" si="302"/>
        <v>0</v>
      </c>
      <c r="FM187" s="139">
        <f t="shared" si="303"/>
        <v>0</v>
      </c>
      <c r="FN187" s="139">
        <f t="shared" si="304"/>
        <v>0</v>
      </c>
      <c r="FO187" s="139">
        <f t="shared" si="305"/>
        <v>0</v>
      </c>
      <c r="FP187" s="139">
        <f t="shared" si="306"/>
        <v>0</v>
      </c>
      <c r="FQ187" s="139">
        <f t="shared" si="307"/>
        <v>0</v>
      </c>
      <c r="FR187" s="139">
        <f t="shared" si="308"/>
        <v>0</v>
      </c>
      <c r="FS187" s="139">
        <f t="shared" si="309"/>
        <v>0</v>
      </c>
      <c r="FT187" s="139">
        <f t="shared" si="310"/>
        <v>0</v>
      </c>
      <c r="FU187" s="148">
        <f t="shared" si="311"/>
        <v>9.0414604478692766</v>
      </c>
      <c r="FV187" s="149"/>
      <c r="FY187" s="210">
        <v>182</v>
      </c>
      <c r="FZ187">
        <v>12.853537254938972</v>
      </c>
      <c r="GA187">
        <v>14.684731495474193</v>
      </c>
      <c r="GB187">
        <v>3.6086459679131484</v>
      </c>
      <c r="GC187">
        <v>2.0581102279766759</v>
      </c>
      <c r="GD187">
        <v>1.4864690846786126</v>
      </c>
      <c r="GE187">
        <v>3.7344084866150657</v>
      </c>
      <c r="GF187">
        <v>9.2168789364754389</v>
      </c>
      <c r="GG187">
        <v>9.7391486037892889</v>
      </c>
      <c r="GH187">
        <v>8.5593053664591032</v>
      </c>
      <c r="GI187">
        <v>6.6853028933352618</v>
      </c>
      <c r="GJ187"/>
      <c r="GK187"/>
      <c r="GL187"/>
      <c r="GM187"/>
    </row>
    <row r="188" spans="1:195" s="7" customFormat="1">
      <c r="A188" s="128"/>
      <c r="B188" s="76" t="str">
        <f ca="1">IF(C188="", "", RAND())</f>
        <v/>
      </c>
      <c r="C188" t="s">
        <v>104</v>
      </c>
      <c r="D188" t="s">
        <v>104</v>
      </c>
      <c r="E188" t="s">
        <v>104</v>
      </c>
      <c r="F188" t="s">
        <v>104</v>
      </c>
      <c r="G188" t="s">
        <v>104</v>
      </c>
      <c r="H188" t="s">
        <v>104</v>
      </c>
      <c r="I188" t="s">
        <v>104</v>
      </c>
      <c r="J188" t="s">
        <v>104</v>
      </c>
      <c r="K188" t="s">
        <v>104</v>
      </c>
      <c r="L188" t="s">
        <v>104</v>
      </c>
      <c r="M188" t="s">
        <v>104</v>
      </c>
      <c r="N188" t="s">
        <v>104</v>
      </c>
      <c r="O188" t="s">
        <v>104</v>
      </c>
      <c r="P188" t="s">
        <v>104</v>
      </c>
      <c r="Q188" t="s">
        <v>104</v>
      </c>
      <c r="R188" t="s">
        <v>104</v>
      </c>
      <c r="S188" t="s">
        <v>104</v>
      </c>
      <c r="T188" t="s">
        <v>104</v>
      </c>
      <c r="U188" t="s">
        <v>104</v>
      </c>
      <c r="V188" t="s">
        <v>104</v>
      </c>
      <c r="W188" t="s">
        <v>104</v>
      </c>
      <c r="X188" t="s">
        <v>104</v>
      </c>
      <c r="Y188" t="s">
        <v>104</v>
      </c>
      <c r="Z188" t="s">
        <v>104</v>
      </c>
      <c r="AA188" t="s">
        <v>104</v>
      </c>
      <c r="AB188" t="s">
        <v>104</v>
      </c>
      <c r="AC188" t="s">
        <v>104</v>
      </c>
      <c r="AD188" t="s">
        <v>104</v>
      </c>
      <c r="AE188" t="s">
        <v>104</v>
      </c>
      <c r="AF188" t="s">
        <v>104</v>
      </c>
      <c r="AG188" t="s">
        <v>104</v>
      </c>
      <c r="AH188" t="s">
        <v>104</v>
      </c>
      <c r="AI188" t="s">
        <v>104</v>
      </c>
      <c r="AJ188" s="2"/>
      <c r="AK188" s="80"/>
      <c r="AL188" s="74">
        <v>3.0028000000000028</v>
      </c>
      <c r="AM188" s="43">
        <v>172</v>
      </c>
      <c r="AN188">
        <v>139.42175757287038</v>
      </c>
      <c r="AO188">
        <v>11.705489402001863</v>
      </c>
      <c r="AP188">
        <v>117.31100276515069</v>
      </c>
      <c r="AQ188">
        <v>99.473259744320814</v>
      </c>
      <c r="AR188">
        <v>11.240183333157255</v>
      </c>
      <c r="AS188">
        <v>192.24292576663959</v>
      </c>
      <c r="AT188">
        <v>6.8088387990212622</v>
      </c>
      <c r="AU188">
        <v>19.262986850635766</v>
      </c>
      <c r="AV188"/>
      <c r="AW188"/>
      <c r="AX188" s="128"/>
      <c r="AY188" s="76" t="str">
        <f t="shared" ca="1" si="201"/>
        <v/>
      </c>
      <c r="AZ188"/>
      <c r="BA188" s="129" t="s">
        <v>104</v>
      </c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 s="147"/>
      <c r="CH188" s="176"/>
      <c r="CJ188" s="128"/>
      <c r="CK188" s="76" t="str">
        <f t="shared" ca="1" si="237"/>
        <v/>
      </c>
      <c r="CL188" s="179" t="str">
        <f t="shared" si="238"/>
        <v/>
      </c>
      <c r="CM188" s="180" t="str">
        <f t="shared" si="239"/>
        <v/>
      </c>
      <c r="CN188"/>
      <c r="CO188"/>
      <c r="CP188"/>
      <c r="CQ188"/>
      <c r="CR188"/>
      <c r="CS188"/>
      <c r="CT188"/>
      <c r="CU188"/>
      <c r="CV188" s="160"/>
      <c r="CW188"/>
      <c r="CX188"/>
      <c r="CY188" s="160"/>
      <c r="CZ188" s="177" t="str">
        <f t="shared" si="240"/>
        <v/>
      </c>
      <c r="DB188" s="128"/>
      <c r="DC188" s="76" t="str">
        <f t="shared" ca="1" si="203"/>
        <v/>
      </c>
      <c r="DD188" t="str">
        <f t="shared" si="241"/>
        <v/>
      </c>
      <c r="DE188" s="129" t="str">
        <f t="shared" ref="DE188:DE197" si="312">IF((DD188)="", "", $C$14)</f>
        <v/>
      </c>
      <c r="DF188" s="161" t="str">
        <f t="shared" ref="DF188:DF207" si="313">IF($AZ188="", "", ((BB188*$CW188)+(CN188*$CX188))/$CZ188)</f>
        <v/>
      </c>
      <c r="DG188" s="161" t="str">
        <f t="shared" ref="DG188:DG207" si="314">IF($AZ188="", "", ((BC188*$CW188)+(CO188*$CX188))/$CZ188)</f>
        <v/>
      </c>
      <c r="DH188" s="161" t="str">
        <f t="shared" ref="DH188:DH207" si="315">IF($AZ188="", "", ((BD188*$CW188)+(CP188*$CX188))/$CZ188)</f>
        <v/>
      </c>
      <c r="DI188" s="161" t="str">
        <f t="shared" ref="DI188:DI207" si="316">IF($AZ188="", "", ((BE188*$CW188)+(CQ188*$CX188))/$CZ188)</f>
        <v/>
      </c>
      <c r="DJ188" s="161" t="str">
        <f t="shared" ref="DJ188:DJ207" si="317">IF($AZ188="", "", ((BF188*$CW188)+(CR188*$CX188))/$CZ188)</f>
        <v/>
      </c>
      <c r="DK188" s="161" t="str">
        <f t="shared" ref="DK188:DK207" si="318">IF($AZ188="", "", ((BG188*$CW188)+(CS188*$CX188))/$CZ188)</f>
        <v/>
      </c>
      <c r="DL188" s="161" t="str">
        <f t="shared" ref="DL188:DL207" si="319">IF($AZ188="", "", ((BH188*$CW188)+(CT188*$CX188))/$CZ188)</f>
        <v/>
      </c>
      <c r="DM188" s="161" t="str">
        <f t="shared" ref="DM188:DM207" si="320">IF($AZ188="", "", ((BI188*$CW188)+(CU188*$CX188))/$CZ188)</f>
        <v/>
      </c>
      <c r="DN188" s="161" t="str">
        <f>IF($AZ188="", "", (BJ188*$CW188)/$CZ188)</f>
        <v/>
      </c>
      <c r="DO188" s="161" t="str">
        <f t="shared" ref="DO188:DO193" si="321">IF($AZ188="", "", (BK187*$CW188)/$CZ188)</f>
        <v/>
      </c>
      <c r="DP188" s="161" t="str">
        <f t="shared" ref="DP188:DP193" si="322">IF($AZ188="", "", (BL187*$CW188)/$CZ188)</f>
        <v/>
      </c>
      <c r="DQ188" s="161" t="str">
        <f t="shared" ref="DQ188:DQ193" si="323">IF($AZ188="", "", (BM187*$CW188)/$CZ188)</f>
        <v/>
      </c>
      <c r="DR188" s="161" t="str">
        <f t="shared" ref="DR188:DR193" si="324">IF($AZ188="", "", (BN187*$CW188)/$CZ188)</f>
        <v/>
      </c>
      <c r="DS188" s="161" t="str">
        <f t="shared" ref="DS188:DS193" si="325">IF($AZ188="", "", (BO187*$CW188)/$CZ188)</f>
        <v/>
      </c>
      <c r="DT188" s="161" t="str">
        <f t="shared" ref="DT188:DT193" si="326">IF($AZ188="", "", (BP187*$CW188)/$CZ188)</f>
        <v/>
      </c>
      <c r="DU188" s="161" t="str">
        <f t="shared" ref="DU188:DU193" si="327">IF($AZ188="", "", (BQ187*$CW188)/$CZ188)</f>
        <v/>
      </c>
      <c r="DV188" s="161" t="str">
        <f t="shared" ref="DV188:DV193" si="328">IF($AZ188="", "", (BR187*$CW188)/$CZ188)</f>
        <v/>
      </c>
      <c r="DW188" s="161" t="str">
        <f t="shared" ref="DW188:DW193" si="329">IF($AZ188="", "", (BS187*$CW188)/$CZ188)</f>
        <v/>
      </c>
      <c r="DX188" s="161" t="str">
        <f t="shared" ref="DX188:DX193" si="330">IF($AZ188="", "", (BT187*$CW188)/$CZ188)</f>
        <v/>
      </c>
      <c r="DY188" s="161" t="str">
        <f t="shared" ref="DY188:DY193" si="331">IF($AZ188="", "", (BU187*$CW188)/$CZ188)</f>
        <v/>
      </c>
      <c r="DZ188" s="161" t="str">
        <f t="shared" ref="DZ188:DZ193" si="332">IF($AZ188="", "", (BV187*$CW188)/$CZ188)</f>
        <v/>
      </c>
      <c r="EA188" s="161" t="str">
        <f t="shared" ref="EA188:EA193" si="333">IF($AZ188="", "", (BW187*$CW188)/$CZ188)</f>
        <v/>
      </c>
      <c r="EB188" s="161" t="str">
        <f t="shared" ref="EB188:EB193" si="334">IF($AZ188="", "", (BX187*$CW188)/$CZ188)</f>
        <v/>
      </c>
      <c r="EC188" s="161" t="str">
        <f t="shared" ref="EC188:EC193" si="335">IF($AZ188="", "", (BY187*$CW188)/$CZ188)</f>
        <v/>
      </c>
      <c r="ED188" s="161" t="str">
        <f t="shared" ref="ED188:ED193" si="336">IF($AZ188="", "", (BZ187*$CW188)/$CZ188)</f>
        <v/>
      </c>
      <c r="EE188" s="161" t="str">
        <f t="shared" ref="EE188:EE193" si="337">IF($AZ188="", "", (CA187*$CW188)/$CZ188)</f>
        <v/>
      </c>
      <c r="EF188" s="161" t="str">
        <f t="shared" ref="EF188:EF193" si="338">IF($AZ188="", "", (CB187*$CW188)/$CZ188)</f>
        <v/>
      </c>
      <c r="EG188" s="161" t="str">
        <f t="shared" ref="EG188:EG193" si="339">IF($AZ188="", "", (CC187*$CW188)/$CZ188)</f>
        <v/>
      </c>
      <c r="EH188" s="161" t="str">
        <f t="shared" ref="EH188:EH193" si="340">IF($AZ188="", "", (CD187*$CW188)/$CZ188)</f>
        <v/>
      </c>
      <c r="EI188" s="161" t="str">
        <f t="shared" ref="EI188:EI193" si="341">IF($AZ188="", "", (CE187*$CW188)/$CZ188)</f>
        <v/>
      </c>
      <c r="EJ188" s="161" t="str">
        <f t="shared" ref="EJ188:EJ193" si="342">IF($AZ188="", "", (CF187*$CW188)/$CZ188)</f>
        <v/>
      </c>
      <c r="EK188" s="147" t="str">
        <f t="shared" si="279"/>
        <v/>
      </c>
      <c r="EL188" s="149"/>
      <c r="EN188" s="146"/>
      <c r="EO188" s="146"/>
      <c r="EP188" s="139" t="str">
        <f t="shared" si="280"/>
        <v/>
      </c>
      <c r="EQ188" s="139" t="str">
        <f t="shared" si="281"/>
        <v/>
      </c>
      <c r="ER188" s="139" t="str">
        <f t="shared" si="282"/>
        <v/>
      </c>
      <c r="ES188" s="139" t="str">
        <f t="shared" si="283"/>
        <v/>
      </c>
      <c r="ET188" s="139" t="str">
        <f t="shared" si="284"/>
        <v/>
      </c>
      <c r="EU188" s="139" t="str">
        <f t="shared" si="285"/>
        <v/>
      </c>
      <c r="EV188" s="139" t="str">
        <f t="shared" si="286"/>
        <v/>
      </c>
      <c r="EW188" s="139" t="str">
        <f t="shared" si="287"/>
        <v/>
      </c>
      <c r="EX188" s="139" t="str">
        <f t="shared" si="288"/>
        <v/>
      </c>
      <c r="EY188" s="139" t="str">
        <f t="shared" si="289"/>
        <v/>
      </c>
      <c r="EZ188" s="139" t="str">
        <f t="shared" si="290"/>
        <v/>
      </c>
      <c r="FA188" s="139" t="str">
        <f t="shared" si="291"/>
        <v/>
      </c>
      <c r="FB188" s="139" t="str">
        <f t="shared" si="292"/>
        <v/>
      </c>
      <c r="FC188" s="139" t="str">
        <f t="shared" si="293"/>
        <v/>
      </c>
      <c r="FD188" s="139" t="str">
        <f t="shared" si="294"/>
        <v/>
      </c>
      <c r="FE188" s="139" t="str">
        <f t="shared" si="295"/>
        <v/>
      </c>
      <c r="FF188" s="139" t="str">
        <f t="shared" si="296"/>
        <v/>
      </c>
      <c r="FG188" s="139" t="str">
        <f t="shared" si="297"/>
        <v/>
      </c>
      <c r="FH188" s="139" t="str">
        <f t="shared" si="298"/>
        <v/>
      </c>
      <c r="FI188" s="139" t="str">
        <f t="shared" si="299"/>
        <v/>
      </c>
      <c r="FJ188" s="139" t="str">
        <f t="shared" si="300"/>
        <v/>
      </c>
      <c r="FK188" s="139" t="str">
        <f t="shared" si="301"/>
        <v/>
      </c>
      <c r="FL188" s="139" t="str">
        <f t="shared" si="302"/>
        <v/>
      </c>
      <c r="FM188" s="139" t="str">
        <f t="shared" si="303"/>
        <v/>
      </c>
      <c r="FN188" s="139" t="str">
        <f t="shared" si="304"/>
        <v/>
      </c>
      <c r="FO188" s="139" t="str">
        <f t="shared" si="305"/>
        <v/>
      </c>
      <c r="FP188" s="139" t="str">
        <f t="shared" si="306"/>
        <v/>
      </c>
      <c r="FQ188" s="139" t="str">
        <f t="shared" si="307"/>
        <v/>
      </c>
      <c r="FR188" s="139" t="str">
        <f t="shared" si="308"/>
        <v/>
      </c>
      <c r="FS188" s="139" t="str">
        <f t="shared" si="309"/>
        <v/>
      </c>
      <c r="FT188" s="139" t="str">
        <f t="shared" si="310"/>
        <v/>
      </c>
      <c r="FU188" s="148" t="str">
        <f t="shared" si="311"/>
        <v/>
      </c>
      <c r="FV188" s="149"/>
      <c r="FY188" s="210">
        <v>183</v>
      </c>
      <c r="FZ188">
        <v>22.368648659189727</v>
      </c>
      <c r="GA188">
        <v>27.332244128890185</v>
      </c>
      <c r="GB188">
        <v>1.8429352848613465</v>
      </c>
      <c r="GC188">
        <v>0.74971078257529</v>
      </c>
      <c r="GD188">
        <v>0.82283447527706399</v>
      </c>
      <c r="GE188">
        <v>2.499306102631186</v>
      </c>
      <c r="GF188">
        <v>4.7874179132046644</v>
      </c>
      <c r="GG188">
        <v>7.009601574504245</v>
      </c>
      <c r="GH188">
        <v>9.7234988095294153</v>
      </c>
      <c r="GI188">
        <v>6.6458287028201006</v>
      </c>
      <c r="GJ188"/>
      <c r="GK188"/>
      <c r="GL188"/>
      <c r="GM188"/>
    </row>
    <row r="189" spans="1:195" s="7" customFormat="1">
      <c r="A189" s="1"/>
      <c r="B189" s="76" t="str">
        <f ca="1">IF(C189="", "", RAND())</f>
        <v/>
      </c>
      <c r="C189" t="s">
        <v>104</v>
      </c>
      <c r="D189" t="s">
        <v>104</v>
      </c>
      <c r="E189" t="s">
        <v>104</v>
      </c>
      <c r="F189" t="s">
        <v>104</v>
      </c>
      <c r="G189" t="s">
        <v>104</v>
      </c>
      <c r="H189" t="s">
        <v>104</v>
      </c>
      <c r="I189" t="s">
        <v>104</v>
      </c>
      <c r="J189" t="s">
        <v>104</v>
      </c>
      <c r="K189" t="s">
        <v>104</v>
      </c>
      <c r="L189" t="s">
        <v>104</v>
      </c>
      <c r="M189" t="s">
        <v>104</v>
      </c>
      <c r="N189" t="s">
        <v>104</v>
      </c>
      <c r="O189" t="s">
        <v>104</v>
      </c>
      <c r="P189" t="s">
        <v>104</v>
      </c>
      <c r="Q189" t="s">
        <v>104</v>
      </c>
      <c r="R189" t="s">
        <v>104</v>
      </c>
      <c r="S189" t="s">
        <v>104</v>
      </c>
      <c r="T189" t="s">
        <v>104</v>
      </c>
      <c r="U189" t="s">
        <v>104</v>
      </c>
      <c r="V189" t="s">
        <v>104</v>
      </c>
      <c r="W189" t="s">
        <v>104</v>
      </c>
      <c r="X189" t="s">
        <v>104</v>
      </c>
      <c r="Y189" t="s">
        <v>104</v>
      </c>
      <c r="Z189" t="s">
        <v>104</v>
      </c>
      <c r="AA189" t="s">
        <v>104</v>
      </c>
      <c r="AB189" t="s">
        <v>104</v>
      </c>
      <c r="AC189" t="s">
        <v>104</v>
      </c>
      <c r="AD189" t="s">
        <v>104</v>
      </c>
      <c r="AE189" t="s">
        <v>104</v>
      </c>
      <c r="AF189" t="s">
        <v>104</v>
      </c>
      <c r="AG189" t="s">
        <v>104</v>
      </c>
      <c r="AH189" t="s">
        <v>104</v>
      </c>
      <c r="AI189" t="s">
        <v>104</v>
      </c>
      <c r="AJ189" s="2"/>
      <c r="AK189" s="80"/>
      <c r="AL189" s="74">
        <v>3.0028000000000028</v>
      </c>
      <c r="AM189" s="43">
        <v>173</v>
      </c>
      <c r="AN189">
        <v>96.255180461149919</v>
      </c>
      <c r="AO189">
        <v>9.8676390165238921</v>
      </c>
      <c r="AP189">
        <v>100.0532773146487</v>
      </c>
      <c r="AQ189">
        <v>85.23649452647588</v>
      </c>
      <c r="AR189">
        <v>9.8332046885563074</v>
      </c>
      <c r="AS189">
        <v>145.85881706721068</v>
      </c>
      <c r="AT189">
        <v>6.0803554012915457</v>
      </c>
      <c r="AU189">
        <v>7.9493122395363365</v>
      </c>
      <c r="AV189"/>
      <c r="AW189"/>
      <c r="AX189" s="146"/>
      <c r="AY189" s="76" t="str">
        <f t="shared" ca="1" si="201"/>
        <v/>
      </c>
      <c r="AZ189"/>
      <c r="BA189" s="129" t="s">
        <v>104</v>
      </c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 s="147"/>
      <c r="CH189" s="176"/>
      <c r="CJ189" s="146"/>
      <c r="CK189" s="76" t="str">
        <f t="shared" ca="1" si="237"/>
        <v/>
      </c>
      <c r="CL189" s="179" t="str">
        <f t="shared" si="238"/>
        <v/>
      </c>
      <c r="CM189" s="180" t="str">
        <f t="shared" si="239"/>
        <v/>
      </c>
      <c r="CN189"/>
      <c r="CO189"/>
      <c r="CP189"/>
      <c r="CQ189"/>
      <c r="CR189"/>
      <c r="CS189"/>
      <c r="CT189"/>
      <c r="CU189"/>
      <c r="CV189" s="160"/>
      <c r="CW189"/>
      <c r="CX189"/>
      <c r="CY189" s="160"/>
      <c r="CZ189" s="177" t="str">
        <f t="shared" si="240"/>
        <v/>
      </c>
      <c r="DB189" s="146"/>
      <c r="DC189" s="76" t="str">
        <f t="shared" ca="1" si="203"/>
        <v/>
      </c>
      <c r="DD189" t="str">
        <f t="shared" si="241"/>
        <v/>
      </c>
      <c r="DE189" s="129" t="str">
        <f t="shared" si="312"/>
        <v/>
      </c>
      <c r="DF189" s="161" t="str">
        <f t="shared" si="313"/>
        <v/>
      </c>
      <c r="DG189" s="161" t="str">
        <f t="shared" si="314"/>
        <v/>
      </c>
      <c r="DH189" s="161" t="str">
        <f t="shared" si="315"/>
        <v/>
      </c>
      <c r="DI189" s="161" t="str">
        <f t="shared" si="316"/>
        <v/>
      </c>
      <c r="DJ189" s="161" t="str">
        <f t="shared" si="317"/>
        <v/>
      </c>
      <c r="DK189" s="161" t="str">
        <f t="shared" si="318"/>
        <v/>
      </c>
      <c r="DL189" s="161" t="str">
        <f t="shared" si="319"/>
        <v/>
      </c>
      <c r="DM189" s="161" t="str">
        <f t="shared" si="320"/>
        <v/>
      </c>
      <c r="DN189" s="161" t="str">
        <f>IF($AZ189="", "", (BJ189*$CW189)/$CZ189)</f>
        <v/>
      </c>
      <c r="DO189" s="161" t="str">
        <f t="shared" si="321"/>
        <v/>
      </c>
      <c r="DP189" s="161" t="str">
        <f t="shared" si="322"/>
        <v/>
      </c>
      <c r="DQ189" s="161" t="str">
        <f t="shared" si="323"/>
        <v/>
      </c>
      <c r="DR189" s="161" t="str">
        <f t="shared" si="324"/>
        <v/>
      </c>
      <c r="DS189" s="161" t="str">
        <f t="shared" si="325"/>
        <v/>
      </c>
      <c r="DT189" s="161" t="str">
        <f t="shared" si="326"/>
        <v/>
      </c>
      <c r="DU189" s="161" t="str">
        <f t="shared" si="327"/>
        <v/>
      </c>
      <c r="DV189" s="161" t="str">
        <f t="shared" si="328"/>
        <v/>
      </c>
      <c r="DW189" s="161" t="str">
        <f t="shared" si="329"/>
        <v/>
      </c>
      <c r="DX189" s="161" t="str">
        <f t="shared" si="330"/>
        <v/>
      </c>
      <c r="DY189" s="161" t="str">
        <f t="shared" si="331"/>
        <v/>
      </c>
      <c r="DZ189" s="161" t="str">
        <f t="shared" si="332"/>
        <v/>
      </c>
      <c r="EA189" s="161" t="str">
        <f t="shared" si="333"/>
        <v/>
      </c>
      <c r="EB189" s="161" t="str">
        <f t="shared" si="334"/>
        <v/>
      </c>
      <c r="EC189" s="161" t="str">
        <f t="shared" si="335"/>
        <v/>
      </c>
      <c r="ED189" s="161" t="str">
        <f t="shared" si="336"/>
        <v/>
      </c>
      <c r="EE189" s="161" t="str">
        <f t="shared" si="337"/>
        <v/>
      </c>
      <c r="EF189" s="161" t="str">
        <f t="shared" si="338"/>
        <v/>
      </c>
      <c r="EG189" s="161" t="str">
        <f t="shared" si="339"/>
        <v/>
      </c>
      <c r="EH189" s="161" t="str">
        <f t="shared" si="340"/>
        <v/>
      </c>
      <c r="EI189" s="161" t="str">
        <f t="shared" si="341"/>
        <v/>
      </c>
      <c r="EJ189" s="161" t="str">
        <f t="shared" si="342"/>
        <v/>
      </c>
      <c r="EK189" s="147" t="str">
        <f t="shared" si="279"/>
        <v/>
      </c>
      <c r="EL189" s="149"/>
      <c r="EN189" s="146"/>
      <c r="EO189" s="146"/>
      <c r="EP189" s="139" t="str">
        <f t="shared" si="280"/>
        <v/>
      </c>
      <c r="EQ189" s="139" t="str">
        <f t="shared" si="281"/>
        <v/>
      </c>
      <c r="ER189" s="139" t="str">
        <f t="shared" si="282"/>
        <v/>
      </c>
      <c r="ES189" s="139" t="str">
        <f t="shared" si="283"/>
        <v/>
      </c>
      <c r="ET189" s="139" t="str">
        <f t="shared" si="284"/>
        <v/>
      </c>
      <c r="EU189" s="139" t="str">
        <f t="shared" si="285"/>
        <v/>
      </c>
      <c r="EV189" s="139" t="str">
        <f t="shared" si="286"/>
        <v/>
      </c>
      <c r="EW189" s="139" t="str">
        <f t="shared" si="287"/>
        <v/>
      </c>
      <c r="EX189" s="139" t="str">
        <f t="shared" si="288"/>
        <v/>
      </c>
      <c r="EY189" s="139" t="str">
        <f t="shared" si="289"/>
        <v/>
      </c>
      <c r="EZ189" s="139" t="str">
        <f t="shared" si="290"/>
        <v/>
      </c>
      <c r="FA189" s="139" t="str">
        <f t="shared" si="291"/>
        <v/>
      </c>
      <c r="FB189" s="139" t="str">
        <f t="shared" si="292"/>
        <v/>
      </c>
      <c r="FC189" s="139" t="str">
        <f t="shared" si="293"/>
        <v/>
      </c>
      <c r="FD189" s="139" t="str">
        <f t="shared" si="294"/>
        <v/>
      </c>
      <c r="FE189" s="139" t="str">
        <f t="shared" si="295"/>
        <v/>
      </c>
      <c r="FF189" s="139" t="str">
        <f t="shared" si="296"/>
        <v/>
      </c>
      <c r="FG189" s="139" t="str">
        <f t="shared" si="297"/>
        <v/>
      </c>
      <c r="FH189" s="139" t="str">
        <f t="shared" si="298"/>
        <v/>
      </c>
      <c r="FI189" s="139" t="str">
        <f t="shared" si="299"/>
        <v/>
      </c>
      <c r="FJ189" s="139" t="str">
        <f t="shared" si="300"/>
        <v/>
      </c>
      <c r="FK189" s="139" t="str">
        <f t="shared" si="301"/>
        <v/>
      </c>
      <c r="FL189" s="139" t="str">
        <f t="shared" si="302"/>
        <v/>
      </c>
      <c r="FM189" s="139" t="str">
        <f t="shared" si="303"/>
        <v/>
      </c>
      <c r="FN189" s="139" t="str">
        <f t="shared" si="304"/>
        <v/>
      </c>
      <c r="FO189" s="139" t="str">
        <f t="shared" si="305"/>
        <v/>
      </c>
      <c r="FP189" s="139" t="str">
        <f t="shared" si="306"/>
        <v/>
      </c>
      <c r="FQ189" s="139" t="str">
        <f t="shared" si="307"/>
        <v/>
      </c>
      <c r="FR189" s="139" t="str">
        <f t="shared" si="308"/>
        <v/>
      </c>
      <c r="FS189" s="139" t="str">
        <f t="shared" si="309"/>
        <v/>
      </c>
      <c r="FT189" s="139" t="str">
        <f t="shared" si="310"/>
        <v/>
      </c>
      <c r="FU189" s="148" t="str">
        <f t="shared" si="311"/>
        <v/>
      </c>
      <c r="FV189" s="149"/>
      <c r="FY189" s="210">
        <v>184</v>
      </c>
      <c r="FZ189">
        <v>42.776379862253521</v>
      </c>
      <c r="GA189">
        <v>52.701581411095326</v>
      </c>
      <c r="GB189">
        <v>3.0486630918525499</v>
      </c>
      <c r="GC189">
        <v>1.2685889861731905</v>
      </c>
      <c r="GD189">
        <v>0.5476709391789768</v>
      </c>
      <c r="GE189">
        <v>2.3446599204579752</v>
      </c>
      <c r="GF189">
        <v>4.9521028303823176</v>
      </c>
      <c r="GG189">
        <v>11.837389017099042</v>
      </c>
      <c r="GH189">
        <v>16.174728012843886</v>
      </c>
      <c r="GI189">
        <v>10.842022464889151</v>
      </c>
      <c r="GJ189"/>
      <c r="GK189"/>
      <c r="GL189"/>
      <c r="GM189"/>
    </row>
    <row r="190" spans="1:195" s="7" customFormat="1">
      <c r="A190" s="1"/>
      <c r="B190" s="76" t="str">
        <f ca="1">IF(C190="", "", RAND())</f>
        <v/>
      </c>
      <c r="C190" t="s">
        <v>104</v>
      </c>
      <c r="D190" t="s">
        <v>104</v>
      </c>
      <c r="E190" t="s">
        <v>104</v>
      </c>
      <c r="F190" t="s">
        <v>104</v>
      </c>
      <c r="G190" t="s">
        <v>104</v>
      </c>
      <c r="H190" t="s">
        <v>104</v>
      </c>
      <c r="I190" t="s">
        <v>104</v>
      </c>
      <c r="J190" t="s">
        <v>104</v>
      </c>
      <c r="K190" t="s">
        <v>104</v>
      </c>
      <c r="L190" t="s">
        <v>104</v>
      </c>
      <c r="M190" t="s">
        <v>104</v>
      </c>
      <c r="N190" t="s">
        <v>104</v>
      </c>
      <c r="O190" t="s">
        <v>104</v>
      </c>
      <c r="P190" t="s">
        <v>104</v>
      </c>
      <c r="Q190" t="s">
        <v>104</v>
      </c>
      <c r="R190" t="s">
        <v>104</v>
      </c>
      <c r="S190" t="s">
        <v>104</v>
      </c>
      <c r="T190" t="s">
        <v>104</v>
      </c>
      <c r="U190" t="s">
        <v>104</v>
      </c>
      <c r="V190" t="s">
        <v>104</v>
      </c>
      <c r="W190" t="s">
        <v>104</v>
      </c>
      <c r="X190" t="s">
        <v>104</v>
      </c>
      <c r="Y190" t="s">
        <v>104</v>
      </c>
      <c r="Z190" t="s">
        <v>104</v>
      </c>
      <c r="AA190" t="s">
        <v>104</v>
      </c>
      <c r="AB190" t="s">
        <v>104</v>
      </c>
      <c r="AC190" t="s">
        <v>104</v>
      </c>
      <c r="AD190" t="s">
        <v>104</v>
      </c>
      <c r="AE190" t="s">
        <v>104</v>
      </c>
      <c r="AF190" t="s">
        <v>104</v>
      </c>
      <c r="AG190" t="s">
        <v>104</v>
      </c>
      <c r="AH190" t="s">
        <v>104</v>
      </c>
      <c r="AI190" t="s">
        <v>104</v>
      </c>
      <c r="AJ190" s="2"/>
      <c r="AK190" s="80"/>
      <c r="AL190" s="74">
        <v>3.0028000000000028</v>
      </c>
      <c r="AM190" s="43">
        <v>174</v>
      </c>
      <c r="AN190">
        <v>95.968817641896294</v>
      </c>
      <c r="AO190">
        <v>4.9831463130500175</v>
      </c>
      <c r="AP190">
        <v>40.293670786998128</v>
      </c>
      <c r="AQ190">
        <v>33.320742170492011</v>
      </c>
      <c r="AR190">
        <v>4.9462652579190305</v>
      </c>
      <c r="AS190">
        <v>109.02814302575089</v>
      </c>
      <c r="AT190">
        <v>2.9429235135137835</v>
      </c>
      <c r="AU190">
        <v>38.948546576462441</v>
      </c>
      <c r="AV190"/>
      <c r="AW190"/>
      <c r="AX190" s="146"/>
      <c r="AY190" s="76" t="str">
        <f t="shared" ca="1" si="201"/>
        <v/>
      </c>
      <c r="AZ190"/>
      <c r="BA190" s="129" t="s">
        <v>104</v>
      </c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 s="147"/>
      <c r="CH190" s="176"/>
      <c r="CJ190" s="146"/>
      <c r="CK190" s="76" t="str">
        <f t="shared" ca="1" si="237"/>
        <v/>
      </c>
      <c r="CL190" s="179" t="str">
        <f t="shared" si="238"/>
        <v/>
      </c>
      <c r="CM190" s="180" t="str">
        <f t="shared" si="239"/>
        <v/>
      </c>
      <c r="CN190"/>
      <c r="CO190"/>
      <c r="CP190"/>
      <c r="CQ190"/>
      <c r="CR190"/>
      <c r="CS190"/>
      <c r="CT190"/>
      <c r="CU190"/>
      <c r="CV190" s="160"/>
      <c r="CW190"/>
      <c r="CX190"/>
      <c r="CY190" s="160"/>
      <c r="CZ190" s="177" t="str">
        <f t="shared" si="240"/>
        <v/>
      </c>
      <c r="DB190" s="146"/>
      <c r="DC190" s="76" t="str">
        <f t="shared" ca="1" si="203"/>
        <v/>
      </c>
      <c r="DD190" t="str">
        <f t="shared" si="241"/>
        <v/>
      </c>
      <c r="DE190" s="129" t="str">
        <f t="shared" si="312"/>
        <v/>
      </c>
      <c r="DF190" s="161" t="str">
        <f t="shared" si="313"/>
        <v/>
      </c>
      <c r="DG190" s="161" t="str">
        <f t="shared" si="314"/>
        <v/>
      </c>
      <c r="DH190" s="161" t="str">
        <f t="shared" si="315"/>
        <v/>
      </c>
      <c r="DI190" s="161" t="str">
        <f t="shared" si="316"/>
        <v/>
      </c>
      <c r="DJ190" s="161" t="str">
        <f t="shared" si="317"/>
        <v/>
      </c>
      <c r="DK190" s="161" t="str">
        <f t="shared" si="318"/>
        <v/>
      </c>
      <c r="DL190" s="161" t="str">
        <f t="shared" si="319"/>
        <v/>
      </c>
      <c r="DM190" s="161" t="str">
        <f t="shared" si="320"/>
        <v/>
      </c>
      <c r="DN190" s="161" t="str">
        <f>IF($AZ190="", "", (BJ190*$CW190)/$CZ190)</f>
        <v/>
      </c>
      <c r="DO190" s="161" t="str">
        <f t="shared" si="321"/>
        <v/>
      </c>
      <c r="DP190" s="161" t="str">
        <f t="shared" si="322"/>
        <v/>
      </c>
      <c r="DQ190" s="161" t="str">
        <f t="shared" si="323"/>
        <v/>
      </c>
      <c r="DR190" s="161" t="str">
        <f t="shared" si="324"/>
        <v/>
      </c>
      <c r="DS190" s="161" t="str">
        <f t="shared" si="325"/>
        <v/>
      </c>
      <c r="DT190" s="161" t="str">
        <f t="shared" si="326"/>
        <v/>
      </c>
      <c r="DU190" s="161" t="str">
        <f t="shared" si="327"/>
        <v/>
      </c>
      <c r="DV190" s="161" t="str">
        <f t="shared" si="328"/>
        <v/>
      </c>
      <c r="DW190" s="161" t="str">
        <f t="shared" si="329"/>
        <v/>
      </c>
      <c r="DX190" s="161" t="str">
        <f t="shared" si="330"/>
        <v/>
      </c>
      <c r="DY190" s="161" t="str">
        <f t="shared" si="331"/>
        <v/>
      </c>
      <c r="DZ190" s="161" t="str">
        <f t="shared" si="332"/>
        <v/>
      </c>
      <c r="EA190" s="161" t="str">
        <f t="shared" si="333"/>
        <v/>
      </c>
      <c r="EB190" s="161" t="str">
        <f t="shared" si="334"/>
        <v/>
      </c>
      <c r="EC190" s="161" t="str">
        <f t="shared" si="335"/>
        <v/>
      </c>
      <c r="ED190" s="161" t="str">
        <f t="shared" si="336"/>
        <v/>
      </c>
      <c r="EE190" s="161" t="str">
        <f t="shared" si="337"/>
        <v/>
      </c>
      <c r="EF190" s="161" t="str">
        <f t="shared" si="338"/>
        <v/>
      </c>
      <c r="EG190" s="161" t="str">
        <f t="shared" si="339"/>
        <v/>
      </c>
      <c r="EH190" s="161" t="str">
        <f t="shared" si="340"/>
        <v/>
      </c>
      <c r="EI190" s="161" t="str">
        <f t="shared" si="341"/>
        <v/>
      </c>
      <c r="EJ190" s="161" t="str">
        <f t="shared" si="342"/>
        <v/>
      </c>
      <c r="EK190" s="147" t="str">
        <f t="shared" si="279"/>
        <v/>
      </c>
      <c r="EL190" s="149"/>
      <c r="EN190" s="146"/>
      <c r="EO190" s="146"/>
      <c r="EP190" s="139" t="str">
        <f t="shared" si="280"/>
        <v/>
      </c>
      <c r="EQ190" s="139" t="str">
        <f t="shared" si="281"/>
        <v/>
      </c>
      <c r="ER190" s="139" t="str">
        <f t="shared" si="282"/>
        <v/>
      </c>
      <c r="ES190" s="139" t="str">
        <f t="shared" si="283"/>
        <v/>
      </c>
      <c r="ET190" s="139" t="str">
        <f t="shared" si="284"/>
        <v/>
      </c>
      <c r="EU190" s="139" t="str">
        <f t="shared" si="285"/>
        <v/>
      </c>
      <c r="EV190" s="139" t="str">
        <f t="shared" si="286"/>
        <v/>
      </c>
      <c r="EW190" s="139" t="str">
        <f t="shared" si="287"/>
        <v/>
      </c>
      <c r="EX190" s="139" t="str">
        <f t="shared" si="288"/>
        <v/>
      </c>
      <c r="EY190" s="139" t="str">
        <f t="shared" si="289"/>
        <v/>
      </c>
      <c r="EZ190" s="139" t="str">
        <f t="shared" si="290"/>
        <v/>
      </c>
      <c r="FA190" s="139" t="str">
        <f t="shared" si="291"/>
        <v/>
      </c>
      <c r="FB190" s="139" t="str">
        <f t="shared" si="292"/>
        <v/>
      </c>
      <c r="FC190" s="139" t="str">
        <f t="shared" si="293"/>
        <v/>
      </c>
      <c r="FD190" s="139" t="str">
        <f t="shared" si="294"/>
        <v/>
      </c>
      <c r="FE190" s="139" t="str">
        <f t="shared" si="295"/>
        <v/>
      </c>
      <c r="FF190" s="139" t="str">
        <f t="shared" si="296"/>
        <v/>
      </c>
      <c r="FG190" s="139" t="str">
        <f t="shared" si="297"/>
        <v/>
      </c>
      <c r="FH190" s="139" t="str">
        <f t="shared" si="298"/>
        <v/>
      </c>
      <c r="FI190" s="139" t="str">
        <f t="shared" si="299"/>
        <v/>
      </c>
      <c r="FJ190" s="139" t="str">
        <f t="shared" si="300"/>
        <v/>
      </c>
      <c r="FK190" s="139" t="str">
        <f t="shared" si="301"/>
        <v/>
      </c>
      <c r="FL190" s="139" t="str">
        <f t="shared" si="302"/>
        <v/>
      </c>
      <c r="FM190" s="139" t="str">
        <f t="shared" si="303"/>
        <v/>
      </c>
      <c r="FN190" s="139" t="str">
        <f t="shared" si="304"/>
        <v/>
      </c>
      <c r="FO190" s="139" t="str">
        <f t="shared" si="305"/>
        <v/>
      </c>
      <c r="FP190" s="139" t="str">
        <f t="shared" si="306"/>
        <v/>
      </c>
      <c r="FQ190" s="139" t="str">
        <f t="shared" si="307"/>
        <v/>
      </c>
      <c r="FR190" s="139" t="str">
        <f t="shared" si="308"/>
        <v/>
      </c>
      <c r="FS190" s="139" t="str">
        <f t="shared" si="309"/>
        <v/>
      </c>
      <c r="FT190" s="139" t="str">
        <f t="shared" si="310"/>
        <v/>
      </c>
      <c r="FU190" s="148" t="str">
        <f t="shared" si="311"/>
        <v/>
      </c>
      <c r="FV190" s="149"/>
      <c r="FY190" s="210">
        <v>185</v>
      </c>
      <c r="FZ190">
        <v>0.88345983932220662</v>
      </c>
      <c r="GA190">
        <v>4.347083171770306</v>
      </c>
      <c r="GB190">
        <v>4.2901191973189263</v>
      </c>
      <c r="GC190">
        <v>1.7157387978728917</v>
      </c>
      <c r="GD190">
        <v>0.41630355709672767</v>
      </c>
      <c r="GE190">
        <v>1.0276153068279852</v>
      </c>
      <c r="GF190">
        <v>7.3549983693058749</v>
      </c>
      <c r="GG190">
        <v>10.762699054978473</v>
      </c>
      <c r="GH190">
        <v>9.8662751890154823</v>
      </c>
      <c r="GI190">
        <v>4.3288606200532662</v>
      </c>
      <c r="GJ190"/>
      <c r="GK190"/>
      <c r="GL190"/>
      <c r="GM190"/>
    </row>
    <row r="191" spans="1:195" s="7" customFormat="1">
      <c r="A191" s="1"/>
      <c r="B191" s="76" t="str">
        <f ca="1">IF(C191="", "", RAND())</f>
        <v/>
      </c>
      <c r="C191" t="s">
        <v>104</v>
      </c>
      <c r="D191" t="s">
        <v>104</v>
      </c>
      <c r="E191" t="s">
        <v>104</v>
      </c>
      <c r="F191" t="s">
        <v>104</v>
      </c>
      <c r="G191" t="s">
        <v>104</v>
      </c>
      <c r="H191" t="s">
        <v>104</v>
      </c>
      <c r="I191" t="s">
        <v>104</v>
      </c>
      <c r="J191" t="s">
        <v>104</v>
      </c>
      <c r="K191" t="s">
        <v>104</v>
      </c>
      <c r="L191" t="s">
        <v>104</v>
      </c>
      <c r="M191" t="s">
        <v>104</v>
      </c>
      <c r="N191" t="s">
        <v>104</v>
      </c>
      <c r="O191" t="s">
        <v>104</v>
      </c>
      <c r="P191" t="s">
        <v>104</v>
      </c>
      <c r="Q191" t="s">
        <v>104</v>
      </c>
      <c r="R191" t="s">
        <v>104</v>
      </c>
      <c r="S191" t="s">
        <v>104</v>
      </c>
      <c r="T191" t="s">
        <v>104</v>
      </c>
      <c r="U191" t="s">
        <v>104</v>
      </c>
      <c r="V191" t="s">
        <v>104</v>
      </c>
      <c r="W191" t="s">
        <v>104</v>
      </c>
      <c r="X191" t="s">
        <v>104</v>
      </c>
      <c r="Y191" t="s">
        <v>104</v>
      </c>
      <c r="Z191" t="s">
        <v>104</v>
      </c>
      <c r="AA191" t="s">
        <v>104</v>
      </c>
      <c r="AB191" t="s">
        <v>104</v>
      </c>
      <c r="AC191" t="s">
        <v>104</v>
      </c>
      <c r="AD191" t="s">
        <v>104</v>
      </c>
      <c r="AE191" t="s">
        <v>104</v>
      </c>
      <c r="AF191" t="s">
        <v>104</v>
      </c>
      <c r="AG191" t="s">
        <v>104</v>
      </c>
      <c r="AH191" t="s">
        <v>104</v>
      </c>
      <c r="AI191" t="s">
        <v>104</v>
      </c>
      <c r="AJ191" s="2"/>
      <c r="AK191" s="80"/>
      <c r="AL191" s="74">
        <v>3.0028000000000028</v>
      </c>
      <c r="AM191" s="43">
        <v>175</v>
      </c>
      <c r="AN191">
        <v>120.96957023275063</v>
      </c>
      <c r="AO191">
        <v>11.873165244969282</v>
      </c>
      <c r="AP191">
        <v>120.07190868112536</v>
      </c>
      <c r="AQ191">
        <v>101.00621133952686</v>
      </c>
      <c r="AR191">
        <v>11.595872033192641</v>
      </c>
      <c r="AS191">
        <v>171.28532547632494</v>
      </c>
      <c r="AT191">
        <v>7.2120651831069251</v>
      </c>
      <c r="AU191">
        <v>12.811455011126597</v>
      </c>
      <c r="AV191"/>
      <c r="AW191"/>
      <c r="AX191" s="146"/>
      <c r="AY191" s="76" t="str">
        <f t="shared" ca="1" si="201"/>
        <v/>
      </c>
      <c r="AZ191"/>
      <c r="BA191" s="129" t="s">
        <v>104</v>
      </c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 s="147"/>
      <c r="CH191" s="176"/>
      <c r="CJ191" s="146"/>
      <c r="CK191" s="76" t="str">
        <f t="shared" ca="1" si="237"/>
        <v/>
      </c>
      <c r="CL191" s="179" t="str">
        <f t="shared" si="238"/>
        <v/>
      </c>
      <c r="CM191" s="180" t="str">
        <f t="shared" si="239"/>
        <v/>
      </c>
      <c r="CN191"/>
      <c r="CO191"/>
      <c r="CP191"/>
      <c r="CQ191"/>
      <c r="CR191"/>
      <c r="CS191"/>
      <c r="CT191"/>
      <c r="CU191"/>
      <c r="CV191" s="160"/>
      <c r="CW191"/>
      <c r="CX191"/>
      <c r="CY191" s="160"/>
      <c r="CZ191" s="177" t="str">
        <f t="shared" si="240"/>
        <v/>
      </c>
      <c r="DB191" s="146"/>
      <c r="DC191" s="76" t="str">
        <f t="shared" ca="1" si="203"/>
        <v/>
      </c>
      <c r="DD191" t="str">
        <f t="shared" si="241"/>
        <v/>
      </c>
      <c r="DE191" s="129" t="str">
        <f t="shared" si="312"/>
        <v/>
      </c>
      <c r="DF191" s="161" t="str">
        <f t="shared" si="313"/>
        <v/>
      </c>
      <c r="DG191" s="161" t="str">
        <f t="shared" si="314"/>
        <v/>
      </c>
      <c r="DH191" s="161" t="str">
        <f t="shared" si="315"/>
        <v/>
      </c>
      <c r="DI191" s="161" t="str">
        <f t="shared" si="316"/>
        <v/>
      </c>
      <c r="DJ191" s="161" t="str">
        <f t="shared" si="317"/>
        <v/>
      </c>
      <c r="DK191" s="161" t="str">
        <f t="shared" si="318"/>
        <v/>
      </c>
      <c r="DL191" s="161" t="str">
        <f t="shared" si="319"/>
        <v/>
      </c>
      <c r="DM191" s="161" t="str">
        <f t="shared" si="320"/>
        <v/>
      </c>
      <c r="DN191" s="161" t="str">
        <f>IF($AZ191="", "", (BJ191*$CW191)/$CZ191)</f>
        <v/>
      </c>
      <c r="DO191" s="161" t="str">
        <f t="shared" si="321"/>
        <v/>
      </c>
      <c r="DP191" s="161" t="str">
        <f t="shared" si="322"/>
        <v/>
      </c>
      <c r="DQ191" s="161" t="str">
        <f t="shared" si="323"/>
        <v/>
      </c>
      <c r="DR191" s="161" t="str">
        <f t="shared" si="324"/>
        <v/>
      </c>
      <c r="DS191" s="161" t="str">
        <f t="shared" si="325"/>
        <v/>
      </c>
      <c r="DT191" s="161" t="str">
        <f t="shared" si="326"/>
        <v/>
      </c>
      <c r="DU191" s="161" t="str">
        <f t="shared" si="327"/>
        <v/>
      </c>
      <c r="DV191" s="161" t="str">
        <f t="shared" si="328"/>
        <v/>
      </c>
      <c r="DW191" s="161" t="str">
        <f t="shared" si="329"/>
        <v/>
      </c>
      <c r="DX191" s="161" t="str">
        <f t="shared" si="330"/>
        <v/>
      </c>
      <c r="DY191" s="161" t="str">
        <f t="shared" si="331"/>
        <v/>
      </c>
      <c r="DZ191" s="161" t="str">
        <f t="shared" si="332"/>
        <v/>
      </c>
      <c r="EA191" s="161" t="str">
        <f t="shared" si="333"/>
        <v/>
      </c>
      <c r="EB191" s="161" t="str">
        <f t="shared" si="334"/>
        <v/>
      </c>
      <c r="EC191" s="161" t="str">
        <f t="shared" si="335"/>
        <v/>
      </c>
      <c r="ED191" s="161" t="str">
        <f t="shared" si="336"/>
        <v/>
      </c>
      <c r="EE191" s="161" t="str">
        <f t="shared" si="337"/>
        <v/>
      </c>
      <c r="EF191" s="161" t="str">
        <f t="shared" si="338"/>
        <v/>
      </c>
      <c r="EG191" s="161" t="str">
        <f t="shared" si="339"/>
        <v/>
      </c>
      <c r="EH191" s="161" t="str">
        <f t="shared" si="340"/>
        <v/>
      </c>
      <c r="EI191" s="161" t="str">
        <f t="shared" si="341"/>
        <v/>
      </c>
      <c r="EJ191" s="161" t="str">
        <f t="shared" si="342"/>
        <v/>
      </c>
      <c r="EK191" s="147" t="str">
        <f t="shared" si="279"/>
        <v/>
      </c>
      <c r="EL191" s="149"/>
      <c r="EN191" s="146"/>
      <c r="EO191" s="146"/>
      <c r="EP191" s="139" t="str">
        <f t="shared" si="280"/>
        <v/>
      </c>
      <c r="EQ191" s="139" t="str">
        <f t="shared" si="281"/>
        <v/>
      </c>
      <c r="ER191" s="139" t="str">
        <f t="shared" si="282"/>
        <v/>
      </c>
      <c r="ES191" s="139" t="str">
        <f t="shared" si="283"/>
        <v/>
      </c>
      <c r="ET191" s="139" t="str">
        <f t="shared" si="284"/>
        <v/>
      </c>
      <c r="EU191" s="139" t="str">
        <f t="shared" si="285"/>
        <v/>
      </c>
      <c r="EV191" s="139" t="str">
        <f t="shared" si="286"/>
        <v/>
      </c>
      <c r="EW191" s="139" t="str">
        <f t="shared" si="287"/>
        <v/>
      </c>
      <c r="EX191" s="139" t="str">
        <f t="shared" si="288"/>
        <v/>
      </c>
      <c r="EY191" s="139" t="str">
        <f t="shared" si="289"/>
        <v/>
      </c>
      <c r="EZ191" s="139" t="str">
        <f t="shared" si="290"/>
        <v/>
      </c>
      <c r="FA191" s="139" t="str">
        <f t="shared" si="291"/>
        <v/>
      </c>
      <c r="FB191" s="139" t="str">
        <f t="shared" si="292"/>
        <v/>
      </c>
      <c r="FC191" s="139" t="str">
        <f t="shared" si="293"/>
        <v/>
      </c>
      <c r="FD191" s="139" t="str">
        <f t="shared" si="294"/>
        <v/>
      </c>
      <c r="FE191" s="139" t="str">
        <f t="shared" si="295"/>
        <v/>
      </c>
      <c r="FF191" s="139" t="str">
        <f t="shared" si="296"/>
        <v/>
      </c>
      <c r="FG191" s="139" t="str">
        <f t="shared" si="297"/>
        <v/>
      </c>
      <c r="FH191" s="139" t="str">
        <f t="shared" si="298"/>
        <v/>
      </c>
      <c r="FI191" s="139" t="str">
        <f t="shared" si="299"/>
        <v/>
      </c>
      <c r="FJ191" s="139" t="str">
        <f t="shared" si="300"/>
        <v/>
      </c>
      <c r="FK191" s="139" t="str">
        <f t="shared" si="301"/>
        <v/>
      </c>
      <c r="FL191" s="139" t="str">
        <f t="shared" si="302"/>
        <v/>
      </c>
      <c r="FM191" s="139" t="str">
        <f t="shared" si="303"/>
        <v/>
      </c>
      <c r="FN191" s="139" t="str">
        <f t="shared" si="304"/>
        <v/>
      </c>
      <c r="FO191" s="139" t="str">
        <f t="shared" si="305"/>
        <v/>
      </c>
      <c r="FP191" s="139" t="str">
        <f t="shared" si="306"/>
        <v/>
      </c>
      <c r="FQ191" s="139" t="str">
        <f t="shared" si="307"/>
        <v/>
      </c>
      <c r="FR191" s="139" t="str">
        <f t="shared" si="308"/>
        <v/>
      </c>
      <c r="FS191" s="139" t="str">
        <f t="shared" si="309"/>
        <v/>
      </c>
      <c r="FT191" s="139" t="str">
        <f t="shared" si="310"/>
        <v/>
      </c>
      <c r="FU191" s="148" t="str">
        <f t="shared" si="311"/>
        <v/>
      </c>
      <c r="FV191" s="149"/>
      <c r="FY191" s="210">
        <v>186</v>
      </c>
      <c r="FZ191">
        <v>25.623675432628161</v>
      </c>
      <c r="GA191">
        <v>28.869758154542957</v>
      </c>
      <c r="GB191">
        <v>1.9454056284937422</v>
      </c>
      <c r="GC191">
        <v>0.51964978770288339</v>
      </c>
      <c r="GD191">
        <v>1.1615810945987113</v>
      </c>
      <c r="GE191">
        <v>2.6669474908414563</v>
      </c>
      <c r="GF191">
        <v>5.4069408792240639</v>
      </c>
      <c r="GG191">
        <v>13.767028422321307</v>
      </c>
      <c r="GH191">
        <v>18.007619128042485</v>
      </c>
      <c r="GI191">
        <v>8.7747010330425823</v>
      </c>
      <c r="GJ191"/>
      <c r="GK191"/>
      <c r="GL191"/>
      <c r="GM191"/>
    </row>
    <row r="192" spans="1:195" s="7" customFormat="1">
      <c r="A192" s="1"/>
      <c r="B192" s="76" t="str">
        <f ca="1">IF(C192="", "", RAND())</f>
        <v/>
      </c>
      <c r="C192" t="s">
        <v>104</v>
      </c>
      <c r="D192" t="s">
        <v>104</v>
      </c>
      <c r="E192" t="s">
        <v>104</v>
      </c>
      <c r="F192" t="s">
        <v>104</v>
      </c>
      <c r="G192" t="s">
        <v>104</v>
      </c>
      <c r="H192" t="s">
        <v>104</v>
      </c>
      <c r="I192" t="s">
        <v>104</v>
      </c>
      <c r="J192" t="s">
        <v>104</v>
      </c>
      <c r="K192" t="s">
        <v>104</v>
      </c>
      <c r="L192" t="s">
        <v>104</v>
      </c>
      <c r="M192" t="s">
        <v>104</v>
      </c>
      <c r="N192" t="s">
        <v>104</v>
      </c>
      <c r="O192" t="s">
        <v>104</v>
      </c>
      <c r="P192" t="s">
        <v>104</v>
      </c>
      <c r="Q192" t="s">
        <v>104</v>
      </c>
      <c r="R192" t="s">
        <v>104</v>
      </c>
      <c r="S192" t="s">
        <v>104</v>
      </c>
      <c r="T192" t="s">
        <v>104</v>
      </c>
      <c r="U192" t="s">
        <v>104</v>
      </c>
      <c r="V192" t="s">
        <v>104</v>
      </c>
      <c r="W192" t="s">
        <v>104</v>
      </c>
      <c r="X192" t="s">
        <v>104</v>
      </c>
      <c r="Y192" t="s">
        <v>104</v>
      </c>
      <c r="Z192" t="s">
        <v>104</v>
      </c>
      <c r="AA192" t="s">
        <v>104</v>
      </c>
      <c r="AB192" t="s">
        <v>104</v>
      </c>
      <c r="AC192" t="s">
        <v>104</v>
      </c>
      <c r="AD192" t="s">
        <v>104</v>
      </c>
      <c r="AE192" t="s">
        <v>104</v>
      </c>
      <c r="AF192" t="s">
        <v>104</v>
      </c>
      <c r="AG192" t="s">
        <v>104</v>
      </c>
      <c r="AH192" t="s">
        <v>104</v>
      </c>
      <c r="AI192" t="s">
        <v>104</v>
      </c>
      <c r="AJ192" s="2"/>
      <c r="AK192" s="80"/>
      <c r="AL192" s="74"/>
      <c r="AM192" s="43">
        <v>176</v>
      </c>
      <c r="AN192">
        <v>104.58521564164865</v>
      </c>
      <c r="AO192">
        <v>9.6369239602385104</v>
      </c>
      <c r="AP192">
        <v>97.154833181205888</v>
      </c>
      <c r="AQ192">
        <v>83.697446241357511</v>
      </c>
      <c r="AR192">
        <v>9.3424588245952975</v>
      </c>
      <c r="AS192">
        <v>132.28870971297198</v>
      </c>
      <c r="AT192" t="e">
        <v>#DIV/0!</v>
      </c>
      <c r="AU192" t="e">
        <v>#DIV/0!</v>
      </c>
      <c r="AV192"/>
      <c r="AW192"/>
      <c r="AX192" s="146"/>
      <c r="AY192" s="76" t="str">
        <f t="shared" ca="1" si="201"/>
        <v/>
      </c>
      <c r="AZ192"/>
      <c r="BA192" s="129" t="s">
        <v>104</v>
      </c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 s="147"/>
      <c r="CH192" s="176"/>
      <c r="CJ192" s="146"/>
      <c r="CK192" s="76" t="str">
        <f t="shared" ca="1" si="237"/>
        <v/>
      </c>
      <c r="CL192" s="179" t="str">
        <f t="shared" si="238"/>
        <v/>
      </c>
      <c r="CM192" s="180" t="str">
        <f t="shared" si="239"/>
        <v/>
      </c>
      <c r="CN192"/>
      <c r="CO192"/>
      <c r="CP192"/>
      <c r="CQ192"/>
      <c r="CR192"/>
      <c r="CS192"/>
      <c r="CT192"/>
      <c r="CU192"/>
      <c r="CV192" s="160"/>
      <c r="CW192"/>
      <c r="CX192"/>
      <c r="CY192" s="160"/>
      <c r="CZ192" s="177" t="str">
        <f t="shared" si="240"/>
        <v/>
      </c>
      <c r="DB192" s="146"/>
      <c r="DC192" s="76" t="str">
        <f t="shared" ca="1" si="203"/>
        <v/>
      </c>
      <c r="DD192" t="str">
        <f t="shared" si="241"/>
        <v/>
      </c>
      <c r="DE192" s="129" t="str">
        <f t="shared" si="312"/>
        <v/>
      </c>
      <c r="DF192" s="161" t="str">
        <f t="shared" si="313"/>
        <v/>
      </c>
      <c r="DG192" s="161" t="str">
        <f t="shared" si="314"/>
        <v/>
      </c>
      <c r="DH192" s="161" t="str">
        <f t="shared" si="315"/>
        <v/>
      </c>
      <c r="DI192" s="161" t="str">
        <f t="shared" si="316"/>
        <v/>
      </c>
      <c r="DJ192" s="161" t="str">
        <f t="shared" si="317"/>
        <v/>
      </c>
      <c r="DK192" s="161" t="str">
        <f t="shared" si="318"/>
        <v/>
      </c>
      <c r="DL192" s="161" t="str">
        <f t="shared" si="319"/>
        <v/>
      </c>
      <c r="DM192" s="161" t="str">
        <f t="shared" si="320"/>
        <v/>
      </c>
      <c r="DN192" s="161" t="str">
        <f>IF($AZ192="", "", (BJ192*$CW192)/$CZ192)</f>
        <v/>
      </c>
      <c r="DO192" s="161" t="str">
        <f t="shared" si="321"/>
        <v/>
      </c>
      <c r="DP192" s="161" t="str">
        <f t="shared" si="322"/>
        <v/>
      </c>
      <c r="DQ192" s="161" t="str">
        <f t="shared" si="323"/>
        <v/>
      </c>
      <c r="DR192" s="161" t="str">
        <f t="shared" si="324"/>
        <v/>
      </c>
      <c r="DS192" s="161" t="str">
        <f t="shared" si="325"/>
        <v/>
      </c>
      <c r="DT192" s="161" t="str">
        <f t="shared" si="326"/>
        <v/>
      </c>
      <c r="DU192" s="161" t="str">
        <f t="shared" si="327"/>
        <v/>
      </c>
      <c r="DV192" s="161" t="str">
        <f t="shared" si="328"/>
        <v/>
      </c>
      <c r="DW192" s="161" t="str">
        <f t="shared" si="329"/>
        <v/>
      </c>
      <c r="DX192" s="161" t="str">
        <f t="shared" si="330"/>
        <v/>
      </c>
      <c r="DY192" s="161" t="str">
        <f t="shared" si="331"/>
        <v/>
      </c>
      <c r="DZ192" s="161" t="str">
        <f t="shared" si="332"/>
        <v/>
      </c>
      <c r="EA192" s="161" t="str">
        <f t="shared" si="333"/>
        <v/>
      </c>
      <c r="EB192" s="161" t="str">
        <f t="shared" si="334"/>
        <v/>
      </c>
      <c r="EC192" s="161" t="str">
        <f t="shared" si="335"/>
        <v/>
      </c>
      <c r="ED192" s="161" t="str">
        <f t="shared" si="336"/>
        <v/>
      </c>
      <c r="EE192" s="161" t="str">
        <f t="shared" si="337"/>
        <v/>
      </c>
      <c r="EF192" s="161" t="str">
        <f t="shared" si="338"/>
        <v/>
      </c>
      <c r="EG192" s="161" t="str">
        <f t="shared" si="339"/>
        <v/>
      </c>
      <c r="EH192" s="161" t="str">
        <f t="shared" si="340"/>
        <v/>
      </c>
      <c r="EI192" s="161" t="str">
        <f t="shared" si="341"/>
        <v/>
      </c>
      <c r="EJ192" s="161" t="str">
        <f t="shared" si="342"/>
        <v/>
      </c>
      <c r="EK192" s="147" t="str">
        <f t="shared" si="279"/>
        <v/>
      </c>
      <c r="EL192" s="149"/>
      <c r="EN192" s="146"/>
      <c r="EO192" s="146"/>
      <c r="EP192" s="139" t="str">
        <f t="shared" si="280"/>
        <v/>
      </c>
      <c r="EQ192" s="139" t="str">
        <f t="shared" si="281"/>
        <v/>
      </c>
      <c r="ER192" s="139" t="str">
        <f t="shared" si="282"/>
        <v/>
      </c>
      <c r="ES192" s="139" t="str">
        <f t="shared" si="283"/>
        <v/>
      </c>
      <c r="ET192" s="139" t="str">
        <f t="shared" si="284"/>
        <v/>
      </c>
      <c r="EU192" s="139" t="str">
        <f t="shared" si="285"/>
        <v/>
      </c>
      <c r="EV192" s="139" t="str">
        <f t="shared" si="286"/>
        <v/>
      </c>
      <c r="EW192" s="139" t="str">
        <f t="shared" si="287"/>
        <v/>
      </c>
      <c r="EX192" s="139" t="str">
        <f t="shared" si="288"/>
        <v/>
      </c>
      <c r="EY192" s="139" t="str">
        <f t="shared" si="289"/>
        <v/>
      </c>
      <c r="EZ192" s="139" t="str">
        <f t="shared" si="290"/>
        <v/>
      </c>
      <c r="FA192" s="139" t="str">
        <f t="shared" si="291"/>
        <v/>
      </c>
      <c r="FB192" s="139" t="str">
        <f t="shared" si="292"/>
        <v/>
      </c>
      <c r="FC192" s="139" t="str">
        <f t="shared" si="293"/>
        <v/>
      </c>
      <c r="FD192" s="139" t="str">
        <f t="shared" si="294"/>
        <v/>
      </c>
      <c r="FE192" s="139" t="str">
        <f t="shared" si="295"/>
        <v/>
      </c>
      <c r="FF192" s="139" t="str">
        <f t="shared" si="296"/>
        <v/>
      </c>
      <c r="FG192" s="139" t="str">
        <f t="shared" si="297"/>
        <v/>
      </c>
      <c r="FH192" s="139" t="str">
        <f t="shared" si="298"/>
        <v/>
      </c>
      <c r="FI192" s="139" t="str">
        <f t="shared" si="299"/>
        <v/>
      </c>
      <c r="FJ192" s="139" t="str">
        <f t="shared" si="300"/>
        <v/>
      </c>
      <c r="FK192" s="139" t="str">
        <f t="shared" si="301"/>
        <v/>
      </c>
      <c r="FL192" s="139" t="str">
        <f t="shared" si="302"/>
        <v/>
      </c>
      <c r="FM192" s="139" t="str">
        <f t="shared" si="303"/>
        <v/>
      </c>
      <c r="FN192" s="139" t="str">
        <f t="shared" si="304"/>
        <v/>
      </c>
      <c r="FO192" s="139" t="str">
        <f t="shared" si="305"/>
        <v/>
      </c>
      <c r="FP192" s="139" t="str">
        <f t="shared" si="306"/>
        <v/>
      </c>
      <c r="FQ192" s="139" t="str">
        <f t="shared" si="307"/>
        <v/>
      </c>
      <c r="FR192" s="139" t="str">
        <f t="shared" si="308"/>
        <v/>
      </c>
      <c r="FS192" s="139" t="str">
        <f t="shared" si="309"/>
        <v/>
      </c>
      <c r="FT192" s="139" t="str">
        <f t="shared" si="310"/>
        <v/>
      </c>
      <c r="FU192" s="148" t="str">
        <f t="shared" si="311"/>
        <v/>
      </c>
      <c r="FV192" s="149"/>
      <c r="FY192" s="210">
        <v>187</v>
      </c>
      <c r="FZ192">
        <v>25.620649173464262</v>
      </c>
      <c r="GA192">
        <v>26.217049045372192</v>
      </c>
      <c r="GB192">
        <v>2.3218460230481068</v>
      </c>
      <c r="GC192">
        <v>1.4954937235331827</v>
      </c>
      <c r="GD192">
        <v>0.64750092527434344</v>
      </c>
      <c r="GE192">
        <v>1.9253948310228763</v>
      </c>
      <c r="GF192">
        <v>5.7121933150602411</v>
      </c>
      <c r="GG192">
        <v>4.6619658026026789</v>
      </c>
      <c r="GH192">
        <v>4.785601121369818</v>
      </c>
      <c r="GI192">
        <v>6.5145001317396982</v>
      </c>
      <c r="GJ192"/>
      <c r="GK192"/>
      <c r="GL192"/>
      <c r="GM192"/>
    </row>
    <row r="193" spans="1:195" s="7" customFormat="1">
      <c r="A193" s="1"/>
      <c r="B193" s="76" t="str">
        <f ca="1">IF(C193="", "", RAND())</f>
        <v/>
      </c>
      <c r="C193" t="s">
        <v>104</v>
      </c>
      <c r="D193" t="s">
        <v>104</v>
      </c>
      <c r="E193" t="s">
        <v>104</v>
      </c>
      <c r="F193" t="s">
        <v>104</v>
      </c>
      <c r="G193" t="s">
        <v>104</v>
      </c>
      <c r="H193" t="s">
        <v>104</v>
      </c>
      <c r="I193" t="s">
        <v>104</v>
      </c>
      <c r="J193" t="s">
        <v>104</v>
      </c>
      <c r="K193" t="s">
        <v>104</v>
      </c>
      <c r="L193" t="s">
        <v>104</v>
      </c>
      <c r="M193" t="s">
        <v>104</v>
      </c>
      <c r="N193" t="s">
        <v>104</v>
      </c>
      <c r="O193" t="s">
        <v>104</v>
      </c>
      <c r="P193" t="s">
        <v>104</v>
      </c>
      <c r="Q193" t="s">
        <v>104</v>
      </c>
      <c r="R193" t="s">
        <v>104</v>
      </c>
      <c r="S193" t="s">
        <v>104</v>
      </c>
      <c r="T193" t="s">
        <v>104</v>
      </c>
      <c r="U193" t="s">
        <v>104</v>
      </c>
      <c r="V193" t="s">
        <v>104</v>
      </c>
      <c r="W193" t="s">
        <v>104</v>
      </c>
      <c r="X193" t="s">
        <v>104</v>
      </c>
      <c r="Y193" t="s">
        <v>104</v>
      </c>
      <c r="Z193" t="s">
        <v>104</v>
      </c>
      <c r="AA193" t="s">
        <v>104</v>
      </c>
      <c r="AB193" t="s">
        <v>104</v>
      </c>
      <c r="AC193" t="s">
        <v>104</v>
      </c>
      <c r="AD193" t="s">
        <v>104</v>
      </c>
      <c r="AE193" t="s">
        <v>104</v>
      </c>
      <c r="AF193" t="s">
        <v>104</v>
      </c>
      <c r="AG193" t="s">
        <v>104</v>
      </c>
      <c r="AH193" t="s">
        <v>104</v>
      </c>
      <c r="AI193" t="s">
        <v>104</v>
      </c>
      <c r="AJ193" s="2"/>
      <c r="AK193" s="80"/>
      <c r="AL193" s="74"/>
      <c r="AM193" s="43">
        <v>177</v>
      </c>
      <c r="AN193">
        <v>150.25576696068288</v>
      </c>
      <c r="AO193">
        <v>8.9329853868554245</v>
      </c>
      <c r="AP193">
        <v>83.651976488011272</v>
      </c>
      <c r="AQ193">
        <v>70.622031960219175</v>
      </c>
      <c r="AR193">
        <v>8.5048679591103333</v>
      </c>
      <c r="AS193">
        <v>141.48592920805774</v>
      </c>
      <c r="AT193">
        <v>5.2395352508485677</v>
      </c>
      <c r="AU193">
        <v>16.552391666052646</v>
      </c>
      <c r="AV193"/>
      <c r="AW193"/>
      <c r="AX193" s="146"/>
      <c r="AY193" s="76" t="str">
        <f t="shared" ca="1" si="201"/>
        <v/>
      </c>
      <c r="AZ193"/>
      <c r="BA193" s="129" t="s">
        <v>104</v>
      </c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 s="147"/>
      <c r="CH193" s="176"/>
      <c r="CJ193" s="146"/>
      <c r="CK193" s="76" t="str">
        <f t="shared" ca="1" si="237"/>
        <v/>
      </c>
      <c r="CL193" s="179" t="str">
        <f t="shared" si="238"/>
        <v/>
      </c>
      <c r="CM193" s="180" t="str">
        <f t="shared" si="239"/>
        <v/>
      </c>
      <c r="CN193"/>
      <c r="CO193"/>
      <c r="CP193"/>
      <c r="CQ193"/>
      <c r="CR193"/>
      <c r="CS193"/>
      <c r="CT193"/>
      <c r="CU193"/>
      <c r="CV193" s="160"/>
      <c r="CW193"/>
      <c r="CX193"/>
      <c r="CY193" s="160"/>
      <c r="CZ193" s="177" t="str">
        <f t="shared" si="240"/>
        <v/>
      </c>
      <c r="DB193" s="146"/>
      <c r="DC193" s="76" t="str">
        <f t="shared" ca="1" si="203"/>
        <v/>
      </c>
      <c r="DD193" t="str">
        <f t="shared" si="241"/>
        <v/>
      </c>
      <c r="DE193" s="129" t="str">
        <f t="shared" si="312"/>
        <v/>
      </c>
      <c r="DF193" s="161" t="str">
        <f t="shared" si="313"/>
        <v/>
      </c>
      <c r="DG193" s="161" t="str">
        <f t="shared" si="314"/>
        <v/>
      </c>
      <c r="DH193" s="161" t="str">
        <f t="shared" si="315"/>
        <v/>
      </c>
      <c r="DI193" s="161" t="str">
        <f t="shared" si="316"/>
        <v/>
      </c>
      <c r="DJ193" s="161" t="str">
        <f t="shared" si="317"/>
        <v/>
      </c>
      <c r="DK193" s="161" t="str">
        <f t="shared" si="318"/>
        <v/>
      </c>
      <c r="DL193" s="161" t="str">
        <f t="shared" si="319"/>
        <v/>
      </c>
      <c r="DM193" s="161" t="str">
        <f t="shared" si="320"/>
        <v/>
      </c>
      <c r="DN193" s="161" t="str">
        <f t="shared" ref="DN193:DN207" si="343">IF($AZ193="", "", (BJ193*$CW193)/$CZ193)</f>
        <v/>
      </c>
      <c r="DO193" s="161" t="str">
        <f t="shared" si="321"/>
        <v/>
      </c>
      <c r="DP193" s="161" t="str">
        <f t="shared" si="322"/>
        <v/>
      </c>
      <c r="DQ193" s="161" t="str">
        <f t="shared" si="323"/>
        <v/>
      </c>
      <c r="DR193" s="161" t="str">
        <f t="shared" si="324"/>
        <v/>
      </c>
      <c r="DS193" s="161" t="str">
        <f t="shared" si="325"/>
        <v/>
      </c>
      <c r="DT193" s="161" t="str">
        <f t="shared" si="326"/>
        <v/>
      </c>
      <c r="DU193" s="161" t="str">
        <f t="shared" si="327"/>
        <v/>
      </c>
      <c r="DV193" s="161" t="str">
        <f t="shared" si="328"/>
        <v/>
      </c>
      <c r="DW193" s="161" t="str">
        <f t="shared" si="329"/>
        <v/>
      </c>
      <c r="DX193" s="161" t="str">
        <f t="shared" si="330"/>
        <v/>
      </c>
      <c r="DY193" s="161" t="str">
        <f t="shared" si="331"/>
        <v/>
      </c>
      <c r="DZ193" s="161" t="str">
        <f t="shared" si="332"/>
        <v/>
      </c>
      <c r="EA193" s="161" t="str">
        <f t="shared" si="333"/>
        <v/>
      </c>
      <c r="EB193" s="161" t="str">
        <f t="shared" si="334"/>
        <v/>
      </c>
      <c r="EC193" s="161" t="str">
        <f t="shared" si="335"/>
        <v/>
      </c>
      <c r="ED193" s="161" t="str">
        <f t="shared" si="336"/>
        <v/>
      </c>
      <c r="EE193" s="161" t="str">
        <f t="shared" si="337"/>
        <v/>
      </c>
      <c r="EF193" s="161" t="str">
        <f t="shared" si="338"/>
        <v/>
      </c>
      <c r="EG193" s="161" t="str">
        <f t="shared" si="339"/>
        <v/>
      </c>
      <c r="EH193" s="161" t="str">
        <f t="shared" si="340"/>
        <v/>
      </c>
      <c r="EI193" s="161" t="str">
        <f t="shared" si="341"/>
        <v/>
      </c>
      <c r="EJ193" s="161" t="str">
        <f t="shared" si="342"/>
        <v/>
      </c>
      <c r="EK193" s="147" t="str">
        <f t="shared" si="279"/>
        <v/>
      </c>
      <c r="EL193" s="149"/>
      <c r="EN193" s="146"/>
      <c r="EO193" s="146"/>
      <c r="EP193" s="139" t="str">
        <f t="shared" si="280"/>
        <v/>
      </c>
      <c r="EQ193" s="139" t="str">
        <f t="shared" si="281"/>
        <v/>
      </c>
      <c r="ER193" s="139" t="str">
        <f t="shared" si="282"/>
        <v/>
      </c>
      <c r="ES193" s="139" t="str">
        <f t="shared" si="283"/>
        <v/>
      </c>
      <c r="ET193" s="139" t="str">
        <f t="shared" si="284"/>
        <v/>
      </c>
      <c r="EU193" s="139" t="str">
        <f t="shared" si="285"/>
        <v/>
      </c>
      <c r="EV193" s="139" t="str">
        <f t="shared" si="286"/>
        <v/>
      </c>
      <c r="EW193" s="139" t="str">
        <f t="shared" si="287"/>
        <v/>
      </c>
      <c r="EX193" s="139" t="str">
        <f t="shared" si="288"/>
        <v/>
      </c>
      <c r="EY193" s="139" t="str">
        <f t="shared" si="289"/>
        <v/>
      </c>
      <c r="EZ193" s="139" t="str">
        <f t="shared" si="290"/>
        <v/>
      </c>
      <c r="FA193" s="139" t="str">
        <f t="shared" si="291"/>
        <v/>
      </c>
      <c r="FB193" s="139" t="str">
        <f t="shared" si="292"/>
        <v/>
      </c>
      <c r="FC193" s="139" t="str">
        <f t="shared" si="293"/>
        <v/>
      </c>
      <c r="FD193" s="139" t="str">
        <f t="shared" si="294"/>
        <v/>
      </c>
      <c r="FE193" s="139" t="str">
        <f t="shared" si="295"/>
        <v/>
      </c>
      <c r="FF193" s="139" t="str">
        <f t="shared" si="296"/>
        <v/>
      </c>
      <c r="FG193" s="139" t="str">
        <f t="shared" si="297"/>
        <v/>
      </c>
      <c r="FH193" s="139" t="str">
        <f t="shared" si="298"/>
        <v/>
      </c>
      <c r="FI193" s="139" t="str">
        <f t="shared" si="299"/>
        <v/>
      </c>
      <c r="FJ193" s="139" t="str">
        <f t="shared" si="300"/>
        <v/>
      </c>
      <c r="FK193" s="139" t="str">
        <f t="shared" si="301"/>
        <v/>
      </c>
      <c r="FL193" s="139" t="str">
        <f t="shared" si="302"/>
        <v/>
      </c>
      <c r="FM193" s="139" t="str">
        <f t="shared" si="303"/>
        <v/>
      </c>
      <c r="FN193" s="139" t="str">
        <f t="shared" si="304"/>
        <v/>
      </c>
      <c r="FO193" s="139" t="str">
        <f t="shared" si="305"/>
        <v/>
      </c>
      <c r="FP193" s="139" t="str">
        <f t="shared" si="306"/>
        <v/>
      </c>
      <c r="FQ193" s="139" t="str">
        <f t="shared" si="307"/>
        <v/>
      </c>
      <c r="FR193" s="139" t="str">
        <f t="shared" si="308"/>
        <v/>
      </c>
      <c r="FS193" s="139" t="str">
        <f t="shared" si="309"/>
        <v/>
      </c>
      <c r="FT193" s="139" t="str">
        <f t="shared" si="310"/>
        <v/>
      </c>
      <c r="FU193" s="148" t="str">
        <f t="shared" si="311"/>
        <v/>
      </c>
      <c r="FV193" s="149"/>
      <c r="FY193" s="210">
        <v>188</v>
      </c>
      <c r="FZ193">
        <v>12.761484410255221</v>
      </c>
      <c r="GA193">
        <v>14.316309800296009</v>
      </c>
      <c r="GB193">
        <v>3.4867046847250611</v>
      </c>
      <c r="GC193">
        <v>2.0441353681987464</v>
      </c>
      <c r="GD193">
        <v>0.54780593048836768</v>
      </c>
      <c r="GE193">
        <v>1.3235899458286164</v>
      </c>
      <c r="GF193">
        <v>4.0324715373547937</v>
      </c>
      <c r="GG193">
        <v>9.5616612493005064</v>
      </c>
      <c r="GH193">
        <v>14.111071486887846</v>
      </c>
      <c r="GI193">
        <v>6.0181317518705324</v>
      </c>
      <c r="GJ193"/>
      <c r="GK193"/>
      <c r="GL193"/>
      <c r="GM193"/>
    </row>
    <row r="194" spans="1:195" s="7" customFormat="1">
      <c r="A194" s="1"/>
      <c r="B194" s="76" t="str">
        <f ca="1">IF(C194="", "", RAND())</f>
        <v/>
      </c>
      <c r="C194" t="s">
        <v>104</v>
      </c>
      <c r="D194" t="s">
        <v>104</v>
      </c>
      <c r="E194" t="s">
        <v>104</v>
      </c>
      <c r="F194" t="s">
        <v>104</v>
      </c>
      <c r="G194" t="s">
        <v>104</v>
      </c>
      <c r="H194" t="s">
        <v>104</v>
      </c>
      <c r="I194" t="s">
        <v>104</v>
      </c>
      <c r="J194" t="s">
        <v>104</v>
      </c>
      <c r="K194" t="s">
        <v>104</v>
      </c>
      <c r="L194" t="s">
        <v>104</v>
      </c>
      <c r="M194" t="s">
        <v>104</v>
      </c>
      <c r="N194" t="s">
        <v>104</v>
      </c>
      <c r="O194" t="s">
        <v>104</v>
      </c>
      <c r="P194" t="s">
        <v>104</v>
      </c>
      <c r="Q194" t="s">
        <v>104</v>
      </c>
      <c r="R194" t="s">
        <v>104</v>
      </c>
      <c r="S194" t="s">
        <v>104</v>
      </c>
      <c r="T194" t="s">
        <v>104</v>
      </c>
      <c r="U194" t="s">
        <v>104</v>
      </c>
      <c r="V194" t="s">
        <v>104</v>
      </c>
      <c r="W194" t="s">
        <v>104</v>
      </c>
      <c r="X194" t="s">
        <v>104</v>
      </c>
      <c r="Y194" t="s">
        <v>104</v>
      </c>
      <c r="Z194" t="s">
        <v>104</v>
      </c>
      <c r="AA194" t="s">
        <v>104</v>
      </c>
      <c r="AB194" t="s">
        <v>104</v>
      </c>
      <c r="AC194" t="s">
        <v>104</v>
      </c>
      <c r="AD194" t="s">
        <v>104</v>
      </c>
      <c r="AE194" t="s">
        <v>104</v>
      </c>
      <c r="AF194" t="s">
        <v>104</v>
      </c>
      <c r="AG194" t="s">
        <v>104</v>
      </c>
      <c r="AH194" t="s">
        <v>104</v>
      </c>
      <c r="AI194" t="s">
        <v>104</v>
      </c>
      <c r="AJ194" s="2"/>
      <c r="AK194" s="80"/>
      <c r="AL194" s="74"/>
      <c r="AM194" s="43">
        <v>178</v>
      </c>
      <c r="AN194">
        <v>128.90366063693119</v>
      </c>
      <c r="AO194">
        <v>9.9670223153763722</v>
      </c>
      <c r="AP194">
        <v>94.106782669806861</v>
      </c>
      <c r="AQ194">
        <v>79.687665050004924</v>
      </c>
      <c r="AR194">
        <v>9.9466172860197428</v>
      </c>
      <c r="AS194">
        <v>178.64787679677531</v>
      </c>
      <c r="AT194">
        <v>5.6206090867198775</v>
      </c>
      <c r="AU194">
        <v>51.166943022687398</v>
      </c>
      <c r="AV194"/>
      <c r="AW194"/>
      <c r="AX194" s="146"/>
      <c r="AY194" s="76" t="str">
        <f t="shared" ca="1" si="201"/>
        <v/>
      </c>
      <c r="AZ194"/>
      <c r="BA194" s="129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 s="147"/>
      <c r="CH194" s="176"/>
      <c r="CJ194" s="146"/>
      <c r="CK194" s="76" t="str">
        <f t="shared" ca="1" si="237"/>
        <v/>
      </c>
      <c r="CL194" s="179" t="str">
        <f t="shared" si="238"/>
        <v/>
      </c>
      <c r="CM194" s="180" t="str">
        <f t="shared" si="239"/>
        <v/>
      </c>
      <c r="CN194"/>
      <c r="CO194"/>
      <c r="CP194"/>
      <c r="CQ194"/>
      <c r="CR194"/>
      <c r="CS194"/>
      <c r="CT194"/>
      <c r="CU194"/>
      <c r="CV194" s="160"/>
      <c r="CW194"/>
      <c r="CX194"/>
      <c r="CY194" s="165"/>
      <c r="CZ194" s="177" t="str">
        <f t="shared" si="240"/>
        <v/>
      </c>
      <c r="DB194" s="146"/>
      <c r="DC194" s="76" t="str">
        <f t="shared" ca="1" si="203"/>
        <v/>
      </c>
      <c r="DD194" t="str">
        <f t="shared" si="241"/>
        <v/>
      </c>
      <c r="DE194" s="129" t="str">
        <f t="shared" si="312"/>
        <v/>
      </c>
      <c r="DF194" s="161" t="str">
        <f t="shared" si="313"/>
        <v/>
      </c>
      <c r="DG194" s="161" t="str">
        <f t="shared" si="314"/>
        <v/>
      </c>
      <c r="DH194" s="161" t="str">
        <f t="shared" si="315"/>
        <v/>
      </c>
      <c r="DI194" s="161" t="str">
        <f t="shared" si="316"/>
        <v/>
      </c>
      <c r="DJ194" s="161" t="str">
        <f t="shared" si="317"/>
        <v/>
      </c>
      <c r="DK194" s="161" t="str">
        <f t="shared" si="318"/>
        <v/>
      </c>
      <c r="DL194" s="161" t="str">
        <f t="shared" si="319"/>
        <v/>
      </c>
      <c r="DM194" s="161" t="str">
        <f t="shared" si="320"/>
        <v/>
      </c>
      <c r="DN194" s="161" t="str">
        <f t="shared" si="343"/>
        <v/>
      </c>
      <c r="DO194" s="161" t="str">
        <f t="shared" ref="DO194:DO206" si="344">IF($AZ194="", "", (BK193*$CW194)/$CZ194)</f>
        <v/>
      </c>
      <c r="DP194" s="161" t="str">
        <f t="shared" ref="DP194:DP206" si="345">IF($AZ194="", "", (BL193*$CW194)/$CZ194)</f>
        <v/>
      </c>
      <c r="DQ194" s="161" t="str">
        <f t="shared" ref="DQ194:DQ206" si="346">IF($AZ194="", "", (BM193*$CW194)/$CZ194)</f>
        <v/>
      </c>
      <c r="DR194" s="161" t="str">
        <f t="shared" ref="DR194:DR206" si="347">IF($AZ194="", "", (BN193*$CW194)/$CZ194)</f>
        <v/>
      </c>
      <c r="DS194" s="161" t="str">
        <f t="shared" ref="DS194:DS206" si="348">IF($AZ194="", "", (BO193*$CW194)/$CZ194)</f>
        <v/>
      </c>
      <c r="DT194" s="161" t="str">
        <f t="shared" ref="DT194:DT206" si="349">IF($AZ194="", "", (BP193*$CW194)/$CZ194)</f>
        <v/>
      </c>
      <c r="DU194" s="161" t="str">
        <f t="shared" ref="DU194:DU206" si="350">IF($AZ194="", "", (BQ193*$CW194)/$CZ194)</f>
        <v/>
      </c>
      <c r="DV194" s="161" t="str">
        <f t="shared" ref="DV194:DV206" si="351">IF($AZ194="", "", (BR193*$CW194)/$CZ194)</f>
        <v/>
      </c>
      <c r="DW194" s="161" t="str">
        <f t="shared" ref="DW194:DW206" si="352">IF($AZ194="", "", (BS193*$CW194)/$CZ194)</f>
        <v/>
      </c>
      <c r="DX194" s="161" t="str">
        <f t="shared" ref="DX194:DX206" si="353">IF($AZ194="", "", (BT193*$CW194)/$CZ194)</f>
        <v/>
      </c>
      <c r="DY194" s="161" t="str">
        <f t="shared" ref="DY194:DY206" si="354">IF($AZ194="", "", (BU193*$CW194)/$CZ194)</f>
        <v/>
      </c>
      <c r="DZ194" s="161" t="str">
        <f t="shared" ref="DZ194:DZ206" si="355">IF($AZ194="", "", (BV193*$CW194)/$CZ194)</f>
        <v/>
      </c>
      <c r="EA194" s="161" t="str">
        <f t="shared" ref="EA194:EA206" si="356">IF($AZ194="", "", (BW193*$CW194)/$CZ194)</f>
        <v/>
      </c>
      <c r="EB194" s="161" t="str">
        <f t="shared" ref="EB194:EB206" si="357">IF($AZ194="", "", (BX193*$CW194)/$CZ194)</f>
        <v/>
      </c>
      <c r="EC194" s="161" t="str">
        <f t="shared" ref="EC194:EC206" si="358">IF($AZ194="", "", (BY193*$CW194)/$CZ194)</f>
        <v/>
      </c>
      <c r="ED194" s="161" t="str">
        <f t="shared" ref="ED194:ED206" si="359">IF($AZ194="", "", (BZ193*$CW194)/$CZ194)</f>
        <v/>
      </c>
      <c r="EE194" s="161" t="str">
        <f t="shared" ref="EE194:EE206" si="360">IF($AZ194="", "", (CA193*$CW194)/$CZ194)</f>
        <v/>
      </c>
      <c r="EF194" s="161" t="str">
        <f t="shared" ref="EF194:EF206" si="361">IF($AZ194="", "", (CB193*$CW194)/$CZ194)</f>
        <v/>
      </c>
      <c r="EG194" s="161" t="str">
        <f t="shared" ref="EG194:EG206" si="362">IF($AZ194="", "", (CC193*$CW194)/$CZ194)</f>
        <v/>
      </c>
      <c r="EH194" s="161" t="str">
        <f t="shared" ref="EH194:EH206" si="363">IF($AZ194="", "", (CD193*$CW194)/$CZ194)</f>
        <v/>
      </c>
      <c r="EI194" s="161" t="str">
        <f t="shared" ref="EI194:EI206" si="364">IF($AZ194="", "", (CE193*$CW194)/$CZ194)</f>
        <v/>
      </c>
      <c r="EJ194" s="161" t="str">
        <f t="shared" ref="EJ194:EJ206" si="365">IF($AZ194="", "", (CF193*$CW194)/$CZ194)</f>
        <v/>
      </c>
      <c r="EK194" s="147" t="str">
        <f t="shared" si="279"/>
        <v/>
      </c>
      <c r="EL194" s="149"/>
      <c r="EN194" s="146"/>
      <c r="EO194" s="146"/>
      <c r="EP194" s="139" t="str">
        <f t="shared" si="280"/>
        <v/>
      </c>
      <c r="EQ194" s="139" t="str">
        <f t="shared" si="281"/>
        <v/>
      </c>
      <c r="ER194" s="139" t="str">
        <f t="shared" si="282"/>
        <v/>
      </c>
      <c r="ES194" s="139" t="str">
        <f t="shared" si="283"/>
        <v/>
      </c>
      <c r="ET194" s="139" t="str">
        <f t="shared" si="284"/>
        <v/>
      </c>
      <c r="EU194" s="139" t="str">
        <f t="shared" si="285"/>
        <v/>
      </c>
      <c r="EV194" s="139" t="str">
        <f t="shared" si="286"/>
        <v/>
      </c>
      <c r="EW194" s="139" t="str">
        <f t="shared" si="287"/>
        <v/>
      </c>
      <c r="EX194" s="139" t="str">
        <f t="shared" si="288"/>
        <v/>
      </c>
      <c r="EY194" s="139" t="str">
        <f t="shared" si="289"/>
        <v/>
      </c>
      <c r="EZ194" s="139" t="str">
        <f t="shared" si="290"/>
        <v/>
      </c>
      <c r="FA194" s="139" t="str">
        <f t="shared" si="291"/>
        <v/>
      </c>
      <c r="FB194" s="139" t="str">
        <f t="shared" si="292"/>
        <v/>
      </c>
      <c r="FC194" s="139" t="str">
        <f t="shared" si="293"/>
        <v/>
      </c>
      <c r="FD194" s="139" t="str">
        <f t="shared" si="294"/>
        <v/>
      </c>
      <c r="FE194" s="139" t="str">
        <f t="shared" si="295"/>
        <v/>
      </c>
      <c r="FF194" s="139" t="str">
        <f t="shared" si="296"/>
        <v/>
      </c>
      <c r="FG194" s="139" t="str">
        <f t="shared" si="297"/>
        <v/>
      </c>
      <c r="FH194" s="139" t="str">
        <f t="shared" si="298"/>
        <v/>
      </c>
      <c r="FI194" s="139" t="str">
        <f t="shared" si="299"/>
        <v/>
      </c>
      <c r="FJ194" s="139" t="str">
        <f t="shared" si="300"/>
        <v/>
      </c>
      <c r="FK194" s="139" t="str">
        <f t="shared" si="301"/>
        <v/>
      </c>
      <c r="FL194" s="139" t="str">
        <f t="shared" si="302"/>
        <v/>
      </c>
      <c r="FM194" s="139" t="str">
        <f t="shared" si="303"/>
        <v/>
      </c>
      <c r="FN194" s="139" t="str">
        <f t="shared" si="304"/>
        <v/>
      </c>
      <c r="FO194" s="139" t="str">
        <f t="shared" si="305"/>
        <v/>
      </c>
      <c r="FP194" s="139" t="str">
        <f t="shared" si="306"/>
        <v/>
      </c>
      <c r="FQ194" s="139" t="str">
        <f t="shared" si="307"/>
        <v/>
      </c>
      <c r="FR194" s="139" t="str">
        <f t="shared" si="308"/>
        <v/>
      </c>
      <c r="FS194" s="139" t="str">
        <f t="shared" si="309"/>
        <v/>
      </c>
      <c r="FT194" s="139" t="str">
        <f t="shared" si="310"/>
        <v/>
      </c>
      <c r="FU194" s="148" t="str">
        <f t="shared" si="311"/>
        <v/>
      </c>
      <c r="FV194" s="149"/>
      <c r="FY194" s="210">
        <v>189</v>
      </c>
      <c r="FZ194">
        <v>24.024197690642609</v>
      </c>
      <c r="GA194">
        <v>27.348749802388895</v>
      </c>
      <c r="GB194">
        <v>3.0818452422624603</v>
      </c>
      <c r="GC194">
        <v>1.4398517390087289</v>
      </c>
      <c r="GD194">
        <v>0.51789041203277009</v>
      </c>
      <c r="GE194">
        <v>2.2968592887497654</v>
      </c>
      <c r="GF194">
        <v>7.2130401244031486</v>
      </c>
      <c r="GG194">
        <v>13.615778827935323</v>
      </c>
      <c r="GH194">
        <v>15.426877565022924</v>
      </c>
      <c r="GI194">
        <v>8.3619584232482076</v>
      </c>
      <c r="GJ194"/>
      <c r="GK194"/>
      <c r="GL194"/>
      <c r="GM194"/>
    </row>
    <row r="195" spans="1:195" s="7" customFormat="1">
      <c r="A195" s="1"/>
      <c r="B195" s="76" t="str">
        <f ca="1">IF(C195="", "", RAND())</f>
        <v/>
      </c>
      <c r="C195" t="s">
        <v>104</v>
      </c>
      <c r="D195" t="s">
        <v>104</v>
      </c>
      <c r="E195" t="s">
        <v>104</v>
      </c>
      <c r="F195" t="s">
        <v>104</v>
      </c>
      <c r="G195" t="s">
        <v>104</v>
      </c>
      <c r="H195" t="s">
        <v>104</v>
      </c>
      <c r="I195" t="s">
        <v>104</v>
      </c>
      <c r="J195" t="s">
        <v>104</v>
      </c>
      <c r="K195" t="s">
        <v>104</v>
      </c>
      <c r="L195" t="s">
        <v>104</v>
      </c>
      <c r="M195" t="s">
        <v>104</v>
      </c>
      <c r="N195" t="s">
        <v>104</v>
      </c>
      <c r="O195" t="s">
        <v>104</v>
      </c>
      <c r="P195" t="s">
        <v>104</v>
      </c>
      <c r="Q195" t="s">
        <v>104</v>
      </c>
      <c r="R195" t="s">
        <v>104</v>
      </c>
      <c r="S195" t="s">
        <v>104</v>
      </c>
      <c r="T195" t="s">
        <v>104</v>
      </c>
      <c r="U195" t="s">
        <v>104</v>
      </c>
      <c r="V195" t="s">
        <v>104</v>
      </c>
      <c r="W195" t="s">
        <v>104</v>
      </c>
      <c r="X195" t="s">
        <v>104</v>
      </c>
      <c r="Y195" t="s">
        <v>104</v>
      </c>
      <c r="Z195" t="s">
        <v>104</v>
      </c>
      <c r="AA195" t="s">
        <v>104</v>
      </c>
      <c r="AB195" t="s">
        <v>104</v>
      </c>
      <c r="AC195" t="s">
        <v>104</v>
      </c>
      <c r="AD195" t="s">
        <v>104</v>
      </c>
      <c r="AE195" t="s">
        <v>104</v>
      </c>
      <c r="AF195" t="s">
        <v>104</v>
      </c>
      <c r="AG195" t="s">
        <v>104</v>
      </c>
      <c r="AH195" t="s">
        <v>104</v>
      </c>
      <c r="AI195" t="s">
        <v>104</v>
      </c>
      <c r="AJ195" s="2"/>
      <c r="AK195" s="80"/>
      <c r="AL195" s="74"/>
      <c r="AM195" s="43">
        <v>179</v>
      </c>
      <c r="AN195">
        <v>57.364239887940606</v>
      </c>
      <c r="AO195">
        <v>10.445560188792673</v>
      </c>
      <c r="AP195">
        <v>110.69156126566907</v>
      </c>
      <c r="AQ195">
        <v>95.561519537565545</v>
      </c>
      <c r="AR195">
        <v>9.9576058880946743</v>
      </c>
      <c r="AS195">
        <v>117.8337783292714</v>
      </c>
      <c r="AT195">
        <v>6.8926272366251746</v>
      </c>
      <c r="AU195">
        <v>30.993085179096198</v>
      </c>
      <c r="AV195"/>
      <c r="AW195"/>
      <c r="AX195" s="146"/>
      <c r="AY195" s="76" t="str">
        <f t="shared" ca="1" si="201"/>
        <v/>
      </c>
      <c r="AZ195"/>
      <c r="BA195" s="129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 s="147"/>
      <c r="CH195" s="176"/>
      <c r="CJ195" s="146"/>
      <c r="CK195" s="76" t="str">
        <f t="shared" ca="1" si="237"/>
        <v/>
      </c>
      <c r="CL195" s="179" t="str">
        <f t="shared" si="238"/>
        <v/>
      </c>
      <c r="CM195" s="180" t="str">
        <f t="shared" si="239"/>
        <v/>
      </c>
      <c r="CN195"/>
      <c r="CO195"/>
      <c r="CP195"/>
      <c r="CQ195"/>
      <c r="CR195"/>
      <c r="CS195"/>
      <c r="CT195"/>
      <c r="CU195"/>
      <c r="CV195" s="160"/>
      <c r="CW195"/>
      <c r="CX195"/>
      <c r="CY195" s="165"/>
      <c r="CZ195" s="177" t="str">
        <f t="shared" si="240"/>
        <v/>
      </c>
      <c r="DB195" s="146"/>
      <c r="DC195" s="76" t="str">
        <f t="shared" ca="1" si="203"/>
        <v/>
      </c>
      <c r="DD195" t="str">
        <f t="shared" si="241"/>
        <v/>
      </c>
      <c r="DE195" s="129" t="str">
        <f t="shared" si="312"/>
        <v/>
      </c>
      <c r="DF195" s="161" t="str">
        <f t="shared" si="313"/>
        <v/>
      </c>
      <c r="DG195" s="161" t="str">
        <f t="shared" si="314"/>
        <v/>
      </c>
      <c r="DH195" s="161" t="str">
        <f t="shared" si="315"/>
        <v/>
      </c>
      <c r="DI195" s="161" t="str">
        <f t="shared" si="316"/>
        <v/>
      </c>
      <c r="DJ195" s="161" t="str">
        <f t="shared" si="317"/>
        <v/>
      </c>
      <c r="DK195" s="161" t="str">
        <f t="shared" si="318"/>
        <v/>
      </c>
      <c r="DL195" s="161" t="str">
        <f t="shared" si="319"/>
        <v/>
      </c>
      <c r="DM195" s="161" t="str">
        <f t="shared" si="320"/>
        <v/>
      </c>
      <c r="DN195" s="161" t="str">
        <f t="shared" si="343"/>
        <v/>
      </c>
      <c r="DO195" s="161" t="str">
        <f t="shared" si="344"/>
        <v/>
      </c>
      <c r="DP195" s="161" t="str">
        <f t="shared" si="345"/>
        <v/>
      </c>
      <c r="DQ195" s="161" t="str">
        <f t="shared" si="346"/>
        <v/>
      </c>
      <c r="DR195" s="161" t="str">
        <f t="shared" si="347"/>
        <v/>
      </c>
      <c r="DS195" s="161" t="str">
        <f t="shared" si="348"/>
        <v/>
      </c>
      <c r="DT195" s="161" t="str">
        <f t="shared" si="349"/>
        <v/>
      </c>
      <c r="DU195" s="161" t="str">
        <f t="shared" si="350"/>
        <v/>
      </c>
      <c r="DV195" s="161" t="str">
        <f t="shared" si="351"/>
        <v/>
      </c>
      <c r="DW195" s="161" t="str">
        <f t="shared" si="352"/>
        <v/>
      </c>
      <c r="DX195" s="161" t="str">
        <f t="shared" si="353"/>
        <v/>
      </c>
      <c r="DY195" s="161" t="str">
        <f t="shared" si="354"/>
        <v/>
      </c>
      <c r="DZ195" s="161" t="str">
        <f t="shared" si="355"/>
        <v/>
      </c>
      <c r="EA195" s="161" t="str">
        <f t="shared" si="356"/>
        <v/>
      </c>
      <c r="EB195" s="161" t="str">
        <f t="shared" si="357"/>
        <v/>
      </c>
      <c r="EC195" s="161" t="str">
        <f t="shared" si="358"/>
        <v/>
      </c>
      <c r="ED195" s="161" t="str">
        <f t="shared" si="359"/>
        <v/>
      </c>
      <c r="EE195" s="161" t="str">
        <f t="shared" si="360"/>
        <v/>
      </c>
      <c r="EF195" s="161" t="str">
        <f t="shared" si="361"/>
        <v/>
      </c>
      <c r="EG195" s="161" t="str">
        <f t="shared" si="362"/>
        <v/>
      </c>
      <c r="EH195" s="161" t="str">
        <f t="shared" si="363"/>
        <v/>
      </c>
      <c r="EI195" s="161" t="str">
        <f t="shared" si="364"/>
        <v/>
      </c>
      <c r="EJ195" s="161" t="str">
        <f t="shared" si="365"/>
        <v/>
      </c>
      <c r="EK195" s="147" t="str">
        <f t="shared" si="279"/>
        <v/>
      </c>
      <c r="EL195" s="149"/>
      <c r="EN195" s="146"/>
      <c r="EO195" s="146"/>
      <c r="EP195" s="139" t="str">
        <f t="shared" si="280"/>
        <v/>
      </c>
      <c r="EQ195" s="139" t="str">
        <f t="shared" si="281"/>
        <v/>
      </c>
      <c r="ER195" s="139" t="str">
        <f t="shared" si="282"/>
        <v/>
      </c>
      <c r="ES195" s="139" t="str">
        <f t="shared" si="283"/>
        <v/>
      </c>
      <c r="ET195" s="139" t="str">
        <f t="shared" si="284"/>
        <v/>
      </c>
      <c r="EU195" s="139" t="str">
        <f t="shared" si="285"/>
        <v/>
      </c>
      <c r="EV195" s="139" t="str">
        <f t="shared" si="286"/>
        <v/>
      </c>
      <c r="EW195" s="139" t="str">
        <f t="shared" si="287"/>
        <v/>
      </c>
      <c r="EX195" s="139" t="str">
        <f t="shared" si="288"/>
        <v/>
      </c>
      <c r="EY195" s="139" t="str">
        <f t="shared" si="289"/>
        <v/>
      </c>
      <c r="EZ195" s="139" t="str">
        <f t="shared" si="290"/>
        <v/>
      </c>
      <c r="FA195" s="139" t="str">
        <f t="shared" si="291"/>
        <v/>
      </c>
      <c r="FB195" s="139" t="str">
        <f t="shared" si="292"/>
        <v/>
      </c>
      <c r="FC195" s="139" t="str">
        <f t="shared" si="293"/>
        <v/>
      </c>
      <c r="FD195" s="139" t="str">
        <f t="shared" si="294"/>
        <v/>
      </c>
      <c r="FE195" s="139" t="str">
        <f t="shared" si="295"/>
        <v/>
      </c>
      <c r="FF195" s="139" t="str">
        <f t="shared" si="296"/>
        <v/>
      </c>
      <c r="FG195" s="139" t="str">
        <f t="shared" si="297"/>
        <v/>
      </c>
      <c r="FH195" s="139" t="str">
        <f t="shared" si="298"/>
        <v/>
      </c>
      <c r="FI195" s="139" t="str">
        <f t="shared" si="299"/>
        <v/>
      </c>
      <c r="FJ195" s="139" t="str">
        <f t="shared" si="300"/>
        <v/>
      </c>
      <c r="FK195" s="139" t="str">
        <f t="shared" si="301"/>
        <v/>
      </c>
      <c r="FL195" s="139" t="str">
        <f t="shared" si="302"/>
        <v/>
      </c>
      <c r="FM195" s="139" t="str">
        <f t="shared" si="303"/>
        <v/>
      </c>
      <c r="FN195" s="139" t="str">
        <f t="shared" si="304"/>
        <v/>
      </c>
      <c r="FO195" s="139" t="str">
        <f t="shared" si="305"/>
        <v/>
      </c>
      <c r="FP195" s="139" t="str">
        <f t="shared" si="306"/>
        <v/>
      </c>
      <c r="FQ195" s="139" t="str">
        <f t="shared" si="307"/>
        <v/>
      </c>
      <c r="FR195" s="139" t="str">
        <f t="shared" si="308"/>
        <v/>
      </c>
      <c r="FS195" s="139" t="str">
        <f t="shared" si="309"/>
        <v/>
      </c>
      <c r="FT195" s="139" t="str">
        <f t="shared" si="310"/>
        <v/>
      </c>
      <c r="FU195" s="148" t="str">
        <f t="shared" si="311"/>
        <v/>
      </c>
      <c r="FV195" s="149"/>
      <c r="FY195" s="210">
        <v>190</v>
      </c>
      <c r="FZ195">
        <v>36.668639823077513</v>
      </c>
      <c r="GA195">
        <v>40.901943112962243</v>
      </c>
      <c r="GB195">
        <v>3.1737134971452652</v>
      </c>
      <c r="GC195">
        <v>1.4369675706549894</v>
      </c>
      <c r="GD195">
        <v>0.58608891780506911</v>
      </c>
      <c r="GE195">
        <v>1.4146959785434006</v>
      </c>
      <c r="GF195">
        <v>5.4695948169550421</v>
      </c>
      <c r="GG195">
        <v>8.9059094229699767</v>
      </c>
      <c r="GH195">
        <v>8.7239585479710069</v>
      </c>
      <c r="GI195">
        <v>8.907573907627981</v>
      </c>
      <c r="GJ195"/>
      <c r="GK195"/>
      <c r="GL195"/>
      <c r="GM195"/>
    </row>
    <row r="196" spans="1:195" s="7" customFormat="1">
      <c r="A196" s="1"/>
      <c r="B196" s="76" t="str">
        <f ca="1">IF(C196="", "", RAND())</f>
        <v/>
      </c>
      <c r="C196" t="s">
        <v>104</v>
      </c>
      <c r="D196" t="s">
        <v>104</v>
      </c>
      <c r="E196" t="s">
        <v>104</v>
      </c>
      <c r="F196" t="s">
        <v>104</v>
      </c>
      <c r="G196" t="s">
        <v>104</v>
      </c>
      <c r="H196" t="s">
        <v>104</v>
      </c>
      <c r="I196" t="s">
        <v>104</v>
      </c>
      <c r="J196" t="s">
        <v>104</v>
      </c>
      <c r="K196" t="s">
        <v>104</v>
      </c>
      <c r="L196" t="s">
        <v>104</v>
      </c>
      <c r="M196" t="s">
        <v>104</v>
      </c>
      <c r="N196" t="s">
        <v>104</v>
      </c>
      <c r="O196" t="s">
        <v>104</v>
      </c>
      <c r="P196" t="s">
        <v>104</v>
      </c>
      <c r="Q196" t="s">
        <v>104</v>
      </c>
      <c r="R196" t="s">
        <v>104</v>
      </c>
      <c r="S196" t="s">
        <v>104</v>
      </c>
      <c r="T196" t="s">
        <v>104</v>
      </c>
      <c r="U196" t="s">
        <v>104</v>
      </c>
      <c r="V196" t="s">
        <v>104</v>
      </c>
      <c r="W196" t="s">
        <v>104</v>
      </c>
      <c r="X196" t="s">
        <v>104</v>
      </c>
      <c r="Y196" t="s">
        <v>104</v>
      </c>
      <c r="Z196" t="s">
        <v>104</v>
      </c>
      <c r="AA196" t="s">
        <v>104</v>
      </c>
      <c r="AB196" t="s">
        <v>104</v>
      </c>
      <c r="AC196" t="s">
        <v>104</v>
      </c>
      <c r="AD196" t="s">
        <v>104</v>
      </c>
      <c r="AE196" t="s">
        <v>104</v>
      </c>
      <c r="AF196" t="s">
        <v>104</v>
      </c>
      <c r="AG196" t="s">
        <v>104</v>
      </c>
      <c r="AH196" t="s">
        <v>104</v>
      </c>
      <c r="AI196" t="s">
        <v>104</v>
      </c>
      <c r="AJ196" s="2"/>
      <c r="AK196" s="80"/>
      <c r="AL196" s="74"/>
      <c r="AM196" s="43">
        <v>180</v>
      </c>
      <c r="AN196">
        <v>90.629824575201994</v>
      </c>
      <c r="AO196">
        <v>7.2953456044516205</v>
      </c>
      <c r="AP196">
        <v>71.976886960257829</v>
      </c>
      <c r="AQ196">
        <v>59.935639745750407</v>
      </c>
      <c r="AR196">
        <v>7.2625436710145976</v>
      </c>
      <c r="AS196">
        <v>127.1600480159543</v>
      </c>
      <c r="AT196">
        <v>4.5399420535855377</v>
      </c>
      <c r="AU196">
        <v>4.7551899528022794</v>
      </c>
      <c r="AV196"/>
      <c r="AW196"/>
      <c r="AX196" s="146"/>
      <c r="AY196" s="76" t="str">
        <f t="shared" ca="1" si="201"/>
        <v/>
      </c>
      <c r="AZ196"/>
      <c r="BA196" s="129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 s="147"/>
      <c r="CH196" s="176"/>
      <c r="CJ196" s="146"/>
      <c r="CK196" s="76" t="str">
        <f t="shared" ca="1" si="237"/>
        <v/>
      </c>
      <c r="CL196" s="179" t="str">
        <f t="shared" si="238"/>
        <v/>
      </c>
      <c r="CM196" s="180" t="str">
        <f t="shared" si="239"/>
        <v/>
      </c>
      <c r="CN196"/>
      <c r="CO196"/>
      <c r="CP196"/>
      <c r="CQ196"/>
      <c r="CR196"/>
      <c r="CS196"/>
      <c r="CT196"/>
      <c r="CU196"/>
      <c r="CV196" s="160"/>
      <c r="CW196"/>
      <c r="CX196"/>
      <c r="CY196" s="165"/>
      <c r="CZ196" s="177" t="str">
        <f t="shared" si="240"/>
        <v/>
      </c>
      <c r="DB196" s="146"/>
      <c r="DC196" s="76" t="str">
        <f t="shared" ca="1" si="203"/>
        <v/>
      </c>
      <c r="DD196" t="str">
        <f t="shared" si="241"/>
        <v/>
      </c>
      <c r="DE196" s="129" t="str">
        <f t="shared" si="312"/>
        <v/>
      </c>
      <c r="DF196" s="161" t="str">
        <f t="shared" si="313"/>
        <v/>
      </c>
      <c r="DG196" s="161" t="str">
        <f t="shared" si="314"/>
        <v/>
      </c>
      <c r="DH196" s="161" t="str">
        <f t="shared" si="315"/>
        <v/>
      </c>
      <c r="DI196" s="161" t="str">
        <f t="shared" si="316"/>
        <v/>
      </c>
      <c r="DJ196" s="161" t="str">
        <f t="shared" si="317"/>
        <v/>
      </c>
      <c r="DK196" s="161" t="str">
        <f t="shared" si="318"/>
        <v/>
      </c>
      <c r="DL196" s="161" t="str">
        <f t="shared" si="319"/>
        <v/>
      </c>
      <c r="DM196" s="161" t="str">
        <f t="shared" si="320"/>
        <v/>
      </c>
      <c r="DN196" s="161" t="str">
        <f t="shared" si="343"/>
        <v/>
      </c>
      <c r="DO196" s="161" t="str">
        <f t="shared" si="344"/>
        <v/>
      </c>
      <c r="DP196" s="161" t="str">
        <f t="shared" si="345"/>
        <v/>
      </c>
      <c r="DQ196" s="161" t="str">
        <f t="shared" si="346"/>
        <v/>
      </c>
      <c r="DR196" s="161" t="str">
        <f t="shared" si="347"/>
        <v/>
      </c>
      <c r="DS196" s="161" t="str">
        <f t="shared" si="348"/>
        <v/>
      </c>
      <c r="DT196" s="161" t="str">
        <f t="shared" si="349"/>
        <v/>
      </c>
      <c r="DU196" s="161" t="str">
        <f t="shared" si="350"/>
        <v/>
      </c>
      <c r="DV196" s="161" t="str">
        <f t="shared" si="351"/>
        <v/>
      </c>
      <c r="DW196" s="161" t="str">
        <f t="shared" si="352"/>
        <v/>
      </c>
      <c r="DX196" s="161" t="str">
        <f t="shared" si="353"/>
        <v/>
      </c>
      <c r="DY196" s="161" t="str">
        <f t="shared" si="354"/>
        <v/>
      </c>
      <c r="DZ196" s="161" t="str">
        <f t="shared" si="355"/>
        <v/>
      </c>
      <c r="EA196" s="161" t="str">
        <f t="shared" si="356"/>
        <v/>
      </c>
      <c r="EB196" s="161" t="str">
        <f t="shared" si="357"/>
        <v/>
      </c>
      <c r="EC196" s="161" t="str">
        <f t="shared" si="358"/>
        <v/>
      </c>
      <c r="ED196" s="161" t="str">
        <f t="shared" si="359"/>
        <v/>
      </c>
      <c r="EE196" s="161" t="str">
        <f t="shared" si="360"/>
        <v/>
      </c>
      <c r="EF196" s="161" t="str">
        <f t="shared" si="361"/>
        <v/>
      </c>
      <c r="EG196" s="161" t="str">
        <f t="shared" si="362"/>
        <v/>
      </c>
      <c r="EH196" s="161" t="str">
        <f t="shared" si="363"/>
        <v/>
      </c>
      <c r="EI196" s="161" t="str">
        <f t="shared" si="364"/>
        <v/>
      </c>
      <c r="EJ196" s="161" t="str">
        <f t="shared" si="365"/>
        <v/>
      </c>
      <c r="EK196" s="147" t="str">
        <f t="shared" si="279"/>
        <v/>
      </c>
      <c r="EL196" s="149"/>
      <c r="EN196" s="146"/>
      <c r="EO196" s="146"/>
      <c r="EP196" s="139" t="str">
        <f t="shared" si="280"/>
        <v/>
      </c>
      <c r="EQ196" s="139" t="str">
        <f t="shared" si="281"/>
        <v/>
      </c>
      <c r="ER196" s="139" t="str">
        <f t="shared" si="282"/>
        <v/>
      </c>
      <c r="ES196" s="139" t="str">
        <f t="shared" si="283"/>
        <v/>
      </c>
      <c r="ET196" s="139" t="str">
        <f t="shared" si="284"/>
        <v/>
      </c>
      <c r="EU196" s="139" t="str">
        <f t="shared" si="285"/>
        <v/>
      </c>
      <c r="EV196" s="139" t="str">
        <f t="shared" si="286"/>
        <v/>
      </c>
      <c r="EW196" s="139" t="str">
        <f t="shared" si="287"/>
        <v/>
      </c>
      <c r="EX196" s="139" t="str">
        <f t="shared" si="288"/>
        <v/>
      </c>
      <c r="EY196" s="139" t="str">
        <f t="shared" si="289"/>
        <v/>
      </c>
      <c r="EZ196" s="139" t="str">
        <f t="shared" si="290"/>
        <v/>
      </c>
      <c r="FA196" s="139" t="str">
        <f t="shared" si="291"/>
        <v/>
      </c>
      <c r="FB196" s="139" t="str">
        <f t="shared" si="292"/>
        <v/>
      </c>
      <c r="FC196" s="139" t="str">
        <f t="shared" si="293"/>
        <v/>
      </c>
      <c r="FD196" s="139" t="str">
        <f t="shared" si="294"/>
        <v/>
      </c>
      <c r="FE196" s="139" t="str">
        <f t="shared" si="295"/>
        <v/>
      </c>
      <c r="FF196" s="139" t="str">
        <f t="shared" si="296"/>
        <v/>
      </c>
      <c r="FG196" s="139" t="str">
        <f t="shared" si="297"/>
        <v/>
      </c>
      <c r="FH196" s="139" t="str">
        <f t="shared" si="298"/>
        <v/>
      </c>
      <c r="FI196" s="139" t="str">
        <f t="shared" si="299"/>
        <v/>
      </c>
      <c r="FJ196" s="139" t="str">
        <f t="shared" si="300"/>
        <v/>
      </c>
      <c r="FK196" s="139" t="str">
        <f t="shared" si="301"/>
        <v/>
      </c>
      <c r="FL196" s="139" t="str">
        <f t="shared" si="302"/>
        <v/>
      </c>
      <c r="FM196" s="139" t="str">
        <f t="shared" si="303"/>
        <v/>
      </c>
      <c r="FN196" s="139" t="str">
        <f t="shared" si="304"/>
        <v/>
      </c>
      <c r="FO196" s="139" t="str">
        <f t="shared" si="305"/>
        <v/>
      </c>
      <c r="FP196" s="139" t="str">
        <f t="shared" si="306"/>
        <v/>
      </c>
      <c r="FQ196" s="139" t="str">
        <f t="shared" si="307"/>
        <v/>
      </c>
      <c r="FR196" s="139" t="str">
        <f t="shared" si="308"/>
        <v/>
      </c>
      <c r="FS196" s="139" t="str">
        <f t="shared" si="309"/>
        <v/>
      </c>
      <c r="FT196" s="139" t="str">
        <f t="shared" si="310"/>
        <v/>
      </c>
      <c r="FU196" s="148" t="str">
        <f t="shared" si="311"/>
        <v/>
      </c>
      <c r="FV196" s="149"/>
      <c r="FY196" s="210">
        <v>191</v>
      </c>
      <c r="FZ196">
        <v>11.179847643901169</v>
      </c>
      <c r="GA196">
        <v>15.289003747623811</v>
      </c>
      <c r="GB196">
        <v>1.9236190767038623</v>
      </c>
      <c r="GC196">
        <v>0.98927861533774375</v>
      </c>
      <c r="GD196">
        <v>1.0217954275467529</v>
      </c>
      <c r="GE196">
        <v>4.1527988058968823</v>
      </c>
      <c r="GF196">
        <v>9.350127895230731</v>
      </c>
      <c r="GG196">
        <v>10.682222812182255</v>
      </c>
      <c r="GH196">
        <v>12.323821675710068</v>
      </c>
      <c r="GI196">
        <v>6.3615862823012144</v>
      </c>
      <c r="GJ196"/>
      <c r="GK196"/>
      <c r="GL196"/>
      <c r="GM196"/>
    </row>
    <row r="197" spans="1:195" s="7" customFormat="1">
      <c r="A197" s="1"/>
      <c r="B197" s="76" t="str">
        <f ca="1">IF(C197="", "", RAND())</f>
        <v/>
      </c>
      <c r="C197" t="s">
        <v>104</v>
      </c>
      <c r="D197" t="s">
        <v>104</v>
      </c>
      <c r="E197" t="s">
        <v>104</v>
      </c>
      <c r="F197" t="s">
        <v>104</v>
      </c>
      <c r="G197" t="s">
        <v>104</v>
      </c>
      <c r="H197" t="s">
        <v>104</v>
      </c>
      <c r="I197" t="s">
        <v>104</v>
      </c>
      <c r="J197" t="s">
        <v>104</v>
      </c>
      <c r="K197" t="s">
        <v>104</v>
      </c>
      <c r="L197" t="s">
        <v>104</v>
      </c>
      <c r="M197" t="s">
        <v>104</v>
      </c>
      <c r="N197" t="s">
        <v>104</v>
      </c>
      <c r="O197" t="s">
        <v>104</v>
      </c>
      <c r="P197" t="s">
        <v>104</v>
      </c>
      <c r="Q197" t="s">
        <v>104</v>
      </c>
      <c r="R197" t="s">
        <v>104</v>
      </c>
      <c r="S197" t="s">
        <v>104</v>
      </c>
      <c r="T197" t="s">
        <v>104</v>
      </c>
      <c r="U197" t="s">
        <v>104</v>
      </c>
      <c r="V197" t="s">
        <v>104</v>
      </c>
      <c r="W197" t="s">
        <v>104</v>
      </c>
      <c r="X197" t="s">
        <v>104</v>
      </c>
      <c r="Y197" t="s">
        <v>104</v>
      </c>
      <c r="Z197" t="s">
        <v>104</v>
      </c>
      <c r="AA197" t="s">
        <v>104</v>
      </c>
      <c r="AB197" t="s">
        <v>104</v>
      </c>
      <c r="AC197" t="s">
        <v>104</v>
      </c>
      <c r="AD197" t="s">
        <v>104</v>
      </c>
      <c r="AE197" t="s">
        <v>104</v>
      </c>
      <c r="AF197" t="s">
        <v>104</v>
      </c>
      <c r="AG197" t="s">
        <v>104</v>
      </c>
      <c r="AH197" t="s">
        <v>104</v>
      </c>
      <c r="AI197" t="s">
        <v>104</v>
      </c>
      <c r="AJ197" s="2"/>
      <c r="AK197" s="80"/>
      <c r="AL197" s="74"/>
      <c r="AM197" s="43">
        <v>181</v>
      </c>
      <c r="AN197">
        <v>117.51368023296259</v>
      </c>
      <c r="AO197">
        <v>9.3643733321404401</v>
      </c>
      <c r="AP197">
        <v>88.751181522728572</v>
      </c>
      <c r="AQ197">
        <v>75.036551004277015</v>
      </c>
      <c r="AR197">
        <v>9.0468204355432302</v>
      </c>
      <c r="AS197">
        <v>161.15502409493314</v>
      </c>
      <c r="AT197">
        <v>5.4550618516710712</v>
      </c>
      <c r="AU197">
        <v>36.714059904661347</v>
      </c>
      <c r="AV197"/>
      <c r="AW197"/>
      <c r="AX197" s="146"/>
      <c r="AY197" s="76" t="str">
        <f t="shared" ca="1" si="201"/>
        <v/>
      </c>
      <c r="AZ197"/>
      <c r="BA197" s="129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 s="147"/>
      <c r="CH197" s="176"/>
      <c r="CJ197" s="146"/>
      <c r="CK197" s="76" t="str">
        <f t="shared" ca="1" si="237"/>
        <v/>
      </c>
      <c r="CL197" s="179" t="str">
        <f t="shared" si="238"/>
        <v/>
      </c>
      <c r="CM197" s="180" t="str">
        <f t="shared" si="239"/>
        <v/>
      </c>
      <c r="CN197"/>
      <c r="CO197"/>
      <c r="CP197"/>
      <c r="CQ197"/>
      <c r="CR197"/>
      <c r="CS197"/>
      <c r="CT197"/>
      <c r="CU197"/>
      <c r="CV197" s="160"/>
      <c r="CW197"/>
      <c r="CX197"/>
      <c r="CY197" s="165"/>
      <c r="CZ197" s="177" t="str">
        <f t="shared" si="240"/>
        <v/>
      </c>
      <c r="DB197" s="146"/>
      <c r="DC197" s="76" t="str">
        <f t="shared" ca="1" si="203"/>
        <v/>
      </c>
      <c r="DD197" t="str">
        <f t="shared" si="241"/>
        <v/>
      </c>
      <c r="DE197" s="129" t="str">
        <f t="shared" si="312"/>
        <v/>
      </c>
      <c r="DF197" s="161" t="str">
        <f t="shared" si="313"/>
        <v/>
      </c>
      <c r="DG197" s="161" t="str">
        <f t="shared" si="314"/>
        <v/>
      </c>
      <c r="DH197" s="161" t="str">
        <f t="shared" si="315"/>
        <v/>
      </c>
      <c r="DI197" s="161" t="str">
        <f t="shared" si="316"/>
        <v/>
      </c>
      <c r="DJ197" s="161" t="str">
        <f t="shared" si="317"/>
        <v/>
      </c>
      <c r="DK197" s="161" t="str">
        <f t="shared" si="318"/>
        <v/>
      </c>
      <c r="DL197" s="161" t="str">
        <f t="shared" si="319"/>
        <v/>
      </c>
      <c r="DM197" s="161" t="str">
        <f t="shared" si="320"/>
        <v/>
      </c>
      <c r="DN197" s="161" t="str">
        <f t="shared" si="343"/>
        <v/>
      </c>
      <c r="DO197" s="161" t="str">
        <f t="shared" si="344"/>
        <v/>
      </c>
      <c r="DP197" s="161" t="str">
        <f t="shared" si="345"/>
        <v/>
      </c>
      <c r="DQ197" s="161" t="str">
        <f t="shared" si="346"/>
        <v/>
      </c>
      <c r="DR197" s="161" t="str">
        <f t="shared" si="347"/>
        <v/>
      </c>
      <c r="DS197" s="161" t="str">
        <f t="shared" si="348"/>
        <v/>
      </c>
      <c r="DT197" s="161" t="str">
        <f t="shared" si="349"/>
        <v/>
      </c>
      <c r="DU197" s="161" t="str">
        <f t="shared" si="350"/>
        <v/>
      </c>
      <c r="DV197" s="161" t="str">
        <f t="shared" si="351"/>
        <v/>
      </c>
      <c r="DW197" s="161" t="str">
        <f t="shared" si="352"/>
        <v/>
      </c>
      <c r="DX197" s="161" t="str">
        <f t="shared" si="353"/>
        <v/>
      </c>
      <c r="DY197" s="161" t="str">
        <f t="shared" si="354"/>
        <v/>
      </c>
      <c r="DZ197" s="161" t="str">
        <f t="shared" si="355"/>
        <v/>
      </c>
      <c r="EA197" s="161" t="str">
        <f t="shared" si="356"/>
        <v/>
      </c>
      <c r="EB197" s="161" t="str">
        <f t="shared" si="357"/>
        <v/>
      </c>
      <c r="EC197" s="161" t="str">
        <f t="shared" si="358"/>
        <v/>
      </c>
      <c r="ED197" s="161" t="str">
        <f t="shared" si="359"/>
        <v/>
      </c>
      <c r="EE197" s="161" t="str">
        <f t="shared" si="360"/>
        <v/>
      </c>
      <c r="EF197" s="161" t="str">
        <f t="shared" si="361"/>
        <v/>
      </c>
      <c r="EG197" s="161" t="str">
        <f t="shared" si="362"/>
        <v/>
      </c>
      <c r="EH197" s="161" t="str">
        <f t="shared" si="363"/>
        <v/>
      </c>
      <c r="EI197" s="161" t="str">
        <f t="shared" si="364"/>
        <v/>
      </c>
      <c r="EJ197" s="161" t="str">
        <f t="shared" si="365"/>
        <v/>
      </c>
      <c r="EK197" s="147" t="str">
        <f t="shared" si="279"/>
        <v/>
      </c>
      <c r="EL197" s="149"/>
      <c r="EN197" s="146"/>
      <c r="EO197" s="146"/>
      <c r="EP197" s="139" t="str">
        <f t="shared" si="280"/>
        <v/>
      </c>
      <c r="EQ197" s="139" t="str">
        <f t="shared" si="281"/>
        <v/>
      </c>
      <c r="ER197" s="139" t="str">
        <f t="shared" si="282"/>
        <v/>
      </c>
      <c r="ES197" s="139" t="str">
        <f t="shared" si="283"/>
        <v/>
      </c>
      <c r="ET197" s="139" t="str">
        <f t="shared" si="284"/>
        <v/>
      </c>
      <c r="EU197" s="139" t="str">
        <f t="shared" si="285"/>
        <v/>
      </c>
      <c r="EV197" s="139" t="str">
        <f t="shared" si="286"/>
        <v/>
      </c>
      <c r="EW197" s="139" t="str">
        <f t="shared" si="287"/>
        <v/>
      </c>
      <c r="EX197" s="139" t="str">
        <f t="shared" si="288"/>
        <v/>
      </c>
      <c r="EY197" s="139" t="str">
        <f t="shared" si="289"/>
        <v/>
      </c>
      <c r="EZ197" s="139" t="str">
        <f t="shared" si="290"/>
        <v/>
      </c>
      <c r="FA197" s="139" t="str">
        <f t="shared" si="291"/>
        <v/>
      </c>
      <c r="FB197" s="139" t="str">
        <f t="shared" si="292"/>
        <v/>
      </c>
      <c r="FC197" s="139" t="str">
        <f t="shared" si="293"/>
        <v/>
      </c>
      <c r="FD197" s="139" t="str">
        <f t="shared" si="294"/>
        <v/>
      </c>
      <c r="FE197" s="139" t="str">
        <f t="shared" si="295"/>
        <v/>
      </c>
      <c r="FF197" s="139" t="str">
        <f t="shared" si="296"/>
        <v/>
      </c>
      <c r="FG197" s="139" t="str">
        <f t="shared" si="297"/>
        <v/>
      </c>
      <c r="FH197" s="139" t="str">
        <f t="shared" si="298"/>
        <v/>
      </c>
      <c r="FI197" s="139" t="str">
        <f t="shared" si="299"/>
        <v/>
      </c>
      <c r="FJ197" s="139" t="str">
        <f t="shared" si="300"/>
        <v/>
      </c>
      <c r="FK197" s="139" t="str">
        <f t="shared" si="301"/>
        <v/>
      </c>
      <c r="FL197" s="139" t="str">
        <f t="shared" si="302"/>
        <v/>
      </c>
      <c r="FM197" s="139" t="str">
        <f t="shared" si="303"/>
        <v/>
      </c>
      <c r="FN197" s="139" t="str">
        <f t="shared" si="304"/>
        <v/>
      </c>
      <c r="FO197" s="139" t="str">
        <f t="shared" si="305"/>
        <v/>
      </c>
      <c r="FP197" s="139" t="str">
        <f t="shared" si="306"/>
        <v/>
      </c>
      <c r="FQ197" s="139" t="str">
        <f t="shared" si="307"/>
        <v/>
      </c>
      <c r="FR197" s="139" t="str">
        <f t="shared" si="308"/>
        <v/>
      </c>
      <c r="FS197" s="139" t="str">
        <f t="shared" si="309"/>
        <v/>
      </c>
      <c r="FT197" s="139" t="str">
        <f t="shared" si="310"/>
        <v/>
      </c>
      <c r="FU197" s="148" t="str">
        <f t="shared" si="311"/>
        <v/>
      </c>
      <c r="FV197" s="149"/>
      <c r="FY197" s="210">
        <v>192</v>
      </c>
      <c r="FZ197">
        <v>21.78463355145114</v>
      </c>
      <c r="GA197">
        <v>29.307387900149504</v>
      </c>
      <c r="GB197">
        <v>2.3768600444588719</v>
      </c>
      <c r="GC197">
        <v>0.54097627277778371</v>
      </c>
      <c r="GD197">
        <v>0.6444558754010774</v>
      </c>
      <c r="GE197">
        <v>2.7445648527232342</v>
      </c>
      <c r="GF197">
        <v>7.1898672459230291</v>
      </c>
      <c r="GG197">
        <v>8.5669659180656677</v>
      </c>
      <c r="GH197">
        <v>10.084454277695123</v>
      </c>
      <c r="GI197">
        <v>7.0906018171197642</v>
      </c>
      <c r="GJ197"/>
      <c r="GK197"/>
      <c r="GL197"/>
      <c r="GM197"/>
    </row>
    <row r="198" spans="1:195" s="7" customFormat="1">
      <c r="A198" s="128"/>
      <c r="B198" s="76" t="str">
        <f ca="1">IF(C198="", "", RAND())</f>
        <v/>
      </c>
      <c r="C198" t="s">
        <v>104</v>
      </c>
      <c r="D198" t="s">
        <v>104</v>
      </c>
      <c r="E198" t="s">
        <v>104</v>
      </c>
      <c r="F198" t="s">
        <v>104</v>
      </c>
      <c r="G198" t="s">
        <v>104</v>
      </c>
      <c r="H198" t="s">
        <v>104</v>
      </c>
      <c r="I198" t="s">
        <v>104</v>
      </c>
      <c r="J198" t="s">
        <v>104</v>
      </c>
      <c r="K198" t="s">
        <v>104</v>
      </c>
      <c r="L198" t="s">
        <v>104</v>
      </c>
      <c r="M198" t="s">
        <v>104</v>
      </c>
      <c r="N198" t="s">
        <v>104</v>
      </c>
      <c r="O198" t="s">
        <v>104</v>
      </c>
      <c r="P198" t="s">
        <v>104</v>
      </c>
      <c r="Q198" t="s">
        <v>104</v>
      </c>
      <c r="R198" t="s">
        <v>104</v>
      </c>
      <c r="S198" t="s">
        <v>104</v>
      </c>
      <c r="T198" t="s">
        <v>104</v>
      </c>
      <c r="U198" t="s">
        <v>104</v>
      </c>
      <c r="V198" t="s">
        <v>104</v>
      </c>
      <c r="W198" t="s">
        <v>104</v>
      </c>
      <c r="X198" t="s">
        <v>104</v>
      </c>
      <c r="Y198" t="s">
        <v>104</v>
      </c>
      <c r="Z198" t="s">
        <v>104</v>
      </c>
      <c r="AA198" t="s">
        <v>104</v>
      </c>
      <c r="AB198" t="s">
        <v>104</v>
      </c>
      <c r="AC198" t="s">
        <v>104</v>
      </c>
      <c r="AD198" t="s">
        <v>104</v>
      </c>
      <c r="AE198" t="s">
        <v>104</v>
      </c>
      <c r="AF198" t="s">
        <v>104</v>
      </c>
      <c r="AG198" t="s">
        <v>104</v>
      </c>
      <c r="AH198" t="s">
        <v>104</v>
      </c>
      <c r="AI198" t="s">
        <v>104</v>
      </c>
      <c r="AJ198" s="2"/>
      <c r="AK198" s="80"/>
      <c r="AL198" s="74">
        <v>3.0028000000000028</v>
      </c>
      <c r="AM198" s="43">
        <v>182</v>
      </c>
      <c r="AN198">
        <v>134.84343642251537</v>
      </c>
      <c r="AO198">
        <v>9.4823985608055779</v>
      </c>
      <c r="AP198">
        <v>85.846906461021661</v>
      </c>
      <c r="AQ198">
        <v>72.626538317655758</v>
      </c>
      <c r="AR198">
        <v>9.1929812591688531</v>
      </c>
      <c r="AS198">
        <v>151.34707286650473</v>
      </c>
      <c r="AT198">
        <v>5.547697581112466</v>
      </c>
      <c r="AU198">
        <v>10.390897771227216</v>
      </c>
      <c r="AV198"/>
      <c r="AW198"/>
      <c r="AX198" s="128"/>
      <c r="AY198" s="76" t="str">
        <f t="shared" ca="1" si="201"/>
        <v/>
      </c>
      <c r="AZ198"/>
      <c r="BA198" s="129" t="s">
        <v>104</v>
      </c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 s="147"/>
      <c r="CH198" s="176"/>
      <c r="CJ198" s="128"/>
      <c r="CK198" s="76" t="str">
        <f t="shared" ca="1" si="237"/>
        <v/>
      </c>
      <c r="CL198" s="179" t="str">
        <f t="shared" si="238"/>
        <v/>
      </c>
      <c r="CM198" s="180" t="str">
        <f t="shared" si="239"/>
        <v/>
      </c>
      <c r="CN198"/>
      <c r="CO198"/>
      <c r="CP198"/>
      <c r="CQ198"/>
      <c r="CR198"/>
      <c r="CS198"/>
      <c r="CT198"/>
      <c r="CU198"/>
      <c r="CV198" s="160"/>
      <c r="CW198"/>
      <c r="CX198"/>
      <c r="CY198" s="160"/>
      <c r="CZ198" s="177" t="str">
        <f t="shared" si="240"/>
        <v/>
      </c>
      <c r="DB198" s="128"/>
      <c r="DC198" s="76" t="str">
        <f t="shared" ca="1" si="203"/>
        <v/>
      </c>
      <c r="DD198" t="str">
        <f t="shared" si="241"/>
        <v/>
      </c>
      <c r="DE198" s="129" t="str">
        <f t="shared" ref="DE198:DE207" si="366">IF((DD198)="", "", $C$15)</f>
        <v/>
      </c>
      <c r="DF198" s="161" t="str">
        <f t="shared" si="313"/>
        <v/>
      </c>
      <c r="DG198" s="161" t="str">
        <f t="shared" si="314"/>
        <v/>
      </c>
      <c r="DH198" s="161" t="str">
        <f t="shared" si="315"/>
        <v/>
      </c>
      <c r="DI198" s="161" t="str">
        <f t="shared" si="316"/>
        <v/>
      </c>
      <c r="DJ198" s="161" t="str">
        <f t="shared" si="317"/>
        <v/>
      </c>
      <c r="DK198" s="161" t="str">
        <f t="shared" si="318"/>
        <v/>
      </c>
      <c r="DL198" s="161" t="str">
        <f t="shared" si="319"/>
        <v/>
      </c>
      <c r="DM198" s="161" t="str">
        <f t="shared" si="320"/>
        <v/>
      </c>
      <c r="DN198" s="161" t="str">
        <f t="shared" si="343"/>
        <v/>
      </c>
      <c r="DO198" s="161" t="str">
        <f t="shared" si="344"/>
        <v/>
      </c>
      <c r="DP198" s="161" t="str">
        <f t="shared" si="345"/>
        <v/>
      </c>
      <c r="DQ198" s="161" t="str">
        <f t="shared" si="346"/>
        <v/>
      </c>
      <c r="DR198" s="161" t="str">
        <f t="shared" si="347"/>
        <v/>
      </c>
      <c r="DS198" s="161" t="str">
        <f t="shared" si="348"/>
        <v/>
      </c>
      <c r="DT198" s="161" t="str">
        <f t="shared" si="349"/>
        <v/>
      </c>
      <c r="DU198" s="161" t="str">
        <f t="shared" si="350"/>
        <v/>
      </c>
      <c r="DV198" s="161" t="str">
        <f t="shared" si="351"/>
        <v/>
      </c>
      <c r="DW198" s="161" t="str">
        <f t="shared" si="352"/>
        <v/>
      </c>
      <c r="DX198" s="161" t="str">
        <f t="shared" si="353"/>
        <v/>
      </c>
      <c r="DY198" s="161" t="str">
        <f t="shared" si="354"/>
        <v/>
      </c>
      <c r="DZ198" s="161" t="str">
        <f t="shared" si="355"/>
        <v/>
      </c>
      <c r="EA198" s="161" t="str">
        <f t="shared" si="356"/>
        <v/>
      </c>
      <c r="EB198" s="161" t="str">
        <f t="shared" si="357"/>
        <v/>
      </c>
      <c r="EC198" s="161" t="str">
        <f t="shared" si="358"/>
        <v/>
      </c>
      <c r="ED198" s="161" t="str">
        <f t="shared" si="359"/>
        <v/>
      </c>
      <c r="EE198" s="161" t="str">
        <f t="shared" si="360"/>
        <v/>
      </c>
      <c r="EF198" s="161" t="str">
        <f t="shared" si="361"/>
        <v/>
      </c>
      <c r="EG198" s="161" t="str">
        <f t="shared" si="362"/>
        <v/>
      </c>
      <c r="EH198" s="161" t="str">
        <f t="shared" si="363"/>
        <v/>
      </c>
      <c r="EI198" s="161" t="str">
        <f t="shared" si="364"/>
        <v/>
      </c>
      <c r="EJ198" s="161" t="str">
        <f t="shared" si="365"/>
        <v/>
      </c>
      <c r="EK198" s="147" t="str">
        <f t="shared" si="279"/>
        <v/>
      </c>
      <c r="EL198" s="149"/>
      <c r="EN198" s="146"/>
      <c r="EO198" s="146"/>
      <c r="EP198" s="139" t="str">
        <f t="shared" si="280"/>
        <v/>
      </c>
      <c r="EQ198" s="139" t="str">
        <f t="shared" si="281"/>
        <v/>
      </c>
      <c r="ER198" s="139" t="str">
        <f t="shared" si="282"/>
        <v/>
      </c>
      <c r="ES198" s="139" t="str">
        <f t="shared" si="283"/>
        <v/>
      </c>
      <c r="ET198" s="139" t="str">
        <f t="shared" si="284"/>
        <v/>
      </c>
      <c r="EU198" s="139" t="str">
        <f t="shared" si="285"/>
        <v/>
      </c>
      <c r="EV198" s="139" t="str">
        <f t="shared" si="286"/>
        <v/>
      </c>
      <c r="EW198" s="139" t="str">
        <f t="shared" si="287"/>
        <v/>
      </c>
      <c r="EX198" s="139" t="str">
        <f t="shared" si="288"/>
        <v/>
      </c>
      <c r="EY198" s="139" t="str">
        <f t="shared" si="289"/>
        <v/>
      </c>
      <c r="EZ198" s="139" t="str">
        <f t="shared" si="290"/>
        <v/>
      </c>
      <c r="FA198" s="139" t="str">
        <f t="shared" si="291"/>
        <v/>
      </c>
      <c r="FB198" s="139" t="str">
        <f t="shared" si="292"/>
        <v/>
      </c>
      <c r="FC198" s="139" t="str">
        <f t="shared" si="293"/>
        <v/>
      </c>
      <c r="FD198" s="139" t="str">
        <f t="shared" si="294"/>
        <v/>
      </c>
      <c r="FE198" s="139" t="str">
        <f t="shared" si="295"/>
        <v/>
      </c>
      <c r="FF198" s="139" t="str">
        <f t="shared" si="296"/>
        <v/>
      </c>
      <c r="FG198" s="139" t="str">
        <f t="shared" si="297"/>
        <v/>
      </c>
      <c r="FH198" s="139" t="str">
        <f t="shared" si="298"/>
        <v/>
      </c>
      <c r="FI198" s="139" t="str">
        <f t="shared" si="299"/>
        <v/>
      </c>
      <c r="FJ198" s="139" t="str">
        <f t="shared" si="300"/>
        <v/>
      </c>
      <c r="FK198" s="139" t="str">
        <f t="shared" si="301"/>
        <v/>
      </c>
      <c r="FL198" s="139" t="str">
        <f t="shared" si="302"/>
        <v/>
      </c>
      <c r="FM198" s="139" t="str">
        <f t="shared" si="303"/>
        <v/>
      </c>
      <c r="FN198" s="139" t="str">
        <f t="shared" si="304"/>
        <v/>
      </c>
      <c r="FO198" s="139" t="str">
        <f t="shared" si="305"/>
        <v/>
      </c>
      <c r="FP198" s="139" t="str">
        <f t="shared" si="306"/>
        <v/>
      </c>
      <c r="FQ198" s="139" t="str">
        <f t="shared" si="307"/>
        <v/>
      </c>
      <c r="FR198" s="139" t="str">
        <f t="shared" si="308"/>
        <v/>
      </c>
      <c r="FS198" s="139" t="str">
        <f t="shared" si="309"/>
        <v/>
      </c>
      <c r="FT198" s="139" t="str">
        <f t="shared" si="310"/>
        <v/>
      </c>
      <c r="FU198" s="148" t="str">
        <f t="shared" si="311"/>
        <v/>
      </c>
      <c r="FV198" s="149"/>
      <c r="FY198" s="210">
        <v>193</v>
      </c>
      <c r="FZ198">
        <v>1.9843812706414514</v>
      </c>
      <c r="GA198">
        <v>2.4183224578700155</v>
      </c>
      <c r="GB198">
        <v>1.9357935927583463</v>
      </c>
      <c r="GC198">
        <v>0.84080327635181651</v>
      </c>
      <c r="GD198">
        <v>1.0686840762113778</v>
      </c>
      <c r="GE198">
        <v>2.1686222531391204</v>
      </c>
      <c r="GF198">
        <v>5.5295791956303075</v>
      </c>
      <c r="GG198">
        <v>6.6814730372838893</v>
      </c>
      <c r="GH198">
        <v>7.5682382700260913</v>
      </c>
      <c r="GI198">
        <v>3.5978994511774296</v>
      </c>
      <c r="GJ198"/>
      <c r="GK198"/>
      <c r="GL198"/>
      <c r="GM198"/>
    </row>
    <row r="199" spans="1:195" s="7" customFormat="1">
      <c r="A199" s="1"/>
      <c r="B199" s="76" t="str">
        <f ca="1">IF(C199="", "", RAND())</f>
        <v/>
      </c>
      <c r="C199" t="s">
        <v>104</v>
      </c>
      <c r="D199" t="s">
        <v>104</v>
      </c>
      <c r="E199" t="s">
        <v>104</v>
      </c>
      <c r="F199" t="s">
        <v>104</v>
      </c>
      <c r="G199" t="s">
        <v>104</v>
      </c>
      <c r="H199" t="s">
        <v>104</v>
      </c>
      <c r="I199" t="s">
        <v>104</v>
      </c>
      <c r="J199" t="s">
        <v>104</v>
      </c>
      <c r="K199" t="s">
        <v>104</v>
      </c>
      <c r="L199" t="s">
        <v>104</v>
      </c>
      <c r="M199" t="s">
        <v>104</v>
      </c>
      <c r="N199" t="s">
        <v>104</v>
      </c>
      <c r="O199" t="s">
        <v>104</v>
      </c>
      <c r="P199" t="s">
        <v>104</v>
      </c>
      <c r="Q199" t="s">
        <v>104</v>
      </c>
      <c r="R199" t="s">
        <v>104</v>
      </c>
      <c r="S199" t="s">
        <v>104</v>
      </c>
      <c r="T199" t="s">
        <v>104</v>
      </c>
      <c r="U199" t="s">
        <v>104</v>
      </c>
      <c r="V199" t="s">
        <v>104</v>
      </c>
      <c r="W199" t="s">
        <v>104</v>
      </c>
      <c r="X199" t="s">
        <v>104</v>
      </c>
      <c r="Y199" t="s">
        <v>104</v>
      </c>
      <c r="Z199" t="s">
        <v>104</v>
      </c>
      <c r="AA199" t="s">
        <v>104</v>
      </c>
      <c r="AB199" t="s">
        <v>104</v>
      </c>
      <c r="AC199" t="s">
        <v>104</v>
      </c>
      <c r="AD199" t="s">
        <v>104</v>
      </c>
      <c r="AE199" t="s">
        <v>104</v>
      </c>
      <c r="AF199" t="s">
        <v>104</v>
      </c>
      <c r="AG199" t="s">
        <v>104</v>
      </c>
      <c r="AH199" t="s">
        <v>104</v>
      </c>
      <c r="AI199" t="s">
        <v>104</v>
      </c>
      <c r="AJ199" s="2"/>
      <c r="AK199" s="80"/>
      <c r="AL199" s="74">
        <v>3.0028000000000028</v>
      </c>
      <c r="AM199" s="43">
        <v>183</v>
      </c>
      <c r="AN199">
        <v>97.840784950976769</v>
      </c>
      <c r="AO199">
        <v>9.5371134233869022</v>
      </c>
      <c r="AP199">
        <v>97.889572173368336</v>
      </c>
      <c r="AQ199">
        <v>83.782026433483225</v>
      </c>
      <c r="AR199">
        <v>9.2011461898478011</v>
      </c>
      <c r="AS199">
        <v>156.48370870552884</v>
      </c>
      <c r="AT199">
        <v>5.7531094291030458</v>
      </c>
      <c r="AU199">
        <v>11.451278393594874</v>
      </c>
      <c r="AV199"/>
      <c r="AW199"/>
      <c r="AX199" s="146"/>
      <c r="AY199" s="76" t="str">
        <f t="shared" ca="1" si="201"/>
        <v/>
      </c>
      <c r="AZ199"/>
      <c r="BA199" s="129" t="s">
        <v>104</v>
      </c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 s="147"/>
      <c r="CH199" s="176"/>
      <c r="CJ199" s="146"/>
      <c r="CK199" s="76" t="str">
        <f t="shared" ca="1" si="237"/>
        <v/>
      </c>
      <c r="CL199" s="179" t="str">
        <f t="shared" si="238"/>
        <v/>
      </c>
      <c r="CM199" s="180" t="str">
        <f t="shared" si="239"/>
        <v/>
      </c>
      <c r="CN199"/>
      <c r="CO199"/>
      <c r="CP199"/>
      <c r="CQ199"/>
      <c r="CR199"/>
      <c r="CS199"/>
      <c r="CT199"/>
      <c r="CU199"/>
      <c r="CV199" s="160"/>
      <c r="CW199"/>
      <c r="CX199"/>
      <c r="CY199" s="160"/>
      <c r="CZ199" s="177" t="str">
        <f t="shared" si="240"/>
        <v/>
      </c>
      <c r="DB199" s="146"/>
      <c r="DC199" s="76" t="str">
        <f t="shared" ca="1" si="203"/>
        <v/>
      </c>
      <c r="DD199" t="str">
        <f t="shared" si="241"/>
        <v/>
      </c>
      <c r="DE199" s="129" t="str">
        <f t="shared" si="366"/>
        <v/>
      </c>
      <c r="DF199" s="161" t="str">
        <f t="shared" si="313"/>
        <v/>
      </c>
      <c r="DG199" s="161" t="str">
        <f t="shared" si="314"/>
        <v/>
      </c>
      <c r="DH199" s="161" t="str">
        <f t="shared" si="315"/>
        <v/>
      </c>
      <c r="DI199" s="161" t="str">
        <f t="shared" si="316"/>
        <v/>
      </c>
      <c r="DJ199" s="161" t="str">
        <f t="shared" si="317"/>
        <v/>
      </c>
      <c r="DK199" s="161" t="str">
        <f t="shared" si="318"/>
        <v/>
      </c>
      <c r="DL199" s="161" t="str">
        <f t="shared" si="319"/>
        <v/>
      </c>
      <c r="DM199" s="161" t="str">
        <f t="shared" si="320"/>
        <v/>
      </c>
      <c r="DN199" s="161" t="str">
        <f t="shared" si="343"/>
        <v/>
      </c>
      <c r="DO199" s="161" t="str">
        <f t="shared" si="344"/>
        <v/>
      </c>
      <c r="DP199" s="161" t="str">
        <f t="shared" si="345"/>
        <v/>
      </c>
      <c r="DQ199" s="161" t="str">
        <f t="shared" si="346"/>
        <v/>
      </c>
      <c r="DR199" s="161" t="str">
        <f t="shared" si="347"/>
        <v/>
      </c>
      <c r="DS199" s="161" t="str">
        <f t="shared" si="348"/>
        <v/>
      </c>
      <c r="DT199" s="161" t="str">
        <f t="shared" si="349"/>
        <v/>
      </c>
      <c r="DU199" s="161" t="str">
        <f t="shared" si="350"/>
        <v/>
      </c>
      <c r="DV199" s="161" t="str">
        <f t="shared" si="351"/>
        <v/>
      </c>
      <c r="DW199" s="161" t="str">
        <f t="shared" si="352"/>
        <v/>
      </c>
      <c r="DX199" s="161" t="str">
        <f t="shared" si="353"/>
        <v/>
      </c>
      <c r="DY199" s="161" t="str">
        <f t="shared" si="354"/>
        <v/>
      </c>
      <c r="DZ199" s="161" t="str">
        <f t="shared" si="355"/>
        <v/>
      </c>
      <c r="EA199" s="161" t="str">
        <f t="shared" si="356"/>
        <v/>
      </c>
      <c r="EB199" s="161" t="str">
        <f t="shared" si="357"/>
        <v/>
      </c>
      <c r="EC199" s="161" t="str">
        <f t="shared" si="358"/>
        <v/>
      </c>
      <c r="ED199" s="161" t="str">
        <f t="shared" si="359"/>
        <v/>
      </c>
      <c r="EE199" s="161" t="str">
        <f t="shared" si="360"/>
        <v/>
      </c>
      <c r="EF199" s="161" t="str">
        <f t="shared" si="361"/>
        <v/>
      </c>
      <c r="EG199" s="161" t="str">
        <f t="shared" si="362"/>
        <v/>
      </c>
      <c r="EH199" s="161" t="str">
        <f t="shared" si="363"/>
        <v/>
      </c>
      <c r="EI199" s="161" t="str">
        <f t="shared" si="364"/>
        <v/>
      </c>
      <c r="EJ199" s="161" t="str">
        <f t="shared" si="365"/>
        <v/>
      </c>
      <c r="EK199" s="147" t="str">
        <f t="shared" si="279"/>
        <v/>
      </c>
      <c r="EL199" s="149"/>
      <c r="EN199" s="146"/>
      <c r="EO199" s="146"/>
      <c r="EP199" s="139" t="str">
        <f t="shared" si="280"/>
        <v/>
      </c>
      <c r="EQ199" s="139" t="str">
        <f t="shared" si="281"/>
        <v/>
      </c>
      <c r="ER199" s="139" t="str">
        <f t="shared" si="282"/>
        <v/>
      </c>
      <c r="ES199" s="139" t="str">
        <f t="shared" si="283"/>
        <v/>
      </c>
      <c r="ET199" s="139" t="str">
        <f t="shared" si="284"/>
        <v/>
      </c>
      <c r="EU199" s="139" t="str">
        <f t="shared" si="285"/>
        <v/>
      </c>
      <c r="EV199" s="139" t="str">
        <f t="shared" si="286"/>
        <v/>
      </c>
      <c r="EW199" s="139" t="str">
        <f t="shared" si="287"/>
        <v/>
      </c>
      <c r="EX199" s="139" t="str">
        <f t="shared" si="288"/>
        <v/>
      </c>
      <c r="EY199" s="139" t="str">
        <f t="shared" si="289"/>
        <v/>
      </c>
      <c r="EZ199" s="139" t="str">
        <f t="shared" si="290"/>
        <v/>
      </c>
      <c r="FA199" s="139" t="str">
        <f t="shared" si="291"/>
        <v/>
      </c>
      <c r="FB199" s="139" t="str">
        <f t="shared" si="292"/>
        <v/>
      </c>
      <c r="FC199" s="139" t="str">
        <f t="shared" si="293"/>
        <v/>
      </c>
      <c r="FD199" s="139" t="str">
        <f t="shared" si="294"/>
        <v/>
      </c>
      <c r="FE199" s="139" t="str">
        <f t="shared" si="295"/>
        <v/>
      </c>
      <c r="FF199" s="139" t="str">
        <f t="shared" si="296"/>
        <v/>
      </c>
      <c r="FG199" s="139" t="str">
        <f t="shared" si="297"/>
        <v/>
      </c>
      <c r="FH199" s="139" t="str">
        <f t="shared" si="298"/>
        <v/>
      </c>
      <c r="FI199" s="139" t="str">
        <f t="shared" si="299"/>
        <v/>
      </c>
      <c r="FJ199" s="139" t="str">
        <f t="shared" si="300"/>
        <v/>
      </c>
      <c r="FK199" s="139" t="str">
        <f t="shared" si="301"/>
        <v/>
      </c>
      <c r="FL199" s="139" t="str">
        <f t="shared" si="302"/>
        <v/>
      </c>
      <c r="FM199" s="139" t="str">
        <f t="shared" si="303"/>
        <v/>
      </c>
      <c r="FN199" s="139" t="str">
        <f t="shared" si="304"/>
        <v/>
      </c>
      <c r="FO199" s="139" t="str">
        <f t="shared" si="305"/>
        <v/>
      </c>
      <c r="FP199" s="139" t="str">
        <f t="shared" si="306"/>
        <v/>
      </c>
      <c r="FQ199" s="139" t="str">
        <f t="shared" si="307"/>
        <v/>
      </c>
      <c r="FR199" s="139" t="str">
        <f t="shared" si="308"/>
        <v/>
      </c>
      <c r="FS199" s="139" t="str">
        <f t="shared" si="309"/>
        <v/>
      </c>
      <c r="FT199" s="139" t="str">
        <f t="shared" si="310"/>
        <v/>
      </c>
      <c r="FU199" s="148" t="str">
        <f t="shared" si="311"/>
        <v/>
      </c>
      <c r="FV199" s="149"/>
      <c r="FY199" s="210">
        <v>194</v>
      </c>
      <c r="FZ199">
        <v>21.959087117696978</v>
      </c>
      <c r="GA199">
        <v>27.283536505887028</v>
      </c>
      <c r="GB199">
        <v>2.6322167563334102</v>
      </c>
      <c r="GC199">
        <v>1.360321174678526</v>
      </c>
      <c r="GD199">
        <v>1.164075788801137</v>
      </c>
      <c r="GE199">
        <v>3.3876600881336074</v>
      </c>
      <c r="GF199">
        <v>9.1449663609406144</v>
      </c>
      <c r="GG199">
        <v>7.1973750054549326</v>
      </c>
      <c r="GH199">
        <v>4.5969897810847709</v>
      </c>
      <c r="GI199">
        <v>6.9535403299369083</v>
      </c>
      <c r="GJ199"/>
      <c r="GK199"/>
      <c r="GL199"/>
      <c r="GM199"/>
    </row>
    <row r="200" spans="1:195" s="7" customFormat="1">
      <c r="A200" s="1"/>
      <c r="B200" s="76" t="str">
        <f ca="1">IF(C200="", "", RAND())</f>
        <v/>
      </c>
      <c r="C200" t="s">
        <v>104</v>
      </c>
      <c r="D200" t="s">
        <v>104</v>
      </c>
      <c r="E200" t="s">
        <v>104</v>
      </c>
      <c r="F200" t="s">
        <v>104</v>
      </c>
      <c r="G200" t="s">
        <v>104</v>
      </c>
      <c r="H200" t="s">
        <v>104</v>
      </c>
      <c r="I200" t="s">
        <v>104</v>
      </c>
      <c r="J200" t="s">
        <v>104</v>
      </c>
      <c r="K200" t="s">
        <v>104</v>
      </c>
      <c r="L200" t="s">
        <v>104</v>
      </c>
      <c r="M200" t="s">
        <v>104</v>
      </c>
      <c r="N200" t="s">
        <v>104</v>
      </c>
      <c r="O200" t="s">
        <v>104</v>
      </c>
      <c r="P200" t="s">
        <v>104</v>
      </c>
      <c r="Q200" t="s">
        <v>104</v>
      </c>
      <c r="R200" t="s">
        <v>104</v>
      </c>
      <c r="S200" t="s">
        <v>104</v>
      </c>
      <c r="T200" t="s">
        <v>104</v>
      </c>
      <c r="U200" t="s">
        <v>104</v>
      </c>
      <c r="V200" t="s">
        <v>104</v>
      </c>
      <c r="W200" t="s">
        <v>104</v>
      </c>
      <c r="X200" t="s">
        <v>104</v>
      </c>
      <c r="Y200" t="s">
        <v>104</v>
      </c>
      <c r="Z200" t="s">
        <v>104</v>
      </c>
      <c r="AA200" t="s">
        <v>104</v>
      </c>
      <c r="AB200" t="s">
        <v>104</v>
      </c>
      <c r="AC200" t="s">
        <v>104</v>
      </c>
      <c r="AD200" t="s">
        <v>104</v>
      </c>
      <c r="AE200" t="s">
        <v>104</v>
      </c>
      <c r="AF200" t="s">
        <v>104</v>
      </c>
      <c r="AG200" t="s">
        <v>104</v>
      </c>
      <c r="AH200" t="s">
        <v>104</v>
      </c>
      <c r="AI200" t="s">
        <v>104</v>
      </c>
      <c r="AJ200" s="2"/>
      <c r="AK200" s="80"/>
      <c r="AL200" s="74">
        <v>3.0028000000000028</v>
      </c>
      <c r="AM200" s="43">
        <v>184</v>
      </c>
      <c r="AN200">
        <v>144.93931917998947</v>
      </c>
      <c r="AO200">
        <v>16.013850891556615</v>
      </c>
      <c r="AP200">
        <v>171.6603204600766</v>
      </c>
      <c r="AQ200">
        <v>146.49378653622591</v>
      </c>
      <c r="AR200">
        <v>15.059633098919326</v>
      </c>
      <c r="AS200">
        <v>222.53118154248571</v>
      </c>
      <c r="AT200">
        <v>9.4407430760501949</v>
      </c>
      <c r="AU200">
        <v>43.060631351876033</v>
      </c>
      <c r="AV200"/>
      <c r="AW200"/>
      <c r="AX200" s="146"/>
      <c r="AY200" s="76" t="str">
        <f t="shared" ca="1" si="201"/>
        <v/>
      </c>
      <c r="AZ200"/>
      <c r="BA200" s="129" t="s">
        <v>104</v>
      </c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 s="147"/>
      <c r="CH200" s="176"/>
      <c r="CJ200" s="146"/>
      <c r="CK200" s="76" t="str">
        <f t="shared" ca="1" si="237"/>
        <v/>
      </c>
      <c r="CL200" s="179" t="str">
        <f t="shared" si="238"/>
        <v/>
      </c>
      <c r="CM200" s="180" t="str">
        <f t="shared" si="239"/>
        <v/>
      </c>
      <c r="CN200"/>
      <c r="CO200"/>
      <c r="CP200"/>
      <c r="CQ200"/>
      <c r="CR200"/>
      <c r="CS200"/>
      <c r="CT200"/>
      <c r="CU200"/>
      <c r="CV200" s="160"/>
      <c r="CW200"/>
      <c r="CX200"/>
      <c r="CY200" s="160"/>
      <c r="CZ200" s="177" t="str">
        <f t="shared" si="240"/>
        <v/>
      </c>
      <c r="DB200" s="146"/>
      <c r="DC200" s="76" t="str">
        <f t="shared" ca="1" si="203"/>
        <v/>
      </c>
      <c r="DD200" t="str">
        <f t="shared" si="241"/>
        <v/>
      </c>
      <c r="DE200" s="129" t="str">
        <f t="shared" si="366"/>
        <v/>
      </c>
      <c r="DF200" s="161" t="str">
        <f t="shared" si="313"/>
        <v/>
      </c>
      <c r="DG200" s="161" t="str">
        <f t="shared" si="314"/>
        <v/>
      </c>
      <c r="DH200" s="161" t="str">
        <f t="shared" si="315"/>
        <v/>
      </c>
      <c r="DI200" s="161" t="str">
        <f t="shared" si="316"/>
        <v/>
      </c>
      <c r="DJ200" s="161" t="str">
        <f t="shared" si="317"/>
        <v/>
      </c>
      <c r="DK200" s="161" t="str">
        <f t="shared" si="318"/>
        <v/>
      </c>
      <c r="DL200" s="161" t="str">
        <f t="shared" si="319"/>
        <v/>
      </c>
      <c r="DM200" s="161" t="str">
        <f t="shared" si="320"/>
        <v/>
      </c>
      <c r="DN200" s="161" t="str">
        <f t="shared" si="343"/>
        <v/>
      </c>
      <c r="DO200" s="161" t="str">
        <f t="shared" si="344"/>
        <v/>
      </c>
      <c r="DP200" s="161" t="str">
        <f t="shared" si="345"/>
        <v/>
      </c>
      <c r="DQ200" s="161" t="str">
        <f t="shared" si="346"/>
        <v/>
      </c>
      <c r="DR200" s="161" t="str">
        <f t="shared" si="347"/>
        <v/>
      </c>
      <c r="DS200" s="161" t="str">
        <f t="shared" si="348"/>
        <v/>
      </c>
      <c r="DT200" s="161" t="str">
        <f t="shared" si="349"/>
        <v/>
      </c>
      <c r="DU200" s="161" t="str">
        <f t="shared" si="350"/>
        <v/>
      </c>
      <c r="DV200" s="161" t="str">
        <f t="shared" si="351"/>
        <v/>
      </c>
      <c r="DW200" s="161" t="str">
        <f t="shared" si="352"/>
        <v/>
      </c>
      <c r="DX200" s="161" t="str">
        <f t="shared" si="353"/>
        <v/>
      </c>
      <c r="DY200" s="161" t="str">
        <f t="shared" si="354"/>
        <v/>
      </c>
      <c r="DZ200" s="161" t="str">
        <f t="shared" si="355"/>
        <v/>
      </c>
      <c r="EA200" s="161" t="str">
        <f t="shared" si="356"/>
        <v/>
      </c>
      <c r="EB200" s="161" t="str">
        <f t="shared" si="357"/>
        <v/>
      </c>
      <c r="EC200" s="161" t="str">
        <f t="shared" si="358"/>
        <v/>
      </c>
      <c r="ED200" s="161" t="str">
        <f t="shared" si="359"/>
        <v/>
      </c>
      <c r="EE200" s="161" t="str">
        <f t="shared" si="360"/>
        <v/>
      </c>
      <c r="EF200" s="161" t="str">
        <f t="shared" si="361"/>
        <v/>
      </c>
      <c r="EG200" s="161" t="str">
        <f t="shared" si="362"/>
        <v/>
      </c>
      <c r="EH200" s="161" t="str">
        <f t="shared" si="363"/>
        <v/>
      </c>
      <c r="EI200" s="161" t="str">
        <f t="shared" si="364"/>
        <v/>
      </c>
      <c r="EJ200" s="161" t="str">
        <f t="shared" si="365"/>
        <v/>
      </c>
      <c r="EK200" s="147" t="str">
        <f t="shared" si="279"/>
        <v/>
      </c>
      <c r="EL200" s="149"/>
      <c r="EN200" s="146"/>
      <c r="EO200" s="146"/>
      <c r="EP200" s="139" t="str">
        <f t="shared" si="280"/>
        <v/>
      </c>
      <c r="EQ200" s="139" t="str">
        <f t="shared" si="281"/>
        <v/>
      </c>
      <c r="ER200" s="139" t="str">
        <f t="shared" si="282"/>
        <v/>
      </c>
      <c r="ES200" s="139" t="str">
        <f t="shared" si="283"/>
        <v/>
      </c>
      <c r="ET200" s="139" t="str">
        <f t="shared" si="284"/>
        <v/>
      </c>
      <c r="EU200" s="139" t="str">
        <f t="shared" si="285"/>
        <v/>
      </c>
      <c r="EV200" s="139" t="str">
        <f t="shared" si="286"/>
        <v/>
      </c>
      <c r="EW200" s="139" t="str">
        <f t="shared" si="287"/>
        <v/>
      </c>
      <c r="EX200" s="139" t="str">
        <f t="shared" si="288"/>
        <v/>
      </c>
      <c r="EY200" s="139" t="str">
        <f t="shared" si="289"/>
        <v/>
      </c>
      <c r="EZ200" s="139" t="str">
        <f t="shared" si="290"/>
        <v/>
      </c>
      <c r="FA200" s="139" t="str">
        <f t="shared" si="291"/>
        <v/>
      </c>
      <c r="FB200" s="139" t="str">
        <f t="shared" si="292"/>
        <v/>
      </c>
      <c r="FC200" s="139" t="str">
        <f t="shared" si="293"/>
        <v/>
      </c>
      <c r="FD200" s="139" t="str">
        <f t="shared" si="294"/>
        <v/>
      </c>
      <c r="FE200" s="139" t="str">
        <f t="shared" si="295"/>
        <v/>
      </c>
      <c r="FF200" s="139" t="str">
        <f t="shared" si="296"/>
        <v/>
      </c>
      <c r="FG200" s="139" t="str">
        <f t="shared" si="297"/>
        <v/>
      </c>
      <c r="FH200" s="139" t="str">
        <f t="shared" si="298"/>
        <v/>
      </c>
      <c r="FI200" s="139" t="str">
        <f t="shared" si="299"/>
        <v/>
      </c>
      <c r="FJ200" s="139" t="str">
        <f t="shared" si="300"/>
        <v/>
      </c>
      <c r="FK200" s="139" t="str">
        <f t="shared" si="301"/>
        <v/>
      </c>
      <c r="FL200" s="139" t="str">
        <f t="shared" si="302"/>
        <v/>
      </c>
      <c r="FM200" s="139" t="str">
        <f t="shared" si="303"/>
        <v/>
      </c>
      <c r="FN200" s="139" t="str">
        <f t="shared" si="304"/>
        <v/>
      </c>
      <c r="FO200" s="139" t="str">
        <f t="shared" si="305"/>
        <v/>
      </c>
      <c r="FP200" s="139" t="str">
        <f t="shared" si="306"/>
        <v/>
      </c>
      <c r="FQ200" s="139" t="str">
        <f t="shared" si="307"/>
        <v/>
      </c>
      <c r="FR200" s="139" t="str">
        <f t="shared" si="308"/>
        <v/>
      </c>
      <c r="FS200" s="139" t="str">
        <f t="shared" si="309"/>
        <v/>
      </c>
      <c r="FT200" s="139" t="str">
        <f t="shared" si="310"/>
        <v/>
      </c>
      <c r="FU200" s="148" t="str">
        <f t="shared" si="311"/>
        <v/>
      </c>
      <c r="FV200" s="149"/>
      <c r="FY200" s="210">
        <v>195</v>
      </c>
      <c r="FZ200">
        <v>45.185186182600098</v>
      </c>
      <c r="GA200">
        <v>52.099917254546263</v>
      </c>
      <c r="GB200">
        <v>3.3457119236065433</v>
      </c>
      <c r="GC200">
        <v>1.7832400765677807</v>
      </c>
      <c r="GD200">
        <v>1.9000745656862805</v>
      </c>
      <c r="GE200">
        <v>4.8614026088100193</v>
      </c>
      <c r="GF200">
        <v>7.4210241317625067</v>
      </c>
      <c r="GG200">
        <v>11.284416559964347</v>
      </c>
      <c r="GH200">
        <v>12.985759773009526</v>
      </c>
      <c r="GI200">
        <v>12.007340056522317</v>
      </c>
      <c r="GJ200"/>
      <c r="GK200"/>
      <c r="GL200"/>
      <c r="GM200"/>
    </row>
    <row r="201" spans="1:195" s="7" customFormat="1">
      <c r="A201" s="1"/>
      <c r="B201" s="76" t="str">
        <f ca="1">IF(C201="", "", RAND())</f>
        <v/>
      </c>
      <c r="C201" t="s">
        <v>104</v>
      </c>
      <c r="D201" t="s">
        <v>104</v>
      </c>
      <c r="E201" t="s">
        <v>104</v>
      </c>
      <c r="F201" t="s">
        <v>104</v>
      </c>
      <c r="G20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t="s">
        <v>104</v>
      </c>
      <c r="AG201" t="s">
        <v>104</v>
      </c>
      <c r="AH201" t="s">
        <v>104</v>
      </c>
      <c r="AI201" t="s">
        <v>104</v>
      </c>
      <c r="AJ201" s="2"/>
      <c r="AK201" s="80"/>
      <c r="AL201" s="74">
        <v>3.0028000000000028</v>
      </c>
      <c r="AM201" s="43">
        <v>185</v>
      </c>
      <c r="AN201">
        <v>106.44220667170539</v>
      </c>
      <c r="AO201">
        <v>6.1501723146568796</v>
      </c>
      <c r="AP201">
        <v>57.6056648931946</v>
      </c>
      <c r="AQ201">
        <v>44.993153103562136</v>
      </c>
      <c r="AR201">
        <v>5.9613715273219112</v>
      </c>
      <c r="AS201">
        <v>120.66631026537718</v>
      </c>
      <c r="AT201">
        <v>3.3839497772898617</v>
      </c>
      <c r="AU201">
        <v>-11.19588869830849</v>
      </c>
      <c r="AV201"/>
      <c r="AW201"/>
      <c r="AX201" s="146"/>
      <c r="AY201" s="76" t="str">
        <f t="shared" ca="1" si="201"/>
        <v/>
      </c>
      <c r="AZ201"/>
      <c r="BA201" s="129" t="s">
        <v>104</v>
      </c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 s="147"/>
      <c r="CH201" s="176"/>
      <c r="CJ201" s="146"/>
      <c r="CK201" s="76" t="str">
        <f t="shared" ca="1" si="237"/>
        <v/>
      </c>
      <c r="CL201" s="179" t="str">
        <f t="shared" si="238"/>
        <v/>
      </c>
      <c r="CM201" s="180" t="str">
        <f t="shared" si="239"/>
        <v/>
      </c>
      <c r="CN201"/>
      <c r="CO201"/>
      <c r="CP201"/>
      <c r="CQ201"/>
      <c r="CR201"/>
      <c r="CS201"/>
      <c r="CT201"/>
      <c r="CU201"/>
      <c r="CV201" s="160"/>
      <c r="CW201"/>
      <c r="CX201"/>
      <c r="CY201" s="160"/>
      <c r="CZ201" s="177" t="str">
        <f t="shared" si="240"/>
        <v/>
      </c>
      <c r="DB201" s="146"/>
      <c r="DC201" s="76" t="str">
        <f t="shared" ca="1" si="203"/>
        <v/>
      </c>
      <c r="DD201" t="str">
        <f t="shared" si="241"/>
        <v/>
      </c>
      <c r="DE201" s="129" t="str">
        <f t="shared" si="366"/>
        <v/>
      </c>
      <c r="DF201" s="161" t="str">
        <f t="shared" si="313"/>
        <v/>
      </c>
      <c r="DG201" s="161" t="str">
        <f t="shared" si="314"/>
        <v/>
      </c>
      <c r="DH201" s="161" t="str">
        <f t="shared" si="315"/>
        <v/>
      </c>
      <c r="DI201" s="161" t="str">
        <f t="shared" si="316"/>
        <v/>
      </c>
      <c r="DJ201" s="161" t="str">
        <f t="shared" si="317"/>
        <v/>
      </c>
      <c r="DK201" s="161" t="str">
        <f t="shared" si="318"/>
        <v/>
      </c>
      <c r="DL201" s="161" t="str">
        <f t="shared" si="319"/>
        <v/>
      </c>
      <c r="DM201" s="161" t="str">
        <f t="shared" si="320"/>
        <v/>
      </c>
      <c r="DN201" s="161" t="str">
        <f t="shared" si="343"/>
        <v/>
      </c>
      <c r="DO201" s="161" t="str">
        <f t="shared" si="344"/>
        <v/>
      </c>
      <c r="DP201" s="161" t="str">
        <f t="shared" si="345"/>
        <v/>
      </c>
      <c r="DQ201" s="161" t="str">
        <f t="shared" si="346"/>
        <v/>
      </c>
      <c r="DR201" s="161" t="str">
        <f t="shared" si="347"/>
        <v/>
      </c>
      <c r="DS201" s="161" t="str">
        <f t="shared" si="348"/>
        <v/>
      </c>
      <c r="DT201" s="161" t="str">
        <f t="shared" si="349"/>
        <v/>
      </c>
      <c r="DU201" s="161" t="str">
        <f t="shared" si="350"/>
        <v/>
      </c>
      <c r="DV201" s="161" t="str">
        <f t="shared" si="351"/>
        <v/>
      </c>
      <c r="DW201" s="161" t="str">
        <f t="shared" si="352"/>
        <v/>
      </c>
      <c r="DX201" s="161" t="str">
        <f t="shared" si="353"/>
        <v/>
      </c>
      <c r="DY201" s="161" t="str">
        <f t="shared" si="354"/>
        <v/>
      </c>
      <c r="DZ201" s="161" t="str">
        <f t="shared" si="355"/>
        <v/>
      </c>
      <c r="EA201" s="161" t="str">
        <f t="shared" si="356"/>
        <v/>
      </c>
      <c r="EB201" s="161" t="str">
        <f t="shared" si="357"/>
        <v/>
      </c>
      <c r="EC201" s="161" t="str">
        <f t="shared" si="358"/>
        <v/>
      </c>
      <c r="ED201" s="161" t="str">
        <f t="shared" si="359"/>
        <v/>
      </c>
      <c r="EE201" s="161" t="str">
        <f t="shared" si="360"/>
        <v/>
      </c>
      <c r="EF201" s="161" t="str">
        <f t="shared" si="361"/>
        <v/>
      </c>
      <c r="EG201" s="161" t="str">
        <f t="shared" si="362"/>
        <v/>
      </c>
      <c r="EH201" s="161" t="str">
        <f t="shared" si="363"/>
        <v/>
      </c>
      <c r="EI201" s="161" t="str">
        <f t="shared" si="364"/>
        <v/>
      </c>
      <c r="EJ201" s="161" t="str">
        <f t="shared" si="365"/>
        <v/>
      </c>
      <c r="EK201" s="147" t="str">
        <f t="shared" si="279"/>
        <v/>
      </c>
      <c r="EL201" s="149"/>
      <c r="EN201" s="146"/>
      <c r="EO201" s="146"/>
      <c r="EP201" s="139" t="str">
        <f t="shared" si="280"/>
        <v/>
      </c>
      <c r="EQ201" s="139" t="str">
        <f t="shared" si="281"/>
        <v/>
      </c>
      <c r="ER201" s="139" t="str">
        <f t="shared" si="282"/>
        <v/>
      </c>
      <c r="ES201" s="139" t="str">
        <f t="shared" si="283"/>
        <v/>
      </c>
      <c r="ET201" s="139" t="str">
        <f t="shared" si="284"/>
        <v/>
      </c>
      <c r="EU201" s="139" t="str">
        <f t="shared" si="285"/>
        <v/>
      </c>
      <c r="EV201" s="139" t="str">
        <f t="shared" si="286"/>
        <v/>
      </c>
      <c r="EW201" s="139" t="str">
        <f t="shared" si="287"/>
        <v/>
      </c>
      <c r="EX201" s="139" t="str">
        <f t="shared" si="288"/>
        <v/>
      </c>
      <c r="EY201" s="139" t="str">
        <f t="shared" si="289"/>
        <v/>
      </c>
      <c r="EZ201" s="139" t="str">
        <f t="shared" si="290"/>
        <v/>
      </c>
      <c r="FA201" s="139" t="str">
        <f t="shared" si="291"/>
        <v/>
      </c>
      <c r="FB201" s="139" t="str">
        <f t="shared" si="292"/>
        <v/>
      </c>
      <c r="FC201" s="139" t="str">
        <f t="shared" si="293"/>
        <v/>
      </c>
      <c r="FD201" s="139" t="str">
        <f t="shared" si="294"/>
        <v/>
      </c>
      <c r="FE201" s="139" t="str">
        <f t="shared" si="295"/>
        <v/>
      </c>
      <c r="FF201" s="139" t="str">
        <f t="shared" si="296"/>
        <v/>
      </c>
      <c r="FG201" s="139" t="str">
        <f t="shared" si="297"/>
        <v/>
      </c>
      <c r="FH201" s="139" t="str">
        <f t="shared" si="298"/>
        <v/>
      </c>
      <c r="FI201" s="139" t="str">
        <f t="shared" si="299"/>
        <v/>
      </c>
      <c r="FJ201" s="139" t="str">
        <f t="shared" si="300"/>
        <v/>
      </c>
      <c r="FK201" s="139" t="str">
        <f t="shared" si="301"/>
        <v/>
      </c>
      <c r="FL201" s="139" t="str">
        <f t="shared" si="302"/>
        <v/>
      </c>
      <c r="FM201" s="139" t="str">
        <f t="shared" si="303"/>
        <v/>
      </c>
      <c r="FN201" s="139" t="str">
        <f t="shared" si="304"/>
        <v/>
      </c>
      <c r="FO201" s="139" t="str">
        <f t="shared" si="305"/>
        <v/>
      </c>
      <c r="FP201" s="139" t="str">
        <f t="shared" si="306"/>
        <v/>
      </c>
      <c r="FQ201" s="139" t="str">
        <f t="shared" si="307"/>
        <v/>
      </c>
      <c r="FR201" s="139" t="str">
        <f t="shared" si="308"/>
        <v/>
      </c>
      <c r="FS201" s="139" t="str">
        <f t="shared" si="309"/>
        <v/>
      </c>
      <c r="FT201" s="139" t="str">
        <f t="shared" si="310"/>
        <v/>
      </c>
      <c r="FU201" s="148" t="str">
        <f t="shared" si="311"/>
        <v/>
      </c>
      <c r="FV201" s="149"/>
      <c r="FY201" s="210">
        <v>196</v>
      </c>
      <c r="FZ201">
        <v>21.954531820777976</v>
      </c>
      <c r="GA201">
        <v>27.660264655299642</v>
      </c>
      <c r="GB201">
        <v>1.7013999226269318</v>
      </c>
      <c r="GC201">
        <v>0.71515614157527452</v>
      </c>
      <c r="GD201">
        <v>0.44275684848330354</v>
      </c>
      <c r="GE201">
        <v>2.3667478995362918</v>
      </c>
      <c r="GF201">
        <v>3.1864470263258795</v>
      </c>
      <c r="GG201">
        <v>5.080963032541419</v>
      </c>
      <c r="GH201">
        <v>11.363162236978294</v>
      </c>
      <c r="GI201">
        <v>6.2878401041863086</v>
      </c>
      <c r="GJ201"/>
      <c r="GK201"/>
      <c r="GL201"/>
      <c r="GM201"/>
    </row>
    <row r="202" spans="1:195" s="7" customFormat="1">
      <c r="A202" s="1"/>
      <c r="B202" s="76" t="str">
        <f ca="1">IF(C202="", "", RAND())</f>
        <v/>
      </c>
      <c r="C202" t="s">
        <v>104</v>
      </c>
      <c r="D202" t="s">
        <v>104</v>
      </c>
      <c r="E202" t="s">
        <v>104</v>
      </c>
      <c r="F202" t="s">
        <v>104</v>
      </c>
      <c r="G202" t="s">
        <v>104</v>
      </c>
      <c r="H202" t="s">
        <v>104</v>
      </c>
      <c r="I202" t="s">
        <v>104</v>
      </c>
      <c r="J202" t="s">
        <v>104</v>
      </c>
      <c r="K202" t="s">
        <v>104</v>
      </c>
      <c r="L202" t="s">
        <v>104</v>
      </c>
      <c r="M202" t="s">
        <v>104</v>
      </c>
      <c r="N202" t="s">
        <v>104</v>
      </c>
      <c r="O202" t="s">
        <v>104</v>
      </c>
      <c r="P202" t="s">
        <v>104</v>
      </c>
      <c r="Q202" t="s">
        <v>104</v>
      </c>
      <c r="R202" t="s">
        <v>104</v>
      </c>
      <c r="S202" t="s">
        <v>104</v>
      </c>
      <c r="T202" t="s">
        <v>104</v>
      </c>
      <c r="U202" t="s">
        <v>104</v>
      </c>
      <c r="V202" t="s">
        <v>104</v>
      </c>
      <c r="W202" t="s">
        <v>104</v>
      </c>
      <c r="X202" t="s">
        <v>104</v>
      </c>
      <c r="Y202" t="s">
        <v>104</v>
      </c>
      <c r="Z202" t="s">
        <v>104</v>
      </c>
      <c r="AA202" t="s">
        <v>104</v>
      </c>
      <c r="AB202" t="s">
        <v>104</v>
      </c>
      <c r="AC202" t="s">
        <v>104</v>
      </c>
      <c r="AD202" t="s">
        <v>104</v>
      </c>
      <c r="AE202" t="s">
        <v>104</v>
      </c>
      <c r="AF202" t="s">
        <v>104</v>
      </c>
      <c r="AG202" t="s">
        <v>104</v>
      </c>
      <c r="AH202" t="s">
        <v>104</v>
      </c>
      <c r="AI202" t="s">
        <v>104</v>
      </c>
      <c r="AJ202" s="2"/>
      <c r="AK202" s="80"/>
      <c r="AL202" s="74"/>
      <c r="AM202" s="43">
        <v>186</v>
      </c>
      <c r="AN202">
        <v>139.91121315850361</v>
      </c>
      <c r="AO202">
        <v>12.345416266889515</v>
      </c>
      <c r="AP202">
        <v>125.68071571349272</v>
      </c>
      <c r="AQ202">
        <v>106.74330705143836</v>
      </c>
      <c r="AR202">
        <v>12.214568836359154</v>
      </c>
      <c r="AS202">
        <v>192.10383820375162</v>
      </c>
      <c r="AT202">
        <v>6.7365203937837137</v>
      </c>
      <c r="AU202">
        <v>27.276479493896041</v>
      </c>
      <c r="AV202"/>
      <c r="AW202"/>
      <c r="AX202" s="146"/>
      <c r="AY202" s="76" t="str">
        <f t="shared" ca="1" si="201"/>
        <v/>
      </c>
      <c r="AZ202"/>
      <c r="BA202" s="129" t="s">
        <v>104</v>
      </c>
      <c r="BB202"/>
      <c r="BC202"/>
      <c r="BD202"/>
      <c r="BE202" s="188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 s="147"/>
      <c r="CH202" s="176"/>
      <c r="CJ202" s="146"/>
      <c r="CK202" s="76" t="str">
        <f t="shared" ca="1" si="237"/>
        <v/>
      </c>
      <c r="CL202" s="179" t="str">
        <f t="shared" si="238"/>
        <v/>
      </c>
      <c r="CM202" s="180" t="str">
        <f t="shared" si="239"/>
        <v/>
      </c>
      <c r="CN202"/>
      <c r="CO202"/>
      <c r="CP202"/>
      <c r="CQ202"/>
      <c r="CR202"/>
      <c r="CS202"/>
      <c r="CT202"/>
      <c r="CU202"/>
      <c r="CV202" s="160"/>
      <c r="CW202"/>
      <c r="CX202"/>
      <c r="CY202" s="160"/>
      <c r="CZ202" s="177" t="str">
        <f t="shared" si="240"/>
        <v/>
      </c>
      <c r="DB202" s="146"/>
      <c r="DC202" s="76" t="str">
        <f t="shared" ca="1" si="203"/>
        <v/>
      </c>
      <c r="DD202" t="str">
        <f t="shared" si="241"/>
        <v/>
      </c>
      <c r="DE202" s="129" t="str">
        <f t="shared" si="366"/>
        <v/>
      </c>
      <c r="DF202" s="161" t="str">
        <f t="shared" si="313"/>
        <v/>
      </c>
      <c r="DG202" s="161" t="str">
        <f t="shared" si="314"/>
        <v/>
      </c>
      <c r="DH202" s="161" t="str">
        <f t="shared" si="315"/>
        <v/>
      </c>
      <c r="DI202" s="161" t="str">
        <f t="shared" si="316"/>
        <v/>
      </c>
      <c r="DJ202" s="161" t="str">
        <f t="shared" si="317"/>
        <v/>
      </c>
      <c r="DK202" s="161" t="str">
        <f t="shared" si="318"/>
        <v/>
      </c>
      <c r="DL202" s="161" t="str">
        <f t="shared" si="319"/>
        <v/>
      </c>
      <c r="DM202" s="161" t="str">
        <f t="shared" si="320"/>
        <v/>
      </c>
      <c r="DN202" s="161" t="str">
        <f t="shared" si="343"/>
        <v/>
      </c>
      <c r="DO202" s="161" t="str">
        <f t="shared" si="344"/>
        <v/>
      </c>
      <c r="DP202" s="161" t="str">
        <f t="shared" si="345"/>
        <v/>
      </c>
      <c r="DQ202" s="161" t="str">
        <f t="shared" si="346"/>
        <v/>
      </c>
      <c r="DR202" s="161" t="str">
        <f t="shared" si="347"/>
        <v/>
      </c>
      <c r="DS202" s="161" t="str">
        <f t="shared" si="348"/>
        <v/>
      </c>
      <c r="DT202" s="161" t="str">
        <f t="shared" si="349"/>
        <v/>
      </c>
      <c r="DU202" s="161" t="str">
        <f t="shared" si="350"/>
        <v/>
      </c>
      <c r="DV202" s="161" t="str">
        <f t="shared" si="351"/>
        <v/>
      </c>
      <c r="DW202" s="161" t="str">
        <f t="shared" si="352"/>
        <v/>
      </c>
      <c r="DX202" s="161" t="str">
        <f t="shared" si="353"/>
        <v/>
      </c>
      <c r="DY202" s="161" t="str">
        <f t="shared" si="354"/>
        <v/>
      </c>
      <c r="DZ202" s="161" t="str">
        <f t="shared" si="355"/>
        <v/>
      </c>
      <c r="EA202" s="161" t="str">
        <f t="shared" si="356"/>
        <v/>
      </c>
      <c r="EB202" s="161" t="str">
        <f t="shared" si="357"/>
        <v/>
      </c>
      <c r="EC202" s="161" t="str">
        <f t="shared" si="358"/>
        <v/>
      </c>
      <c r="ED202" s="161" t="str">
        <f t="shared" si="359"/>
        <v/>
      </c>
      <c r="EE202" s="161" t="str">
        <f t="shared" si="360"/>
        <v/>
      </c>
      <c r="EF202" s="161" t="str">
        <f t="shared" si="361"/>
        <v/>
      </c>
      <c r="EG202" s="161" t="str">
        <f t="shared" si="362"/>
        <v/>
      </c>
      <c r="EH202" s="161" t="str">
        <f t="shared" si="363"/>
        <v/>
      </c>
      <c r="EI202" s="161" t="str">
        <f t="shared" si="364"/>
        <v/>
      </c>
      <c r="EJ202" s="161" t="str">
        <f t="shared" si="365"/>
        <v/>
      </c>
      <c r="EK202" s="147" t="str">
        <f t="shared" si="279"/>
        <v/>
      </c>
      <c r="EL202" s="149"/>
      <c r="EN202" s="146"/>
      <c r="EO202" s="146"/>
      <c r="EP202" s="139" t="str">
        <f t="shared" si="280"/>
        <v/>
      </c>
      <c r="EQ202" s="139" t="str">
        <f t="shared" si="281"/>
        <v/>
      </c>
      <c r="ER202" s="139" t="str">
        <f t="shared" si="282"/>
        <v/>
      </c>
      <c r="ES202" s="139" t="str">
        <f t="shared" si="283"/>
        <v/>
      </c>
      <c r="ET202" s="139" t="str">
        <f t="shared" si="284"/>
        <v/>
      </c>
      <c r="EU202" s="139" t="str">
        <f t="shared" si="285"/>
        <v/>
      </c>
      <c r="EV202" s="139" t="str">
        <f t="shared" si="286"/>
        <v/>
      </c>
      <c r="EW202" s="139" t="str">
        <f t="shared" si="287"/>
        <v/>
      </c>
      <c r="EX202" s="139" t="str">
        <f t="shared" si="288"/>
        <v/>
      </c>
      <c r="EY202" s="139" t="str">
        <f t="shared" si="289"/>
        <v/>
      </c>
      <c r="EZ202" s="139" t="str">
        <f t="shared" si="290"/>
        <v/>
      </c>
      <c r="FA202" s="139" t="str">
        <f t="shared" si="291"/>
        <v/>
      </c>
      <c r="FB202" s="139" t="str">
        <f t="shared" si="292"/>
        <v/>
      </c>
      <c r="FC202" s="139" t="str">
        <f t="shared" si="293"/>
        <v/>
      </c>
      <c r="FD202" s="139" t="str">
        <f t="shared" si="294"/>
        <v/>
      </c>
      <c r="FE202" s="139" t="str">
        <f t="shared" si="295"/>
        <v/>
      </c>
      <c r="FF202" s="139" t="str">
        <f t="shared" si="296"/>
        <v/>
      </c>
      <c r="FG202" s="139" t="str">
        <f t="shared" si="297"/>
        <v/>
      </c>
      <c r="FH202" s="139" t="str">
        <f t="shared" si="298"/>
        <v/>
      </c>
      <c r="FI202" s="139" t="str">
        <f t="shared" si="299"/>
        <v/>
      </c>
      <c r="FJ202" s="139" t="str">
        <f t="shared" si="300"/>
        <v/>
      </c>
      <c r="FK202" s="139" t="str">
        <f t="shared" si="301"/>
        <v/>
      </c>
      <c r="FL202" s="139" t="str">
        <f t="shared" si="302"/>
        <v/>
      </c>
      <c r="FM202" s="139" t="str">
        <f t="shared" si="303"/>
        <v/>
      </c>
      <c r="FN202" s="139" t="str">
        <f t="shared" si="304"/>
        <v/>
      </c>
      <c r="FO202" s="139" t="str">
        <f t="shared" si="305"/>
        <v/>
      </c>
      <c r="FP202" s="139" t="str">
        <f t="shared" si="306"/>
        <v/>
      </c>
      <c r="FQ202" s="139" t="str">
        <f t="shared" si="307"/>
        <v/>
      </c>
      <c r="FR202" s="139" t="str">
        <f t="shared" si="308"/>
        <v/>
      </c>
      <c r="FS202" s="139" t="str">
        <f t="shared" si="309"/>
        <v/>
      </c>
      <c r="FT202" s="139" t="str">
        <f t="shared" si="310"/>
        <v/>
      </c>
      <c r="FU202" s="148" t="str">
        <f t="shared" si="311"/>
        <v/>
      </c>
      <c r="FV202" s="149"/>
      <c r="FY202" s="210">
        <v>197</v>
      </c>
      <c r="FZ202">
        <v>14.645341355148156</v>
      </c>
      <c r="GA202">
        <v>13.614398369922089</v>
      </c>
      <c r="GB202">
        <v>2.4410691118597194</v>
      </c>
      <c r="GC202">
        <v>1.5623440363571743</v>
      </c>
      <c r="GD202">
        <v>1.2907198618259081</v>
      </c>
      <c r="GE202">
        <v>3.4658371257489713</v>
      </c>
      <c r="GF202">
        <v>3.1428703825725877</v>
      </c>
      <c r="GG202">
        <v>5.1431247527060471</v>
      </c>
      <c r="GH202">
        <v>7.8561941742380856</v>
      </c>
      <c r="GI202">
        <v>5.3270901245531652</v>
      </c>
      <c r="GJ202"/>
      <c r="GK202"/>
      <c r="GL202"/>
      <c r="GM202"/>
    </row>
    <row r="203" spans="1:195" s="7" customFormat="1">
      <c r="A203" s="1"/>
      <c r="B203" s="76" t="str">
        <f ca="1">IF(C203="", "", RAND())</f>
        <v/>
      </c>
      <c r="C203" t="s">
        <v>104</v>
      </c>
      <c r="D203" t="s">
        <v>104</v>
      </c>
      <c r="E203" t="s">
        <v>104</v>
      </c>
      <c r="F203" t="s">
        <v>104</v>
      </c>
      <c r="G203" t="s">
        <v>104</v>
      </c>
      <c r="H203" t="s">
        <v>104</v>
      </c>
      <c r="I203" t="s">
        <v>104</v>
      </c>
      <c r="J203" t="s">
        <v>104</v>
      </c>
      <c r="K203" t="s">
        <v>104</v>
      </c>
      <c r="L203" t="s">
        <v>104</v>
      </c>
      <c r="M203" t="s">
        <v>104</v>
      </c>
      <c r="N203" t="s">
        <v>104</v>
      </c>
      <c r="O203" t="s">
        <v>104</v>
      </c>
      <c r="P203" t="s">
        <v>104</v>
      </c>
      <c r="Q203" t="s">
        <v>104</v>
      </c>
      <c r="R203" t="s">
        <v>104</v>
      </c>
      <c r="S203" t="s">
        <v>104</v>
      </c>
      <c r="T203" t="s">
        <v>104</v>
      </c>
      <c r="U203" t="s">
        <v>104</v>
      </c>
      <c r="V203" t="s">
        <v>104</v>
      </c>
      <c r="W203" t="s">
        <v>104</v>
      </c>
      <c r="X203" t="s">
        <v>104</v>
      </c>
      <c r="Y203" t="s">
        <v>104</v>
      </c>
      <c r="Z203" t="s">
        <v>104</v>
      </c>
      <c r="AA203" t="s">
        <v>104</v>
      </c>
      <c r="AB203" t="s">
        <v>104</v>
      </c>
      <c r="AC203" t="s">
        <v>104</v>
      </c>
      <c r="AD203" t="s">
        <v>104</v>
      </c>
      <c r="AE203" t="s">
        <v>104</v>
      </c>
      <c r="AF203" t="s">
        <v>104</v>
      </c>
      <c r="AG203" t="s">
        <v>104</v>
      </c>
      <c r="AH203" t="s">
        <v>104</v>
      </c>
      <c r="AI203" t="s">
        <v>104</v>
      </c>
      <c r="AJ203" s="2"/>
      <c r="AK203" s="80"/>
      <c r="AL203" s="74"/>
      <c r="AM203" s="43">
        <v>187</v>
      </c>
      <c r="AN203">
        <v>104.84286862961135</v>
      </c>
      <c r="AO203">
        <v>9.0871323511881297</v>
      </c>
      <c r="AP203">
        <v>92.723483339890905</v>
      </c>
      <c r="AQ203">
        <v>79.902194092487392</v>
      </c>
      <c r="AR203">
        <v>9.0283786276226881</v>
      </c>
      <c r="AS203">
        <v>156.33417974753655</v>
      </c>
      <c r="AT203">
        <v>5.536242586091614</v>
      </c>
      <c r="AU203">
        <v>1.3331297176590984</v>
      </c>
      <c r="AV203"/>
      <c r="AW203"/>
      <c r="AX203" s="146"/>
      <c r="AY203" s="76" t="str">
        <f t="shared" ca="1" si="201"/>
        <v/>
      </c>
      <c r="AZ203"/>
      <c r="BA203" s="129" t="s">
        <v>104</v>
      </c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 s="147"/>
      <c r="CH203" s="176"/>
      <c r="CJ203" s="146"/>
      <c r="CK203" s="76" t="str">
        <f t="shared" ca="1" si="237"/>
        <v/>
      </c>
      <c r="CL203" s="179" t="str">
        <f t="shared" si="238"/>
        <v/>
      </c>
      <c r="CM203" s="180" t="str">
        <f t="shared" si="239"/>
        <v/>
      </c>
      <c r="CN203"/>
      <c r="CO203"/>
      <c r="CP203"/>
      <c r="CQ203"/>
      <c r="CR203"/>
      <c r="CS203"/>
      <c r="CT203"/>
      <c r="CU203"/>
      <c r="CV203" s="160"/>
      <c r="CW203"/>
      <c r="CX203"/>
      <c r="CY203" s="160"/>
      <c r="CZ203" s="177" t="str">
        <f t="shared" si="240"/>
        <v/>
      </c>
      <c r="DB203" s="146"/>
      <c r="DC203" s="76" t="str">
        <f t="shared" ca="1" si="203"/>
        <v/>
      </c>
      <c r="DD203" t="str">
        <f t="shared" si="241"/>
        <v/>
      </c>
      <c r="DE203" s="129" t="str">
        <f t="shared" si="366"/>
        <v/>
      </c>
      <c r="DF203" s="161" t="str">
        <f t="shared" si="313"/>
        <v/>
      </c>
      <c r="DG203" s="161" t="str">
        <f t="shared" si="314"/>
        <v/>
      </c>
      <c r="DH203" s="161" t="str">
        <f t="shared" si="315"/>
        <v/>
      </c>
      <c r="DI203" s="161" t="str">
        <f t="shared" si="316"/>
        <v/>
      </c>
      <c r="DJ203" s="161" t="str">
        <f t="shared" si="317"/>
        <v/>
      </c>
      <c r="DK203" s="161" t="str">
        <f t="shared" si="318"/>
        <v/>
      </c>
      <c r="DL203" s="161" t="str">
        <f t="shared" si="319"/>
        <v/>
      </c>
      <c r="DM203" s="161" t="str">
        <f t="shared" si="320"/>
        <v/>
      </c>
      <c r="DN203" s="161" t="str">
        <f t="shared" si="343"/>
        <v/>
      </c>
      <c r="DO203" s="161" t="str">
        <f t="shared" si="344"/>
        <v/>
      </c>
      <c r="DP203" s="161" t="str">
        <f t="shared" si="345"/>
        <v/>
      </c>
      <c r="DQ203" s="161" t="str">
        <f t="shared" si="346"/>
        <v/>
      </c>
      <c r="DR203" s="161" t="str">
        <f t="shared" si="347"/>
        <v/>
      </c>
      <c r="DS203" s="161" t="str">
        <f t="shared" si="348"/>
        <v/>
      </c>
      <c r="DT203" s="161" t="str">
        <f t="shared" si="349"/>
        <v/>
      </c>
      <c r="DU203" s="161" t="str">
        <f t="shared" si="350"/>
        <v/>
      </c>
      <c r="DV203" s="161" t="str">
        <f t="shared" si="351"/>
        <v/>
      </c>
      <c r="DW203" s="161" t="str">
        <f t="shared" si="352"/>
        <v/>
      </c>
      <c r="DX203" s="161" t="str">
        <f t="shared" si="353"/>
        <v/>
      </c>
      <c r="DY203" s="161" t="str">
        <f t="shared" si="354"/>
        <v/>
      </c>
      <c r="DZ203" s="161" t="str">
        <f t="shared" si="355"/>
        <v/>
      </c>
      <c r="EA203" s="161" t="str">
        <f t="shared" si="356"/>
        <v/>
      </c>
      <c r="EB203" s="161" t="str">
        <f t="shared" si="357"/>
        <v/>
      </c>
      <c r="EC203" s="161" t="str">
        <f t="shared" si="358"/>
        <v/>
      </c>
      <c r="ED203" s="161" t="str">
        <f t="shared" si="359"/>
        <v/>
      </c>
      <c r="EE203" s="161" t="str">
        <f t="shared" si="360"/>
        <v/>
      </c>
      <c r="EF203" s="161" t="str">
        <f t="shared" si="361"/>
        <v/>
      </c>
      <c r="EG203" s="161" t="str">
        <f t="shared" si="362"/>
        <v/>
      </c>
      <c r="EH203" s="161" t="str">
        <f t="shared" si="363"/>
        <v/>
      </c>
      <c r="EI203" s="161" t="str">
        <f t="shared" si="364"/>
        <v/>
      </c>
      <c r="EJ203" s="161" t="str">
        <f t="shared" si="365"/>
        <v/>
      </c>
      <c r="EK203" s="147" t="str">
        <f t="shared" si="279"/>
        <v/>
      </c>
      <c r="EL203" s="149"/>
      <c r="EN203" s="146"/>
      <c r="EO203" s="146"/>
      <c r="EP203" s="139" t="str">
        <f t="shared" si="280"/>
        <v/>
      </c>
      <c r="EQ203" s="139" t="str">
        <f t="shared" si="281"/>
        <v/>
      </c>
      <c r="ER203" s="139" t="str">
        <f t="shared" si="282"/>
        <v/>
      </c>
      <c r="ES203" s="139" t="str">
        <f t="shared" si="283"/>
        <v/>
      </c>
      <c r="ET203" s="139" t="str">
        <f t="shared" si="284"/>
        <v/>
      </c>
      <c r="EU203" s="139" t="str">
        <f t="shared" si="285"/>
        <v/>
      </c>
      <c r="EV203" s="139" t="str">
        <f t="shared" si="286"/>
        <v/>
      </c>
      <c r="EW203" s="139" t="str">
        <f t="shared" si="287"/>
        <v/>
      </c>
      <c r="EX203" s="139" t="str">
        <f t="shared" si="288"/>
        <v/>
      </c>
      <c r="EY203" s="139" t="str">
        <f t="shared" si="289"/>
        <v/>
      </c>
      <c r="EZ203" s="139" t="str">
        <f t="shared" si="290"/>
        <v/>
      </c>
      <c r="FA203" s="139" t="str">
        <f t="shared" si="291"/>
        <v/>
      </c>
      <c r="FB203" s="139" t="str">
        <f t="shared" si="292"/>
        <v/>
      </c>
      <c r="FC203" s="139" t="str">
        <f t="shared" si="293"/>
        <v/>
      </c>
      <c r="FD203" s="139" t="str">
        <f t="shared" si="294"/>
        <v/>
      </c>
      <c r="FE203" s="139" t="str">
        <f t="shared" si="295"/>
        <v/>
      </c>
      <c r="FF203" s="139" t="str">
        <f t="shared" si="296"/>
        <v/>
      </c>
      <c r="FG203" s="139" t="str">
        <f t="shared" si="297"/>
        <v/>
      </c>
      <c r="FH203" s="139" t="str">
        <f t="shared" si="298"/>
        <v/>
      </c>
      <c r="FI203" s="139" t="str">
        <f t="shared" si="299"/>
        <v/>
      </c>
      <c r="FJ203" s="139" t="str">
        <f t="shared" si="300"/>
        <v/>
      </c>
      <c r="FK203" s="139" t="str">
        <f t="shared" si="301"/>
        <v/>
      </c>
      <c r="FL203" s="139" t="str">
        <f t="shared" si="302"/>
        <v/>
      </c>
      <c r="FM203" s="139" t="str">
        <f t="shared" si="303"/>
        <v/>
      </c>
      <c r="FN203" s="139" t="str">
        <f t="shared" si="304"/>
        <v/>
      </c>
      <c r="FO203" s="139" t="str">
        <f t="shared" si="305"/>
        <v/>
      </c>
      <c r="FP203" s="139" t="str">
        <f t="shared" si="306"/>
        <v/>
      </c>
      <c r="FQ203" s="139" t="str">
        <f t="shared" si="307"/>
        <v/>
      </c>
      <c r="FR203" s="139" t="str">
        <f t="shared" si="308"/>
        <v/>
      </c>
      <c r="FS203" s="139" t="str">
        <f t="shared" si="309"/>
        <v/>
      </c>
      <c r="FT203" s="139" t="str">
        <f t="shared" si="310"/>
        <v/>
      </c>
      <c r="FU203" s="148" t="str">
        <f t="shared" si="311"/>
        <v/>
      </c>
      <c r="FV203" s="149"/>
      <c r="FY203" s="210">
        <v>198</v>
      </c>
      <c r="FZ203">
        <v>23.354182256548075</v>
      </c>
      <c r="GA203">
        <v>29.256773867759609</v>
      </c>
      <c r="GB203">
        <v>3.1994435116975994</v>
      </c>
      <c r="GC203">
        <v>1.2027000157535224</v>
      </c>
      <c r="GD203">
        <v>0.91773187685378987</v>
      </c>
      <c r="GE203">
        <v>2.4494015858594151</v>
      </c>
      <c r="GF203">
        <v>6.7194504974656359</v>
      </c>
      <c r="GG203">
        <v>8.8525030390820074</v>
      </c>
      <c r="GH203">
        <v>9.29187065910385</v>
      </c>
      <c r="GI203">
        <v>7.4639641378984969</v>
      </c>
      <c r="GJ203"/>
      <c r="GK203"/>
      <c r="GL203"/>
      <c r="GM203"/>
    </row>
    <row r="204" spans="1:195" s="7" customFormat="1">
      <c r="A204" s="1"/>
      <c r="B204" s="76" t="str">
        <f ca="1">IF(C204="", "", RAND())</f>
        <v/>
      </c>
      <c r="C204" t="s">
        <v>104</v>
      </c>
      <c r="D204" t="s">
        <v>104</v>
      </c>
      <c r="E204" t="s">
        <v>104</v>
      </c>
      <c r="F204" t="s">
        <v>104</v>
      </c>
      <c r="G204" t="s">
        <v>104</v>
      </c>
      <c r="H204" t="s">
        <v>104</v>
      </c>
      <c r="I204" t="s">
        <v>104</v>
      </c>
      <c r="J204" t="s">
        <v>104</v>
      </c>
      <c r="K204" t="s">
        <v>104</v>
      </c>
      <c r="L204" t="s">
        <v>104</v>
      </c>
      <c r="M204" t="s">
        <v>104</v>
      </c>
      <c r="N204" t="s">
        <v>104</v>
      </c>
      <c r="O204" t="s">
        <v>104</v>
      </c>
      <c r="P204" t="s">
        <v>104</v>
      </c>
      <c r="Q204" t="s">
        <v>104</v>
      </c>
      <c r="R204" t="s">
        <v>104</v>
      </c>
      <c r="S204" t="s">
        <v>104</v>
      </c>
      <c r="T204" t="s">
        <v>104</v>
      </c>
      <c r="U204" t="s">
        <v>104</v>
      </c>
      <c r="V204" t="s">
        <v>104</v>
      </c>
      <c r="W204" t="s">
        <v>104</v>
      </c>
      <c r="X204" t="s">
        <v>104</v>
      </c>
      <c r="Y204" t="s">
        <v>104</v>
      </c>
      <c r="Z204" t="s">
        <v>104</v>
      </c>
      <c r="AA204" t="s">
        <v>104</v>
      </c>
      <c r="AB204" t="s">
        <v>104</v>
      </c>
      <c r="AC204" t="s">
        <v>104</v>
      </c>
      <c r="AD204" t="s">
        <v>104</v>
      </c>
      <c r="AE204" t="s">
        <v>104</v>
      </c>
      <c r="AF204" t="s">
        <v>104</v>
      </c>
      <c r="AG204" t="s">
        <v>104</v>
      </c>
      <c r="AH204" t="s">
        <v>104</v>
      </c>
      <c r="AI204" t="s">
        <v>104</v>
      </c>
      <c r="AJ204" s="2"/>
      <c r="AK204" s="80"/>
      <c r="AL204" s="74"/>
      <c r="AM204" s="43">
        <v>188</v>
      </c>
      <c r="AN204">
        <v>119.08478954154843</v>
      </c>
      <c r="AO204">
        <v>8.3960455139138492</v>
      </c>
      <c r="AP204">
        <v>82.13188847578968</v>
      </c>
      <c r="AQ204">
        <v>68.203366165205694</v>
      </c>
      <c r="AR204">
        <v>8.3198563761991284</v>
      </c>
      <c r="AS204">
        <v>161.0703837386562</v>
      </c>
      <c r="AT204">
        <v>5.2607396452252821</v>
      </c>
      <c r="AU204">
        <v>21.822540962400506</v>
      </c>
      <c r="AV204"/>
      <c r="AW204"/>
      <c r="AX204" s="146"/>
      <c r="AY204" s="76" t="str">
        <f t="shared" ca="1" si="201"/>
        <v/>
      </c>
      <c r="AZ204"/>
      <c r="BA204" s="129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 s="147"/>
      <c r="CH204" s="176"/>
      <c r="CJ204" s="146"/>
      <c r="CK204" s="76" t="str">
        <f t="shared" ca="1" si="237"/>
        <v/>
      </c>
      <c r="CL204" s="179" t="str">
        <f t="shared" si="238"/>
        <v/>
      </c>
      <c r="CM204" s="180" t="str">
        <f t="shared" si="239"/>
        <v/>
      </c>
      <c r="CN204"/>
      <c r="CO204"/>
      <c r="CP204"/>
      <c r="CQ204"/>
      <c r="CR204"/>
      <c r="CS204"/>
      <c r="CT204"/>
      <c r="CU204"/>
      <c r="CV204" s="160"/>
      <c r="CW204"/>
      <c r="CX204"/>
      <c r="CY204" s="166"/>
      <c r="CZ204" s="177" t="str">
        <f t="shared" si="240"/>
        <v/>
      </c>
      <c r="DB204" s="146"/>
      <c r="DC204" s="76" t="str">
        <f t="shared" ca="1" si="203"/>
        <v/>
      </c>
      <c r="DD204" t="str">
        <f t="shared" si="241"/>
        <v/>
      </c>
      <c r="DE204" s="129" t="str">
        <f t="shared" si="366"/>
        <v/>
      </c>
      <c r="DF204" s="161" t="str">
        <f t="shared" si="313"/>
        <v/>
      </c>
      <c r="DG204" s="161" t="str">
        <f t="shared" si="314"/>
        <v/>
      </c>
      <c r="DH204" s="161" t="str">
        <f t="shared" si="315"/>
        <v/>
      </c>
      <c r="DI204" s="161" t="str">
        <f t="shared" si="316"/>
        <v/>
      </c>
      <c r="DJ204" s="161" t="str">
        <f t="shared" si="317"/>
        <v/>
      </c>
      <c r="DK204" s="161" t="str">
        <f t="shared" si="318"/>
        <v/>
      </c>
      <c r="DL204" s="161" t="str">
        <f t="shared" si="319"/>
        <v/>
      </c>
      <c r="DM204" s="161" t="str">
        <f t="shared" si="320"/>
        <v/>
      </c>
      <c r="DN204" s="161" t="str">
        <f t="shared" si="343"/>
        <v/>
      </c>
      <c r="DO204" s="161" t="str">
        <f t="shared" si="344"/>
        <v/>
      </c>
      <c r="DP204" s="161" t="str">
        <f t="shared" si="345"/>
        <v/>
      </c>
      <c r="DQ204" s="161" t="str">
        <f t="shared" si="346"/>
        <v/>
      </c>
      <c r="DR204" s="161" t="str">
        <f t="shared" si="347"/>
        <v/>
      </c>
      <c r="DS204" s="161" t="str">
        <f t="shared" si="348"/>
        <v/>
      </c>
      <c r="DT204" s="161" t="str">
        <f t="shared" si="349"/>
        <v/>
      </c>
      <c r="DU204" s="161" t="str">
        <f t="shared" si="350"/>
        <v/>
      </c>
      <c r="DV204" s="161" t="str">
        <f t="shared" si="351"/>
        <v/>
      </c>
      <c r="DW204" s="161" t="str">
        <f t="shared" si="352"/>
        <v/>
      </c>
      <c r="DX204" s="161" t="str">
        <f t="shared" si="353"/>
        <v/>
      </c>
      <c r="DY204" s="161" t="str">
        <f t="shared" si="354"/>
        <v/>
      </c>
      <c r="DZ204" s="161" t="str">
        <f t="shared" si="355"/>
        <v/>
      </c>
      <c r="EA204" s="161" t="str">
        <f t="shared" si="356"/>
        <v/>
      </c>
      <c r="EB204" s="161" t="str">
        <f t="shared" si="357"/>
        <v/>
      </c>
      <c r="EC204" s="161" t="str">
        <f t="shared" si="358"/>
        <v/>
      </c>
      <c r="ED204" s="161" t="str">
        <f t="shared" si="359"/>
        <v/>
      </c>
      <c r="EE204" s="161" t="str">
        <f t="shared" si="360"/>
        <v/>
      </c>
      <c r="EF204" s="161" t="str">
        <f t="shared" si="361"/>
        <v/>
      </c>
      <c r="EG204" s="161" t="str">
        <f t="shared" si="362"/>
        <v/>
      </c>
      <c r="EH204" s="161" t="str">
        <f t="shared" si="363"/>
        <v/>
      </c>
      <c r="EI204" s="161" t="str">
        <f t="shared" si="364"/>
        <v/>
      </c>
      <c r="EJ204" s="161" t="str">
        <f t="shared" si="365"/>
        <v/>
      </c>
      <c r="EK204" s="147" t="str">
        <f t="shared" si="279"/>
        <v/>
      </c>
      <c r="EL204" s="149"/>
      <c r="EN204" s="146"/>
      <c r="EO204" s="146"/>
      <c r="EP204" s="139" t="str">
        <f t="shared" si="280"/>
        <v/>
      </c>
      <c r="EQ204" s="139" t="str">
        <f t="shared" si="281"/>
        <v/>
      </c>
      <c r="ER204" s="139" t="str">
        <f t="shared" si="282"/>
        <v/>
      </c>
      <c r="ES204" s="139" t="str">
        <f t="shared" si="283"/>
        <v/>
      </c>
      <c r="ET204" s="139" t="str">
        <f t="shared" si="284"/>
        <v/>
      </c>
      <c r="EU204" s="139" t="str">
        <f t="shared" si="285"/>
        <v/>
      </c>
      <c r="EV204" s="139" t="str">
        <f t="shared" si="286"/>
        <v/>
      </c>
      <c r="EW204" s="139" t="str">
        <f t="shared" si="287"/>
        <v/>
      </c>
      <c r="EX204" s="139" t="str">
        <f t="shared" si="288"/>
        <v/>
      </c>
      <c r="EY204" s="139" t="str">
        <f t="shared" si="289"/>
        <v/>
      </c>
      <c r="EZ204" s="139" t="str">
        <f t="shared" si="290"/>
        <v/>
      </c>
      <c r="FA204" s="139" t="str">
        <f t="shared" si="291"/>
        <v/>
      </c>
      <c r="FB204" s="139" t="str">
        <f t="shared" si="292"/>
        <v/>
      </c>
      <c r="FC204" s="139" t="str">
        <f t="shared" si="293"/>
        <v/>
      </c>
      <c r="FD204" s="139" t="str">
        <f t="shared" si="294"/>
        <v/>
      </c>
      <c r="FE204" s="139" t="str">
        <f t="shared" si="295"/>
        <v/>
      </c>
      <c r="FF204" s="139" t="str">
        <f t="shared" si="296"/>
        <v/>
      </c>
      <c r="FG204" s="139" t="str">
        <f t="shared" si="297"/>
        <v/>
      </c>
      <c r="FH204" s="139" t="str">
        <f t="shared" si="298"/>
        <v/>
      </c>
      <c r="FI204" s="139" t="str">
        <f t="shared" si="299"/>
        <v/>
      </c>
      <c r="FJ204" s="139" t="str">
        <f t="shared" si="300"/>
        <v/>
      </c>
      <c r="FK204" s="139" t="str">
        <f t="shared" si="301"/>
        <v/>
      </c>
      <c r="FL204" s="139" t="str">
        <f t="shared" si="302"/>
        <v/>
      </c>
      <c r="FM204" s="139" t="str">
        <f t="shared" si="303"/>
        <v/>
      </c>
      <c r="FN204" s="139" t="str">
        <f t="shared" si="304"/>
        <v/>
      </c>
      <c r="FO204" s="139" t="str">
        <f t="shared" si="305"/>
        <v/>
      </c>
      <c r="FP204" s="139" t="str">
        <f t="shared" si="306"/>
        <v/>
      </c>
      <c r="FQ204" s="139" t="str">
        <f t="shared" si="307"/>
        <v/>
      </c>
      <c r="FR204" s="139" t="str">
        <f t="shared" si="308"/>
        <v/>
      </c>
      <c r="FS204" s="139" t="str">
        <f t="shared" si="309"/>
        <v/>
      </c>
      <c r="FT204" s="139" t="str">
        <f t="shared" si="310"/>
        <v/>
      </c>
      <c r="FU204" s="148" t="str">
        <f t="shared" si="311"/>
        <v/>
      </c>
      <c r="FV204" s="149"/>
      <c r="FY204" s="210">
        <v>199</v>
      </c>
      <c r="FZ204">
        <v>44.030843502664467</v>
      </c>
      <c r="GA204">
        <v>54.381068668289124</v>
      </c>
      <c r="GB204">
        <v>4.6873525566614518</v>
      </c>
      <c r="GC204">
        <v>2.3249110982683368</v>
      </c>
      <c r="GD204">
        <v>0.95792778174065973</v>
      </c>
      <c r="GE204">
        <v>2.5244602099418421</v>
      </c>
      <c r="GF204">
        <v>3.6268114869903818</v>
      </c>
      <c r="GG204">
        <v>3.0675837710853768</v>
      </c>
      <c r="GH204">
        <v>6.0467876983764324</v>
      </c>
      <c r="GI204">
        <v>9.8297370114932363</v>
      </c>
      <c r="GJ204"/>
      <c r="GK204"/>
      <c r="GL204"/>
      <c r="GM204"/>
    </row>
    <row r="205" spans="1:195" s="7" customFormat="1">
      <c r="A205" s="1"/>
      <c r="B205" s="76" t="str">
        <f ca="1">IF(C205="", "", RAND())</f>
        <v/>
      </c>
      <c r="C205" t="s">
        <v>104</v>
      </c>
      <c r="D205" t="s">
        <v>104</v>
      </c>
      <c r="E205" t="s">
        <v>104</v>
      </c>
      <c r="F205" t="s">
        <v>104</v>
      </c>
      <c r="G205" t="s">
        <v>104</v>
      </c>
      <c r="H205" t="s">
        <v>104</v>
      </c>
      <c r="I205" t="s">
        <v>104</v>
      </c>
      <c r="J205" t="s">
        <v>104</v>
      </c>
      <c r="K205" t="s">
        <v>104</v>
      </c>
      <c r="L205" t="s">
        <v>104</v>
      </c>
      <c r="M205" t="s">
        <v>104</v>
      </c>
      <c r="N205" t="s">
        <v>104</v>
      </c>
      <c r="O205" t="s">
        <v>104</v>
      </c>
      <c r="P205" t="s">
        <v>104</v>
      </c>
      <c r="Q205" t="s">
        <v>104</v>
      </c>
      <c r="R205" t="s">
        <v>104</v>
      </c>
      <c r="S205" t="s">
        <v>104</v>
      </c>
      <c r="T205" t="s">
        <v>104</v>
      </c>
      <c r="U205" t="s">
        <v>104</v>
      </c>
      <c r="V205" t="s">
        <v>104</v>
      </c>
      <c r="W205" t="s">
        <v>104</v>
      </c>
      <c r="X205" t="s">
        <v>104</v>
      </c>
      <c r="Y205" t="s">
        <v>104</v>
      </c>
      <c r="Z205" t="s">
        <v>104</v>
      </c>
      <c r="AA205" t="s">
        <v>104</v>
      </c>
      <c r="AB205" t="s">
        <v>104</v>
      </c>
      <c r="AC205" t="s">
        <v>104</v>
      </c>
      <c r="AD205" t="s">
        <v>104</v>
      </c>
      <c r="AE205" t="s">
        <v>104</v>
      </c>
      <c r="AF205" t="s">
        <v>104</v>
      </c>
      <c r="AG205" t="s">
        <v>104</v>
      </c>
      <c r="AH205" t="s">
        <v>104</v>
      </c>
      <c r="AI205" t="s">
        <v>104</v>
      </c>
      <c r="AJ205" s="2"/>
      <c r="AK205" s="80"/>
      <c r="AL205" s="74"/>
      <c r="AM205" s="43">
        <v>189</v>
      </c>
      <c r="AN205">
        <v>154.79079017674883</v>
      </c>
      <c r="AO205">
        <v>12.040562845170363</v>
      </c>
      <c r="AP205">
        <v>122.80314558712428</v>
      </c>
      <c r="AQ205">
        <v>103.32704911569482</v>
      </c>
      <c r="AR205">
        <v>11.54791794432726</v>
      </c>
      <c r="AS205">
        <v>176.00602500541854</v>
      </c>
      <c r="AT205">
        <v>6.6281608809584283</v>
      </c>
      <c r="AU205">
        <v>66.494687850700188</v>
      </c>
      <c r="AV205"/>
      <c r="AW205"/>
      <c r="AX205" s="146"/>
      <c r="AY205" s="76" t="str">
        <f t="shared" ca="1" si="201"/>
        <v/>
      </c>
      <c r="AZ205"/>
      <c r="BA205" s="129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 s="147"/>
      <c r="CH205" s="176"/>
      <c r="CJ205" s="146"/>
      <c r="CK205" s="76" t="str">
        <f t="shared" ca="1" si="237"/>
        <v/>
      </c>
      <c r="CL205" s="179" t="str">
        <f t="shared" si="238"/>
        <v/>
      </c>
      <c r="CM205" s="180" t="str">
        <f t="shared" si="239"/>
        <v/>
      </c>
      <c r="CN205"/>
      <c r="CO205"/>
      <c r="CP205"/>
      <c r="CQ205"/>
      <c r="CR205"/>
      <c r="CS205"/>
      <c r="CT205"/>
      <c r="CU205"/>
      <c r="CV205" s="160"/>
      <c r="CW205"/>
      <c r="CX205"/>
      <c r="CY205" s="166"/>
      <c r="CZ205" s="177" t="str">
        <f t="shared" si="240"/>
        <v/>
      </c>
      <c r="DB205" s="146"/>
      <c r="DC205" s="76" t="str">
        <f t="shared" ca="1" si="203"/>
        <v/>
      </c>
      <c r="DD205" t="str">
        <f t="shared" si="241"/>
        <v/>
      </c>
      <c r="DE205" s="129" t="str">
        <f t="shared" si="366"/>
        <v/>
      </c>
      <c r="DF205" s="161" t="str">
        <f t="shared" si="313"/>
        <v/>
      </c>
      <c r="DG205" s="161" t="str">
        <f t="shared" si="314"/>
        <v/>
      </c>
      <c r="DH205" s="161" t="str">
        <f t="shared" si="315"/>
        <v/>
      </c>
      <c r="DI205" s="161" t="str">
        <f t="shared" si="316"/>
        <v/>
      </c>
      <c r="DJ205" s="161" t="str">
        <f t="shared" si="317"/>
        <v/>
      </c>
      <c r="DK205" s="161" t="str">
        <f t="shared" si="318"/>
        <v/>
      </c>
      <c r="DL205" s="161" t="str">
        <f t="shared" si="319"/>
        <v/>
      </c>
      <c r="DM205" s="161" t="str">
        <f t="shared" si="320"/>
        <v/>
      </c>
      <c r="DN205" s="161" t="str">
        <f t="shared" si="343"/>
        <v/>
      </c>
      <c r="DO205" s="161" t="str">
        <f t="shared" si="344"/>
        <v/>
      </c>
      <c r="DP205" s="161" t="str">
        <f t="shared" si="345"/>
        <v/>
      </c>
      <c r="DQ205" s="161" t="str">
        <f t="shared" si="346"/>
        <v/>
      </c>
      <c r="DR205" s="161" t="str">
        <f t="shared" si="347"/>
        <v/>
      </c>
      <c r="DS205" s="161" t="str">
        <f t="shared" si="348"/>
        <v/>
      </c>
      <c r="DT205" s="161" t="str">
        <f t="shared" si="349"/>
        <v/>
      </c>
      <c r="DU205" s="161" t="str">
        <f t="shared" si="350"/>
        <v/>
      </c>
      <c r="DV205" s="161" t="str">
        <f t="shared" si="351"/>
        <v/>
      </c>
      <c r="DW205" s="161" t="str">
        <f t="shared" si="352"/>
        <v/>
      </c>
      <c r="DX205" s="161" t="str">
        <f t="shared" si="353"/>
        <v/>
      </c>
      <c r="DY205" s="161" t="str">
        <f t="shared" si="354"/>
        <v/>
      </c>
      <c r="DZ205" s="161" t="str">
        <f t="shared" si="355"/>
        <v/>
      </c>
      <c r="EA205" s="161" t="str">
        <f t="shared" si="356"/>
        <v/>
      </c>
      <c r="EB205" s="161" t="str">
        <f t="shared" si="357"/>
        <v/>
      </c>
      <c r="EC205" s="161" t="str">
        <f t="shared" si="358"/>
        <v/>
      </c>
      <c r="ED205" s="161" t="str">
        <f t="shared" si="359"/>
        <v/>
      </c>
      <c r="EE205" s="161" t="str">
        <f t="shared" si="360"/>
        <v/>
      </c>
      <c r="EF205" s="161" t="str">
        <f t="shared" si="361"/>
        <v/>
      </c>
      <c r="EG205" s="161" t="str">
        <f t="shared" si="362"/>
        <v/>
      </c>
      <c r="EH205" s="161" t="str">
        <f t="shared" si="363"/>
        <v/>
      </c>
      <c r="EI205" s="161" t="str">
        <f t="shared" si="364"/>
        <v/>
      </c>
      <c r="EJ205" s="161" t="str">
        <f t="shared" si="365"/>
        <v/>
      </c>
      <c r="EK205" s="147" t="str">
        <f t="shared" si="279"/>
        <v/>
      </c>
      <c r="EL205" s="149"/>
      <c r="EN205" s="146"/>
      <c r="EO205" s="146"/>
      <c r="EP205" s="139" t="str">
        <f t="shared" si="280"/>
        <v/>
      </c>
      <c r="EQ205" s="139" t="str">
        <f t="shared" si="281"/>
        <v/>
      </c>
      <c r="ER205" s="139" t="str">
        <f t="shared" si="282"/>
        <v/>
      </c>
      <c r="ES205" s="139" t="str">
        <f t="shared" si="283"/>
        <v/>
      </c>
      <c r="ET205" s="139" t="str">
        <f t="shared" si="284"/>
        <v/>
      </c>
      <c r="EU205" s="139" t="str">
        <f t="shared" si="285"/>
        <v/>
      </c>
      <c r="EV205" s="139" t="str">
        <f t="shared" si="286"/>
        <v/>
      </c>
      <c r="EW205" s="139" t="str">
        <f t="shared" si="287"/>
        <v/>
      </c>
      <c r="EX205" s="139" t="str">
        <f t="shared" si="288"/>
        <v/>
      </c>
      <c r="EY205" s="139" t="str">
        <f t="shared" si="289"/>
        <v/>
      </c>
      <c r="EZ205" s="139" t="str">
        <f t="shared" si="290"/>
        <v/>
      </c>
      <c r="FA205" s="139" t="str">
        <f t="shared" si="291"/>
        <v/>
      </c>
      <c r="FB205" s="139" t="str">
        <f t="shared" si="292"/>
        <v/>
      </c>
      <c r="FC205" s="139" t="str">
        <f t="shared" si="293"/>
        <v/>
      </c>
      <c r="FD205" s="139" t="str">
        <f t="shared" si="294"/>
        <v/>
      </c>
      <c r="FE205" s="139" t="str">
        <f t="shared" si="295"/>
        <v/>
      </c>
      <c r="FF205" s="139" t="str">
        <f t="shared" si="296"/>
        <v/>
      </c>
      <c r="FG205" s="139" t="str">
        <f t="shared" si="297"/>
        <v/>
      </c>
      <c r="FH205" s="139" t="str">
        <f t="shared" si="298"/>
        <v/>
      </c>
      <c r="FI205" s="139" t="str">
        <f t="shared" si="299"/>
        <v/>
      </c>
      <c r="FJ205" s="139" t="str">
        <f t="shared" si="300"/>
        <v/>
      </c>
      <c r="FK205" s="139" t="str">
        <f t="shared" si="301"/>
        <v/>
      </c>
      <c r="FL205" s="139" t="str">
        <f t="shared" si="302"/>
        <v/>
      </c>
      <c r="FM205" s="139" t="str">
        <f t="shared" si="303"/>
        <v/>
      </c>
      <c r="FN205" s="139" t="str">
        <f t="shared" si="304"/>
        <v/>
      </c>
      <c r="FO205" s="139" t="str">
        <f t="shared" si="305"/>
        <v/>
      </c>
      <c r="FP205" s="139" t="str">
        <f t="shared" si="306"/>
        <v/>
      </c>
      <c r="FQ205" s="139" t="str">
        <f t="shared" si="307"/>
        <v/>
      </c>
      <c r="FR205" s="139" t="str">
        <f t="shared" si="308"/>
        <v/>
      </c>
      <c r="FS205" s="139" t="str">
        <f t="shared" si="309"/>
        <v/>
      </c>
      <c r="FT205" s="139" t="str">
        <f t="shared" si="310"/>
        <v/>
      </c>
      <c r="FU205" s="148" t="str">
        <f t="shared" si="311"/>
        <v/>
      </c>
      <c r="FV205" s="149"/>
      <c r="FY205" s="210">
        <v>200</v>
      </c>
      <c r="FZ205">
        <v>2.458279568470906</v>
      </c>
      <c r="GA205">
        <v>4.2155405193047901</v>
      </c>
      <c r="GB205">
        <v>2.3823420939649349</v>
      </c>
      <c r="GC205">
        <v>0.64222773235782993</v>
      </c>
      <c r="GD205">
        <v>0.43633269678071451</v>
      </c>
      <c r="GE205">
        <v>1.2456495973019357</v>
      </c>
      <c r="GF205">
        <v>11.336066371928563</v>
      </c>
      <c r="GG205">
        <v>11.270196634518625</v>
      </c>
      <c r="GH205">
        <v>6.867890565863644</v>
      </c>
      <c r="GI205">
        <v>4.3530846008779562</v>
      </c>
      <c r="GJ205"/>
      <c r="GK205"/>
      <c r="GL205"/>
      <c r="GM205"/>
    </row>
    <row r="206" spans="1:195" s="7" customFormat="1">
      <c r="A206" s="1"/>
      <c r="B206" s="76" t="str">
        <f ca="1">IF(C206="", "", RAND())</f>
        <v/>
      </c>
      <c r="C206" t="s">
        <v>104</v>
      </c>
      <c r="D206" t="s">
        <v>104</v>
      </c>
      <c r="E206" t="s">
        <v>104</v>
      </c>
      <c r="F206" t="s">
        <v>104</v>
      </c>
      <c r="G206" t="s">
        <v>104</v>
      </c>
      <c r="H206" t="s">
        <v>104</v>
      </c>
      <c r="I206" t="s">
        <v>104</v>
      </c>
      <c r="J206" t="s">
        <v>104</v>
      </c>
      <c r="K206" t="s">
        <v>104</v>
      </c>
      <c r="L206" t="s">
        <v>104</v>
      </c>
      <c r="M206" t="s">
        <v>104</v>
      </c>
      <c r="N206" t="s">
        <v>104</v>
      </c>
      <c r="O206" t="s">
        <v>104</v>
      </c>
      <c r="P206" t="s">
        <v>104</v>
      </c>
      <c r="Q206" t="s">
        <v>104</v>
      </c>
      <c r="R206" t="s">
        <v>104</v>
      </c>
      <c r="S206" t="s">
        <v>104</v>
      </c>
      <c r="T206" t="s">
        <v>104</v>
      </c>
      <c r="U206" t="s">
        <v>104</v>
      </c>
      <c r="V206" t="s">
        <v>104</v>
      </c>
      <c r="W206" t="s">
        <v>104</v>
      </c>
      <c r="X206" t="s">
        <v>104</v>
      </c>
      <c r="Y206" t="s">
        <v>104</v>
      </c>
      <c r="Z206" t="s">
        <v>104</v>
      </c>
      <c r="AA206" t="s">
        <v>104</v>
      </c>
      <c r="AB206" t="s">
        <v>104</v>
      </c>
      <c r="AC206" t="s">
        <v>104</v>
      </c>
      <c r="AD206" t="s">
        <v>104</v>
      </c>
      <c r="AE206" t="s">
        <v>104</v>
      </c>
      <c r="AF206" t="s">
        <v>104</v>
      </c>
      <c r="AG206" t="s">
        <v>104</v>
      </c>
      <c r="AH206" t="s">
        <v>104</v>
      </c>
      <c r="AI206" t="s">
        <v>104</v>
      </c>
      <c r="AJ206" s="2"/>
      <c r="AK206" s="80"/>
      <c r="AL206" s="74"/>
      <c r="AM206" s="43">
        <v>190</v>
      </c>
      <c r="AN206">
        <v>131.48273007621367</v>
      </c>
      <c r="AO206">
        <v>12.830102477960384</v>
      </c>
      <c r="AP206">
        <v>135.93125480981379</v>
      </c>
      <c r="AQ206">
        <v>116.18908559571248</v>
      </c>
      <c r="AR206">
        <v>12.408126947681849</v>
      </c>
      <c r="AS206">
        <v>188.9441886609815</v>
      </c>
      <c r="AT206">
        <v>7.4070027333661441</v>
      </c>
      <c r="AU206">
        <v>73.340954292209375</v>
      </c>
      <c r="AV206"/>
      <c r="AW206"/>
      <c r="AX206" s="146"/>
      <c r="AY206" s="76" t="str">
        <f t="shared" ca="1" si="201"/>
        <v/>
      </c>
      <c r="AZ206"/>
      <c r="BA206" s="129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 s="147"/>
      <c r="CH206" s="176"/>
      <c r="CJ206" s="146"/>
      <c r="CK206" s="76" t="str">
        <f t="shared" ca="1" si="237"/>
        <v/>
      </c>
      <c r="CL206" s="179" t="str">
        <f t="shared" si="238"/>
        <v/>
      </c>
      <c r="CM206" s="180" t="str">
        <f t="shared" si="239"/>
        <v/>
      </c>
      <c r="CN206"/>
      <c r="CO206"/>
      <c r="CP206"/>
      <c r="CQ206"/>
      <c r="CR206"/>
      <c r="CS206"/>
      <c r="CT206"/>
      <c r="CU206"/>
      <c r="CV206" s="160"/>
      <c r="CW206"/>
      <c r="CX206"/>
      <c r="CY206" s="166"/>
      <c r="CZ206" s="177" t="str">
        <f t="shared" si="240"/>
        <v/>
      </c>
      <c r="DB206" s="146"/>
      <c r="DC206" s="76" t="str">
        <f t="shared" ca="1" si="203"/>
        <v/>
      </c>
      <c r="DD206" t="str">
        <f t="shared" si="241"/>
        <v/>
      </c>
      <c r="DE206" s="129" t="str">
        <f t="shared" si="366"/>
        <v/>
      </c>
      <c r="DF206" s="161" t="str">
        <f t="shared" si="313"/>
        <v/>
      </c>
      <c r="DG206" s="161" t="str">
        <f t="shared" si="314"/>
        <v/>
      </c>
      <c r="DH206" s="161" t="str">
        <f t="shared" si="315"/>
        <v/>
      </c>
      <c r="DI206" s="161" t="str">
        <f t="shared" si="316"/>
        <v/>
      </c>
      <c r="DJ206" s="161" t="str">
        <f t="shared" si="317"/>
        <v/>
      </c>
      <c r="DK206" s="161" t="str">
        <f t="shared" si="318"/>
        <v/>
      </c>
      <c r="DL206" s="161" t="str">
        <f t="shared" si="319"/>
        <v/>
      </c>
      <c r="DM206" s="161" t="str">
        <f t="shared" si="320"/>
        <v/>
      </c>
      <c r="DN206" s="161" t="str">
        <f t="shared" si="343"/>
        <v/>
      </c>
      <c r="DO206" s="161" t="str">
        <f t="shared" si="344"/>
        <v/>
      </c>
      <c r="DP206" s="161" t="str">
        <f t="shared" si="345"/>
        <v/>
      </c>
      <c r="DQ206" s="161" t="str">
        <f t="shared" si="346"/>
        <v/>
      </c>
      <c r="DR206" s="161" t="str">
        <f t="shared" si="347"/>
        <v/>
      </c>
      <c r="DS206" s="161" t="str">
        <f t="shared" si="348"/>
        <v/>
      </c>
      <c r="DT206" s="161" t="str">
        <f t="shared" si="349"/>
        <v/>
      </c>
      <c r="DU206" s="161" t="str">
        <f t="shared" si="350"/>
        <v/>
      </c>
      <c r="DV206" s="161" t="str">
        <f t="shared" si="351"/>
        <v/>
      </c>
      <c r="DW206" s="161" t="str">
        <f t="shared" si="352"/>
        <v/>
      </c>
      <c r="DX206" s="161" t="str">
        <f t="shared" si="353"/>
        <v/>
      </c>
      <c r="DY206" s="161" t="str">
        <f t="shared" si="354"/>
        <v/>
      </c>
      <c r="DZ206" s="161" t="str">
        <f t="shared" si="355"/>
        <v/>
      </c>
      <c r="EA206" s="161" t="str">
        <f t="shared" si="356"/>
        <v/>
      </c>
      <c r="EB206" s="161" t="str">
        <f t="shared" si="357"/>
        <v/>
      </c>
      <c r="EC206" s="161" t="str">
        <f t="shared" si="358"/>
        <v/>
      </c>
      <c r="ED206" s="161" t="str">
        <f t="shared" si="359"/>
        <v/>
      </c>
      <c r="EE206" s="161" t="str">
        <f t="shared" si="360"/>
        <v/>
      </c>
      <c r="EF206" s="161" t="str">
        <f t="shared" si="361"/>
        <v/>
      </c>
      <c r="EG206" s="161" t="str">
        <f t="shared" si="362"/>
        <v/>
      </c>
      <c r="EH206" s="161" t="str">
        <f t="shared" si="363"/>
        <v/>
      </c>
      <c r="EI206" s="161" t="str">
        <f t="shared" si="364"/>
        <v/>
      </c>
      <c r="EJ206" s="161" t="str">
        <f t="shared" si="365"/>
        <v/>
      </c>
      <c r="EK206" s="147" t="str">
        <f t="shared" si="279"/>
        <v/>
      </c>
      <c r="EL206" s="149"/>
      <c r="EN206" s="146"/>
      <c r="EO206" s="146"/>
      <c r="EP206" s="139" t="str">
        <f t="shared" si="280"/>
        <v/>
      </c>
      <c r="EQ206" s="139" t="str">
        <f t="shared" si="281"/>
        <v/>
      </c>
      <c r="ER206" s="139" t="str">
        <f t="shared" si="282"/>
        <v/>
      </c>
      <c r="ES206" s="139" t="str">
        <f t="shared" si="283"/>
        <v/>
      </c>
      <c r="ET206" s="139" t="str">
        <f t="shared" si="284"/>
        <v/>
      </c>
      <c r="EU206" s="139" t="str">
        <f t="shared" si="285"/>
        <v/>
      </c>
      <c r="EV206" s="139" t="str">
        <f t="shared" si="286"/>
        <v/>
      </c>
      <c r="EW206" s="139" t="str">
        <f t="shared" si="287"/>
        <v/>
      </c>
      <c r="EX206" s="139" t="str">
        <f t="shared" si="288"/>
        <v/>
      </c>
      <c r="EY206" s="139" t="str">
        <f t="shared" si="289"/>
        <v/>
      </c>
      <c r="EZ206" s="139" t="str">
        <f t="shared" si="290"/>
        <v/>
      </c>
      <c r="FA206" s="139" t="str">
        <f t="shared" si="291"/>
        <v/>
      </c>
      <c r="FB206" s="139" t="str">
        <f t="shared" si="292"/>
        <v/>
      </c>
      <c r="FC206" s="139" t="str">
        <f t="shared" si="293"/>
        <v/>
      </c>
      <c r="FD206" s="139" t="str">
        <f t="shared" si="294"/>
        <v/>
      </c>
      <c r="FE206" s="139" t="str">
        <f t="shared" si="295"/>
        <v/>
      </c>
      <c r="FF206" s="139" t="str">
        <f t="shared" si="296"/>
        <v/>
      </c>
      <c r="FG206" s="139" t="str">
        <f t="shared" si="297"/>
        <v/>
      </c>
      <c r="FH206" s="139" t="str">
        <f t="shared" si="298"/>
        <v/>
      </c>
      <c r="FI206" s="139" t="str">
        <f t="shared" si="299"/>
        <v/>
      </c>
      <c r="FJ206" s="139" t="str">
        <f t="shared" si="300"/>
        <v/>
      </c>
      <c r="FK206" s="139" t="str">
        <f t="shared" si="301"/>
        <v/>
      </c>
      <c r="FL206" s="139" t="str">
        <f t="shared" si="302"/>
        <v/>
      </c>
      <c r="FM206" s="139" t="str">
        <f t="shared" si="303"/>
        <v/>
      </c>
      <c r="FN206" s="139" t="str">
        <f t="shared" si="304"/>
        <v/>
      </c>
      <c r="FO206" s="139" t="str">
        <f t="shared" si="305"/>
        <v/>
      </c>
      <c r="FP206" s="139" t="str">
        <f t="shared" si="306"/>
        <v/>
      </c>
      <c r="FQ206" s="139" t="str">
        <f t="shared" si="307"/>
        <v/>
      </c>
      <c r="FR206" s="139" t="str">
        <f t="shared" si="308"/>
        <v/>
      </c>
      <c r="FS206" s="139" t="str">
        <f t="shared" si="309"/>
        <v/>
      </c>
      <c r="FT206" s="139" t="str">
        <f t="shared" si="310"/>
        <v/>
      </c>
      <c r="FU206" s="148" t="str">
        <f t="shared" si="311"/>
        <v/>
      </c>
      <c r="FV206" s="149"/>
      <c r="FY206" s="210">
        <v>201</v>
      </c>
      <c r="FZ206">
        <v>32.325131494409192</v>
      </c>
      <c r="GA206">
        <v>40.783247252860612</v>
      </c>
      <c r="GB206">
        <v>4.5370608046265382</v>
      </c>
      <c r="GC206">
        <v>1.9823916654186782</v>
      </c>
      <c r="GD206">
        <v>1.098563081726748</v>
      </c>
      <c r="GE206">
        <v>3.1196838960177091</v>
      </c>
      <c r="GF206">
        <v>9.1935008137410357</v>
      </c>
      <c r="GG206">
        <v>11.250391833032854</v>
      </c>
      <c r="GH206">
        <v>9.4268759562135216</v>
      </c>
      <c r="GI206">
        <v>9.6987873308948114</v>
      </c>
      <c r="GJ206"/>
      <c r="GK206"/>
      <c r="GL206"/>
      <c r="GM206"/>
    </row>
    <row r="207" spans="1:195" s="7" customFormat="1">
      <c r="A207" s="1"/>
      <c r="B207" s="76" t="str">
        <f ca="1">IF(C207="", "", RAND())</f>
        <v/>
      </c>
      <c r="C207" t="s">
        <v>104</v>
      </c>
      <c r="D207" t="s">
        <v>104</v>
      </c>
      <c r="E207" t="s">
        <v>104</v>
      </c>
      <c r="F207" t="s">
        <v>104</v>
      </c>
      <c r="G207" t="s">
        <v>104</v>
      </c>
      <c r="H207" t="s">
        <v>104</v>
      </c>
      <c r="I207" t="s">
        <v>104</v>
      </c>
      <c r="J207" t="s">
        <v>104</v>
      </c>
      <c r="K207" t="s">
        <v>104</v>
      </c>
      <c r="L207" t="s">
        <v>104</v>
      </c>
      <c r="M207" t="s">
        <v>104</v>
      </c>
      <c r="N207" t="s">
        <v>104</v>
      </c>
      <c r="O207" t="s">
        <v>104</v>
      </c>
      <c r="P207" t="s">
        <v>104</v>
      </c>
      <c r="Q207" t="s">
        <v>104</v>
      </c>
      <c r="R207" t="s">
        <v>104</v>
      </c>
      <c r="S207" t="s">
        <v>104</v>
      </c>
      <c r="T207" t="s">
        <v>104</v>
      </c>
      <c r="U207" t="s">
        <v>104</v>
      </c>
      <c r="V207" t="s">
        <v>104</v>
      </c>
      <c r="W207" t="s">
        <v>104</v>
      </c>
      <c r="X207" t="s">
        <v>104</v>
      </c>
      <c r="Y207" t="s">
        <v>104</v>
      </c>
      <c r="Z207" t="s">
        <v>104</v>
      </c>
      <c r="AA207" t="s">
        <v>104</v>
      </c>
      <c r="AB207" t="s">
        <v>104</v>
      </c>
      <c r="AC207" t="s">
        <v>104</v>
      </c>
      <c r="AD207" t="s">
        <v>104</v>
      </c>
      <c r="AE207" t="s">
        <v>104</v>
      </c>
      <c r="AF207" t="s">
        <v>104</v>
      </c>
      <c r="AG207" t="s">
        <v>104</v>
      </c>
      <c r="AH207" t="s">
        <v>104</v>
      </c>
      <c r="AI207" t="s">
        <v>104</v>
      </c>
      <c r="AJ207" s="2"/>
      <c r="AK207" s="80"/>
      <c r="AL207" s="74"/>
      <c r="AM207" s="43">
        <v>191</v>
      </c>
      <c r="AN207">
        <v>146.37268754850606</v>
      </c>
      <c r="AO207">
        <v>9.1424384774462997</v>
      </c>
      <c r="AP207">
        <v>86.897268628200791</v>
      </c>
      <c r="AQ207">
        <v>73.274101982434487</v>
      </c>
      <c r="AR207">
        <v>8.6290938040396217</v>
      </c>
      <c r="AS207">
        <v>152.21128066375431</v>
      </c>
      <c r="AT207">
        <v>5.3157651309148921</v>
      </c>
      <c r="AU207">
        <v>28.348079071369064</v>
      </c>
      <c r="AV207"/>
      <c r="AW207"/>
      <c r="AX207" s="146"/>
      <c r="AY207" s="76" t="str">
        <f t="shared" ca="1" si="201"/>
        <v/>
      </c>
      <c r="AZ207"/>
      <c r="BA207" s="129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 s="147"/>
      <c r="CH207" s="176"/>
      <c r="CJ207" s="146"/>
      <c r="CK207" s="76" t="str">
        <f t="shared" ca="1" si="237"/>
        <v/>
      </c>
      <c r="CL207" s="179" t="str">
        <f t="shared" si="238"/>
        <v/>
      </c>
      <c r="CM207" s="180" t="str">
        <f t="shared" si="239"/>
        <v/>
      </c>
      <c r="CN207"/>
      <c r="CO207"/>
      <c r="CP207"/>
      <c r="CQ207"/>
      <c r="CR207"/>
      <c r="CS207"/>
      <c r="CT207"/>
      <c r="CU207"/>
      <c r="CV207" s="160"/>
      <c r="CW207"/>
      <c r="CX207"/>
      <c r="CY207" s="167"/>
      <c r="CZ207" s="177" t="str">
        <f t="shared" si="240"/>
        <v/>
      </c>
      <c r="DB207" s="146"/>
      <c r="DC207" s="76" t="str">
        <f t="shared" ca="1" si="203"/>
        <v/>
      </c>
      <c r="DD207" t="str">
        <f t="shared" si="241"/>
        <v/>
      </c>
      <c r="DE207" s="129" t="str">
        <f t="shared" si="366"/>
        <v/>
      </c>
      <c r="DF207" s="161" t="str">
        <f t="shared" si="313"/>
        <v/>
      </c>
      <c r="DG207" s="161" t="str">
        <f t="shared" si="314"/>
        <v/>
      </c>
      <c r="DH207" s="161" t="str">
        <f t="shared" si="315"/>
        <v/>
      </c>
      <c r="DI207" s="161" t="str">
        <f t="shared" si="316"/>
        <v/>
      </c>
      <c r="DJ207" s="161" t="str">
        <f t="shared" si="317"/>
        <v/>
      </c>
      <c r="DK207" s="161" t="str">
        <f t="shared" si="318"/>
        <v/>
      </c>
      <c r="DL207" s="161" t="str">
        <f t="shared" si="319"/>
        <v/>
      </c>
      <c r="DM207" s="161" t="str">
        <f t="shared" si="320"/>
        <v/>
      </c>
      <c r="DN207" s="161" t="str">
        <f t="shared" si="343"/>
        <v/>
      </c>
      <c r="DO207" s="161" t="str">
        <f t="shared" ref="DO207:EJ207" si="367">IF($AZ207="", "", (BK207*$CW207)/$CZ207)</f>
        <v/>
      </c>
      <c r="DP207" s="161" t="str">
        <f t="shared" si="367"/>
        <v/>
      </c>
      <c r="DQ207" s="161" t="str">
        <f t="shared" si="367"/>
        <v/>
      </c>
      <c r="DR207" s="161" t="str">
        <f t="shared" si="367"/>
        <v/>
      </c>
      <c r="DS207" s="161" t="str">
        <f t="shared" si="367"/>
        <v/>
      </c>
      <c r="DT207" s="161" t="str">
        <f t="shared" si="367"/>
        <v/>
      </c>
      <c r="DU207" s="161" t="str">
        <f t="shared" si="367"/>
        <v/>
      </c>
      <c r="DV207" s="161" t="str">
        <f t="shared" si="367"/>
        <v/>
      </c>
      <c r="DW207" s="161" t="str">
        <f t="shared" si="367"/>
        <v/>
      </c>
      <c r="DX207" s="161" t="str">
        <f t="shared" si="367"/>
        <v/>
      </c>
      <c r="DY207" s="161" t="str">
        <f t="shared" si="367"/>
        <v/>
      </c>
      <c r="DZ207" s="161" t="str">
        <f t="shared" si="367"/>
        <v/>
      </c>
      <c r="EA207" s="161" t="str">
        <f t="shared" si="367"/>
        <v/>
      </c>
      <c r="EB207" s="161" t="str">
        <f t="shared" si="367"/>
        <v/>
      </c>
      <c r="EC207" s="161" t="str">
        <f t="shared" si="367"/>
        <v/>
      </c>
      <c r="ED207" s="161" t="str">
        <f t="shared" si="367"/>
        <v/>
      </c>
      <c r="EE207" s="161" t="str">
        <f t="shared" si="367"/>
        <v/>
      </c>
      <c r="EF207" s="161" t="str">
        <f t="shared" si="367"/>
        <v/>
      </c>
      <c r="EG207" s="161" t="str">
        <f t="shared" si="367"/>
        <v/>
      </c>
      <c r="EH207" s="161" t="str">
        <f t="shared" si="367"/>
        <v/>
      </c>
      <c r="EI207" s="161" t="str">
        <f t="shared" si="367"/>
        <v/>
      </c>
      <c r="EJ207" s="161" t="str">
        <f t="shared" si="367"/>
        <v/>
      </c>
      <c r="EK207" s="147" t="str">
        <f t="shared" si="279"/>
        <v/>
      </c>
      <c r="EL207" s="149"/>
      <c r="EN207" s="146"/>
      <c r="EO207" s="146"/>
      <c r="EP207" s="139" t="str">
        <f t="shared" si="280"/>
        <v/>
      </c>
      <c r="EQ207" s="139" t="str">
        <f t="shared" si="281"/>
        <v/>
      </c>
      <c r="ER207" s="139" t="str">
        <f t="shared" si="282"/>
        <v/>
      </c>
      <c r="ES207" s="139" t="str">
        <f t="shared" si="283"/>
        <v/>
      </c>
      <c r="ET207" s="139" t="str">
        <f t="shared" si="284"/>
        <v/>
      </c>
      <c r="EU207" s="139" t="str">
        <f t="shared" si="285"/>
        <v/>
      </c>
      <c r="EV207" s="139" t="str">
        <f t="shared" si="286"/>
        <v/>
      </c>
      <c r="EW207" s="139" t="str">
        <f t="shared" si="287"/>
        <v/>
      </c>
      <c r="EX207" s="139" t="str">
        <f t="shared" si="288"/>
        <v/>
      </c>
      <c r="EY207" s="139" t="str">
        <f t="shared" si="289"/>
        <v/>
      </c>
      <c r="EZ207" s="139" t="str">
        <f t="shared" si="290"/>
        <v/>
      </c>
      <c r="FA207" s="139" t="str">
        <f t="shared" si="291"/>
        <v/>
      </c>
      <c r="FB207" s="139" t="str">
        <f t="shared" si="292"/>
        <v/>
      </c>
      <c r="FC207" s="139" t="str">
        <f t="shared" si="293"/>
        <v/>
      </c>
      <c r="FD207" s="139" t="str">
        <f t="shared" si="294"/>
        <v/>
      </c>
      <c r="FE207" s="139" t="str">
        <f t="shared" si="295"/>
        <v/>
      </c>
      <c r="FF207" s="139" t="str">
        <f t="shared" si="296"/>
        <v/>
      </c>
      <c r="FG207" s="139" t="str">
        <f t="shared" si="297"/>
        <v/>
      </c>
      <c r="FH207" s="139" t="str">
        <f t="shared" si="298"/>
        <v/>
      </c>
      <c r="FI207" s="139" t="str">
        <f t="shared" si="299"/>
        <v/>
      </c>
      <c r="FJ207" s="139" t="str">
        <f t="shared" si="300"/>
        <v/>
      </c>
      <c r="FK207" s="139" t="str">
        <f t="shared" si="301"/>
        <v/>
      </c>
      <c r="FL207" s="139" t="str">
        <f t="shared" si="302"/>
        <v/>
      </c>
      <c r="FM207" s="139" t="str">
        <f t="shared" si="303"/>
        <v/>
      </c>
      <c r="FN207" s="139" t="str">
        <f t="shared" si="304"/>
        <v/>
      </c>
      <c r="FO207" s="139" t="str">
        <f t="shared" si="305"/>
        <v/>
      </c>
      <c r="FP207" s="139" t="str">
        <f t="shared" si="306"/>
        <v/>
      </c>
      <c r="FQ207" s="139" t="str">
        <f t="shared" si="307"/>
        <v/>
      </c>
      <c r="FR207" s="139" t="str">
        <f t="shared" si="308"/>
        <v/>
      </c>
      <c r="FS207" s="139" t="str">
        <f t="shared" si="309"/>
        <v/>
      </c>
      <c r="FT207" s="139" t="str">
        <f t="shared" si="310"/>
        <v/>
      </c>
      <c r="FU207" s="148" t="str">
        <f t="shared" si="311"/>
        <v/>
      </c>
      <c r="FV207" s="149"/>
      <c r="FY207" s="210">
        <v>202</v>
      </c>
      <c r="FZ207">
        <v>56.881354498439549</v>
      </c>
      <c r="GA207">
        <v>67.234011566575276</v>
      </c>
      <c r="GB207">
        <v>3.9362112055160909</v>
      </c>
      <c r="GC207">
        <v>1.659214336672318</v>
      </c>
      <c r="GD207">
        <v>1.083756003294897</v>
      </c>
      <c r="GE207">
        <v>3.722140447250514</v>
      </c>
      <c r="GF207">
        <v>9.8667162199247009</v>
      </c>
      <c r="GG207">
        <v>7.1868585899384207</v>
      </c>
      <c r="GH207">
        <v>6.6773241419701268</v>
      </c>
      <c r="GI207">
        <v>12.855479320316499</v>
      </c>
      <c r="GJ207"/>
      <c r="GK207"/>
      <c r="GL207"/>
      <c r="GM207"/>
    </row>
    <row r="208" spans="1:195" s="7" customFormat="1">
      <c r="A208" s="1"/>
      <c r="B208" s="1"/>
      <c r="C208" s="78"/>
      <c r="D208" s="79"/>
      <c r="E208" s="1"/>
      <c r="F208" s="2"/>
      <c r="G208" s="2"/>
      <c r="H208" s="3"/>
      <c r="I208" s="1"/>
      <c r="J208" s="1"/>
      <c r="K208" s="1"/>
      <c r="L208" s="1"/>
      <c r="M208" s="1"/>
      <c r="N208" s="1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  <c r="AJ208" s="80"/>
      <c r="AK208" s="80"/>
      <c r="AL208" s="74">
        <v>3.0028000000000028</v>
      </c>
      <c r="AM208" s="43">
        <v>192</v>
      </c>
      <c r="AN208">
        <v>94.095002415785274</v>
      </c>
      <c r="AO208">
        <v>10.300196984873525</v>
      </c>
      <c r="AP208">
        <v>107.35925699053563</v>
      </c>
      <c r="AQ208">
        <v>90.33076775576518</v>
      </c>
      <c r="AR208">
        <v>9.7832789413277688</v>
      </c>
      <c r="AS208">
        <v>151.00784239626518</v>
      </c>
      <c r="AT208">
        <v>6.3641548657726164</v>
      </c>
      <c r="AU208">
        <v>20.742965332818081</v>
      </c>
      <c r="AV208"/>
      <c r="AW208"/>
      <c r="AX208" s="146"/>
      <c r="AY208" s="146"/>
      <c r="AZ208" s="152"/>
      <c r="BA208" s="153"/>
      <c r="BB208" s="146"/>
      <c r="BC208" s="147"/>
      <c r="BD208" s="147"/>
      <c r="BE208" s="148"/>
      <c r="BF208" s="146"/>
      <c r="BG208" s="146"/>
      <c r="BH208" s="146"/>
      <c r="BI208" s="146"/>
      <c r="BJ208" s="146"/>
      <c r="BK208" s="146"/>
      <c r="BL208" s="149"/>
      <c r="BM208" s="149"/>
      <c r="BN208" s="149"/>
      <c r="BO208" s="149"/>
      <c r="BP208" s="149"/>
      <c r="BQ208" s="149"/>
      <c r="BR208" s="149"/>
      <c r="BS208" s="149"/>
      <c r="BT208" s="149"/>
      <c r="BU208" s="149"/>
      <c r="BV208" s="149"/>
      <c r="BW208" s="149"/>
      <c r="BX208" s="149"/>
      <c r="BY208" s="149"/>
      <c r="BZ208" s="149"/>
      <c r="CA208" s="149"/>
      <c r="CB208" s="149"/>
      <c r="CC208" s="149"/>
      <c r="CD208" s="149"/>
      <c r="CE208" s="149"/>
      <c r="CF208" s="149"/>
      <c r="CG208" s="149"/>
      <c r="CH208" s="149"/>
      <c r="CJ208" s="146"/>
      <c r="CK208" s="146"/>
      <c r="CL208" s="152"/>
      <c r="CM208" s="153"/>
      <c r="CN208" s="146"/>
      <c r="CO208" s="147"/>
      <c r="CP208" s="147"/>
      <c r="CQ208" s="148"/>
      <c r="CR208" s="146"/>
      <c r="CS208" s="146"/>
      <c r="CT208" s="146"/>
      <c r="CU208" s="146"/>
      <c r="CW208" s="150"/>
      <c r="CX208" s="150"/>
      <c r="CZ208" s="150"/>
      <c r="DB208" s="146"/>
      <c r="DC208" s="146"/>
      <c r="DD208" s="152"/>
      <c r="DE208" s="153"/>
      <c r="DF208" s="146"/>
      <c r="DG208" s="147"/>
      <c r="DH208" s="147"/>
      <c r="DI208" s="148"/>
      <c r="DJ208" s="146"/>
      <c r="DK208" s="146"/>
      <c r="DL208" s="146"/>
      <c r="DM208" s="146"/>
      <c r="DN208" s="146"/>
      <c r="DO208" s="146"/>
      <c r="DP208" s="149"/>
      <c r="DQ208" s="149"/>
      <c r="DR208" s="149"/>
      <c r="DS208" s="149"/>
      <c r="DT208" s="149"/>
      <c r="DU208" s="149"/>
      <c r="DV208" s="149"/>
      <c r="DW208" s="149"/>
      <c r="DX208" s="149"/>
      <c r="DY208" s="149"/>
      <c r="DZ208" s="149"/>
      <c r="EA208" s="149"/>
      <c r="EB208" s="149"/>
      <c r="EC208" s="149"/>
      <c r="ED208" s="149"/>
      <c r="EE208" s="149"/>
      <c r="EF208" s="149"/>
      <c r="EG208" s="149"/>
      <c r="EH208" s="149"/>
      <c r="EI208" s="149"/>
      <c r="EJ208" s="149"/>
      <c r="EK208" s="149"/>
      <c r="EL208" s="149"/>
      <c r="EN208" s="146"/>
      <c r="EO208" s="146"/>
      <c r="EP208" s="146"/>
      <c r="EQ208" s="147"/>
      <c r="ER208" s="147"/>
      <c r="ES208" s="148"/>
      <c r="ET208" s="146"/>
      <c r="EU208" s="146"/>
      <c r="EV208" s="146"/>
      <c r="EW208" s="146"/>
      <c r="EX208" s="146"/>
      <c r="EY208" s="146"/>
      <c r="EZ208" s="149"/>
      <c r="FA208" s="149"/>
      <c r="FB208" s="149"/>
      <c r="FC208" s="149"/>
      <c r="FD208" s="149"/>
      <c r="FE208" s="149"/>
      <c r="FF208" s="149"/>
      <c r="FG208" s="149"/>
      <c r="FH208" s="149"/>
      <c r="FI208" s="149"/>
      <c r="FJ208" s="149"/>
      <c r="FK208" s="149"/>
      <c r="FL208" s="149"/>
      <c r="FM208" s="149"/>
      <c r="FN208" s="149"/>
      <c r="FO208" s="149"/>
      <c r="FP208" s="149"/>
      <c r="FQ208" s="149"/>
      <c r="FR208" s="149"/>
      <c r="FS208" s="149"/>
      <c r="FT208" s="149"/>
      <c r="FU208" s="149"/>
      <c r="FV208" s="149"/>
      <c r="FY208" s="210">
        <v>203</v>
      </c>
      <c r="FZ208">
        <v>16.077231359838009</v>
      </c>
      <c r="GA208">
        <v>14.86732591145822</v>
      </c>
      <c r="GB208">
        <v>2.685311796554557</v>
      </c>
      <c r="GC208">
        <v>1.5154586338719829</v>
      </c>
      <c r="GD208">
        <v>0.52438326565195781</v>
      </c>
      <c r="GE208">
        <v>1.3971172772688669</v>
      </c>
      <c r="GF208">
        <v>8.2025367049249862</v>
      </c>
      <c r="GG208">
        <v>7.1004255445929108</v>
      </c>
      <c r="GH208">
        <v>5.1624669429399237</v>
      </c>
      <c r="GI208">
        <v>5.6351749612080422</v>
      </c>
      <c r="GJ208"/>
      <c r="GK208"/>
      <c r="GL208"/>
      <c r="GM208"/>
    </row>
    <row r="209" spans="1:195" s="7" customFormat="1">
      <c r="A209" s="4"/>
      <c r="B209" s="4"/>
      <c r="C209" s="81"/>
      <c r="D209" s="82"/>
      <c r="E209" s="81"/>
      <c r="F209" s="81"/>
      <c r="G209" s="81"/>
      <c r="H209" s="81"/>
      <c r="I209" s="81"/>
      <c r="J209" s="81"/>
      <c r="K209" s="81"/>
      <c r="L209" s="81"/>
      <c r="M209" s="81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>
        <v>3.0028000000000028</v>
      </c>
      <c r="AM209" s="43">
        <v>193</v>
      </c>
      <c r="AN209">
        <v>62.219367017223043</v>
      </c>
      <c r="AO209">
        <v>4.7807992478533414</v>
      </c>
      <c r="AP209">
        <v>41.051238212386394</v>
      </c>
      <c r="AQ209">
        <v>33.793796881089847</v>
      </c>
      <c r="AR209">
        <v>4.9644999450345644</v>
      </c>
      <c r="AS209">
        <v>87.529729087870777</v>
      </c>
      <c r="AT209">
        <v>2.8031306873000577</v>
      </c>
      <c r="AU209">
        <v>3.533921367558269</v>
      </c>
      <c r="AV209"/>
      <c r="AW209"/>
      <c r="FY209" s="210">
        <v>204</v>
      </c>
      <c r="FZ209">
        <v>22.604238524759264</v>
      </c>
      <c r="GA209">
        <v>29.390594747963586</v>
      </c>
      <c r="GB209">
        <v>2.714287910986755</v>
      </c>
      <c r="GC209">
        <v>1.2153422745406777</v>
      </c>
      <c r="GD209">
        <v>0.9638939686272423</v>
      </c>
      <c r="GE209">
        <v>1.4392480135251335</v>
      </c>
      <c r="GF209">
        <v>3.0277858798907205</v>
      </c>
      <c r="GG209">
        <v>6.201399559482347</v>
      </c>
      <c r="GH209">
        <v>9.5184363218434989</v>
      </c>
      <c r="GI209">
        <v>6.6276356791285735</v>
      </c>
      <c r="GJ209"/>
      <c r="GK209"/>
      <c r="GL209"/>
      <c r="GM209"/>
    </row>
    <row r="210" spans="1:195" s="7" customFormat="1">
      <c r="A210" s="4"/>
      <c r="B210" s="4"/>
      <c r="C210" s="81"/>
      <c r="D210" s="82"/>
      <c r="E210" s="81"/>
      <c r="F210" s="81"/>
      <c r="G210" s="81"/>
      <c r="H210" s="81"/>
      <c r="I210" s="81"/>
      <c r="J210" s="81"/>
      <c r="K210" s="81"/>
      <c r="L210" s="81"/>
      <c r="M210" s="81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>
        <v>3.0028000000000028</v>
      </c>
      <c r="AM210" s="43">
        <v>194</v>
      </c>
      <c r="AN210">
        <v>112.8017758024683</v>
      </c>
      <c r="AO210">
        <v>10.155059737936922</v>
      </c>
      <c r="AP210">
        <v>100.09955256842667</v>
      </c>
      <c r="AQ210">
        <v>85.679768908947921</v>
      </c>
      <c r="AR210">
        <v>9.5822583161275059</v>
      </c>
      <c r="AS210">
        <v>182.47544637257965</v>
      </c>
      <c r="AT210">
        <v>5.8087700255711558</v>
      </c>
      <c r="AU210">
        <v>7.4325600673791588</v>
      </c>
      <c r="AV210"/>
      <c r="AW210"/>
      <c r="FY210" s="210">
        <v>205</v>
      </c>
      <c r="FZ210">
        <v>34.140986311028293</v>
      </c>
      <c r="GA210">
        <v>42.056884623124354</v>
      </c>
      <c r="GB210">
        <v>3.9281766327383245</v>
      </c>
      <c r="GC210">
        <v>1.0808661077912851</v>
      </c>
      <c r="GD210">
        <v>0.41931339668948969</v>
      </c>
      <c r="GE210">
        <v>3.1466514441239766</v>
      </c>
      <c r="GF210">
        <v>6.2906095170544418</v>
      </c>
      <c r="GG210">
        <v>8.5154170535046596</v>
      </c>
      <c r="GH210">
        <v>12.191943304192842</v>
      </c>
      <c r="GI210">
        <v>9.3296025429866667</v>
      </c>
      <c r="GJ210"/>
      <c r="GK210"/>
      <c r="GL210"/>
      <c r="GM210"/>
    </row>
    <row r="211" spans="1:195" s="7" customFormat="1">
      <c r="A211" s="4"/>
      <c r="B211" s="4"/>
      <c r="C211" s="81"/>
      <c r="D211" s="82"/>
      <c r="E211" s="81"/>
      <c r="F211" s="81"/>
      <c r="G211" s="81"/>
      <c r="H211" s="81"/>
      <c r="I211" s="81"/>
      <c r="J211" s="81"/>
      <c r="K211" s="81"/>
      <c r="L211" s="81"/>
      <c r="M211" s="81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>
        <v>3.0028000000000028</v>
      </c>
      <c r="AM211" s="43">
        <v>195</v>
      </c>
      <c r="AN211">
        <v>159.47444113402946</v>
      </c>
      <c r="AO211">
        <v>17.481179322063625</v>
      </c>
      <c r="AP211">
        <v>176.16968083736353</v>
      </c>
      <c r="AQ211">
        <v>152.87407313307568</v>
      </c>
      <c r="AR211">
        <v>16.681129098399115</v>
      </c>
      <c r="AS211">
        <v>235.08848591308077</v>
      </c>
      <c r="AT211">
        <v>10.195512737058811</v>
      </c>
      <c r="AU211">
        <v>21.013800343044199</v>
      </c>
      <c r="AV211"/>
      <c r="AW211"/>
      <c r="BA211" s="192"/>
      <c r="BB211" s="192"/>
      <c r="BC211" s="193"/>
      <c r="BD211" s="193"/>
      <c r="BE211" s="193"/>
      <c r="BF211" s="193"/>
      <c r="BG211" s="193"/>
      <c r="BH211" s="193"/>
      <c r="BI211" s="193"/>
      <c r="BJ211" s="193"/>
      <c r="BK211" s="193"/>
      <c r="BL211" s="193"/>
      <c r="BM211" s="193"/>
      <c r="BN211" s="193"/>
      <c r="BO211" s="193"/>
      <c r="BP211" s="193"/>
      <c r="BQ211" s="193"/>
      <c r="BR211" s="193"/>
      <c r="BS211" s="193"/>
      <c r="BT211" s="193"/>
      <c r="BU211" s="193"/>
      <c r="BV211" s="193"/>
      <c r="BW211" s="193"/>
      <c r="BX211" s="193"/>
      <c r="BY211" s="193"/>
      <c r="BZ211" s="193"/>
      <c r="CA211" s="193"/>
      <c r="CB211" s="193"/>
      <c r="CC211" s="193"/>
      <c r="CD211" s="193"/>
      <c r="CE211" s="193"/>
      <c r="CF211" s="193"/>
      <c r="CG211" s="194"/>
      <c r="CH211" s="194"/>
      <c r="CI211" s="194"/>
      <c r="CJ211" s="194"/>
      <c r="CK211" s="194"/>
      <c r="CL211" s="194"/>
      <c r="CM211" s="194"/>
      <c r="CN211" s="194"/>
      <c r="CO211" s="194"/>
      <c r="CP211" s="194"/>
      <c r="CQ211" s="194"/>
      <c r="CR211" s="194"/>
      <c r="CS211" s="194"/>
      <c r="CT211" s="194"/>
      <c r="CU211" s="194"/>
      <c r="DE211" s="184" t="s">
        <v>139</v>
      </c>
      <c r="DF211" s="183" t="s">
        <v>83</v>
      </c>
      <c r="DG211" s="182">
        <v>1</v>
      </c>
      <c r="DH211" s="182">
        <v>2</v>
      </c>
      <c r="DI211" s="182">
        <v>3</v>
      </c>
      <c r="DJ211" s="182">
        <v>4</v>
      </c>
      <c r="DK211" s="182">
        <v>5</v>
      </c>
      <c r="DL211" s="182">
        <v>6</v>
      </c>
      <c r="DM211" s="182">
        <v>7</v>
      </c>
      <c r="DN211" s="182">
        <v>8</v>
      </c>
      <c r="DO211" s="182">
        <v>9</v>
      </c>
      <c r="DP211" s="182">
        <v>10</v>
      </c>
      <c r="DQ211" s="182">
        <v>11</v>
      </c>
      <c r="DR211" s="182">
        <v>12</v>
      </c>
      <c r="DS211" s="182">
        <v>13</v>
      </c>
      <c r="DT211" s="182">
        <v>14</v>
      </c>
      <c r="DU211" s="182">
        <v>15</v>
      </c>
      <c r="DV211" s="182">
        <v>16</v>
      </c>
      <c r="DW211" s="182">
        <v>17</v>
      </c>
      <c r="DX211" s="182">
        <v>18</v>
      </c>
      <c r="DY211" s="182">
        <v>19</v>
      </c>
      <c r="DZ211" s="182">
        <v>20</v>
      </c>
      <c r="EA211" s="182">
        <v>21</v>
      </c>
      <c r="EB211" s="182">
        <v>22</v>
      </c>
      <c r="EC211" s="182">
        <v>23</v>
      </c>
      <c r="ED211" s="182">
        <v>24</v>
      </c>
      <c r="EE211" s="182">
        <v>25</v>
      </c>
      <c r="EF211" s="182">
        <v>26</v>
      </c>
      <c r="EG211" s="182">
        <v>27</v>
      </c>
      <c r="EH211" s="182">
        <v>28</v>
      </c>
      <c r="EI211" s="182">
        <v>29</v>
      </c>
      <c r="EJ211" s="182">
        <v>30</v>
      </c>
      <c r="FY211" s="210">
        <v>206</v>
      </c>
      <c r="FZ211">
        <v>42.604236828038815</v>
      </c>
      <c r="GA211">
        <v>50.491075375070267</v>
      </c>
      <c r="GB211">
        <v>1.8329166462511111</v>
      </c>
      <c r="GC211">
        <v>1.4295349496733973</v>
      </c>
      <c r="GD211">
        <v>1.7569978267223307</v>
      </c>
      <c r="GE211">
        <v>3.8551865241180132</v>
      </c>
      <c r="GF211">
        <v>6.2358839085398587</v>
      </c>
      <c r="GG211">
        <v>5.8373199917261305</v>
      </c>
      <c r="GH211">
        <v>6.8202432248395786</v>
      </c>
      <c r="GI211">
        <v>9.9657751664690899</v>
      </c>
      <c r="GJ211"/>
      <c r="GK211"/>
      <c r="GL211"/>
      <c r="GM211"/>
    </row>
    <row r="212" spans="1:195" s="7" customFormat="1">
      <c r="A212" s="4"/>
      <c r="B212" s="4"/>
      <c r="C212" s="4"/>
      <c r="D212" s="4"/>
      <c r="E212" s="4"/>
      <c r="F212" s="28"/>
      <c r="G212" s="28"/>
      <c r="H212" s="83"/>
      <c r="I212" s="4"/>
      <c r="J212" s="4"/>
      <c r="K212" s="4"/>
      <c r="L212" s="4"/>
      <c r="M212" s="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>
        <v>3.0028000000000028</v>
      </c>
      <c r="AM212" s="43">
        <v>196</v>
      </c>
      <c r="AN212">
        <v>101.02553540282884</v>
      </c>
      <c r="AO212">
        <v>8.9527340123104757</v>
      </c>
      <c r="AP212">
        <v>94.552486926530904</v>
      </c>
      <c r="AQ212">
        <v>80.759269688331329</v>
      </c>
      <c r="AR212">
        <v>8.6507442250507722</v>
      </c>
      <c r="AS212">
        <v>142.53186276325755</v>
      </c>
      <c r="AT212">
        <v>5.3010391726250381</v>
      </c>
      <c r="AU212">
        <v>15.305496472792893</v>
      </c>
      <c r="AV212"/>
      <c r="AW212"/>
      <c r="BA212" s="195"/>
      <c r="BB212" s="193"/>
      <c r="BC212" s="193"/>
      <c r="BD212" s="193"/>
      <c r="BE212" s="193"/>
      <c r="BF212" s="193"/>
      <c r="BG212" s="193"/>
      <c r="BH212" s="193"/>
      <c r="BI212" s="193"/>
      <c r="BJ212" s="193"/>
      <c r="BK212" s="193"/>
      <c r="BL212" s="193"/>
      <c r="BM212" s="193"/>
      <c r="BN212" s="193"/>
      <c r="BO212" s="193"/>
      <c r="BP212" s="193"/>
      <c r="BQ212" s="193"/>
      <c r="BR212" s="193"/>
      <c r="BS212" s="193"/>
      <c r="BT212" s="193"/>
      <c r="BU212" s="193"/>
      <c r="BV212" s="193"/>
      <c r="BW212" s="193"/>
      <c r="BX212" s="193"/>
      <c r="BY212" s="193"/>
      <c r="BZ212" s="193"/>
      <c r="CA212" s="193"/>
      <c r="CB212" s="193"/>
      <c r="CC212" s="193"/>
      <c r="CD212" s="193"/>
      <c r="CE212" s="193"/>
      <c r="CF212" s="193"/>
      <c r="CG212" s="194"/>
      <c r="CH212" s="194"/>
      <c r="CI212" s="194"/>
      <c r="CJ212" s="194"/>
      <c r="CK212" s="194"/>
      <c r="CL212" s="194"/>
      <c r="CM212" s="192"/>
      <c r="CN212" s="192"/>
      <c r="CO212" s="193"/>
      <c r="CP212" s="193"/>
      <c r="CQ212" s="193"/>
      <c r="CR212" s="193"/>
      <c r="CS212" s="193"/>
      <c r="CT212" s="193"/>
      <c r="CU212" s="193"/>
      <c r="DE212" s="187">
        <f>DE88</f>
        <v>39646</v>
      </c>
      <c r="DF212" s="182">
        <f t="shared" ref="DF212:EJ212" si="368">AVERAGE(DF88:DF97)</f>
        <v>0</v>
      </c>
      <c r="DG212" s="182">
        <f t="shared" si="368"/>
        <v>0</v>
      </c>
      <c r="DH212" s="182">
        <f t="shared" si="368"/>
        <v>16.666666666666668</v>
      </c>
      <c r="DI212" s="182">
        <f t="shared" si="368"/>
        <v>5.208333333333333</v>
      </c>
      <c r="DJ212" s="182">
        <f t="shared" si="368"/>
        <v>2.083333333333333</v>
      </c>
      <c r="DK212" s="182">
        <f t="shared" ref="DK212:DQ212" si="369">AVERAGE(DK88:DK97)</f>
        <v>1.0416666666666665</v>
      </c>
      <c r="DL212" s="182">
        <f t="shared" si="369"/>
        <v>4.1666666666666661</v>
      </c>
      <c r="DM212" s="182">
        <f t="shared" si="369"/>
        <v>0</v>
      </c>
      <c r="DN212" s="182">
        <f t="shared" si="369"/>
        <v>0</v>
      </c>
      <c r="DO212" s="182">
        <f t="shared" si="369"/>
        <v>0</v>
      </c>
      <c r="DP212" s="182">
        <f t="shared" si="369"/>
        <v>0</v>
      </c>
      <c r="DQ212" s="182">
        <f t="shared" si="369"/>
        <v>0</v>
      </c>
      <c r="DR212" s="182">
        <f t="shared" si="368"/>
        <v>0</v>
      </c>
      <c r="DS212" s="182">
        <f t="shared" si="368"/>
        <v>0</v>
      </c>
      <c r="DT212" s="182">
        <f t="shared" si="368"/>
        <v>0</v>
      </c>
      <c r="DU212" s="182">
        <f t="shared" si="368"/>
        <v>0</v>
      </c>
      <c r="DV212" s="182">
        <f t="shared" si="368"/>
        <v>0</v>
      </c>
      <c r="DW212" s="182">
        <f t="shared" si="368"/>
        <v>0</v>
      </c>
      <c r="DX212" s="182">
        <f t="shared" si="368"/>
        <v>0</v>
      </c>
      <c r="DY212" s="182">
        <f t="shared" si="368"/>
        <v>0</v>
      </c>
      <c r="DZ212" s="182">
        <f t="shared" si="368"/>
        <v>0</v>
      </c>
      <c r="EA212" s="182">
        <f t="shared" si="368"/>
        <v>0</v>
      </c>
      <c r="EB212" s="182">
        <f t="shared" si="368"/>
        <v>0</v>
      </c>
      <c r="EC212" s="182">
        <f t="shared" si="368"/>
        <v>0</v>
      </c>
      <c r="ED212" s="182">
        <f t="shared" si="368"/>
        <v>0</v>
      </c>
      <c r="EE212" s="182">
        <f t="shared" si="368"/>
        <v>0</v>
      </c>
      <c r="EF212" s="182">
        <f t="shared" si="368"/>
        <v>0</v>
      </c>
      <c r="EG212" s="182">
        <f t="shared" si="368"/>
        <v>0</v>
      </c>
      <c r="EH212" s="182">
        <f t="shared" si="368"/>
        <v>0</v>
      </c>
      <c r="EI212" s="182">
        <f t="shared" si="368"/>
        <v>0</v>
      </c>
      <c r="EJ212" s="182">
        <f t="shared" si="368"/>
        <v>0</v>
      </c>
      <c r="FY212" s="210">
        <v>207</v>
      </c>
      <c r="FZ212">
        <v>23.515127154487526</v>
      </c>
      <c r="GA212">
        <v>27.851342138691862</v>
      </c>
      <c r="GB212">
        <v>2.0703166536839142</v>
      </c>
      <c r="GC212">
        <v>0.87742838877294149</v>
      </c>
      <c r="GD212">
        <v>0.89898839951528209</v>
      </c>
      <c r="GE212">
        <v>1.5052883959556502</v>
      </c>
      <c r="GF212">
        <v>2.9167595714467738</v>
      </c>
      <c r="GG212">
        <v>11.888760699078261</v>
      </c>
      <c r="GH212">
        <v>15.911274048986368</v>
      </c>
      <c r="GI212">
        <v>7.5598773838716777</v>
      </c>
      <c r="GJ212"/>
      <c r="GK212"/>
      <c r="GL212"/>
      <c r="GM212"/>
    </row>
    <row r="213" spans="1:195" s="7" customFormat="1">
      <c r="A213" s="4"/>
      <c r="B213" s="4"/>
      <c r="C213" s="4"/>
      <c r="D213" s="4"/>
      <c r="E213" s="4"/>
      <c r="F213" s="28"/>
      <c r="G213" s="28"/>
      <c r="H213" s="83"/>
      <c r="I213" s="4"/>
      <c r="J213" s="4"/>
      <c r="K213" s="4"/>
      <c r="L213" s="4"/>
      <c r="M213" s="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>
        <v>3.0028000000000028</v>
      </c>
      <c r="AM213" s="43">
        <v>197</v>
      </c>
      <c r="AN213">
        <v>97.581521554737563</v>
      </c>
      <c r="AO213">
        <v>7.4192143357881619</v>
      </c>
      <c r="AP213">
        <v>66.75949815897954</v>
      </c>
      <c r="AQ213">
        <v>58.488989294931898</v>
      </c>
      <c r="AR213">
        <v>7.3256844193184643</v>
      </c>
      <c r="AS213">
        <v>127.21585047025948</v>
      </c>
      <c r="AT213">
        <v>4.1610446052391312</v>
      </c>
      <c r="AU213">
        <v>15.601608774568724</v>
      </c>
      <c r="AV213"/>
      <c r="AW213"/>
      <c r="BA213" s="195"/>
      <c r="BB213" s="196"/>
      <c r="BC213" s="196"/>
      <c r="BD213" s="196"/>
      <c r="BE213" s="196"/>
      <c r="BF213" s="196"/>
      <c r="BG213" s="196"/>
      <c r="BH213" s="196"/>
      <c r="BI213" s="196"/>
      <c r="BJ213" s="196"/>
      <c r="BK213" s="196"/>
      <c r="BL213" s="196"/>
      <c r="BM213" s="196"/>
      <c r="BN213" s="196"/>
      <c r="BO213" s="196"/>
      <c r="BP213" s="196"/>
      <c r="BQ213" s="196"/>
      <c r="BR213" s="196"/>
      <c r="BS213" s="196"/>
      <c r="BT213" s="196"/>
      <c r="BU213" s="196"/>
      <c r="BV213" s="196"/>
      <c r="BW213" s="196"/>
      <c r="BX213" s="196"/>
      <c r="BY213" s="196"/>
      <c r="BZ213" s="196"/>
      <c r="CA213" s="196"/>
      <c r="CB213" s="196"/>
      <c r="CC213" s="196"/>
      <c r="CD213" s="196"/>
      <c r="CE213" s="196"/>
      <c r="CF213" s="196"/>
      <c r="CG213" s="194"/>
      <c r="CH213" s="194"/>
      <c r="CI213" s="194"/>
      <c r="CJ213" s="194"/>
      <c r="CK213" s="194"/>
      <c r="CL213" s="194"/>
      <c r="CM213" s="197"/>
      <c r="CN213" s="193"/>
      <c r="CO213" s="193"/>
      <c r="CP213" s="193"/>
      <c r="CQ213" s="193"/>
      <c r="CR213" s="193"/>
      <c r="CS213" s="193"/>
      <c r="CT213" s="193"/>
      <c r="CU213" s="193"/>
      <c r="DE213" s="187">
        <f>DE98</f>
        <v>39673</v>
      </c>
      <c r="DF213" s="185">
        <f t="shared" ref="DF213:EJ213" si="370">AVERAGE(DF98:DF107)</f>
        <v>0</v>
      </c>
      <c r="DG213" s="185">
        <f t="shared" si="370"/>
        <v>2.083333333333333</v>
      </c>
      <c r="DH213" s="185">
        <f t="shared" si="370"/>
        <v>14.0625</v>
      </c>
      <c r="DI213" s="185">
        <f t="shared" si="370"/>
        <v>35.358796296296298</v>
      </c>
      <c r="DJ213" s="185">
        <f t="shared" si="370"/>
        <v>46.469907407407405</v>
      </c>
      <c r="DK213" s="185">
        <f t="shared" ref="DK213:DQ213" si="371">AVERAGE(DK98:DK107)</f>
        <v>33.391203703703709</v>
      </c>
      <c r="DL213" s="185">
        <f t="shared" si="371"/>
        <v>21.412037037037038</v>
      </c>
      <c r="DM213" s="185">
        <f t="shared" si="371"/>
        <v>10.763888888888889</v>
      </c>
      <c r="DN213" s="185">
        <f t="shared" si="371"/>
        <v>0</v>
      </c>
      <c r="DO213" s="185">
        <f t="shared" si="371"/>
        <v>0</v>
      </c>
      <c r="DP213" s="185">
        <f t="shared" si="371"/>
        <v>0</v>
      </c>
      <c r="DQ213" s="185">
        <f t="shared" si="371"/>
        <v>0</v>
      </c>
      <c r="DR213" s="185">
        <f t="shared" si="370"/>
        <v>0</v>
      </c>
      <c r="DS213" s="185">
        <f t="shared" si="370"/>
        <v>0</v>
      </c>
      <c r="DT213" s="185">
        <f t="shared" si="370"/>
        <v>0</v>
      </c>
      <c r="DU213" s="185">
        <f t="shared" si="370"/>
        <v>0</v>
      </c>
      <c r="DV213" s="185">
        <f t="shared" si="370"/>
        <v>0</v>
      </c>
      <c r="DW213" s="185">
        <f t="shared" si="370"/>
        <v>0</v>
      </c>
      <c r="DX213" s="185">
        <f t="shared" si="370"/>
        <v>0</v>
      </c>
      <c r="DY213" s="185">
        <f t="shared" si="370"/>
        <v>0</v>
      </c>
      <c r="DZ213" s="185">
        <f t="shared" si="370"/>
        <v>0</v>
      </c>
      <c r="EA213" s="185">
        <f t="shared" si="370"/>
        <v>0</v>
      </c>
      <c r="EB213" s="185">
        <f t="shared" si="370"/>
        <v>0</v>
      </c>
      <c r="EC213" s="185">
        <f t="shared" si="370"/>
        <v>0</v>
      </c>
      <c r="ED213" s="185">
        <f t="shared" si="370"/>
        <v>0</v>
      </c>
      <c r="EE213" s="185">
        <f t="shared" si="370"/>
        <v>0</v>
      </c>
      <c r="EF213" s="185">
        <f t="shared" si="370"/>
        <v>0</v>
      </c>
      <c r="EG213" s="185">
        <f t="shared" si="370"/>
        <v>0</v>
      </c>
      <c r="EH213" s="185">
        <f t="shared" si="370"/>
        <v>0</v>
      </c>
      <c r="EI213" s="185">
        <f t="shared" si="370"/>
        <v>0</v>
      </c>
      <c r="EJ213" s="185">
        <f t="shared" si="370"/>
        <v>0</v>
      </c>
      <c r="FY213" s="210">
        <v>208</v>
      </c>
      <c r="FZ213">
        <v>33.131227799410929</v>
      </c>
      <c r="GA213">
        <v>39.770666758914068</v>
      </c>
      <c r="GB213">
        <v>2.0734212873649547</v>
      </c>
      <c r="GC213">
        <v>0.98275118340497758</v>
      </c>
      <c r="GD213">
        <v>0.59611649899121821</v>
      </c>
      <c r="GE213">
        <v>3.5495990459701487</v>
      </c>
      <c r="GF213">
        <v>11.770309499556213</v>
      </c>
      <c r="GG213">
        <v>11.607607501031186</v>
      </c>
      <c r="GH213">
        <v>9.8083502234934805</v>
      </c>
      <c r="GI213">
        <v>9.4348181634473871</v>
      </c>
      <c r="GJ213"/>
      <c r="GK213"/>
      <c r="GL213"/>
      <c r="GM213"/>
    </row>
    <row r="214" spans="1:195" s="7" customFormat="1">
      <c r="A214" s="4"/>
      <c r="B214" s="4"/>
      <c r="C214" s="4"/>
      <c r="D214" s="4"/>
      <c r="E214" s="4"/>
      <c r="F214" s="28"/>
      <c r="G214" s="28"/>
      <c r="H214" s="83"/>
      <c r="I214" s="4"/>
      <c r="J214" s="4"/>
      <c r="K214" s="4"/>
      <c r="L214" s="4"/>
      <c r="M214" s="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>
        <v>3.0028000000000028</v>
      </c>
      <c r="AM214" s="43">
        <v>198</v>
      </c>
      <c r="AN214">
        <v>113.99837145609379</v>
      </c>
      <c r="AO214">
        <v>10.770108800610524</v>
      </c>
      <c r="AP214">
        <v>109.70843339306661</v>
      </c>
      <c r="AQ214">
        <v>92.708021448022009</v>
      </c>
      <c r="AR214">
        <v>10.341243674901444</v>
      </c>
      <c r="AS214">
        <v>168.95800882664452</v>
      </c>
      <c r="AT214">
        <v>6.2010545246905622</v>
      </c>
      <c r="AU214">
        <v>24.074291483874774</v>
      </c>
      <c r="AV214"/>
      <c r="AW214"/>
      <c r="BA214" s="195"/>
      <c r="BB214" s="193"/>
      <c r="BC214" s="193"/>
      <c r="BD214" s="193"/>
      <c r="BE214" s="193"/>
      <c r="BF214" s="193"/>
      <c r="BG214" s="193"/>
      <c r="BH214" s="193"/>
      <c r="BI214" s="193"/>
      <c r="BJ214" s="193"/>
      <c r="BK214" s="193"/>
      <c r="BL214" s="193"/>
      <c r="BM214" s="193"/>
      <c r="BN214" s="193"/>
      <c r="BO214" s="193"/>
      <c r="BP214" s="193"/>
      <c r="BQ214" s="193"/>
      <c r="BR214" s="193"/>
      <c r="BS214" s="193"/>
      <c r="BT214" s="193"/>
      <c r="BU214" s="193"/>
      <c r="BV214" s="193"/>
      <c r="BW214" s="193"/>
      <c r="BX214" s="193"/>
      <c r="BY214" s="193"/>
      <c r="BZ214" s="193"/>
      <c r="CA214" s="193"/>
      <c r="CB214" s="193"/>
      <c r="CC214" s="193"/>
      <c r="CD214" s="193"/>
      <c r="CE214" s="193"/>
      <c r="CF214" s="193"/>
      <c r="CG214" s="194"/>
      <c r="CH214" s="194"/>
      <c r="CI214" s="194"/>
      <c r="CJ214" s="194"/>
      <c r="CK214" s="194"/>
      <c r="CL214" s="194"/>
      <c r="CM214" s="197"/>
      <c r="CN214" s="193"/>
      <c r="CO214" s="193"/>
      <c r="CP214" s="193"/>
      <c r="CQ214" s="193"/>
      <c r="CR214" s="193"/>
      <c r="CS214" s="193"/>
      <c r="CT214" s="193"/>
      <c r="CU214" s="193"/>
      <c r="DE214" s="187">
        <f>DE108</f>
        <v>39714</v>
      </c>
      <c r="DF214" s="182">
        <f t="shared" ref="DF214:EJ214" si="372">AVERAGE(DF108:DF117)</f>
        <v>0</v>
      </c>
      <c r="DG214" s="182">
        <f t="shared" si="372"/>
        <v>0</v>
      </c>
      <c r="DH214" s="182">
        <f t="shared" si="372"/>
        <v>8.928571428571427</v>
      </c>
      <c r="DI214" s="182">
        <f t="shared" si="372"/>
        <v>0</v>
      </c>
      <c r="DJ214" s="182">
        <f t="shared" si="372"/>
        <v>0</v>
      </c>
      <c r="DK214" s="182">
        <f t="shared" si="372"/>
        <v>1.0416666666666665</v>
      </c>
      <c r="DL214" s="182">
        <f t="shared" si="372"/>
        <v>3.125</v>
      </c>
      <c r="DM214" s="182">
        <f t="shared" si="372"/>
        <v>2.083333333333333</v>
      </c>
      <c r="DN214" s="182">
        <f t="shared" si="372"/>
        <v>0</v>
      </c>
      <c r="DO214" s="182">
        <f t="shared" si="372"/>
        <v>0</v>
      </c>
      <c r="DP214" s="182">
        <f t="shared" si="372"/>
        <v>0</v>
      </c>
      <c r="DQ214" s="182">
        <f t="shared" si="372"/>
        <v>0</v>
      </c>
      <c r="DR214" s="182">
        <f t="shared" si="372"/>
        <v>0</v>
      </c>
      <c r="DS214" s="182">
        <f t="shared" si="372"/>
        <v>0</v>
      </c>
      <c r="DT214" s="182">
        <f t="shared" si="372"/>
        <v>0</v>
      </c>
      <c r="DU214" s="182">
        <f t="shared" si="372"/>
        <v>0</v>
      </c>
      <c r="DV214" s="182">
        <f t="shared" si="372"/>
        <v>0</v>
      </c>
      <c r="DW214" s="182">
        <f t="shared" si="372"/>
        <v>0</v>
      </c>
      <c r="DX214" s="182">
        <f t="shared" si="372"/>
        <v>0</v>
      </c>
      <c r="DY214" s="182">
        <f t="shared" si="372"/>
        <v>0</v>
      </c>
      <c r="DZ214" s="182">
        <f t="shared" si="372"/>
        <v>0</v>
      </c>
      <c r="EA214" s="182">
        <f t="shared" si="372"/>
        <v>0</v>
      </c>
      <c r="EB214" s="182">
        <f t="shared" si="372"/>
        <v>0</v>
      </c>
      <c r="EC214" s="182">
        <f t="shared" si="372"/>
        <v>0</v>
      </c>
      <c r="ED214" s="182">
        <f t="shared" si="372"/>
        <v>0</v>
      </c>
      <c r="EE214" s="182">
        <f t="shared" si="372"/>
        <v>0</v>
      </c>
      <c r="EF214" s="182">
        <f t="shared" si="372"/>
        <v>0</v>
      </c>
      <c r="EG214" s="182">
        <f t="shared" si="372"/>
        <v>0</v>
      </c>
      <c r="EH214" s="182">
        <f t="shared" si="372"/>
        <v>0</v>
      </c>
      <c r="EI214" s="182">
        <f t="shared" si="372"/>
        <v>0</v>
      </c>
      <c r="EJ214" s="182">
        <f t="shared" si="372"/>
        <v>0</v>
      </c>
      <c r="FY214" s="210">
        <v>209</v>
      </c>
      <c r="FZ214">
        <v>12.751050792857518</v>
      </c>
      <c r="GA214">
        <v>16.672893436646074</v>
      </c>
      <c r="GB214">
        <v>5.5410759214477077</v>
      </c>
      <c r="GC214">
        <v>2.2989611240400607</v>
      </c>
      <c r="GD214">
        <v>1.1111737523984562</v>
      </c>
      <c r="GE214">
        <v>4.472278705897569</v>
      </c>
      <c r="GF214">
        <v>6.454684064545007</v>
      </c>
      <c r="GG214">
        <v>6.1403782220811571</v>
      </c>
      <c r="GH214">
        <v>7.4110541614039942</v>
      </c>
      <c r="GI214">
        <v>6.2342163319504174</v>
      </c>
      <c r="GJ214"/>
      <c r="GK214"/>
      <c r="GL214"/>
      <c r="GM214"/>
    </row>
    <row r="215" spans="1:195" s="7" customFormat="1">
      <c r="A215" s="4"/>
      <c r="B215" s="4"/>
      <c r="C215" s="4"/>
      <c r="D215" s="4"/>
      <c r="E215" s="4"/>
      <c r="F215" s="28"/>
      <c r="G215" s="28"/>
      <c r="H215" s="83"/>
      <c r="I215" s="4"/>
      <c r="J215" s="4"/>
      <c r="K215" s="4"/>
      <c r="L215" s="4"/>
      <c r="M215" s="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>
        <v>3.0028000000000028</v>
      </c>
      <c r="AM215" s="43">
        <v>199</v>
      </c>
      <c r="AN215">
        <v>126.85795901453064</v>
      </c>
      <c r="AO215">
        <v>14.422805124823039</v>
      </c>
      <c r="AP215">
        <v>152.16369044718689</v>
      </c>
      <c r="AQ215">
        <v>131.47748378551131</v>
      </c>
      <c r="AR215">
        <v>13.659106329842203</v>
      </c>
      <c r="AS215">
        <v>200.06392878030709</v>
      </c>
      <c r="AT215">
        <v>8.1184190520881199</v>
      </c>
      <c r="AU215">
        <v>5.9972215816457801</v>
      </c>
      <c r="AV215"/>
      <c r="AW215"/>
      <c r="BA215" s="195"/>
      <c r="BB215" s="193"/>
      <c r="BC215" s="193"/>
      <c r="BD215" s="193"/>
      <c r="BE215" s="193"/>
      <c r="BF215" s="193"/>
      <c r="BG215" s="193"/>
      <c r="BH215" s="193"/>
      <c r="BI215" s="193"/>
      <c r="BJ215" s="193"/>
      <c r="BK215" s="193"/>
      <c r="BL215" s="193"/>
      <c r="BM215" s="193"/>
      <c r="BN215" s="193"/>
      <c r="BO215" s="193"/>
      <c r="BP215" s="193"/>
      <c r="BQ215" s="193"/>
      <c r="BR215" s="193"/>
      <c r="BS215" s="193"/>
      <c r="BT215" s="193"/>
      <c r="BU215" s="193"/>
      <c r="BV215" s="193"/>
      <c r="BW215" s="193"/>
      <c r="BX215" s="193"/>
      <c r="BY215" s="193"/>
      <c r="BZ215" s="193"/>
      <c r="CA215" s="193"/>
      <c r="CB215" s="193"/>
      <c r="CC215" s="193"/>
      <c r="CD215" s="193"/>
      <c r="CE215" s="193"/>
      <c r="CF215" s="193"/>
      <c r="CG215" s="194"/>
      <c r="CH215" s="194"/>
      <c r="CI215" s="194"/>
      <c r="CJ215" s="194"/>
      <c r="CK215" s="194"/>
      <c r="CL215" s="194"/>
      <c r="CM215" s="197"/>
      <c r="CN215" s="193"/>
      <c r="CO215" s="193"/>
      <c r="CP215" s="193"/>
      <c r="CQ215" s="193"/>
      <c r="CR215" s="193"/>
      <c r="CS215" s="193"/>
      <c r="CT215" s="193"/>
      <c r="CU215" s="193"/>
      <c r="DE215" s="187">
        <f>DE118</f>
        <v>39747</v>
      </c>
      <c r="DF215" s="182">
        <f t="shared" ref="DF215:EJ215" si="373">AVERAGE(DF118:DF127)</f>
        <v>0</v>
      </c>
      <c r="DG215" s="182">
        <f t="shared" ref="DG215:DH215" si="374">AVERAGE(DG118:DG127)</f>
        <v>0</v>
      </c>
      <c r="DH215" s="182">
        <f t="shared" si="374"/>
        <v>64.70697944297082</v>
      </c>
      <c r="DI215" s="182">
        <f t="shared" si="373"/>
        <v>28.475333451941946</v>
      </c>
      <c r="DJ215" s="182">
        <f t="shared" si="373"/>
        <v>6.510416666666667</v>
      </c>
      <c r="DK215" s="182">
        <f t="shared" si="373"/>
        <v>0</v>
      </c>
      <c r="DL215" s="182">
        <f t="shared" si="373"/>
        <v>0</v>
      </c>
      <c r="DM215" s="182">
        <f t="shared" si="373"/>
        <v>0</v>
      </c>
      <c r="DN215" s="182">
        <f t="shared" si="373"/>
        <v>0</v>
      </c>
      <c r="DO215" s="182">
        <f t="shared" si="373"/>
        <v>0</v>
      </c>
      <c r="DP215" s="182">
        <f t="shared" si="373"/>
        <v>0</v>
      </c>
      <c r="DQ215" s="182">
        <f t="shared" si="373"/>
        <v>0</v>
      </c>
      <c r="DR215" s="182">
        <f t="shared" si="373"/>
        <v>0</v>
      </c>
      <c r="DS215" s="182">
        <f t="shared" si="373"/>
        <v>0</v>
      </c>
      <c r="DT215" s="182">
        <f t="shared" si="373"/>
        <v>0</v>
      </c>
      <c r="DU215" s="182">
        <f t="shared" si="373"/>
        <v>0</v>
      </c>
      <c r="DV215" s="182">
        <f t="shared" si="373"/>
        <v>0</v>
      </c>
      <c r="DW215" s="182">
        <f t="shared" si="373"/>
        <v>0</v>
      </c>
      <c r="DX215" s="182">
        <f t="shared" si="373"/>
        <v>0</v>
      </c>
      <c r="DY215" s="182">
        <f t="shared" si="373"/>
        <v>0</v>
      </c>
      <c r="DZ215" s="182">
        <f t="shared" si="373"/>
        <v>0</v>
      </c>
      <c r="EA215" s="182">
        <f t="shared" si="373"/>
        <v>0</v>
      </c>
      <c r="EB215" s="182">
        <f t="shared" si="373"/>
        <v>0</v>
      </c>
      <c r="EC215" s="182">
        <f t="shared" si="373"/>
        <v>0</v>
      </c>
      <c r="ED215" s="182">
        <f t="shared" si="373"/>
        <v>0</v>
      </c>
      <c r="EE215" s="182">
        <f t="shared" si="373"/>
        <v>0</v>
      </c>
      <c r="EF215" s="182">
        <f t="shared" si="373"/>
        <v>0</v>
      </c>
      <c r="EG215" s="182">
        <f t="shared" si="373"/>
        <v>0</v>
      </c>
      <c r="EH215" s="182">
        <f t="shared" si="373"/>
        <v>0</v>
      </c>
      <c r="EI215" s="182">
        <f t="shared" si="373"/>
        <v>0</v>
      </c>
      <c r="EJ215" s="182">
        <f t="shared" si="373"/>
        <v>0</v>
      </c>
      <c r="FY215" s="210">
        <v>210</v>
      </c>
      <c r="FZ215">
        <v>1.9536389231305027</v>
      </c>
      <c r="GA215">
        <v>1.2824594859218614</v>
      </c>
      <c r="GB215">
        <v>1.8293518233339439</v>
      </c>
      <c r="GC215">
        <v>1.1211470475842966</v>
      </c>
      <c r="GD215">
        <v>0.62091932717903198</v>
      </c>
      <c r="GE215">
        <v>1.0181145176380717</v>
      </c>
      <c r="GF215">
        <v>8.9506998551597334</v>
      </c>
      <c r="GG215">
        <v>14.51662969594997</v>
      </c>
      <c r="GH215">
        <v>12.58529198143523</v>
      </c>
      <c r="GI215">
        <v>4.7077070214527827</v>
      </c>
      <c r="GJ215"/>
      <c r="GK215"/>
      <c r="GL215"/>
      <c r="GM215"/>
    </row>
    <row r="216" spans="1:195" s="7" customFormat="1">
      <c r="A216" s="4"/>
      <c r="B216" s="4"/>
      <c r="C216" s="4"/>
      <c r="D216" s="4"/>
      <c r="E216" s="4"/>
      <c r="F216" s="28"/>
      <c r="G216" s="28"/>
      <c r="H216" s="83"/>
      <c r="I216" s="4"/>
      <c r="J216" s="4"/>
      <c r="K216" s="4"/>
      <c r="L216" s="4"/>
      <c r="M216" s="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>
        <v>3.0028000000000028</v>
      </c>
      <c r="AM216" s="43">
        <v>200</v>
      </c>
      <c r="AN216">
        <v>79.515305361299923</v>
      </c>
      <c r="AO216">
        <v>5.9559558706812137</v>
      </c>
      <c r="AP216">
        <v>57.707688427600623</v>
      </c>
      <c r="AQ216">
        <v>45.207610381369904</v>
      </c>
      <c r="AR216">
        <v>5.9940241098861531</v>
      </c>
      <c r="AS216">
        <v>107.08984048132716</v>
      </c>
      <c r="AT216">
        <v>3.3866453749069598</v>
      </c>
      <c r="AU216">
        <v>5.6948569722726843</v>
      </c>
      <c r="AV216"/>
      <c r="AW216"/>
      <c r="BA216" s="195"/>
      <c r="BB216" s="193"/>
      <c r="BC216" s="193"/>
      <c r="BD216" s="193"/>
      <c r="BE216" s="193"/>
      <c r="BF216" s="193"/>
      <c r="BG216" s="193"/>
      <c r="BH216" s="193"/>
      <c r="BI216" s="193"/>
      <c r="BJ216" s="193"/>
      <c r="BK216" s="193"/>
      <c r="BL216" s="193"/>
      <c r="BM216" s="193"/>
      <c r="BN216" s="193"/>
      <c r="BO216" s="193"/>
      <c r="BP216" s="193"/>
      <c r="BQ216" s="193"/>
      <c r="BR216" s="193"/>
      <c r="BS216" s="193"/>
      <c r="BT216" s="193"/>
      <c r="BU216" s="193"/>
      <c r="BV216" s="193"/>
      <c r="BW216" s="193"/>
      <c r="BX216" s="193"/>
      <c r="BY216" s="193"/>
      <c r="BZ216" s="193"/>
      <c r="CA216" s="193"/>
      <c r="CB216" s="193"/>
      <c r="CC216" s="193"/>
      <c r="CD216" s="193"/>
      <c r="CE216" s="193"/>
      <c r="CF216" s="193"/>
      <c r="CG216" s="194"/>
      <c r="CH216" s="194"/>
      <c r="CI216" s="194"/>
      <c r="CJ216" s="194"/>
      <c r="CK216" s="194"/>
      <c r="CL216" s="194"/>
      <c r="CM216" s="197"/>
      <c r="CN216" s="193"/>
      <c r="CO216" s="193"/>
      <c r="CP216" s="193"/>
      <c r="CQ216" s="193"/>
      <c r="CR216" s="193"/>
      <c r="CS216" s="193"/>
      <c r="CT216" s="193"/>
      <c r="CU216" s="193"/>
      <c r="DE216" s="187">
        <f>DE128</f>
        <v>39775</v>
      </c>
      <c r="DF216" s="182">
        <f t="shared" ref="DF216:EJ216" si="375">AVERAGE(DF128:DF137)</f>
        <v>0</v>
      </c>
      <c r="DG216" s="182">
        <f t="shared" ref="DG216:DH216" si="376">AVERAGE(DG128:DG137)</f>
        <v>8.3333333333333321</v>
      </c>
      <c r="DH216" s="182">
        <f t="shared" si="376"/>
        <v>51.092171717171716</v>
      </c>
      <c r="DI216" s="182">
        <f t="shared" si="375"/>
        <v>8.7962962962962976</v>
      </c>
      <c r="DJ216" s="182">
        <f t="shared" si="375"/>
        <v>0</v>
      </c>
      <c r="DK216" s="182">
        <f t="shared" si="375"/>
        <v>0</v>
      </c>
      <c r="DL216" s="182">
        <f t="shared" si="375"/>
        <v>0</v>
      </c>
      <c r="DM216" s="182">
        <f t="shared" si="375"/>
        <v>0</v>
      </c>
      <c r="DN216" s="182">
        <f t="shared" si="375"/>
        <v>0</v>
      </c>
      <c r="DO216" s="182">
        <f t="shared" si="375"/>
        <v>0</v>
      </c>
      <c r="DP216" s="182">
        <f t="shared" si="375"/>
        <v>0</v>
      </c>
      <c r="DQ216" s="182">
        <f t="shared" si="375"/>
        <v>0</v>
      </c>
      <c r="DR216" s="182">
        <f t="shared" si="375"/>
        <v>0</v>
      </c>
      <c r="DS216" s="182">
        <f t="shared" si="375"/>
        <v>0</v>
      </c>
      <c r="DT216" s="182">
        <f t="shared" si="375"/>
        <v>0</v>
      </c>
      <c r="DU216" s="182">
        <f t="shared" si="375"/>
        <v>0</v>
      </c>
      <c r="DV216" s="182">
        <f t="shared" si="375"/>
        <v>0</v>
      </c>
      <c r="DW216" s="182">
        <f t="shared" si="375"/>
        <v>0</v>
      </c>
      <c r="DX216" s="182">
        <f t="shared" si="375"/>
        <v>0</v>
      </c>
      <c r="DY216" s="182">
        <f t="shared" si="375"/>
        <v>0</v>
      </c>
      <c r="DZ216" s="182">
        <f t="shared" si="375"/>
        <v>0</v>
      </c>
      <c r="EA216" s="182">
        <f t="shared" si="375"/>
        <v>0</v>
      </c>
      <c r="EB216" s="182">
        <f t="shared" si="375"/>
        <v>0</v>
      </c>
      <c r="EC216" s="182">
        <f t="shared" si="375"/>
        <v>0</v>
      </c>
      <c r="ED216" s="182">
        <f t="shared" si="375"/>
        <v>0</v>
      </c>
      <c r="EE216" s="182">
        <f t="shared" si="375"/>
        <v>0</v>
      </c>
      <c r="EF216" s="182">
        <f t="shared" si="375"/>
        <v>0</v>
      </c>
      <c r="EG216" s="182">
        <f t="shared" si="375"/>
        <v>0</v>
      </c>
      <c r="EH216" s="182">
        <f t="shared" si="375"/>
        <v>0</v>
      </c>
      <c r="EI216" s="182">
        <f t="shared" si="375"/>
        <v>0</v>
      </c>
      <c r="EJ216" s="182">
        <f t="shared" si="375"/>
        <v>0</v>
      </c>
      <c r="FY216" s="210">
        <v>211</v>
      </c>
      <c r="FZ216">
        <v>13.329571886950461</v>
      </c>
      <c r="GA216">
        <v>17.336146170226289</v>
      </c>
      <c r="GB216">
        <v>3.626753281206895</v>
      </c>
      <c r="GC216">
        <v>1.2671214526853045</v>
      </c>
      <c r="GD216">
        <v>0.91661097669657821</v>
      </c>
      <c r="GE216">
        <v>2.0275432044380532</v>
      </c>
      <c r="GF216">
        <v>3.3216401276704608</v>
      </c>
      <c r="GG216">
        <v>3.1381489817286603</v>
      </c>
      <c r="GH216">
        <v>4.6773349342685213</v>
      </c>
      <c r="GI216">
        <v>4.7484775908629837</v>
      </c>
      <c r="GJ216"/>
      <c r="GK216"/>
      <c r="GL216"/>
      <c r="GM216"/>
    </row>
    <row r="217" spans="1:195" s="7" customFormat="1">
      <c r="A217" s="4"/>
      <c r="B217" s="4"/>
      <c r="C217" s="84"/>
      <c r="D217" s="85"/>
      <c r="E217" s="85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>
        <v>3.0028000000000028</v>
      </c>
      <c r="AM217" s="43">
        <v>201</v>
      </c>
      <c r="AN217">
        <v>135.99662080529592</v>
      </c>
      <c r="AO217">
        <v>14.313523629411254</v>
      </c>
      <c r="AP217">
        <v>145.49850094317412</v>
      </c>
      <c r="AQ217">
        <v>123.41563412894169</v>
      </c>
      <c r="AR217">
        <v>13.457340189570113</v>
      </c>
      <c r="AS217">
        <v>198.18491550278051</v>
      </c>
      <c r="AT217">
        <v>8.677292719421585</v>
      </c>
      <c r="AU217">
        <v>33.365376575716361</v>
      </c>
      <c r="AV217"/>
      <c r="AW217"/>
      <c r="BA217" s="195"/>
      <c r="BB217" s="193"/>
      <c r="BC217" s="193"/>
      <c r="BD217" s="193"/>
      <c r="BE217" s="193"/>
      <c r="BF217" s="193"/>
      <c r="BG217" s="193"/>
      <c r="BH217" s="193"/>
      <c r="BI217" s="193"/>
      <c r="BJ217" s="193"/>
      <c r="BK217" s="193"/>
      <c r="BL217" s="193"/>
      <c r="BM217" s="193"/>
      <c r="BN217" s="193"/>
      <c r="BO217" s="193"/>
      <c r="BP217" s="193"/>
      <c r="BQ217" s="193"/>
      <c r="BR217" s="193"/>
      <c r="BS217" s="193"/>
      <c r="BT217" s="193"/>
      <c r="BU217" s="193"/>
      <c r="BV217" s="193"/>
      <c r="BW217" s="193"/>
      <c r="BX217" s="193"/>
      <c r="BY217" s="193"/>
      <c r="BZ217" s="193"/>
      <c r="CA217" s="193"/>
      <c r="CB217" s="193"/>
      <c r="CC217" s="193"/>
      <c r="CD217" s="193"/>
      <c r="CE217" s="193"/>
      <c r="CF217" s="193"/>
      <c r="CG217" s="194"/>
      <c r="CH217" s="194"/>
      <c r="CI217" s="194"/>
      <c r="CJ217" s="194"/>
      <c r="CK217" s="194"/>
      <c r="CL217" s="194"/>
      <c r="CM217" s="197"/>
      <c r="CN217" s="193"/>
      <c r="CO217" s="193"/>
      <c r="CP217" s="193"/>
      <c r="CQ217" s="193"/>
      <c r="CR217" s="193"/>
      <c r="CS217" s="193"/>
      <c r="CT217" s="193"/>
      <c r="CU217" s="193"/>
      <c r="DE217" s="187">
        <f>DE138</f>
        <v>39799</v>
      </c>
      <c r="DF217" s="182">
        <f t="shared" ref="DF217:EJ217" si="377">AVERAGE(DF138:DF147)</f>
        <v>0</v>
      </c>
      <c r="DG217" s="182">
        <f t="shared" ref="DG217:DH217" si="378">AVERAGE(DG138:DG147)</f>
        <v>29.24465240641711</v>
      </c>
      <c r="DH217" s="182">
        <f t="shared" si="378"/>
        <v>9.375</v>
      </c>
      <c r="DI217" s="182">
        <f t="shared" si="377"/>
        <v>28.819444444444446</v>
      </c>
      <c r="DJ217" s="182">
        <f t="shared" si="377"/>
        <v>3.125</v>
      </c>
      <c r="DK217" s="182">
        <f t="shared" si="377"/>
        <v>1.0416666666666665</v>
      </c>
      <c r="DL217" s="182">
        <f t="shared" si="377"/>
        <v>1.0416666666666665</v>
      </c>
      <c r="DM217" s="182">
        <f t="shared" si="377"/>
        <v>1.0416666666666665</v>
      </c>
      <c r="DN217" s="182">
        <f t="shared" si="377"/>
        <v>0</v>
      </c>
      <c r="DO217" s="182">
        <f t="shared" si="377"/>
        <v>0</v>
      </c>
      <c r="DP217" s="182">
        <f t="shared" si="377"/>
        <v>0</v>
      </c>
      <c r="DQ217" s="182">
        <f t="shared" si="377"/>
        <v>0</v>
      </c>
      <c r="DR217" s="182">
        <f t="shared" si="377"/>
        <v>0</v>
      </c>
      <c r="DS217" s="182">
        <f t="shared" si="377"/>
        <v>0</v>
      </c>
      <c r="DT217" s="182">
        <f t="shared" si="377"/>
        <v>0</v>
      </c>
      <c r="DU217" s="182">
        <f t="shared" si="377"/>
        <v>0</v>
      </c>
      <c r="DV217" s="182">
        <f t="shared" si="377"/>
        <v>0</v>
      </c>
      <c r="DW217" s="182">
        <f t="shared" si="377"/>
        <v>0</v>
      </c>
      <c r="DX217" s="182">
        <f t="shared" si="377"/>
        <v>0</v>
      </c>
      <c r="DY217" s="182">
        <f t="shared" si="377"/>
        <v>0</v>
      </c>
      <c r="DZ217" s="182">
        <f t="shared" si="377"/>
        <v>0</v>
      </c>
      <c r="EA217" s="182">
        <f t="shared" si="377"/>
        <v>0</v>
      </c>
      <c r="EB217" s="182">
        <f t="shared" si="377"/>
        <v>0</v>
      </c>
      <c r="EC217" s="182">
        <f t="shared" si="377"/>
        <v>0</v>
      </c>
      <c r="ED217" s="182">
        <f t="shared" si="377"/>
        <v>0</v>
      </c>
      <c r="EE217" s="182">
        <f t="shared" si="377"/>
        <v>0</v>
      </c>
      <c r="EF217" s="182">
        <f t="shared" si="377"/>
        <v>0</v>
      </c>
      <c r="EG217" s="182">
        <f t="shared" si="377"/>
        <v>0</v>
      </c>
      <c r="EH217" s="182">
        <f t="shared" si="377"/>
        <v>0</v>
      </c>
      <c r="EI217" s="182">
        <f t="shared" si="377"/>
        <v>0</v>
      </c>
      <c r="EJ217" s="182">
        <f t="shared" si="377"/>
        <v>0</v>
      </c>
      <c r="FY217" s="210">
        <v>212</v>
      </c>
      <c r="FZ217">
        <v>23.595981862896025</v>
      </c>
      <c r="GA217">
        <v>28.981195852831718</v>
      </c>
      <c r="GB217">
        <v>5.1812399033752392</v>
      </c>
      <c r="GC217">
        <v>2.3844383470790218</v>
      </c>
      <c r="GD217">
        <v>1.2040145239072753</v>
      </c>
      <c r="GE217">
        <v>3.5193100973026561</v>
      </c>
      <c r="GF217">
        <v>8.0093238348065618</v>
      </c>
      <c r="GG217">
        <v>6.4858970762509713</v>
      </c>
      <c r="GH217">
        <v>6.2402506893842835</v>
      </c>
      <c r="GI217">
        <v>7.902150208480915</v>
      </c>
      <c r="GJ217"/>
      <c r="GK217"/>
      <c r="GL217"/>
      <c r="GM217"/>
    </row>
    <row r="218" spans="1:195" s="7" customFormat="1">
      <c r="A218" s="4"/>
      <c r="B218" s="4"/>
      <c r="C218" s="84"/>
      <c r="D218" s="85"/>
      <c r="E218" s="85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>
        <v>3.0028000000000028</v>
      </c>
      <c r="AM218" s="43">
        <v>202</v>
      </c>
      <c r="AN218">
        <v>154.16443971393045</v>
      </c>
      <c r="AO218">
        <v>18.648917089861655</v>
      </c>
      <c r="AP218">
        <v>198.58055459153277</v>
      </c>
      <c r="AQ218">
        <v>171.10306632989841</v>
      </c>
      <c r="AR218">
        <v>17.857820000569081</v>
      </c>
      <c r="AS218">
        <v>268.30028026586399</v>
      </c>
      <c r="AT218">
        <v>10.914093716473104</v>
      </c>
      <c r="AU218">
        <v>94.624111702146436</v>
      </c>
      <c r="AV218"/>
      <c r="AW218"/>
      <c r="BA218" s="195"/>
      <c r="BB218" s="193"/>
      <c r="BC218" s="193"/>
      <c r="BD218" s="193"/>
      <c r="BE218" s="193"/>
      <c r="BF218" s="193"/>
      <c r="BG218" s="193"/>
      <c r="BH218" s="193"/>
      <c r="BI218" s="193"/>
      <c r="BJ218" s="193"/>
      <c r="BK218" s="193"/>
      <c r="BL218" s="193"/>
      <c r="BM218" s="193"/>
      <c r="BN218" s="193"/>
      <c r="BO218" s="193"/>
      <c r="BP218" s="193"/>
      <c r="BQ218" s="193"/>
      <c r="BR218" s="193"/>
      <c r="BS218" s="193"/>
      <c r="BT218" s="193"/>
      <c r="BU218" s="193"/>
      <c r="BV218" s="193"/>
      <c r="BW218" s="193"/>
      <c r="BX218" s="193"/>
      <c r="BY218" s="193"/>
      <c r="BZ218" s="193"/>
      <c r="CA218" s="193"/>
      <c r="CB218" s="193"/>
      <c r="CC218" s="193"/>
      <c r="CD218" s="193"/>
      <c r="CE218" s="193"/>
      <c r="CF218" s="193"/>
      <c r="CG218" s="194"/>
      <c r="CH218" s="194"/>
      <c r="CI218" s="194"/>
      <c r="CJ218" s="194"/>
      <c r="CK218" s="194"/>
      <c r="CL218" s="194"/>
      <c r="CM218" s="197"/>
      <c r="CN218" s="193"/>
      <c r="CO218" s="193"/>
      <c r="CP218" s="193"/>
      <c r="CQ218" s="193"/>
      <c r="CR218" s="193"/>
      <c r="CS218" s="193"/>
      <c r="CT218" s="193"/>
      <c r="CU218" s="193"/>
      <c r="DE218" s="187">
        <f>DE231</f>
        <v>39847</v>
      </c>
      <c r="DF218" s="182">
        <f t="shared" ref="DF218:EJ218" si="379">AVERAGE(DF148:DF157)</f>
        <v>0</v>
      </c>
      <c r="DG218" s="182">
        <f t="shared" ref="DG218:DH218" si="380">AVERAGE(DG148:DG157)</f>
        <v>52.164713541666671</v>
      </c>
      <c r="DH218" s="182">
        <f t="shared" si="380"/>
        <v>81.190321180555557</v>
      </c>
      <c r="DI218" s="182">
        <f t="shared" si="379"/>
        <v>15.543619791666666</v>
      </c>
      <c r="DJ218" s="182">
        <f t="shared" si="379"/>
        <v>2.6041666666666665</v>
      </c>
      <c r="DK218" s="182">
        <f t="shared" si="379"/>
        <v>1.3020833333333333</v>
      </c>
      <c r="DL218" s="182">
        <f t="shared" si="379"/>
        <v>1.3020833333333333</v>
      </c>
      <c r="DM218" s="182">
        <f t="shared" si="379"/>
        <v>0</v>
      </c>
      <c r="DN218" s="182">
        <f t="shared" si="379"/>
        <v>0</v>
      </c>
      <c r="DO218" s="182">
        <f t="shared" si="379"/>
        <v>0</v>
      </c>
      <c r="DP218" s="182">
        <f t="shared" si="379"/>
        <v>0</v>
      </c>
      <c r="DQ218" s="182">
        <f t="shared" si="379"/>
        <v>0</v>
      </c>
      <c r="DR218" s="182">
        <f t="shared" si="379"/>
        <v>0</v>
      </c>
      <c r="DS218" s="182">
        <f t="shared" si="379"/>
        <v>0</v>
      </c>
      <c r="DT218" s="182">
        <f t="shared" si="379"/>
        <v>0</v>
      </c>
      <c r="DU218" s="182">
        <f t="shared" si="379"/>
        <v>0</v>
      </c>
      <c r="DV218" s="182">
        <f t="shared" si="379"/>
        <v>0</v>
      </c>
      <c r="DW218" s="182">
        <f t="shared" si="379"/>
        <v>0</v>
      </c>
      <c r="DX218" s="182">
        <f t="shared" si="379"/>
        <v>0</v>
      </c>
      <c r="DY218" s="182">
        <f t="shared" si="379"/>
        <v>0</v>
      </c>
      <c r="DZ218" s="182">
        <f t="shared" si="379"/>
        <v>0</v>
      </c>
      <c r="EA218" s="182">
        <f t="shared" si="379"/>
        <v>0</v>
      </c>
      <c r="EB218" s="182">
        <f t="shared" si="379"/>
        <v>0</v>
      </c>
      <c r="EC218" s="182">
        <f t="shared" si="379"/>
        <v>0</v>
      </c>
      <c r="ED218" s="182">
        <f t="shared" si="379"/>
        <v>0</v>
      </c>
      <c r="EE218" s="182">
        <f t="shared" si="379"/>
        <v>0</v>
      </c>
      <c r="EF218" s="182">
        <f t="shared" si="379"/>
        <v>0</v>
      </c>
      <c r="EG218" s="182">
        <f t="shared" si="379"/>
        <v>0</v>
      </c>
      <c r="EH218" s="182">
        <f t="shared" si="379"/>
        <v>0</v>
      </c>
      <c r="EI218" s="182">
        <f t="shared" si="379"/>
        <v>0</v>
      </c>
      <c r="EJ218" s="182">
        <f t="shared" si="379"/>
        <v>0</v>
      </c>
      <c r="FY218" s="210">
        <v>213</v>
      </c>
      <c r="FZ218">
        <v>11.670871190229361</v>
      </c>
      <c r="GA218">
        <v>16.795575285381048</v>
      </c>
      <c r="GB218">
        <v>2.2081996338896461</v>
      </c>
      <c r="GC218">
        <v>0.51335373676074203</v>
      </c>
      <c r="GD218">
        <v>0.81307909224314368</v>
      </c>
      <c r="GE218">
        <v>2.5218345452474402</v>
      </c>
      <c r="GF218">
        <v>6.5340521576473636</v>
      </c>
      <c r="GG218">
        <v>5.9763202676253258</v>
      </c>
      <c r="GH218">
        <v>6.5165070553251372</v>
      </c>
      <c r="GI218">
        <v>4.9638163160729176</v>
      </c>
      <c r="GJ218"/>
      <c r="GK218"/>
      <c r="GL218"/>
      <c r="GM218"/>
    </row>
    <row r="219" spans="1:195" s="7" customFormat="1">
      <c r="A219" s="4"/>
      <c r="B219" s="4"/>
      <c r="C219" s="84"/>
      <c r="D219" s="85"/>
      <c r="E219" s="85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>
        <v>3.0028000000000028</v>
      </c>
      <c r="AM219" s="43">
        <v>203</v>
      </c>
      <c r="AN219">
        <v>109.88670051265592</v>
      </c>
      <c r="AO219">
        <v>7.6189280427200732</v>
      </c>
      <c r="AP219">
        <v>75.411809663419945</v>
      </c>
      <c r="AQ219">
        <v>63.167432398309451</v>
      </c>
      <c r="AR219">
        <v>7.7663822507605476</v>
      </c>
      <c r="AS219">
        <v>135.80484481544832</v>
      </c>
      <c r="AT219">
        <v>4.8883727440750615</v>
      </c>
      <c r="AU219">
        <v>3.6699245849138151</v>
      </c>
      <c r="AV219"/>
      <c r="AW219"/>
      <c r="BA219" s="195"/>
      <c r="BB219" s="193"/>
      <c r="BC219" s="193"/>
      <c r="BD219" s="193"/>
      <c r="BE219" s="193"/>
      <c r="BF219" s="193"/>
      <c r="BG219" s="193"/>
      <c r="BH219" s="193"/>
      <c r="BI219" s="193"/>
      <c r="BJ219" s="193"/>
      <c r="BK219" s="193"/>
      <c r="BL219" s="193"/>
      <c r="BM219" s="193"/>
      <c r="BN219" s="193"/>
      <c r="BO219" s="193"/>
      <c r="BP219" s="193"/>
      <c r="BQ219" s="193"/>
      <c r="BR219" s="193"/>
      <c r="BS219" s="193"/>
      <c r="BT219" s="193"/>
      <c r="BU219" s="193"/>
      <c r="BV219" s="193"/>
      <c r="BW219" s="193"/>
      <c r="BX219" s="193"/>
      <c r="BY219" s="193"/>
      <c r="BZ219" s="193"/>
      <c r="CA219" s="193"/>
      <c r="CB219" s="193"/>
      <c r="CC219" s="193"/>
      <c r="CD219" s="193"/>
      <c r="CE219" s="193"/>
      <c r="CF219" s="193"/>
      <c r="CG219" s="194"/>
      <c r="CH219" s="194"/>
      <c r="CI219" s="194"/>
      <c r="CJ219" s="194"/>
      <c r="CK219" s="194"/>
      <c r="CL219" s="194"/>
      <c r="CM219" s="197"/>
      <c r="CN219" s="193"/>
      <c r="CO219" s="193"/>
      <c r="CP219" s="193"/>
      <c r="CQ219" s="193"/>
      <c r="CR219" s="193"/>
      <c r="CS219" s="193"/>
      <c r="CT219" s="193"/>
      <c r="CU219" s="193"/>
      <c r="DE219" s="187">
        <f>DE158</f>
        <v>39910</v>
      </c>
      <c r="DF219" s="182">
        <f t="shared" ref="DF219:EJ219" si="381">AVERAGE(DF158:DF167)</f>
        <v>0</v>
      </c>
      <c r="DG219" s="182">
        <f t="shared" si="381"/>
        <v>0</v>
      </c>
      <c r="DH219" s="182">
        <f t="shared" si="381"/>
        <v>166.95601851851848</v>
      </c>
      <c r="DI219" s="182">
        <f t="shared" ref="DI219" si="382">AVERAGE(DI158:DI167)</f>
        <v>19.097222222222221</v>
      </c>
      <c r="DJ219" s="182">
        <f t="shared" si="381"/>
        <v>30.960648148148145</v>
      </c>
      <c r="DK219" s="182">
        <f t="shared" si="381"/>
        <v>0</v>
      </c>
      <c r="DL219" s="182">
        <f t="shared" si="381"/>
        <v>0</v>
      </c>
      <c r="DM219" s="182">
        <f t="shared" si="381"/>
        <v>0</v>
      </c>
      <c r="DN219" s="182">
        <f t="shared" si="381"/>
        <v>0</v>
      </c>
      <c r="DO219" s="182">
        <f t="shared" si="381"/>
        <v>0</v>
      </c>
      <c r="DP219" s="182">
        <f t="shared" si="381"/>
        <v>0</v>
      </c>
      <c r="DQ219" s="182">
        <f t="shared" si="381"/>
        <v>0</v>
      </c>
      <c r="DR219" s="182">
        <f t="shared" si="381"/>
        <v>0</v>
      </c>
      <c r="DS219" s="182">
        <f t="shared" si="381"/>
        <v>0</v>
      </c>
      <c r="DT219" s="182">
        <f t="shared" si="381"/>
        <v>0</v>
      </c>
      <c r="DU219" s="182">
        <f t="shared" si="381"/>
        <v>0</v>
      </c>
      <c r="DV219" s="182">
        <f t="shared" si="381"/>
        <v>0</v>
      </c>
      <c r="DW219" s="182">
        <f t="shared" si="381"/>
        <v>0</v>
      </c>
      <c r="DX219" s="182">
        <f t="shared" si="381"/>
        <v>0</v>
      </c>
      <c r="DY219" s="182">
        <f t="shared" si="381"/>
        <v>0</v>
      </c>
      <c r="DZ219" s="182">
        <f t="shared" si="381"/>
        <v>0</v>
      </c>
      <c r="EA219" s="182">
        <f t="shared" si="381"/>
        <v>0</v>
      </c>
      <c r="EB219" s="182">
        <f t="shared" si="381"/>
        <v>0</v>
      </c>
      <c r="EC219" s="182">
        <f t="shared" si="381"/>
        <v>0</v>
      </c>
      <c r="ED219" s="182">
        <f t="shared" si="381"/>
        <v>0</v>
      </c>
      <c r="EE219" s="182">
        <f t="shared" si="381"/>
        <v>0</v>
      </c>
      <c r="EF219" s="182">
        <f t="shared" si="381"/>
        <v>0</v>
      </c>
      <c r="EG219" s="182">
        <f t="shared" si="381"/>
        <v>0</v>
      </c>
      <c r="EH219" s="182">
        <f t="shared" si="381"/>
        <v>0</v>
      </c>
      <c r="EI219" s="182">
        <f t="shared" si="381"/>
        <v>0</v>
      </c>
      <c r="EJ219" s="182">
        <f t="shared" si="381"/>
        <v>0</v>
      </c>
      <c r="FY219" s="210">
        <v>214</v>
      </c>
      <c r="FZ219">
        <v>13.139413679255156</v>
      </c>
      <c r="GA219">
        <v>14.973614462496094</v>
      </c>
      <c r="GB219">
        <v>1.7791732860032852</v>
      </c>
      <c r="GC219">
        <v>0.74662027487119131</v>
      </c>
      <c r="GD219">
        <v>1.0501375287005286</v>
      </c>
      <c r="GE219">
        <v>3.0728193882014789</v>
      </c>
      <c r="GF219">
        <v>6.2470147912441734</v>
      </c>
      <c r="GG219">
        <v>8.1949780520253803</v>
      </c>
      <c r="GH219">
        <v>10.17551201892641</v>
      </c>
      <c r="GI219">
        <v>5.7330444914915093</v>
      </c>
      <c r="GJ219"/>
      <c r="GK219"/>
      <c r="GL219"/>
      <c r="GM219"/>
    </row>
    <row r="220" spans="1:195" s="7" customFormat="1">
      <c r="A220" s="4"/>
      <c r="B220" s="4"/>
      <c r="C220" s="84"/>
      <c r="D220" s="85"/>
      <c r="E220" s="85"/>
      <c r="F220" s="74"/>
      <c r="G220" s="74"/>
      <c r="H220" s="74"/>
      <c r="I220" s="74"/>
      <c r="J220" s="74"/>
      <c r="K220" s="74"/>
      <c r="L220" s="74"/>
      <c r="M220" s="86"/>
      <c r="N220" s="74"/>
      <c r="O220" s="74"/>
      <c r="P220" s="74"/>
      <c r="Q220" s="74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>
        <v>3.0028000000000028</v>
      </c>
      <c r="AM220" s="43">
        <v>204</v>
      </c>
      <c r="AN220">
        <v>101.84507277767213</v>
      </c>
      <c r="AO220">
        <v>9.5279420696172767</v>
      </c>
      <c r="AP220">
        <v>98.392735625262475</v>
      </c>
      <c r="AQ220">
        <v>83.702862880747787</v>
      </c>
      <c r="AR220">
        <v>9.2548707422749974</v>
      </c>
      <c r="AS220">
        <v>159.91844914755183</v>
      </c>
      <c r="AT220">
        <v>5.5698073271468145</v>
      </c>
      <c r="AU220">
        <v>63.302281487263272</v>
      </c>
      <c r="AV220"/>
      <c r="AW220"/>
      <c r="BA220" s="195"/>
      <c r="BB220" s="193"/>
      <c r="BC220" s="193"/>
      <c r="BD220" s="193"/>
      <c r="BE220" s="193"/>
      <c r="BF220" s="193"/>
      <c r="BG220" s="193"/>
      <c r="BH220" s="193"/>
      <c r="BI220" s="193"/>
      <c r="BJ220" s="193"/>
      <c r="BK220" s="193"/>
      <c r="BL220" s="193"/>
      <c r="BM220" s="193"/>
      <c r="BN220" s="193"/>
      <c r="BO220" s="193"/>
      <c r="BP220" s="193"/>
      <c r="BQ220" s="193"/>
      <c r="BR220" s="193"/>
      <c r="BS220" s="193"/>
      <c r="BT220" s="193"/>
      <c r="BU220" s="193"/>
      <c r="BV220" s="193"/>
      <c r="BW220" s="193"/>
      <c r="BX220" s="193"/>
      <c r="BY220" s="193"/>
      <c r="BZ220" s="193"/>
      <c r="CA220" s="193"/>
      <c r="CB220" s="193"/>
      <c r="CC220" s="193"/>
      <c r="CD220" s="193"/>
      <c r="CE220" s="193"/>
      <c r="CF220" s="193"/>
      <c r="CG220" s="194"/>
      <c r="CH220" s="194"/>
      <c r="CI220" s="194"/>
      <c r="CJ220" s="194"/>
      <c r="CK220" s="194"/>
      <c r="CL220" s="194"/>
      <c r="CM220" s="197"/>
      <c r="CN220" s="193"/>
      <c r="CO220" s="193"/>
      <c r="CP220" s="193"/>
      <c r="CQ220" s="193"/>
      <c r="CR220" s="193"/>
      <c r="CS220" s="193"/>
      <c r="CT220" s="193"/>
      <c r="CU220" s="193"/>
      <c r="DE220" s="187">
        <f>DE168</f>
        <v>39949</v>
      </c>
      <c r="DF220" s="182">
        <f t="shared" ref="DF220:EJ220" si="383">AVERAGE(DF168:DF177)</f>
        <v>0</v>
      </c>
      <c r="DG220" s="182">
        <f t="shared" si="383"/>
        <v>49.641679350583459</v>
      </c>
      <c r="DH220" s="182">
        <f t="shared" si="383"/>
        <v>124.45804250434796</v>
      </c>
      <c r="DI220" s="182">
        <f t="shared" ref="DI220" si="384">AVERAGE(DI168:DI177)</f>
        <v>17.24537037037037</v>
      </c>
      <c r="DJ220" s="182">
        <f t="shared" si="383"/>
        <v>22.011133417309612</v>
      </c>
      <c r="DK220" s="182">
        <f t="shared" si="383"/>
        <v>5.208333333333333</v>
      </c>
      <c r="DL220" s="182">
        <f t="shared" si="383"/>
        <v>5.208333333333333</v>
      </c>
      <c r="DM220" s="182">
        <f t="shared" si="383"/>
        <v>0</v>
      </c>
      <c r="DN220" s="182">
        <f t="shared" si="383"/>
        <v>0</v>
      </c>
      <c r="DO220" s="182">
        <v>8</v>
      </c>
      <c r="DP220" s="182">
        <f t="shared" si="383"/>
        <v>0</v>
      </c>
      <c r="DQ220" s="182">
        <f t="shared" si="383"/>
        <v>0</v>
      </c>
      <c r="DR220" s="182">
        <f t="shared" si="383"/>
        <v>0</v>
      </c>
      <c r="DS220" s="182">
        <f t="shared" si="383"/>
        <v>0</v>
      </c>
      <c r="DT220" s="182">
        <f t="shared" si="383"/>
        <v>0</v>
      </c>
      <c r="DU220" s="182">
        <f t="shared" si="383"/>
        <v>0</v>
      </c>
      <c r="DV220" s="182">
        <f t="shared" si="383"/>
        <v>0</v>
      </c>
      <c r="DW220" s="182">
        <f t="shared" si="383"/>
        <v>0</v>
      </c>
      <c r="DX220" s="182">
        <f t="shared" si="383"/>
        <v>0</v>
      </c>
      <c r="DY220" s="182">
        <f t="shared" si="383"/>
        <v>0</v>
      </c>
      <c r="DZ220" s="182">
        <f t="shared" si="383"/>
        <v>0</v>
      </c>
      <c r="EA220" s="182">
        <f t="shared" si="383"/>
        <v>0</v>
      </c>
      <c r="EB220" s="182">
        <f t="shared" si="383"/>
        <v>0</v>
      </c>
      <c r="EC220" s="182">
        <f t="shared" si="383"/>
        <v>0</v>
      </c>
      <c r="ED220" s="182">
        <f t="shared" si="383"/>
        <v>0</v>
      </c>
      <c r="EE220" s="182">
        <f t="shared" si="383"/>
        <v>0</v>
      </c>
      <c r="EF220" s="182">
        <f t="shared" si="383"/>
        <v>0</v>
      </c>
      <c r="EG220" s="182">
        <f t="shared" si="383"/>
        <v>0</v>
      </c>
      <c r="EH220" s="182">
        <f t="shared" si="383"/>
        <v>0</v>
      </c>
      <c r="EI220" s="182">
        <f t="shared" si="383"/>
        <v>0</v>
      </c>
      <c r="EJ220" s="182">
        <f t="shared" si="383"/>
        <v>0</v>
      </c>
      <c r="FY220" s="210">
        <v>215</v>
      </c>
      <c r="FZ220">
        <v>17.474745461426071</v>
      </c>
      <c r="GA220">
        <v>15.961048119932647</v>
      </c>
      <c r="GB220">
        <v>3.1085584190780926</v>
      </c>
      <c r="GC220">
        <v>1.2742344129760834</v>
      </c>
      <c r="GD220">
        <v>0.69684115767045607</v>
      </c>
      <c r="GE220">
        <v>2.2658126006458654</v>
      </c>
      <c r="GF220">
        <v>7.6482898149374474</v>
      </c>
      <c r="GG220">
        <v>11.880760813924638</v>
      </c>
      <c r="GH220">
        <v>13.703617775117721</v>
      </c>
      <c r="GI220">
        <v>7.3134717187165181</v>
      </c>
      <c r="GJ220"/>
      <c r="GK220"/>
      <c r="GL220"/>
      <c r="GM220"/>
    </row>
    <row r="221" spans="1:195" s="7" customFormat="1">
      <c r="A221" s="4"/>
      <c r="B221" s="87"/>
      <c r="C221" s="87"/>
      <c r="D221" s="87"/>
      <c r="E221" s="88"/>
      <c r="F221" s="88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>
        <v>3.0028000000000028</v>
      </c>
      <c r="AM221" s="43">
        <v>205</v>
      </c>
      <c r="AN221">
        <v>132.34858462775088</v>
      </c>
      <c r="AO221">
        <v>13.478139277333105</v>
      </c>
      <c r="AP221">
        <v>143.17255372500657</v>
      </c>
      <c r="AQ221">
        <v>121.10045093323434</v>
      </c>
      <c r="AR221">
        <v>12.885965907387037</v>
      </c>
      <c r="AS221">
        <v>193.93503150028712</v>
      </c>
      <c r="AT221">
        <v>8.147663212153752</v>
      </c>
      <c r="AU221">
        <v>58.04958527583311</v>
      </c>
      <c r="AV221"/>
      <c r="AW221"/>
      <c r="BA221" s="195"/>
      <c r="BB221" s="193"/>
      <c r="BC221" s="193"/>
      <c r="BD221" s="193"/>
      <c r="BE221" s="193"/>
      <c r="BF221" s="193"/>
      <c r="BG221" s="193"/>
      <c r="BH221" s="193"/>
      <c r="BI221" s="193"/>
      <c r="BJ221" s="193"/>
      <c r="BK221" s="193"/>
      <c r="BL221" s="193"/>
      <c r="BM221" s="193"/>
      <c r="BN221" s="193"/>
      <c r="BO221" s="193"/>
      <c r="BP221" s="193"/>
      <c r="BQ221" s="193"/>
      <c r="BR221" s="193"/>
      <c r="BS221" s="193"/>
      <c r="BT221" s="193"/>
      <c r="BU221" s="193"/>
      <c r="BV221" s="193"/>
      <c r="BW221" s="193"/>
      <c r="BX221" s="193"/>
      <c r="BY221" s="193"/>
      <c r="BZ221" s="193"/>
      <c r="CA221" s="193"/>
      <c r="CB221" s="193"/>
      <c r="CC221" s="193"/>
      <c r="CD221" s="193"/>
      <c r="CE221" s="193"/>
      <c r="CF221" s="193"/>
      <c r="CG221" s="194"/>
      <c r="CH221" s="194"/>
      <c r="CI221" s="194"/>
      <c r="CJ221" s="194"/>
      <c r="CK221" s="194"/>
      <c r="CL221" s="194"/>
      <c r="CM221" s="197"/>
      <c r="CN221" s="193"/>
      <c r="CO221" s="193"/>
      <c r="CP221" s="193"/>
      <c r="CQ221" s="193"/>
      <c r="CR221" s="193"/>
      <c r="CS221" s="193"/>
      <c r="CT221" s="193"/>
      <c r="CU221" s="193"/>
      <c r="DE221" s="187">
        <f>DE178</f>
        <v>39987</v>
      </c>
      <c r="DF221" s="182">
        <f t="shared" ref="DF221:EJ221" si="385">AVERAGE(DF178:DF187)</f>
        <v>0</v>
      </c>
      <c r="DG221" s="182">
        <f t="shared" si="385"/>
        <v>0</v>
      </c>
      <c r="DH221" s="182">
        <f t="shared" si="385"/>
        <v>6.0763888888888884</v>
      </c>
      <c r="DI221" s="182">
        <f t="shared" si="385"/>
        <v>0</v>
      </c>
      <c r="DJ221" s="182">
        <f t="shared" si="385"/>
        <v>17.626250781738587</v>
      </c>
      <c r="DK221" s="182">
        <f t="shared" si="385"/>
        <v>1.0416666666666665</v>
      </c>
      <c r="DL221" s="182">
        <f t="shared" si="385"/>
        <v>1.0416666666666665</v>
      </c>
      <c r="DM221" s="182">
        <f t="shared" si="385"/>
        <v>3.125</v>
      </c>
      <c r="DN221" s="182">
        <f t="shared" si="385"/>
        <v>0</v>
      </c>
      <c r="DO221" s="182">
        <f t="shared" si="385"/>
        <v>0</v>
      </c>
      <c r="DP221" s="182">
        <f t="shared" si="385"/>
        <v>0</v>
      </c>
      <c r="DQ221" s="182">
        <f t="shared" si="385"/>
        <v>0</v>
      </c>
      <c r="DR221" s="182">
        <f t="shared" si="385"/>
        <v>0</v>
      </c>
      <c r="DS221" s="182">
        <f t="shared" si="385"/>
        <v>0</v>
      </c>
      <c r="DT221" s="182">
        <f t="shared" si="385"/>
        <v>0</v>
      </c>
      <c r="DU221" s="182">
        <f t="shared" si="385"/>
        <v>0</v>
      </c>
      <c r="DV221" s="182">
        <f t="shared" si="385"/>
        <v>0</v>
      </c>
      <c r="DW221" s="182">
        <f t="shared" si="385"/>
        <v>0</v>
      </c>
      <c r="DX221" s="182">
        <f t="shared" si="385"/>
        <v>0</v>
      </c>
      <c r="DY221" s="182">
        <f t="shared" si="385"/>
        <v>0</v>
      </c>
      <c r="DZ221" s="182">
        <f t="shared" si="385"/>
        <v>0</v>
      </c>
      <c r="EA221" s="182">
        <f t="shared" si="385"/>
        <v>0</v>
      </c>
      <c r="EB221" s="182">
        <f t="shared" si="385"/>
        <v>0</v>
      </c>
      <c r="EC221" s="182">
        <f t="shared" si="385"/>
        <v>0</v>
      </c>
      <c r="ED221" s="182">
        <f t="shared" si="385"/>
        <v>0</v>
      </c>
      <c r="EE221" s="182">
        <f t="shared" si="385"/>
        <v>0</v>
      </c>
      <c r="EF221" s="182">
        <f t="shared" si="385"/>
        <v>0</v>
      </c>
      <c r="EG221" s="182">
        <f t="shared" si="385"/>
        <v>0</v>
      </c>
      <c r="EH221" s="182">
        <f t="shared" si="385"/>
        <v>0</v>
      </c>
      <c r="EI221" s="182">
        <f t="shared" si="385"/>
        <v>0</v>
      </c>
      <c r="EJ221" s="182">
        <f t="shared" si="385"/>
        <v>0</v>
      </c>
      <c r="FY221" s="210">
        <v>216</v>
      </c>
      <c r="FZ221">
        <v>2.0674977193363038</v>
      </c>
      <c r="GA221">
        <v>1.0965165025390755</v>
      </c>
      <c r="GB221">
        <v>1.5772824073072007</v>
      </c>
      <c r="GC221">
        <v>0.87143088535707802</v>
      </c>
      <c r="GD221">
        <v>0.64132257951159621</v>
      </c>
      <c r="GE221">
        <v>2.3462669570521748</v>
      </c>
      <c r="GF221">
        <v>6.7708123328212295</v>
      </c>
      <c r="GG221">
        <v>5.3749705125523937</v>
      </c>
      <c r="GH221">
        <v>5.3430808263200102</v>
      </c>
      <c r="GI221">
        <v>3.1464950397035496</v>
      </c>
      <c r="GJ221"/>
      <c r="GK221"/>
      <c r="GL221"/>
      <c r="GM221"/>
    </row>
    <row r="222" spans="1:195" s="7" customFormat="1">
      <c r="A222" s="4"/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87"/>
      <c r="AK222" s="87"/>
      <c r="AL222" s="87">
        <v>3.0028000000000028</v>
      </c>
      <c r="AM222" s="43">
        <v>206</v>
      </c>
      <c r="AN222">
        <v>122.8379115147947</v>
      </c>
      <c r="AO222">
        <v>14.58894842918564</v>
      </c>
      <c r="AP222">
        <v>149.29231740644656</v>
      </c>
      <c r="AQ222">
        <v>130.82917044144858</v>
      </c>
      <c r="AR222">
        <v>13.875489725540994</v>
      </c>
      <c r="AS222">
        <v>196.9529666312886</v>
      </c>
      <c r="AT222">
        <v>9.2495139847828778</v>
      </c>
      <c r="AU222">
        <v>4.9259184437269745</v>
      </c>
      <c r="AV222"/>
      <c r="AW222"/>
      <c r="BA222" s="195"/>
      <c r="BB222" s="193"/>
      <c r="BC222" s="198"/>
      <c r="BD222" s="198"/>
      <c r="BE222" s="198"/>
      <c r="BF222" s="198"/>
      <c r="BG222" s="198"/>
      <c r="BH222" s="198"/>
      <c r="BI222" s="198"/>
      <c r="BJ222" s="198"/>
      <c r="BK222" s="198"/>
      <c r="BL222" s="198"/>
      <c r="BM222" s="198"/>
      <c r="BN222" s="198"/>
      <c r="BO222" s="198"/>
      <c r="BP222" s="198"/>
      <c r="BQ222" s="198"/>
      <c r="BR222" s="198"/>
      <c r="BS222" s="198"/>
      <c r="BT222" s="198"/>
      <c r="BU222" s="198"/>
      <c r="BV222" s="198"/>
      <c r="BW222" s="193"/>
      <c r="BX222" s="198"/>
      <c r="BY222" s="193"/>
      <c r="BZ222" s="193"/>
      <c r="CA222" s="193"/>
      <c r="CB222" s="193"/>
      <c r="CC222" s="193"/>
      <c r="CD222" s="193"/>
      <c r="CE222" s="193"/>
      <c r="CF222" s="193"/>
      <c r="CG222" s="194"/>
      <c r="CH222" s="194"/>
      <c r="CI222" s="194"/>
      <c r="CJ222" s="194"/>
      <c r="CK222" s="194"/>
      <c r="CL222" s="194"/>
      <c r="CM222" s="197"/>
      <c r="CN222" s="193"/>
      <c r="CO222" s="193"/>
      <c r="CP222" s="193"/>
      <c r="CQ222" s="193"/>
      <c r="CR222" s="193"/>
      <c r="CS222" s="193"/>
      <c r="CT222" s="193"/>
      <c r="CU222" s="193"/>
      <c r="DE222" s="187"/>
      <c r="DF222" s="182"/>
      <c r="DG222" s="186"/>
      <c r="DH222" s="186"/>
      <c r="DI222" s="186"/>
      <c r="DJ222" s="186"/>
      <c r="DK222" s="186"/>
      <c r="DL222" s="186"/>
      <c r="DM222" s="186"/>
      <c r="DN222" s="186"/>
      <c r="DO222" s="186"/>
      <c r="DP222" s="186"/>
      <c r="DQ222" s="186"/>
      <c r="DR222" s="186"/>
      <c r="DS222" s="186"/>
      <c r="DT222" s="186"/>
      <c r="DU222" s="186"/>
      <c r="DV222" s="186"/>
      <c r="DW222" s="186"/>
      <c r="DX222" s="186"/>
      <c r="DY222" s="186"/>
      <c r="DZ222" s="186"/>
      <c r="EA222" s="182"/>
      <c r="EB222" s="186"/>
      <c r="EC222" s="182"/>
      <c r="ED222" s="182"/>
      <c r="EE222" s="182"/>
      <c r="EF222" s="182"/>
      <c r="EG222" s="182"/>
      <c r="EH222" s="182"/>
      <c r="EI222" s="182"/>
      <c r="EJ222" s="182"/>
      <c r="FY222" s="210">
        <v>217</v>
      </c>
      <c r="FZ222">
        <v>33.883433271486091</v>
      </c>
      <c r="GA222">
        <v>38.479710673802472</v>
      </c>
      <c r="GB222">
        <v>3.4961897196696992</v>
      </c>
      <c r="GC222">
        <v>2.084657390598347</v>
      </c>
      <c r="GD222">
        <v>0.88342808148330598</v>
      </c>
      <c r="GE222">
        <v>1.6572741764363306</v>
      </c>
      <c r="GF222">
        <v>4.4940201198495808</v>
      </c>
      <c r="GG222">
        <v>6.4805465254300216</v>
      </c>
      <c r="GH222">
        <v>7.7030649051940205</v>
      </c>
      <c r="GI222">
        <v>8.4135059332087785</v>
      </c>
      <c r="GJ222"/>
      <c r="GK222"/>
      <c r="GL222"/>
      <c r="GM222"/>
    </row>
    <row r="223" spans="1:195" s="7" customFormat="1">
      <c r="A223" s="4"/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87"/>
      <c r="AK223" s="87"/>
      <c r="AL223" s="87">
        <v>3.0028000000000028</v>
      </c>
      <c r="AM223" s="43">
        <v>207</v>
      </c>
      <c r="AN223">
        <v>120.97212407367674</v>
      </c>
      <c r="AO223">
        <v>10.884982975425677</v>
      </c>
      <c r="AP223">
        <v>111.82966110412973</v>
      </c>
      <c r="AQ223">
        <v>94.995162834490273</v>
      </c>
      <c r="AR223">
        <v>10.557395892386893</v>
      </c>
      <c r="AS223">
        <v>170.43128681229152</v>
      </c>
      <c r="AT223">
        <v>6.1177962544654134</v>
      </c>
      <c r="AU223">
        <v>33.707381829288465</v>
      </c>
      <c r="AV223"/>
      <c r="AW223"/>
      <c r="BA223" s="195"/>
      <c r="BB223" s="193"/>
      <c r="BC223" s="198"/>
      <c r="BD223" s="198"/>
      <c r="BE223" s="198"/>
      <c r="BF223" s="198"/>
      <c r="BG223" s="198"/>
      <c r="BH223" s="198"/>
      <c r="BI223" s="198"/>
      <c r="BJ223" s="198"/>
      <c r="BK223" s="198"/>
      <c r="BL223" s="198"/>
      <c r="BM223" s="198"/>
      <c r="BN223" s="198"/>
      <c r="BO223" s="198"/>
      <c r="BP223" s="198"/>
      <c r="BQ223" s="198"/>
      <c r="BR223" s="198"/>
      <c r="BS223" s="198"/>
      <c r="BT223" s="198"/>
      <c r="BU223" s="198"/>
      <c r="BV223" s="198"/>
      <c r="BW223" s="193"/>
      <c r="BX223" s="198"/>
      <c r="BY223" s="193"/>
      <c r="BZ223" s="193"/>
      <c r="CA223" s="193"/>
      <c r="CB223" s="193"/>
      <c r="CC223" s="193"/>
      <c r="CD223" s="193"/>
      <c r="CE223" s="193"/>
      <c r="CF223" s="193"/>
      <c r="CG223" s="194"/>
      <c r="CH223" s="194"/>
      <c r="CI223" s="194"/>
      <c r="CJ223" s="194"/>
      <c r="CK223" s="194"/>
      <c r="CL223" s="194"/>
      <c r="CM223" s="193"/>
      <c r="CN223" s="193"/>
      <c r="CO223" s="193"/>
      <c r="CP223" s="193"/>
      <c r="CQ223" s="193"/>
      <c r="CR223" s="193"/>
      <c r="CS223" s="193"/>
      <c r="CT223" s="193"/>
      <c r="CU223" s="193"/>
      <c r="DE223" s="187"/>
      <c r="DF223" s="182"/>
      <c r="DG223" s="186"/>
      <c r="DH223" s="186"/>
      <c r="DI223" s="186"/>
      <c r="DJ223" s="186"/>
      <c r="DK223" s="186"/>
      <c r="DL223" s="186"/>
      <c r="DM223" s="186"/>
      <c r="DN223" s="186"/>
      <c r="DO223" s="186"/>
      <c r="DP223" s="186"/>
      <c r="DQ223" s="186"/>
      <c r="DR223" s="186"/>
      <c r="DS223" s="186"/>
      <c r="DT223" s="186"/>
      <c r="DU223" s="186"/>
      <c r="DV223" s="186"/>
      <c r="DW223" s="186"/>
      <c r="DX223" s="186"/>
      <c r="DY223" s="186"/>
      <c r="DZ223" s="186"/>
      <c r="EA223" s="182"/>
      <c r="EB223" s="186"/>
      <c r="EC223" s="182"/>
      <c r="ED223" s="182"/>
      <c r="EE223" s="182"/>
      <c r="EF223" s="182"/>
      <c r="EG223" s="182"/>
      <c r="EH223" s="182"/>
      <c r="EI223" s="182"/>
      <c r="EJ223" s="182"/>
      <c r="FY223" s="210">
        <v>218</v>
      </c>
      <c r="FZ223">
        <v>13.352732678378512</v>
      </c>
      <c r="GA223">
        <v>16.757196779603728</v>
      </c>
      <c r="GB223">
        <v>3.2771972469852271</v>
      </c>
      <c r="GC223">
        <v>1.2657233438590696</v>
      </c>
      <c r="GD223">
        <v>1.567141951820608</v>
      </c>
      <c r="GE223">
        <v>3.0472136755261445</v>
      </c>
      <c r="GF223">
        <v>6.0547521492945231</v>
      </c>
      <c r="GG223">
        <v>9.9888158851881776</v>
      </c>
      <c r="GH223">
        <v>10.782578239605062</v>
      </c>
      <c r="GI223">
        <v>6.5101456199344447</v>
      </c>
      <c r="GJ223"/>
      <c r="GK223"/>
      <c r="GL223"/>
      <c r="GM223"/>
    </row>
    <row r="224" spans="1:195" s="7" customFormat="1">
      <c r="A224" s="87"/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87"/>
      <c r="AK224" s="87"/>
      <c r="AL224" s="87">
        <v>3.0028000000000028</v>
      </c>
      <c r="AM224" s="43">
        <v>208</v>
      </c>
      <c r="AN224">
        <v>149.87045122110652</v>
      </c>
      <c r="AO224">
        <v>13.812102056812279</v>
      </c>
      <c r="AP224">
        <v>144.06813395936686</v>
      </c>
      <c r="AQ224">
        <v>122.72486796158455</v>
      </c>
      <c r="AR224">
        <v>12.975884602328978</v>
      </c>
      <c r="AS224">
        <v>164.34014584492178</v>
      </c>
      <c r="AT224">
        <v>8.0256466598772445</v>
      </c>
      <c r="AU224">
        <v>3.4587887288705681</v>
      </c>
      <c r="AV224"/>
      <c r="AW224"/>
      <c r="BA224" s="199"/>
      <c r="BB224" s="194"/>
      <c r="BC224" s="200"/>
      <c r="BD224" s="200"/>
      <c r="BE224" s="200"/>
      <c r="BF224" s="200"/>
      <c r="BG224" s="200"/>
      <c r="BH224" s="200"/>
      <c r="BI224" s="200"/>
      <c r="BJ224" s="200"/>
      <c r="BK224" s="200"/>
      <c r="BL224" s="200"/>
      <c r="BM224" s="200"/>
      <c r="BN224" s="200"/>
      <c r="BO224" s="200"/>
      <c r="BP224" s="200"/>
      <c r="BQ224" s="200"/>
      <c r="BR224" s="200"/>
      <c r="BS224" s="200"/>
      <c r="BT224" s="200"/>
      <c r="BU224" s="200"/>
      <c r="BV224" s="200"/>
      <c r="BW224" s="194"/>
      <c r="BX224" s="200"/>
      <c r="BY224" s="194"/>
      <c r="BZ224" s="194"/>
      <c r="CA224" s="194"/>
      <c r="CB224" s="194"/>
      <c r="CC224" s="194"/>
      <c r="CD224" s="194"/>
      <c r="CE224" s="194"/>
      <c r="CF224" s="194"/>
      <c r="CG224" s="194"/>
      <c r="CH224" s="194"/>
      <c r="CI224" s="194"/>
      <c r="CJ224" s="194"/>
      <c r="CK224" s="194"/>
      <c r="CL224" s="194"/>
      <c r="CM224" s="193"/>
      <c r="CN224" s="193"/>
      <c r="CO224" s="193"/>
      <c r="CP224" s="193"/>
      <c r="CQ224" s="193"/>
      <c r="CR224" s="193"/>
      <c r="CS224" s="193"/>
      <c r="CT224" s="193"/>
      <c r="CU224" s="193"/>
      <c r="DE224" s="184" t="s">
        <v>139</v>
      </c>
      <c r="DH224" s="204" t="s">
        <v>142</v>
      </c>
      <c r="FY224" s="210">
        <v>219</v>
      </c>
      <c r="FZ224">
        <v>14.516793248579066</v>
      </c>
      <c r="GA224">
        <v>14.980991641171196</v>
      </c>
      <c r="GB224">
        <v>1.9054729697694932</v>
      </c>
      <c r="GC224">
        <v>0.95823817946572021</v>
      </c>
      <c r="GD224">
        <v>1.3786315134793097</v>
      </c>
      <c r="GE224">
        <v>2.3664651021624743</v>
      </c>
      <c r="GF224">
        <v>5.7652553270518334</v>
      </c>
      <c r="GG224">
        <v>6.7415605504835217</v>
      </c>
      <c r="GH224">
        <v>5.8565494848678217</v>
      </c>
      <c r="GI224">
        <v>5.3930193319876878</v>
      </c>
      <c r="GJ224"/>
      <c r="GK224"/>
      <c r="GL224"/>
      <c r="GM224"/>
    </row>
    <row r="225" spans="1:195" s="7" customFormat="1">
      <c r="A225" s="87"/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87"/>
      <c r="AK225" s="87"/>
      <c r="AL225" s="87">
        <v>3.0028000000000028</v>
      </c>
      <c r="AM225" s="43">
        <v>209</v>
      </c>
      <c r="AN225">
        <v>135.04261623519068</v>
      </c>
      <c r="AO225">
        <v>8.9709858433713734</v>
      </c>
      <c r="AP225">
        <v>81.989376820234156</v>
      </c>
      <c r="AQ225">
        <v>69.087766513267965</v>
      </c>
      <c r="AR225">
        <v>8.477180436838756</v>
      </c>
      <c r="AS225">
        <v>147.09280665996485</v>
      </c>
      <c r="AT225">
        <v>5.5005160532127233</v>
      </c>
      <c r="AU225">
        <v>17.412467609649358</v>
      </c>
      <c r="AV225"/>
      <c r="AW225"/>
      <c r="BA225" s="171"/>
      <c r="BC225" s="172"/>
      <c r="BD225" s="172"/>
      <c r="BE225" s="172"/>
      <c r="BF225" s="172"/>
      <c r="BG225" s="172"/>
      <c r="BH225" s="172"/>
      <c r="BI225" s="172"/>
      <c r="BJ225" s="172"/>
      <c r="BK225" s="172"/>
      <c r="BL225" s="172"/>
      <c r="BM225" s="172"/>
      <c r="BN225" s="172"/>
      <c r="BO225" s="172"/>
      <c r="BP225" s="172"/>
      <c r="BQ225" s="172"/>
      <c r="BR225" s="172"/>
      <c r="BS225" s="172"/>
      <c r="BT225" s="172"/>
      <c r="BU225" s="172"/>
      <c r="BV225" s="172"/>
      <c r="BX225" s="172"/>
      <c r="DE225" s="187">
        <v>39646</v>
      </c>
      <c r="DF225" s="205"/>
      <c r="DG225" s="205">
        <f>((DG212*$H$372)+(DH212*$I$372)+(DI212*$J$372)+(DJ212*$K$372)+(DK212*$L$372)+(DL212*$M$372)+(DM212*$N$372)+(DN212*$O$372)+(DO212*$P$372)+(DP212*$Q$372)+(DQ212*$R$372)+(DR212*$S$372)+(DS212*$T$372)+(DT212*$U$372))/SUM(DG212:DT212)</f>
        <v>0.13448732422278567</v>
      </c>
      <c r="DH225" s="205"/>
      <c r="DI225" s="205"/>
      <c r="DJ225" s="205"/>
      <c r="DK225" s="205"/>
      <c r="DL225" s="205"/>
      <c r="DM225" s="205"/>
      <c r="DN225" s="205"/>
      <c r="DO225" s="205"/>
      <c r="DP225" s="205"/>
      <c r="DQ225" s="205"/>
      <c r="DR225" s="205"/>
      <c r="DS225" s="205"/>
      <c r="DT225" s="205"/>
      <c r="DU225" s="205"/>
      <c r="DV225" s="205"/>
      <c r="DW225" s="205"/>
      <c r="DX225" s="205"/>
      <c r="DY225" s="205"/>
      <c r="DZ225" s="205"/>
      <c r="EA225" s="205"/>
      <c r="EB225" s="205"/>
      <c r="EC225" s="205"/>
      <c r="ED225" s="205"/>
      <c r="EE225" s="205"/>
      <c r="EF225" s="205"/>
      <c r="EG225" s="205"/>
      <c r="EH225" s="205"/>
      <c r="EI225" s="205"/>
      <c r="EJ225" s="205"/>
      <c r="FY225" s="210">
        <v>220</v>
      </c>
      <c r="FZ225">
        <v>16.33022910246121</v>
      </c>
      <c r="GA225">
        <v>14.697478239663521</v>
      </c>
      <c r="GB225">
        <v>2.3982005516946683</v>
      </c>
      <c r="GC225">
        <v>1.2103473569394847</v>
      </c>
      <c r="GD225">
        <v>0.64886471818627167</v>
      </c>
      <c r="GE225">
        <v>1.9409370759204367</v>
      </c>
      <c r="GF225">
        <v>6.4070009433825792</v>
      </c>
      <c r="GG225">
        <v>9.0880629511796904</v>
      </c>
      <c r="GH225">
        <v>9.7114398257388572</v>
      </c>
      <c r="GI225">
        <v>6.070729016258551</v>
      </c>
      <c r="GJ225"/>
      <c r="GK225"/>
      <c r="GL225"/>
      <c r="GM225"/>
    </row>
    <row r="226" spans="1:195" s="7" customFormat="1">
      <c r="A226" s="87"/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87"/>
      <c r="AK226" s="87"/>
      <c r="AL226" s="87">
        <v>3.0028000000000028</v>
      </c>
      <c r="AM226" s="43">
        <v>210</v>
      </c>
      <c r="AN226">
        <v>112.43318525667435</v>
      </c>
      <c r="AO226">
        <v>6.5317814798240308</v>
      </c>
      <c r="AP226">
        <v>60.492817701113829</v>
      </c>
      <c r="AQ226">
        <v>48.585959678785422</v>
      </c>
      <c r="AR226">
        <v>6.5010267194685634</v>
      </c>
      <c r="AS226">
        <v>133.70735449079154</v>
      </c>
      <c r="AT226">
        <v>3.6565680146710595</v>
      </c>
      <c r="AU226">
        <v>22.982171463742247</v>
      </c>
      <c r="AV226"/>
      <c r="AW226"/>
      <c r="DE226" s="187">
        <f>DE101</f>
        <v>39673</v>
      </c>
      <c r="DF226" s="205"/>
      <c r="DG226" s="205">
        <f t="shared" ref="DG226:DG234" si="386">((DG213*$H$372)+(DH213*$I$372)+(DI213*$J$372)+(DJ213*$K$372)+(DK213*$L$372)+(DL213*$M$372)+(DM213*$N$372)+(DN213*$O$372)+(DO213*$P$372)+(DP213*$Q$372)+(DQ213*$R$372)+(DR213*$S$372)+(DS213*$T$372)+(DT213*$U$372))/SUM(DG213:DT213)</f>
        <v>0.27070041470495337</v>
      </c>
      <c r="DH226" s="205">
        <f>(LN(DG226/DG225))/(DE213-DE212)</f>
        <v>2.5908991766209501E-2</v>
      </c>
      <c r="DI226" s="205"/>
      <c r="DJ226" s="205"/>
      <c r="DK226" s="205"/>
      <c r="DL226" s="205"/>
      <c r="DM226" s="205"/>
      <c r="DN226" s="205"/>
      <c r="DO226" s="205"/>
      <c r="DP226" s="205"/>
      <c r="DQ226" s="205"/>
      <c r="DR226" s="205"/>
      <c r="DS226" s="205"/>
      <c r="DT226" s="205"/>
      <c r="DU226" s="205"/>
      <c r="DV226" s="205"/>
      <c r="DW226" s="205"/>
      <c r="DX226" s="205"/>
      <c r="DY226" s="205"/>
      <c r="DZ226" s="205"/>
      <c r="EA226" s="205"/>
      <c r="EB226" s="205"/>
      <c r="EC226" s="205"/>
      <c r="ED226" s="205"/>
      <c r="EE226" s="205"/>
      <c r="EF226" s="205"/>
      <c r="EG226" s="205"/>
      <c r="EH226" s="205"/>
      <c r="EI226" s="205"/>
      <c r="EJ226" s="205"/>
      <c r="FY226" s="210">
        <v>221</v>
      </c>
      <c r="FZ226">
        <v>0.69479885303570721</v>
      </c>
      <c r="GA226">
        <v>2.5960563010957975</v>
      </c>
      <c r="GB226">
        <v>1.9409493645070302</v>
      </c>
      <c r="GC226">
        <v>0.98379343658431706</v>
      </c>
      <c r="GD226">
        <v>1.2746654791682386</v>
      </c>
      <c r="GE226">
        <v>2.2432327559051108</v>
      </c>
      <c r="GF226">
        <v>4.6262078002023106</v>
      </c>
      <c r="GG226">
        <v>10.995271332702728</v>
      </c>
      <c r="GH226">
        <v>13.211371318349181</v>
      </c>
      <c r="GI226">
        <v>4.2553364199499235</v>
      </c>
      <c r="GJ226"/>
      <c r="GK226"/>
      <c r="GL226"/>
      <c r="GM226"/>
    </row>
    <row r="227" spans="1:195" s="7" customFormat="1">
      <c r="A227" s="89"/>
      <c r="B227" s="111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2"/>
      <c r="AK227" s="81"/>
      <c r="AL227" s="81">
        <v>3.0028000000000028</v>
      </c>
      <c r="AM227" s="43">
        <v>211</v>
      </c>
      <c r="AN227">
        <v>61.379074105969231</v>
      </c>
      <c r="AO227">
        <v>6.6328603926432894</v>
      </c>
      <c r="AP227">
        <v>64.59466503162939</v>
      </c>
      <c r="AQ227">
        <v>54.38934860673421</v>
      </c>
      <c r="AR227">
        <v>6.5879132192892431</v>
      </c>
      <c r="AS227">
        <v>99.860345788438238</v>
      </c>
      <c r="AT227">
        <v>4.007652534895394</v>
      </c>
      <c r="AU227">
        <v>5.9867588823015456</v>
      </c>
      <c r="AV227"/>
      <c r="AW227"/>
      <c r="DE227" s="187">
        <f>DE111</f>
        <v>39714</v>
      </c>
      <c r="DF227" s="205"/>
      <c r="DG227" s="205">
        <f t="shared" si="386"/>
        <v>0.27339849261676386</v>
      </c>
      <c r="DH227" s="205">
        <f t="shared" ref="DH227:DH234" si="387">(LN(DG227/DG226))/(DE214-DE213)</f>
        <v>2.4189468807581148E-4</v>
      </c>
      <c r="DI227" s="205"/>
      <c r="DJ227" s="205"/>
      <c r="DK227" s="205"/>
      <c r="DL227" s="205"/>
      <c r="DM227" s="205"/>
      <c r="DN227" s="205"/>
      <c r="DO227" s="205"/>
      <c r="DP227" s="205"/>
      <c r="DQ227" s="205"/>
      <c r="DR227" s="205"/>
      <c r="DS227" s="205"/>
      <c r="DT227" s="205"/>
      <c r="DU227" s="205"/>
      <c r="DV227" s="205"/>
      <c r="DW227" s="205"/>
      <c r="DX227" s="205"/>
      <c r="DY227" s="205"/>
      <c r="DZ227" s="205"/>
      <c r="EA227" s="205"/>
      <c r="EB227" s="205"/>
      <c r="EC227" s="205"/>
      <c r="ED227" s="205"/>
      <c r="EE227" s="205"/>
      <c r="EF227" s="205"/>
      <c r="EG227" s="205"/>
      <c r="EH227" s="205"/>
      <c r="EI227" s="205"/>
      <c r="EJ227" s="205"/>
      <c r="FY227" s="210">
        <v>222</v>
      </c>
      <c r="FZ227">
        <v>21.762237278900638</v>
      </c>
      <c r="GA227">
        <v>26.7720376133862</v>
      </c>
      <c r="GB227">
        <v>2.8273488647190508</v>
      </c>
      <c r="GC227">
        <v>1.673939954140961</v>
      </c>
      <c r="GD227">
        <v>1.0346523408015866</v>
      </c>
      <c r="GE227">
        <v>2.7712538281967576</v>
      </c>
      <c r="GF227">
        <v>8.2625136324075186</v>
      </c>
      <c r="GG227">
        <v>7.1981524499867593</v>
      </c>
      <c r="GH227">
        <v>5.7643811853505751</v>
      </c>
      <c r="GI227">
        <v>6.9206740289957258</v>
      </c>
      <c r="GJ227"/>
      <c r="GK227"/>
      <c r="GL227"/>
      <c r="GM227"/>
    </row>
    <row r="228" spans="1:195" s="7" customFormat="1">
      <c r="A228" s="9" t="s">
        <v>60</v>
      </c>
      <c r="B228">
        <v>8.8143916792908783E-2</v>
      </c>
      <c r="C228">
        <v>10</v>
      </c>
      <c r="D228">
        <v>39646</v>
      </c>
      <c r="E228">
        <v>0</v>
      </c>
      <c r="F228">
        <v>0</v>
      </c>
      <c r="G228">
        <v>20.833333333333332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 s="2"/>
      <c r="AK228" s="81"/>
      <c r="AL228" s="81">
        <v>3.0028000000000028</v>
      </c>
      <c r="AM228" s="43">
        <v>212</v>
      </c>
      <c r="AN228">
        <v>137.79365924791415</v>
      </c>
      <c r="AO228">
        <v>11.312679031351575</v>
      </c>
      <c r="AP228">
        <v>110.2401390403701</v>
      </c>
      <c r="AQ228">
        <v>93.503802396314683</v>
      </c>
      <c r="AR228">
        <v>10.902930685297228</v>
      </c>
      <c r="AS228">
        <v>160.59485124453789</v>
      </c>
      <c r="AT228">
        <v>6.7284219972658255</v>
      </c>
      <c r="AU228">
        <v>2.223536514175851</v>
      </c>
      <c r="AV228"/>
      <c r="AW228"/>
      <c r="BB228" s="168"/>
      <c r="BC228" s="86"/>
      <c r="BD228" s="86"/>
      <c r="BE228" s="86"/>
      <c r="BF228" s="86"/>
      <c r="BG228" s="86"/>
      <c r="BH228" s="86"/>
      <c r="BI228" s="86"/>
      <c r="BJ228" s="169"/>
      <c r="BK228" s="169"/>
      <c r="BL228" s="170"/>
      <c r="BM228" s="169"/>
      <c r="BN228" s="170"/>
      <c r="BO228" s="169"/>
      <c r="BP228" s="170"/>
      <c r="BQ228" s="169"/>
      <c r="BR228" s="170"/>
      <c r="BS228" s="169"/>
      <c r="BT228" s="170"/>
      <c r="BU228" s="169"/>
      <c r="BV228" s="170"/>
      <c r="DE228" s="187">
        <f>DE121</f>
        <v>39747</v>
      </c>
      <c r="DF228" s="205"/>
      <c r="DG228" s="205">
        <f t="shared" si="386"/>
        <v>5.1499590261309319E-2</v>
      </c>
      <c r="DH228" s="205">
        <f t="shared" si="387"/>
        <v>-5.0586562401688552E-2</v>
      </c>
      <c r="DI228" s="205"/>
      <c r="DJ228" s="205"/>
      <c r="DK228" s="205"/>
      <c r="DL228" s="205"/>
      <c r="DM228" s="205"/>
      <c r="DN228" s="205"/>
      <c r="DO228" s="205"/>
      <c r="DP228" s="205"/>
      <c r="DQ228" s="205"/>
      <c r="DR228" s="205"/>
      <c r="DS228" s="205"/>
      <c r="DT228" s="205"/>
      <c r="DU228" s="205"/>
      <c r="DV228" s="205"/>
      <c r="DW228" s="205"/>
      <c r="DX228" s="205"/>
      <c r="DY228" s="205"/>
      <c r="DZ228" s="205"/>
      <c r="EA228" s="205"/>
      <c r="EB228" s="205"/>
      <c r="EC228" s="205"/>
      <c r="ED228" s="205"/>
      <c r="EE228" s="205"/>
      <c r="EF228" s="205"/>
      <c r="EG228" s="205"/>
      <c r="EH228" s="205"/>
      <c r="EI228" s="205"/>
      <c r="EJ228" s="205"/>
      <c r="FY228" s="210">
        <v>223</v>
      </c>
      <c r="FZ228">
        <v>1.6634944998363155</v>
      </c>
      <c r="GA228">
        <v>5.3725209270488525</v>
      </c>
      <c r="GB228">
        <v>3.5526508213858481</v>
      </c>
      <c r="GC228">
        <v>1.3201912673501395</v>
      </c>
      <c r="GD228">
        <v>0.82878993826090419</v>
      </c>
      <c r="GE228">
        <v>3.1668659283916347</v>
      </c>
      <c r="GF228">
        <v>11.963889696016375</v>
      </c>
      <c r="GG228">
        <v>12.505142461271157</v>
      </c>
      <c r="GH228">
        <v>7.9614072153157203</v>
      </c>
      <c r="GI228">
        <v>5.0269663607249591</v>
      </c>
      <c r="GJ228"/>
      <c r="GK228"/>
      <c r="GL228"/>
      <c r="GM228"/>
    </row>
    <row r="229" spans="1:195" s="7" customFormat="1">
      <c r="A229" s="90"/>
      <c r="B229">
        <v>7.5485557496119293E-2</v>
      </c>
      <c r="C229">
        <v>5</v>
      </c>
      <c r="D229">
        <v>39646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 s="2"/>
      <c r="AK229" s="81"/>
      <c r="AL229" s="81"/>
      <c r="AM229" s="43">
        <v>213</v>
      </c>
      <c r="AN229">
        <v>81.025854183392369</v>
      </c>
      <c r="AO229">
        <v>7.0205188359428705</v>
      </c>
      <c r="AP229">
        <v>69.906577897397341</v>
      </c>
      <c r="AQ229">
        <v>58.513609280422124</v>
      </c>
      <c r="AR229">
        <v>6.8381591428370658</v>
      </c>
      <c r="AS229">
        <v>106.34638393916217</v>
      </c>
      <c r="AT229">
        <v>4.3329440150077057</v>
      </c>
      <c r="AU229">
        <v>31.113384161738193</v>
      </c>
      <c r="AV229"/>
      <c r="AW229"/>
      <c r="BA229" s="171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DE229" s="187">
        <f>DE131</f>
        <v>39775</v>
      </c>
      <c r="DF229" s="205"/>
      <c r="DG229" s="205">
        <f t="shared" si="386"/>
        <v>3.0132914645742064E-2</v>
      </c>
      <c r="DH229" s="205">
        <f t="shared" si="387"/>
        <v>-1.9141277407613504E-2</v>
      </c>
      <c r="DI229" s="205"/>
      <c r="DJ229" s="205"/>
      <c r="DK229" s="205"/>
      <c r="DL229" s="205"/>
      <c r="DM229" s="205"/>
      <c r="DN229" s="205"/>
      <c r="DO229" s="205"/>
      <c r="DP229" s="205"/>
      <c r="DQ229" s="205"/>
      <c r="DR229" s="205"/>
      <c r="DS229" s="205"/>
      <c r="DT229" s="205"/>
      <c r="DU229" s="205"/>
      <c r="DV229" s="205"/>
      <c r="DW229" s="205"/>
      <c r="DX229" s="205"/>
      <c r="DY229" s="205"/>
      <c r="DZ229" s="205"/>
      <c r="EA229" s="205"/>
      <c r="EB229" s="205"/>
      <c r="EC229" s="205"/>
      <c r="ED229" s="205"/>
      <c r="EE229" s="205"/>
      <c r="EF229" s="205"/>
      <c r="EG229" s="205"/>
      <c r="EH229" s="205"/>
      <c r="EI229" s="205"/>
      <c r="EJ229" s="205"/>
      <c r="FY229" s="210">
        <v>224</v>
      </c>
      <c r="FZ229">
        <v>25.714356462007427</v>
      </c>
      <c r="GA229">
        <v>28.657295524894266</v>
      </c>
      <c r="GB229">
        <v>3.0074520850631545</v>
      </c>
      <c r="GC229">
        <v>1.222091304143625</v>
      </c>
      <c r="GD229">
        <v>0.59136356901913589</v>
      </c>
      <c r="GE229">
        <v>1.3212951587979365</v>
      </c>
      <c r="GF229">
        <v>7.7393905084906214</v>
      </c>
      <c r="GG229">
        <v>12.77751374645679</v>
      </c>
      <c r="GH229">
        <v>13.531918860363186</v>
      </c>
      <c r="GI229">
        <v>8.4281944202530088</v>
      </c>
      <c r="GJ229"/>
      <c r="GK229"/>
      <c r="GL229"/>
      <c r="GM229"/>
    </row>
    <row r="230" spans="1:195" s="7" customFormat="1">
      <c r="A230" s="77"/>
      <c r="B230">
        <v>0.93604855687802924</v>
      </c>
      <c r="C230">
        <v>4</v>
      </c>
      <c r="D230">
        <v>39646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 s="2"/>
      <c r="AK230" s="81"/>
      <c r="AL230" s="81"/>
      <c r="AM230" s="43">
        <v>214</v>
      </c>
      <c r="AN230">
        <v>101.97910365354234</v>
      </c>
      <c r="AO230">
        <v>7.980862308891953</v>
      </c>
      <c r="AP230">
        <v>76.68629167577356</v>
      </c>
      <c r="AQ230">
        <v>65.112327973215216</v>
      </c>
      <c r="AR230">
        <v>7.8953426530498607</v>
      </c>
      <c r="AS230">
        <v>140.06330251918348</v>
      </c>
      <c r="AT230">
        <v>4.4515253617024015</v>
      </c>
      <c r="AU230">
        <v>15.018942868924665</v>
      </c>
      <c r="AV230"/>
      <c r="AW230"/>
      <c r="BA230" s="171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DE230" s="187">
        <f>DE141</f>
        <v>39799</v>
      </c>
      <c r="DF230" s="205"/>
      <c r="DG230" s="205">
        <f t="shared" si="386"/>
        <v>6.8863791744136343E-2</v>
      </c>
      <c r="DH230" s="205">
        <f t="shared" si="387"/>
        <v>3.4438018199971727E-2</v>
      </c>
      <c r="DI230" s="205"/>
      <c r="DJ230" s="205"/>
      <c r="DK230" s="205"/>
      <c r="DL230" s="205"/>
      <c r="DM230" s="205"/>
      <c r="DN230" s="205"/>
      <c r="DO230" s="205"/>
      <c r="DP230" s="205"/>
      <c r="DQ230" s="205"/>
      <c r="DR230" s="205"/>
      <c r="DS230" s="205"/>
      <c r="DT230" s="205"/>
      <c r="DU230" s="205"/>
      <c r="DV230" s="205"/>
      <c r="DW230" s="205"/>
      <c r="DX230" s="205"/>
      <c r="DY230" s="205"/>
      <c r="DZ230" s="205"/>
      <c r="EA230" s="205"/>
      <c r="EB230" s="205"/>
      <c r="EC230" s="205"/>
      <c r="ED230" s="205"/>
      <c r="EE230" s="205"/>
      <c r="EF230" s="205"/>
      <c r="EG230" s="205"/>
      <c r="EH230" s="205"/>
      <c r="EI230" s="205"/>
      <c r="EJ230" s="205"/>
      <c r="FY230" s="210">
        <v>225</v>
      </c>
      <c r="FZ230">
        <v>12.56298012759947</v>
      </c>
      <c r="GA230">
        <v>16.941731971600696</v>
      </c>
      <c r="GB230">
        <v>3.733546445038292</v>
      </c>
      <c r="GC230">
        <v>1.1354173058036623</v>
      </c>
      <c r="GD230">
        <v>0.60277072126654807</v>
      </c>
      <c r="GE230">
        <v>1.5330763722901946</v>
      </c>
      <c r="GF230">
        <v>5.5388603918082859</v>
      </c>
      <c r="GG230">
        <v>8.6933686150153058</v>
      </c>
      <c r="GH230">
        <v>8.8088245804342389</v>
      </c>
      <c r="GI230">
        <v>5.5277570134899356</v>
      </c>
      <c r="GJ230"/>
      <c r="GK230"/>
      <c r="GL230"/>
      <c r="GM230"/>
    </row>
    <row r="231" spans="1:195" s="7" customFormat="1">
      <c r="A231" s="77"/>
      <c r="B231">
        <v>0.63656075772122334</v>
      </c>
      <c r="C231">
        <v>3</v>
      </c>
      <c r="D231">
        <v>39646</v>
      </c>
      <c r="E231">
        <v>0</v>
      </c>
      <c r="F231">
        <v>0</v>
      </c>
      <c r="G231">
        <v>20.833333333333332</v>
      </c>
      <c r="H231">
        <v>20.833333333333332</v>
      </c>
      <c r="I231">
        <v>20.833333333333332</v>
      </c>
      <c r="J231">
        <v>10.416666666666666</v>
      </c>
      <c r="K231">
        <v>41.666666666666664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 s="2"/>
      <c r="AK231" s="81"/>
      <c r="AL231" s="81"/>
      <c r="AM231" s="43">
        <v>215</v>
      </c>
      <c r="AN231">
        <v>127.92965737809561</v>
      </c>
      <c r="AO231">
        <v>9.9052284355296596</v>
      </c>
      <c r="AP231">
        <v>97.781332913898126</v>
      </c>
      <c r="AQ231">
        <v>81.327380294425538</v>
      </c>
      <c r="AR231">
        <v>10.096945967213838</v>
      </c>
      <c r="AS231">
        <v>156.18185356404808</v>
      </c>
      <c r="AT231">
        <v>5.8297138392321122</v>
      </c>
      <c r="AU231">
        <v>28.369855532024594</v>
      </c>
      <c r="AV231"/>
      <c r="AW231"/>
      <c r="BA231" s="171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DE231" s="187">
        <f>DE151</f>
        <v>39847</v>
      </c>
      <c r="DF231" s="205"/>
      <c r="DG231" s="205">
        <f t="shared" si="386"/>
        <v>3.3604393974449226E-2</v>
      </c>
      <c r="DH231" s="205">
        <f t="shared" si="387"/>
        <v>-1.4947368530518958E-2</v>
      </c>
      <c r="DI231" s="205"/>
      <c r="DJ231" s="205"/>
      <c r="DK231" s="205"/>
      <c r="DL231" s="205"/>
      <c r="DM231" s="205"/>
      <c r="DN231" s="205"/>
      <c r="DO231" s="205"/>
      <c r="DP231" s="205"/>
      <c r="DQ231" s="205"/>
      <c r="DR231" s="205"/>
      <c r="DS231" s="205"/>
      <c r="DT231" s="205"/>
      <c r="DU231" s="205"/>
      <c r="DV231" s="205"/>
      <c r="DW231" s="205"/>
      <c r="DX231" s="205"/>
      <c r="DY231" s="205"/>
      <c r="DZ231" s="205"/>
      <c r="EA231" s="205"/>
      <c r="EB231" s="205"/>
      <c r="EC231" s="205"/>
      <c r="ED231" s="205"/>
      <c r="EE231" s="205"/>
      <c r="EF231" s="205"/>
      <c r="EG231" s="205"/>
      <c r="EH231" s="205"/>
      <c r="EI231" s="205"/>
      <c r="EJ231" s="205"/>
      <c r="FY231" s="210">
        <v>226</v>
      </c>
      <c r="FZ231">
        <v>24.172415414551708</v>
      </c>
      <c r="GA231">
        <v>29.591462715548175</v>
      </c>
      <c r="GB231">
        <v>2.2823314458483877</v>
      </c>
      <c r="GC231">
        <v>0.49533049865345891</v>
      </c>
      <c r="GD231">
        <v>0.6122901714427782</v>
      </c>
      <c r="GE231">
        <v>1.1547135000532878</v>
      </c>
      <c r="GF231">
        <v>4.1623141611581946</v>
      </c>
      <c r="GG231">
        <v>7.6959892040951345</v>
      </c>
      <c r="GH231">
        <v>8.4704685982793215</v>
      </c>
      <c r="GI231">
        <v>6.5936977113313926</v>
      </c>
      <c r="GJ231"/>
      <c r="GK231"/>
      <c r="GL231"/>
      <c r="GM231"/>
    </row>
    <row r="232" spans="1:195" s="7" customFormat="1">
      <c r="A232" s="77"/>
      <c r="B232">
        <v>0.86139476004910276</v>
      </c>
      <c r="C232">
        <v>9</v>
      </c>
      <c r="D232">
        <v>39646</v>
      </c>
      <c r="E232">
        <v>0</v>
      </c>
      <c r="F232">
        <v>0</v>
      </c>
      <c r="G232">
        <v>0</v>
      </c>
      <c r="H232">
        <v>10.416666666666666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 s="2"/>
      <c r="AK232" s="81"/>
      <c r="AL232" s="81"/>
      <c r="AM232" s="43">
        <v>216</v>
      </c>
      <c r="AN232">
        <v>57.702184860645367</v>
      </c>
      <c r="AO232">
        <v>4.1479947602687162</v>
      </c>
      <c r="AP232">
        <v>35.592768803161732</v>
      </c>
      <c r="AQ232">
        <v>29.235675762500609</v>
      </c>
      <c r="AR232">
        <v>4.2669865150036337</v>
      </c>
      <c r="AS232">
        <v>77.55963563048681</v>
      </c>
      <c r="AT232">
        <v>2.6090425489970808</v>
      </c>
      <c r="AU232">
        <v>1.9550395967144198</v>
      </c>
      <c r="AV232"/>
      <c r="AW232"/>
      <c r="BA232" s="171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DE232" s="187">
        <f>DE162</f>
        <v>39910</v>
      </c>
      <c r="DF232" s="205"/>
      <c r="DG232" s="205">
        <f t="shared" si="386"/>
        <v>5.2656424503425767E-2</v>
      </c>
      <c r="DH232" s="205">
        <f t="shared" si="387"/>
        <v>7.12907019880473E-3</v>
      </c>
      <c r="DI232" s="205"/>
      <c r="DJ232" s="205"/>
      <c r="DK232" s="205"/>
      <c r="DL232" s="205"/>
      <c r="DM232" s="205"/>
      <c r="DN232" s="205"/>
      <c r="DO232" s="205"/>
      <c r="DP232" s="205"/>
      <c r="DQ232" s="205"/>
      <c r="DR232" s="205"/>
      <c r="DS232" s="205"/>
      <c r="DT232" s="205"/>
      <c r="DU232" s="205"/>
      <c r="DV232" s="205"/>
      <c r="DW232" s="205"/>
      <c r="DX232" s="205"/>
      <c r="DY232" s="205"/>
      <c r="DZ232" s="205"/>
      <c r="EA232" s="205"/>
      <c r="EB232" s="205"/>
      <c r="EC232" s="205"/>
      <c r="ED232" s="205"/>
      <c r="EE232" s="205"/>
      <c r="EF232" s="205"/>
      <c r="EG232" s="205"/>
      <c r="EH232" s="205"/>
      <c r="EI232" s="205"/>
      <c r="EJ232" s="205"/>
      <c r="FY232" s="210">
        <v>227</v>
      </c>
      <c r="FZ232">
        <v>24.195576205979762</v>
      </c>
      <c r="GA232">
        <v>30.865979165057006</v>
      </c>
      <c r="GB232">
        <v>3.513817230421477</v>
      </c>
      <c r="GC232">
        <v>1.2615370659205276</v>
      </c>
      <c r="GD232">
        <v>1.3719724366983044</v>
      </c>
      <c r="GE232">
        <v>3.5601245312921725</v>
      </c>
      <c r="GF232">
        <v>15.595722248555626</v>
      </c>
      <c r="GG232">
        <v>23.158670088479596</v>
      </c>
      <c r="GH232">
        <v>19.489140412666231</v>
      </c>
      <c r="GI232">
        <v>11.149706630521369</v>
      </c>
      <c r="GJ232"/>
      <c r="GK232"/>
      <c r="GL232"/>
      <c r="GM232"/>
    </row>
    <row r="233" spans="1:195" s="7" customFormat="1">
      <c r="A233" s="77"/>
      <c r="B233">
        <v>2.5387027833799536E-2</v>
      </c>
      <c r="C233">
        <v>1</v>
      </c>
      <c r="D233">
        <v>39646</v>
      </c>
      <c r="E233">
        <v>0</v>
      </c>
      <c r="F233">
        <v>0</v>
      </c>
      <c r="G233">
        <v>104.16666666666667</v>
      </c>
      <c r="H233">
        <v>20.833333333333332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 s="2"/>
      <c r="AK233" s="81"/>
      <c r="AL233" s="81"/>
      <c r="AM233" s="43">
        <v>217</v>
      </c>
      <c r="AN233">
        <v>100.1916497700868</v>
      </c>
      <c r="AO233">
        <v>12.133360382893922</v>
      </c>
      <c r="AP233">
        <v>125.18083111759374</v>
      </c>
      <c r="AQ233">
        <v>107.57583079715864</v>
      </c>
      <c r="AR233">
        <v>11.747631623694629</v>
      </c>
      <c r="AS233">
        <v>172.21131705077897</v>
      </c>
      <c r="AT233">
        <v>7.5455532150085451</v>
      </c>
      <c r="AU233">
        <v>6.5835647710916358</v>
      </c>
      <c r="AV233"/>
      <c r="AW233"/>
      <c r="BA233" s="171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DE233" s="187">
        <f>DE171</f>
        <v>39949</v>
      </c>
      <c r="DF233" s="205"/>
      <c r="DG233" s="205">
        <f t="shared" si="386"/>
        <v>0.11865482690693441</v>
      </c>
      <c r="DH233" s="205">
        <f t="shared" si="387"/>
        <v>2.0831548973260942E-2</v>
      </c>
      <c r="DI233" s="205"/>
      <c r="DJ233" s="205"/>
      <c r="DK233" s="205"/>
      <c r="DL233" s="205"/>
      <c r="DM233" s="205"/>
      <c r="DN233" s="205"/>
      <c r="DO233" s="205"/>
      <c r="DP233" s="205"/>
      <c r="DQ233" s="205"/>
      <c r="DR233" s="205"/>
      <c r="DS233" s="205"/>
      <c r="DT233" s="205"/>
      <c r="DU233" s="205"/>
      <c r="DV233" s="205"/>
      <c r="DW233" s="205"/>
      <c r="DX233" s="205"/>
      <c r="DY233" s="205"/>
      <c r="DZ233" s="205"/>
      <c r="EA233" s="205"/>
      <c r="EB233" s="205"/>
      <c r="EC233" s="205"/>
      <c r="ED233" s="205"/>
      <c r="EE233" s="205"/>
      <c r="EF233" s="205"/>
      <c r="EG233" s="205"/>
      <c r="EH233" s="205"/>
      <c r="EI233" s="205"/>
      <c r="EJ233" s="205"/>
      <c r="FY233" s="210">
        <v>228</v>
      </c>
      <c r="FZ233">
        <v>37.959719462092067</v>
      </c>
      <c r="GA233">
        <v>42.962587474955711</v>
      </c>
      <c r="GB233">
        <v>3.1856451894858084</v>
      </c>
      <c r="GC233">
        <v>0.7843044144026996</v>
      </c>
      <c r="GD233">
        <v>0.59319250428762516</v>
      </c>
      <c r="GE233">
        <v>1.1655441589727893</v>
      </c>
      <c r="GF233">
        <v>3.6318503725537683</v>
      </c>
      <c r="GG233">
        <v>8.5116758668383703</v>
      </c>
      <c r="GH233">
        <v>11.973756845812176</v>
      </c>
      <c r="GI233">
        <v>9.2936147353855976</v>
      </c>
      <c r="GJ233"/>
      <c r="GK233"/>
      <c r="GL233"/>
      <c r="GM233"/>
    </row>
    <row r="234" spans="1:195" s="7" customFormat="1">
      <c r="A234" s="77"/>
      <c r="B234">
        <v>0.87594866080694378</v>
      </c>
      <c r="C234">
        <v>7</v>
      </c>
      <c r="D234">
        <v>39646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 s="2"/>
      <c r="AK234" s="81"/>
      <c r="AL234" s="81"/>
      <c r="AM234" s="43">
        <v>218</v>
      </c>
      <c r="AN234">
        <v>99.454798402815186</v>
      </c>
      <c r="AO234">
        <v>9.1941852896032881</v>
      </c>
      <c r="AP234">
        <v>85.961660536965411</v>
      </c>
      <c r="AQ234">
        <v>72.603497570195501</v>
      </c>
      <c r="AR234">
        <v>9.060386630261041</v>
      </c>
      <c r="AS234">
        <v>182.32515345196478</v>
      </c>
      <c r="AT234">
        <v>5.4765117711428948</v>
      </c>
      <c r="AU234">
        <v>16.50992193809779</v>
      </c>
      <c r="AV234"/>
      <c r="AW234"/>
      <c r="BA234" s="171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DE234" s="187">
        <f>DE181</f>
        <v>39987</v>
      </c>
      <c r="DF234" s="205"/>
      <c r="DG234" s="205">
        <f t="shared" si="386"/>
        <v>0.24169121397589582</v>
      </c>
      <c r="DH234" s="205">
        <f t="shared" si="387"/>
        <v>1.8722165056599249E-2</v>
      </c>
      <c r="DI234" s="205"/>
      <c r="DJ234" s="205"/>
      <c r="DK234" s="205"/>
      <c r="DL234" s="205"/>
      <c r="DM234" s="205"/>
      <c r="DN234" s="205"/>
      <c r="DO234" s="205"/>
      <c r="DP234" s="205"/>
      <c r="DQ234" s="205"/>
      <c r="DR234" s="205"/>
      <c r="DS234" s="205"/>
      <c r="DT234" s="205"/>
      <c r="DU234" s="205"/>
      <c r="DV234" s="205"/>
      <c r="DW234" s="205"/>
      <c r="DX234" s="205"/>
      <c r="DY234" s="205"/>
      <c r="DZ234" s="205"/>
      <c r="EA234" s="205"/>
      <c r="EB234" s="205"/>
      <c r="EC234" s="205"/>
      <c r="ED234" s="205"/>
      <c r="EE234" s="205"/>
      <c r="EF234" s="205"/>
      <c r="EG234" s="205"/>
      <c r="EH234" s="205"/>
      <c r="EI234" s="205"/>
      <c r="EJ234" s="205"/>
      <c r="FY234" s="210">
        <v>229</v>
      </c>
      <c r="FZ234">
        <v>45.86091804533666</v>
      </c>
      <c r="GA234">
        <v>51.34343918784969</v>
      </c>
      <c r="GB234">
        <v>1.2730124532643217</v>
      </c>
      <c r="GC234">
        <v>0.75767264133356627</v>
      </c>
      <c r="GD234">
        <v>0.77231227785476908</v>
      </c>
      <c r="GE234">
        <v>2.1703756721365082</v>
      </c>
      <c r="GF234">
        <v>5.2603570410157801</v>
      </c>
      <c r="GG234">
        <v>9.9540578118643133</v>
      </c>
      <c r="GH234">
        <v>12.522721866947141</v>
      </c>
      <c r="GI234">
        <v>10.470451257616</v>
      </c>
      <c r="GJ234"/>
      <c r="GK234"/>
      <c r="GL234"/>
      <c r="GM234"/>
    </row>
    <row r="235" spans="1:195" s="7" customFormat="1">
      <c r="A235" s="77"/>
      <c r="B235">
        <v>0.88482207194402562</v>
      </c>
      <c r="C235">
        <v>1</v>
      </c>
      <c r="D235">
        <v>39646</v>
      </c>
      <c r="E235">
        <v>0</v>
      </c>
      <c r="F235">
        <v>0</v>
      </c>
      <c r="G235">
        <v>104.16666666666667</v>
      </c>
      <c r="H235">
        <v>20.833333333333332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 s="2"/>
      <c r="AK235" s="81"/>
      <c r="AL235" s="81"/>
      <c r="AM235" s="43">
        <v>219</v>
      </c>
      <c r="AN235">
        <v>79.870414201044582</v>
      </c>
      <c r="AO235">
        <v>7.4417434316694742</v>
      </c>
      <c r="AP235">
        <v>69.851223312237849</v>
      </c>
      <c r="AQ235">
        <v>59.862977349018124</v>
      </c>
      <c r="AR235">
        <v>7.5061732464969815</v>
      </c>
      <c r="AS235">
        <v>117.21997100337806</v>
      </c>
      <c r="AT235">
        <v>4.5341570636220414</v>
      </c>
      <c r="AU235">
        <v>15.663326875636166</v>
      </c>
      <c r="AV235"/>
      <c r="AW235"/>
      <c r="BA235" s="171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DF235" s="205"/>
      <c r="DG235" s="205"/>
      <c r="DH235" s="205"/>
      <c r="DI235" s="205"/>
      <c r="DJ235" s="205"/>
      <c r="DK235" s="205"/>
      <c r="DL235" s="205"/>
      <c r="DM235" s="205"/>
      <c r="DN235" s="205"/>
      <c r="DO235" s="205"/>
      <c r="DP235" s="205"/>
      <c r="DQ235" s="205"/>
      <c r="DR235" s="205"/>
      <c r="DS235" s="205"/>
      <c r="DT235" s="205"/>
      <c r="DU235" s="205"/>
      <c r="DV235" s="205"/>
      <c r="DW235" s="205"/>
      <c r="DX235" s="205"/>
      <c r="DY235" s="205"/>
      <c r="DZ235" s="205"/>
      <c r="EA235" s="205"/>
      <c r="EB235" s="205"/>
      <c r="EC235" s="205"/>
      <c r="ED235" s="205"/>
      <c r="EE235" s="205"/>
      <c r="EF235" s="205"/>
      <c r="EG235" s="205"/>
      <c r="EH235" s="205"/>
      <c r="EI235" s="205"/>
      <c r="EJ235" s="205"/>
      <c r="FY235" s="210">
        <v>230</v>
      </c>
      <c r="FZ235">
        <v>43.365540587939542</v>
      </c>
      <c r="GA235">
        <v>51.066424087053072</v>
      </c>
      <c r="GB235">
        <v>1.7990949585092915</v>
      </c>
      <c r="GC235">
        <v>1.2572037261873288</v>
      </c>
      <c r="GD235">
        <v>1.3893062559844496</v>
      </c>
      <c r="GE235">
        <v>2.9502508696773662</v>
      </c>
      <c r="GF235">
        <v>10.502036289136527</v>
      </c>
      <c r="GG235">
        <v>10.171129125656295</v>
      </c>
      <c r="GH235">
        <v>6.2410294109216427</v>
      </c>
      <c r="GI235">
        <v>10.542884861239141</v>
      </c>
      <c r="GJ235"/>
      <c r="GK235"/>
      <c r="GL235"/>
      <c r="GM235"/>
    </row>
    <row r="236" spans="1:195" s="7" customFormat="1">
      <c r="A236" s="77"/>
      <c r="B236">
        <v>0.65600111672288985</v>
      </c>
      <c r="C236">
        <v>10</v>
      </c>
      <c r="D236">
        <v>39646</v>
      </c>
      <c r="E236">
        <v>0</v>
      </c>
      <c r="F236">
        <v>0</v>
      </c>
      <c r="G236">
        <v>20.833333333333332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 s="2"/>
      <c r="AK236" s="81"/>
      <c r="AL236" s="81"/>
      <c r="AM236" s="43">
        <v>220</v>
      </c>
      <c r="AN236">
        <v>107.74952621201547</v>
      </c>
      <c r="AO236">
        <v>8.2630891748949065</v>
      </c>
      <c r="AP236">
        <v>81.263688397389984</v>
      </c>
      <c r="AQ236">
        <v>68.503289781425266</v>
      </c>
      <c r="AR236">
        <v>8.3856788591197677</v>
      </c>
      <c r="AS236">
        <v>137.95045105515419</v>
      </c>
      <c r="AT236">
        <v>4.9490342947441786</v>
      </c>
      <c r="AU236">
        <v>11.268755069752089</v>
      </c>
      <c r="AV236"/>
      <c r="AW236"/>
      <c r="BA236" s="171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DF236" s="205"/>
      <c r="DG236" s="205"/>
      <c r="DH236" s="205"/>
      <c r="DI236" s="205"/>
      <c r="DJ236" s="205"/>
      <c r="DK236" s="205"/>
      <c r="DL236" s="205"/>
      <c r="DM236" s="205"/>
      <c r="DN236" s="205"/>
      <c r="DO236" s="205"/>
      <c r="DP236" s="205"/>
      <c r="DQ236" s="205"/>
      <c r="DR236" s="205"/>
      <c r="DS236" s="205"/>
      <c r="DT236" s="205"/>
      <c r="DU236" s="205"/>
      <c r="DV236" s="205"/>
      <c r="DW236" s="205"/>
      <c r="DX236" s="205"/>
      <c r="DY236" s="205"/>
      <c r="DZ236" s="205"/>
      <c r="EA236" s="205"/>
      <c r="EB236" s="205"/>
      <c r="EC236" s="205"/>
      <c r="ED236" s="205"/>
      <c r="EE236" s="205"/>
      <c r="EF236" s="205"/>
      <c r="EG236" s="205"/>
      <c r="EH236" s="205"/>
      <c r="EI236" s="205"/>
      <c r="EJ236" s="205"/>
      <c r="FY236" s="210">
        <v>231</v>
      </c>
      <c r="FZ236">
        <v>36.378972620719885</v>
      </c>
      <c r="GA236">
        <v>40.487232498463641</v>
      </c>
      <c r="GB236">
        <v>2.7890604882520988</v>
      </c>
      <c r="GC236">
        <v>1.160826178668152</v>
      </c>
      <c r="GD236">
        <v>0.44489085864258687</v>
      </c>
      <c r="GE236">
        <v>3.5053337876338766</v>
      </c>
      <c r="GF236">
        <v>8.5995946792818589</v>
      </c>
      <c r="GG236">
        <v>5.261063452315704</v>
      </c>
      <c r="GH236">
        <v>5.2949058600141692</v>
      </c>
      <c r="GI236">
        <v>8.7173108460431177</v>
      </c>
      <c r="GJ236"/>
      <c r="GK236"/>
      <c r="GL236"/>
      <c r="GM236"/>
    </row>
    <row r="237" spans="1:195" s="7" customFormat="1">
      <c r="A237" s="77"/>
      <c r="B237">
        <v>0.88764772466975295</v>
      </c>
      <c r="C237">
        <v>6</v>
      </c>
      <c r="D237">
        <v>39646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 s="2"/>
      <c r="AK237" s="81"/>
      <c r="AL237" s="81"/>
      <c r="AM237" s="43">
        <v>221</v>
      </c>
      <c r="AN237">
        <v>97.612095286632382</v>
      </c>
      <c r="AO237">
        <v>5.9970285188143766</v>
      </c>
      <c r="AP237">
        <v>51.731534179107911</v>
      </c>
      <c r="AQ237">
        <v>42.821683061500337</v>
      </c>
      <c r="AR237">
        <v>5.8882463518875596</v>
      </c>
      <c r="AS237">
        <v>109.99213948683325</v>
      </c>
      <c r="AT237">
        <v>3.2390544266663723</v>
      </c>
      <c r="AU237">
        <v>25.987833062435278</v>
      </c>
      <c r="AV237"/>
      <c r="AW237"/>
      <c r="BA237" s="171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DF237" s="205"/>
      <c r="DG237" s="205"/>
      <c r="DH237" s="205"/>
      <c r="DI237" s="205"/>
      <c r="DJ237" s="205"/>
      <c r="DK237" s="205"/>
      <c r="DL237" s="205"/>
      <c r="DM237" s="205"/>
      <c r="DN237" s="205"/>
      <c r="DO237" s="205"/>
      <c r="DP237" s="205"/>
      <c r="DQ237" s="205"/>
      <c r="DR237" s="205"/>
      <c r="DS237" s="205"/>
      <c r="DT237" s="205"/>
      <c r="DU237" s="205"/>
      <c r="DV237" s="205"/>
      <c r="DW237" s="205"/>
      <c r="DX237" s="205"/>
      <c r="DY237" s="205"/>
      <c r="DZ237" s="205"/>
      <c r="EA237" s="205"/>
      <c r="EB237" s="205"/>
      <c r="EC237" s="205"/>
      <c r="ED237" s="205"/>
      <c r="EE237" s="205"/>
      <c r="EF237" s="205"/>
      <c r="EG237" s="205"/>
      <c r="EH237" s="205"/>
      <c r="EI237" s="205"/>
      <c r="EJ237" s="205"/>
      <c r="FY237" s="210">
        <v>232</v>
      </c>
      <c r="FZ237">
        <v>12.945590099622724</v>
      </c>
      <c r="GA237">
        <v>14.959024996876144</v>
      </c>
      <c r="GB237">
        <v>1.6027754430315071</v>
      </c>
      <c r="GC237">
        <v>0.76886847571283368</v>
      </c>
      <c r="GD237">
        <v>0.38795178347212789</v>
      </c>
      <c r="GE237">
        <v>1.1369956317103023</v>
      </c>
      <c r="GF237">
        <v>10.601769632788702</v>
      </c>
      <c r="GG237">
        <v>12.93737749015634</v>
      </c>
      <c r="GH237">
        <v>10.680227277653159</v>
      </c>
      <c r="GI237">
        <v>6.1364409584086008</v>
      </c>
      <c r="GJ237"/>
      <c r="GK237"/>
      <c r="GL237"/>
      <c r="GM237"/>
    </row>
    <row r="238" spans="1:195" s="7" customFormat="1">
      <c r="A238" s="77"/>
      <c r="B238">
        <v>0.26376810131258899</v>
      </c>
      <c r="C238">
        <v>10</v>
      </c>
      <c r="D238">
        <v>39673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 s="2"/>
      <c r="AK238" s="81"/>
      <c r="AL238" s="81"/>
      <c r="AM238" s="43">
        <v>222</v>
      </c>
      <c r="AN238">
        <v>115.43902320570498</v>
      </c>
      <c r="AO238">
        <v>10.072284617432762</v>
      </c>
      <c r="AP238">
        <v>99.779056371863319</v>
      </c>
      <c r="AQ238">
        <v>84.987191176885759</v>
      </c>
      <c r="AR238">
        <v>9.5697272023745761</v>
      </c>
      <c r="AS238">
        <v>188.74035555513845</v>
      </c>
      <c r="AT238">
        <v>6.5669581332396811</v>
      </c>
      <c r="AU238">
        <v>20.006478268941333</v>
      </c>
      <c r="AV238"/>
      <c r="AW238"/>
      <c r="BA238" s="171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DF238" s="205"/>
      <c r="DG238" s="205"/>
      <c r="DH238" s="205"/>
      <c r="DI238" s="205"/>
      <c r="DJ238" s="205"/>
      <c r="DK238" s="205"/>
      <c r="DL238" s="205"/>
      <c r="DM238" s="205"/>
      <c r="DN238" s="205"/>
      <c r="DO238" s="205"/>
      <c r="DP238" s="205"/>
      <c r="DQ238" s="205"/>
      <c r="DR238" s="205"/>
      <c r="DS238" s="205"/>
      <c r="DT238" s="205"/>
      <c r="DU238" s="205"/>
      <c r="DV238" s="205"/>
      <c r="DW238" s="205"/>
      <c r="DX238" s="205"/>
      <c r="DY238" s="205"/>
      <c r="DZ238" s="205"/>
      <c r="EA238" s="205"/>
      <c r="EB238" s="205"/>
      <c r="EC238" s="205"/>
      <c r="ED238" s="205"/>
      <c r="EE238" s="205"/>
      <c r="EF238" s="205"/>
      <c r="EG238" s="205"/>
      <c r="EH238" s="205"/>
      <c r="EI238" s="205"/>
      <c r="EJ238" s="205"/>
      <c r="FY238" s="210">
        <v>233</v>
      </c>
      <c r="FZ238">
        <v>54.327231307243444</v>
      </c>
      <c r="GA238">
        <v>65.282271525479743</v>
      </c>
      <c r="GB238">
        <v>1.5364168586099669</v>
      </c>
      <c r="GC238">
        <v>0.58903018492420345</v>
      </c>
      <c r="GD238">
        <v>0.88751271581649949</v>
      </c>
      <c r="GE238">
        <v>3.4417559279566787</v>
      </c>
      <c r="GF238">
        <v>5.1818762525679727</v>
      </c>
      <c r="GG238">
        <v>8.5841002948375316</v>
      </c>
      <c r="GH238">
        <v>12.696068170977632</v>
      </c>
      <c r="GI238">
        <v>11.870893738421412</v>
      </c>
      <c r="GJ238"/>
      <c r="GK238"/>
      <c r="GL238"/>
      <c r="GM238"/>
    </row>
    <row r="239" spans="1:195" s="7" customFormat="1">
      <c r="A239" s="77" t="s">
        <v>61</v>
      </c>
      <c r="B239">
        <v>0.88806054847387328</v>
      </c>
      <c r="C239">
        <v>2</v>
      </c>
      <c r="D239">
        <v>39673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 s="2"/>
      <c r="AK239" s="81"/>
      <c r="AL239" s="81"/>
      <c r="AM239" s="43">
        <v>223</v>
      </c>
      <c r="AN239">
        <v>149.60609484227686</v>
      </c>
      <c r="AO239">
        <v>7.3257412769349219</v>
      </c>
      <c r="AP239">
        <v>66.19898735488745</v>
      </c>
      <c r="AQ239">
        <v>53.361919115601907</v>
      </c>
      <c r="AR239">
        <v>6.7982332404732055</v>
      </c>
      <c r="AS239">
        <v>122.89198946859558</v>
      </c>
      <c r="AT239">
        <v>3.9684913694846493</v>
      </c>
      <c r="AU239">
        <v>54.485819673963746</v>
      </c>
      <c r="AV239"/>
      <c r="AW239"/>
      <c r="BA239" s="171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DE239" s="184" t="s">
        <v>139</v>
      </c>
      <c r="DF239" s="183" t="s">
        <v>83</v>
      </c>
      <c r="DG239" s="182">
        <v>1</v>
      </c>
      <c r="DH239" s="182">
        <v>2</v>
      </c>
      <c r="DI239" s="182">
        <v>3</v>
      </c>
      <c r="DJ239" s="182">
        <v>4</v>
      </c>
      <c r="DK239" s="182">
        <v>5</v>
      </c>
      <c r="DL239" s="182">
        <v>6</v>
      </c>
      <c r="DM239" s="182">
        <v>7</v>
      </c>
      <c r="DN239" s="182">
        <v>8</v>
      </c>
      <c r="DO239" s="182">
        <v>9</v>
      </c>
      <c r="DP239" s="182">
        <v>10</v>
      </c>
      <c r="DQ239" s="182">
        <v>11</v>
      </c>
      <c r="DR239" s="182">
        <v>12</v>
      </c>
      <c r="DS239" s="182">
        <v>13</v>
      </c>
      <c r="DT239" s="182">
        <v>14</v>
      </c>
      <c r="DU239" s="182">
        <v>15</v>
      </c>
      <c r="DV239" s="182">
        <v>16</v>
      </c>
      <c r="DW239" s="182">
        <v>17</v>
      </c>
      <c r="DX239" s="182">
        <v>18</v>
      </c>
      <c r="DY239" s="182">
        <v>19</v>
      </c>
      <c r="DZ239" s="182">
        <v>20</v>
      </c>
      <c r="EA239" s="182">
        <v>21</v>
      </c>
      <c r="EB239" s="182">
        <v>22</v>
      </c>
      <c r="EC239" s="182">
        <v>23</v>
      </c>
      <c r="ED239" s="182">
        <v>24</v>
      </c>
      <c r="EE239" s="182">
        <v>25</v>
      </c>
      <c r="EF239" s="182">
        <v>26</v>
      </c>
      <c r="EG239" s="182">
        <v>27</v>
      </c>
      <c r="EH239" s="182">
        <v>28</v>
      </c>
      <c r="EI239" s="182">
        <v>29</v>
      </c>
      <c r="EJ239" s="182">
        <v>30</v>
      </c>
      <c r="FY239" s="210">
        <v>234</v>
      </c>
      <c r="FZ239">
        <v>14.600500018302373</v>
      </c>
      <c r="GA239">
        <v>15.709313662922595</v>
      </c>
      <c r="GB239">
        <v>2.4653491997267301</v>
      </c>
      <c r="GC239">
        <v>0.98688842186427594</v>
      </c>
      <c r="GD239">
        <v>0.99826630350638246</v>
      </c>
      <c r="GE239">
        <v>2.4028072168861789</v>
      </c>
      <c r="GF239">
        <v>2.5011747792274743</v>
      </c>
      <c r="GG239">
        <v>4.9505539841912896</v>
      </c>
      <c r="GH239">
        <v>8.8734664515734103</v>
      </c>
      <c r="GI239">
        <v>5.2091582817851076</v>
      </c>
      <c r="GJ239"/>
      <c r="GK239"/>
      <c r="GL239"/>
      <c r="GM239"/>
    </row>
    <row r="240" spans="1:195" s="7" customFormat="1">
      <c r="A240" s="77" t="s">
        <v>62</v>
      </c>
      <c r="B240">
        <v>2.831913937676056E-2</v>
      </c>
      <c r="C240">
        <v>7</v>
      </c>
      <c r="D240">
        <v>39673</v>
      </c>
      <c r="E240">
        <v>0</v>
      </c>
      <c r="F240">
        <v>0</v>
      </c>
      <c r="G240">
        <v>0</v>
      </c>
      <c r="H240">
        <v>15.046296296296296</v>
      </c>
      <c r="I240">
        <v>105.32407407407406</v>
      </c>
      <c r="J240">
        <v>255.78703703703704</v>
      </c>
      <c r="K240">
        <v>120.37037037037037</v>
      </c>
      <c r="L240">
        <v>45.138888888888886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 s="2"/>
      <c r="AK240" s="81"/>
      <c r="AL240" s="81"/>
      <c r="AM240" s="43">
        <v>224</v>
      </c>
      <c r="AN240">
        <v>110.87960096954649</v>
      </c>
      <c r="AO240">
        <v>11.839462596036473</v>
      </c>
      <c r="AP240">
        <v>123.02804896000505</v>
      </c>
      <c r="AQ240">
        <v>102.99087163948916</v>
      </c>
      <c r="AR240">
        <v>11.71784921446943</v>
      </c>
      <c r="AS240">
        <v>191.37783093606924</v>
      </c>
      <c r="AT240">
        <v>7.2683671005517221</v>
      </c>
      <c r="AU240">
        <v>42.116777076768109</v>
      </c>
      <c r="AV240"/>
      <c r="AW240"/>
      <c r="BA240" s="171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DE240" s="187">
        <v>39646</v>
      </c>
      <c r="DF240" s="182">
        <v>0</v>
      </c>
      <c r="DG240" s="182">
        <v>0</v>
      </c>
      <c r="DH240" s="182">
        <v>16.666666666666668</v>
      </c>
      <c r="DI240" s="182">
        <v>5.208333333333333</v>
      </c>
      <c r="DJ240" s="182">
        <v>2.083333333333333</v>
      </c>
      <c r="DK240" s="182">
        <v>1.0416666666666665</v>
      </c>
      <c r="DL240" s="182">
        <v>4.1666666666666661</v>
      </c>
      <c r="DM240" s="182">
        <v>0</v>
      </c>
      <c r="DN240" s="182">
        <v>0</v>
      </c>
      <c r="DO240" s="182">
        <v>0</v>
      </c>
      <c r="DP240" s="182">
        <v>0</v>
      </c>
      <c r="DQ240" s="182">
        <v>0</v>
      </c>
      <c r="DR240" s="182">
        <v>0</v>
      </c>
      <c r="DS240" s="182">
        <v>0</v>
      </c>
      <c r="DT240" s="182">
        <v>0</v>
      </c>
      <c r="DU240" s="182">
        <v>0</v>
      </c>
      <c r="DV240" s="182">
        <v>0</v>
      </c>
      <c r="DW240" s="182">
        <v>0</v>
      </c>
      <c r="DX240" s="182">
        <v>0</v>
      </c>
      <c r="DY240" s="182">
        <v>0</v>
      </c>
      <c r="DZ240" s="182">
        <v>0</v>
      </c>
      <c r="EA240" s="182">
        <v>0</v>
      </c>
      <c r="EB240" s="182">
        <v>0</v>
      </c>
      <c r="EC240" s="182">
        <v>0</v>
      </c>
      <c r="ED240" s="182">
        <v>0</v>
      </c>
      <c r="EE240" s="182">
        <v>0</v>
      </c>
      <c r="EF240" s="182">
        <v>0</v>
      </c>
      <c r="EG240" s="182">
        <v>0</v>
      </c>
      <c r="EH240" s="182">
        <v>0</v>
      </c>
      <c r="EI240" s="182">
        <v>0</v>
      </c>
      <c r="EJ240" s="182">
        <v>0</v>
      </c>
      <c r="FY240" s="210">
        <v>235</v>
      </c>
      <c r="FZ240">
        <v>33.871470616333291</v>
      </c>
      <c r="GA240">
        <v>40.083089053347102</v>
      </c>
      <c r="GB240">
        <v>3.2842411079406411</v>
      </c>
      <c r="GC240">
        <v>1.6608419299607065</v>
      </c>
      <c r="GD240">
        <v>0.50800564487969024</v>
      </c>
      <c r="GE240">
        <v>3.2440864797427111</v>
      </c>
      <c r="GF240">
        <v>9.0235514050243868</v>
      </c>
      <c r="GG240">
        <v>8.3128723285870674</v>
      </c>
      <c r="GH240">
        <v>9.0287236163328206</v>
      </c>
      <c r="GI240">
        <v>9.16201985258256</v>
      </c>
      <c r="GJ240"/>
      <c r="GK240"/>
      <c r="GL240"/>
      <c r="GM240"/>
    </row>
    <row r="241" spans="1:195" s="7" customFormat="1">
      <c r="A241" s="77"/>
      <c r="B241">
        <v>0.69274510750720109</v>
      </c>
      <c r="C241">
        <v>9</v>
      </c>
      <c r="D241">
        <v>39673</v>
      </c>
      <c r="E241">
        <v>0</v>
      </c>
      <c r="F241">
        <v>0</v>
      </c>
      <c r="G241">
        <v>10.416666666666666</v>
      </c>
      <c r="H241">
        <v>0</v>
      </c>
      <c r="I241">
        <v>10.416666666666666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 s="2"/>
      <c r="AK241" s="81"/>
      <c r="AL241" s="81"/>
      <c r="AM241" s="43">
        <v>225</v>
      </c>
      <c r="AN241">
        <v>80.169171321167852</v>
      </c>
      <c r="AO241">
        <v>7.8815442639315734</v>
      </c>
      <c r="AP241">
        <v>79.118267074104907</v>
      </c>
      <c r="AQ241">
        <v>65.078333544346634</v>
      </c>
      <c r="AR241">
        <v>7.6748345878469504</v>
      </c>
      <c r="AS241">
        <v>116.03362555259488</v>
      </c>
      <c r="AT241">
        <v>4.683219066619591</v>
      </c>
      <c r="AU241">
        <v>33.834490527256733</v>
      </c>
      <c r="AV241"/>
      <c r="AW241"/>
      <c r="DE241" s="187">
        <v>39673</v>
      </c>
      <c r="DF241" s="185">
        <v>0</v>
      </c>
      <c r="DG241" s="185">
        <v>2.083333333333333</v>
      </c>
      <c r="DH241" s="185">
        <v>14.0625</v>
      </c>
      <c r="DI241" s="185">
        <v>35.358796296296298</v>
      </c>
      <c r="DJ241" s="185">
        <v>46.469907407407405</v>
      </c>
      <c r="DK241" s="185">
        <v>33.391203703703709</v>
      </c>
      <c r="DL241" s="185">
        <v>21.412037037037038</v>
      </c>
      <c r="DM241" s="185">
        <v>10.763888888888889</v>
      </c>
      <c r="DN241" s="185">
        <v>0</v>
      </c>
      <c r="DO241" s="185">
        <v>0</v>
      </c>
      <c r="DP241" s="185">
        <v>0</v>
      </c>
      <c r="DQ241" s="185">
        <v>0</v>
      </c>
      <c r="DR241" s="185">
        <v>0</v>
      </c>
      <c r="DS241" s="185">
        <v>0</v>
      </c>
      <c r="DT241" s="185">
        <v>0</v>
      </c>
      <c r="DU241" s="185">
        <v>0</v>
      </c>
      <c r="DV241" s="185">
        <v>0</v>
      </c>
      <c r="DW241" s="185">
        <v>0</v>
      </c>
      <c r="DX241" s="185">
        <v>0</v>
      </c>
      <c r="DY241" s="185">
        <v>0</v>
      </c>
      <c r="DZ241" s="185">
        <v>0</v>
      </c>
      <c r="EA241" s="185">
        <v>0</v>
      </c>
      <c r="EB241" s="185">
        <v>0</v>
      </c>
      <c r="EC241" s="185">
        <v>0</v>
      </c>
      <c r="ED241" s="185">
        <v>0</v>
      </c>
      <c r="EE241" s="185">
        <v>0</v>
      </c>
      <c r="EF241" s="185">
        <v>0</v>
      </c>
      <c r="EG241" s="185">
        <v>0</v>
      </c>
      <c r="EH241" s="185">
        <v>0</v>
      </c>
      <c r="EI241" s="185">
        <v>0</v>
      </c>
      <c r="EJ241" s="185">
        <v>0</v>
      </c>
      <c r="FY241" s="210">
        <v>236</v>
      </c>
      <c r="FZ241">
        <v>12.703790493274772</v>
      </c>
      <c r="GA241">
        <v>15.47526328090078</v>
      </c>
      <c r="GB241">
        <v>2.7148078177174377</v>
      </c>
      <c r="GC241">
        <v>1.3811449793755828</v>
      </c>
      <c r="GD241">
        <v>1.1696673934437836</v>
      </c>
      <c r="GE241">
        <v>3.5093384679842301</v>
      </c>
      <c r="GF241">
        <v>3.9487468811317723</v>
      </c>
      <c r="GG241">
        <v>8.1094197416953939</v>
      </c>
      <c r="GH241">
        <v>13.420217889359122</v>
      </c>
      <c r="GI241">
        <v>6.0592891275741998</v>
      </c>
      <c r="GJ241"/>
      <c r="GK241"/>
      <c r="GL241"/>
      <c r="GM241"/>
    </row>
    <row r="242" spans="1:195" s="7" customFormat="1">
      <c r="A242" s="1"/>
      <c r="B242">
        <v>0.73669073940646168</v>
      </c>
      <c r="C242">
        <v>10</v>
      </c>
      <c r="D242">
        <v>39673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 s="2"/>
      <c r="AK242" s="81"/>
      <c r="AL242" s="81"/>
      <c r="AM242" s="43">
        <v>226</v>
      </c>
      <c r="AN242">
        <v>82.857414288946458</v>
      </c>
      <c r="AO242">
        <v>9.4634032038655853</v>
      </c>
      <c r="AP242">
        <v>100.72456676259205</v>
      </c>
      <c r="AQ242">
        <v>85.231013420961844</v>
      </c>
      <c r="AR242">
        <v>9.2133054299563444</v>
      </c>
      <c r="AS242">
        <v>138.17800939863884</v>
      </c>
      <c r="AT242">
        <v>5.2767380645837152</v>
      </c>
      <c r="AU242">
        <v>26.083231395257059</v>
      </c>
      <c r="AV242"/>
      <c r="AW242"/>
      <c r="BI242" s="162"/>
      <c r="DE242" s="187">
        <v>39714</v>
      </c>
      <c r="DF242" s="182">
        <v>0</v>
      </c>
      <c r="DG242" s="182">
        <v>0</v>
      </c>
      <c r="DH242" s="182">
        <v>8.928571428571427</v>
      </c>
      <c r="DI242" s="182">
        <v>0</v>
      </c>
      <c r="DJ242" s="182">
        <v>0</v>
      </c>
      <c r="DK242" s="182">
        <v>1.0416666666666665</v>
      </c>
      <c r="DL242" s="182">
        <v>3.125</v>
      </c>
      <c r="DM242" s="182">
        <v>2.083333333333333</v>
      </c>
      <c r="DN242" s="182">
        <v>0</v>
      </c>
      <c r="DO242" s="182">
        <v>0</v>
      </c>
      <c r="DP242" s="182">
        <v>0</v>
      </c>
      <c r="DQ242" s="182">
        <v>0</v>
      </c>
      <c r="DR242" s="182">
        <v>0</v>
      </c>
      <c r="DS242" s="182">
        <v>0</v>
      </c>
      <c r="DT242" s="182">
        <v>0</v>
      </c>
      <c r="DU242" s="182">
        <v>0</v>
      </c>
      <c r="DV242" s="182">
        <v>0</v>
      </c>
      <c r="DW242" s="182">
        <v>0</v>
      </c>
      <c r="DX242" s="182">
        <v>0</v>
      </c>
      <c r="DY242" s="182">
        <v>0</v>
      </c>
      <c r="DZ242" s="182">
        <v>0</v>
      </c>
      <c r="EA242" s="182">
        <v>0</v>
      </c>
      <c r="EB242" s="182">
        <v>0</v>
      </c>
      <c r="EC242" s="182">
        <v>0</v>
      </c>
      <c r="ED242" s="182">
        <v>0</v>
      </c>
      <c r="EE242" s="182">
        <v>0</v>
      </c>
      <c r="EF242" s="182">
        <v>0</v>
      </c>
      <c r="EG242" s="182">
        <v>0</v>
      </c>
      <c r="EH242" s="182">
        <v>0</v>
      </c>
      <c r="EI242" s="182">
        <v>0</v>
      </c>
      <c r="EJ242" s="182">
        <v>0</v>
      </c>
      <c r="FY242" s="210">
        <v>237</v>
      </c>
      <c r="FZ242">
        <v>23.179902888151336</v>
      </c>
      <c r="GA242">
        <v>26.188294718381865</v>
      </c>
      <c r="GB242">
        <v>2.4372709067315395</v>
      </c>
      <c r="GC242">
        <v>1.4702898185604856</v>
      </c>
      <c r="GD242">
        <v>1.0872518530098441</v>
      </c>
      <c r="GE242">
        <v>2.808674382822125</v>
      </c>
      <c r="GF242">
        <v>4.7712311873388282</v>
      </c>
      <c r="GG242">
        <v>4.1630994592486452</v>
      </c>
      <c r="GH242">
        <v>5.5865049087151846</v>
      </c>
      <c r="GI242">
        <v>6.4012905168887926</v>
      </c>
      <c r="GJ242"/>
      <c r="GK242"/>
      <c r="GL242"/>
      <c r="GM242"/>
    </row>
    <row r="243" spans="1:195" s="7" customFormat="1">
      <c r="A243" s="1"/>
      <c r="B243">
        <v>0.39796670567706549</v>
      </c>
      <c r="C243">
        <v>4</v>
      </c>
      <c r="D243">
        <v>39673</v>
      </c>
      <c r="E243">
        <v>0</v>
      </c>
      <c r="F243">
        <v>0</v>
      </c>
      <c r="G243">
        <v>0</v>
      </c>
      <c r="H243">
        <v>10.416666666666666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 s="2"/>
      <c r="AK243" s="81"/>
      <c r="AL243" s="81"/>
      <c r="AM243" s="43">
        <v>227</v>
      </c>
      <c r="AN243">
        <v>212.48629599782711</v>
      </c>
      <c r="AO243">
        <v>16.153881125759128</v>
      </c>
      <c r="AP243">
        <v>161.02092221386476</v>
      </c>
      <c r="AQ243">
        <v>134.16224601559207</v>
      </c>
      <c r="AR243">
        <v>15.400811495198971</v>
      </c>
      <c r="AS243">
        <v>295.78160724415346</v>
      </c>
      <c r="AT243">
        <v>9.1844848909126018</v>
      </c>
      <c r="AU243">
        <v>74.083545811277489</v>
      </c>
      <c r="AV243"/>
      <c r="AW243"/>
      <c r="DE243" s="187">
        <v>39747</v>
      </c>
      <c r="DF243" s="182">
        <v>0</v>
      </c>
      <c r="DG243" s="182">
        <v>0</v>
      </c>
      <c r="DH243" s="182">
        <v>64.70697944297082</v>
      </c>
      <c r="DI243" s="182">
        <v>28.475333451941946</v>
      </c>
      <c r="DJ243" s="182">
        <v>6.510416666666667</v>
      </c>
      <c r="DK243" s="182">
        <v>0</v>
      </c>
      <c r="DL243" s="182">
        <v>0</v>
      </c>
      <c r="DM243" s="182">
        <v>0</v>
      </c>
      <c r="DN243" s="182">
        <v>0</v>
      </c>
      <c r="DO243" s="182">
        <v>0</v>
      </c>
      <c r="DP243" s="182">
        <v>0</v>
      </c>
      <c r="DQ243" s="182">
        <v>0</v>
      </c>
      <c r="DR243" s="182">
        <v>0</v>
      </c>
      <c r="DS243" s="182">
        <v>0</v>
      </c>
      <c r="DT243" s="182">
        <v>0</v>
      </c>
      <c r="DU243" s="182">
        <v>0</v>
      </c>
      <c r="DV243" s="182">
        <v>0</v>
      </c>
      <c r="DW243" s="182">
        <v>0</v>
      </c>
      <c r="DX243" s="182">
        <v>0</v>
      </c>
      <c r="DY243" s="182">
        <v>0</v>
      </c>
      <c r="DZ243" s="182">
        <v>0</v>
      </c>
      <c r="EA243" s="182">
        <v>0</v>
      </c>
      <c r="EB243" s="182">
        <v>0</v>
      </c>
      <c r="EC243" s="182">
        <v>0</v>
      </c>
      <c r="ED243" s="182">
        <v>0</v>
      </c>
      <c r="EE243" s="182">
        <v>0</v>
      </c>
      <c r="EF243" s="182">
        <v>0</v>
      </c>
      <c r="EG243" s="182">
        <v>0</v>
      </c>
      <c r="EH243" s="182">
        <v>0</v>
      </c>
      <c r="EI243" s="182">
        <v>0</v>
      </c>
      <c r="EJ243" s="182">
        <v>0</v>
      </c>
      <c r="FY243" s="210">
        <v>238</v>
      </c>
      <c r="FZ243">
        <v>23.104655293480381</v>
      </c>
      <c r="GA243">
        <v>28.094620070652645</v>
      </c>
      <c r="GB243">
        <v>3.0270159201652143</v>
      </c>
      <c r="GC243">
        <v>1.2170396093782365</v>
      </c>
      <c r="GD243">
        <v>0.56492777837544239</v>
      </c>
      <c r="GE243">
        <v>2.6156874312394574</v>
      </c>
      <c r="GF243">
        <v>7.7874561967117266</v>
      </c>
      <c r="GG243">
        <v>9.4981866184349748</v>
      </c>
      <c r="GH243">
        <v>11.120889038196102</v>
      </c>
      <c r="GI243">
        <v>7.6589861155093022</v>
      </c>
      <c r="GJ243"/>
      <c r="GK243"/>
      <c r="GL243"/>
      <c r="GM243"/>
    </row>
    <row r="244" spans="1:195" s="7" customFormat="1">
      <c r="A244" s="1"/>
      <c r="B244">
        <v>0.49190160462048005</v>
      </c>
      <c r="C244">
        <v>3</v>
      </c>
      <c r="D244">
        <v>39673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 s="2"/>
      <c r="AK244" s="81"/>
      <c r="AL244" s="81"/>
      <c r="AM244" s="43">
        <v>228</v>
      </c>
      <c r="AN244">
        <v>106.8673333712336</v>
      </c>
      <c r="AO244">
        <v>13.048527253823673</v>
      </c>
      <c r="AP244">
        <v>141.3099668657824</v>
      </c>
      <c r="AQ244">
        <v>120.06189102478663</v>
      </c>
      <c r="AR244">
        <v>13.005816098522887</v>
      </c>
      <c r="AS244">
        <v>223.25073382807838</v>
      </c>
      <c r="AT244">
        <v>7.4545464899498777</v>
      </c>
      <c r="AU244">
        <v>24.142429579749596</v>
      </c>
      <c r="AV244"/>
      <c r="AW244"/>
      <c r="DE244" s="187">
        <v>39775</v>
      </c>
      <c r="DF244" s="182">
        <v>0</v>
      </c>
      <c r="DG244" s="182">
        <v>8.3333333333333321</v>
      </c>
      <c r="DH244" s="182">
        <v>51.092171717171716</v>
      </c>
      <c r="DI244" s="182">
        <v>8.7962962962962976</v>
      </c>
      <c r="DJ244" s="182">
        <v>0</v>
      </c>
      <c r="DK244" s="182">
        <v>0</v>
      </c>
      <c r="DL244" s="182">
        <v>0</v>
      </c>
      <c r="DM244" s="182">
        <v>0</v>
      </c>
      <c r="DN244" s="182">
        <v>0</v>
      </c>
      <c r="DO244" s="182">
        <v>0</v>
      </c>
      <c r="DP244" s="182">
        <v>0</v>
      </c>
      <c r="DQ244" s="182">
        <v>0</v>
      </c>
      <c r="DR244" s="182">
        <v>0</v>
      </c>
      <c r="DS244" s="182">
        <v>0</v>
      </c>
      <c r="DT244" s="182">
        <v>0</v>
      </c>
      <c r="DU244" s="182">
        <v>0</v>
      </c>
      <c r="DV244" s="182">
        <v>0</v>
      </c>
      <c r="DW244" s="182">
        <v>0</v>
      </c>
      <c r="DX244" s="182">
        <v>0</v>
      </c>
      <c r="DY244" s="182">
        <v>0</v>
      </c>
      <c r="DZ244" s="182">
        <v>0</v>
      </c>
      <c r="EA244" s="182">
        <v>0</v>
      </c>
      <c r="EB244" s="182">
        <v>0</v>
      </c>
      <c r="EC244" s="182">
        <v>0</v>
      </c>
      <c r="ED244" s="182">
        <v>0</v>
      </c>
      <c r="EE244" s="182">
        <v>0</v>
      </c>
      <c r="EF244" s="182">
        <v>0</v>
      </c>
      <c r="EG244" s="182">
        <v>0</v>
      </c>
      <c r="EH244" s="182">
        <v>0</v>
      </c>
      <c r="EI244" s="182">
        <v>0</v>
      </c>
      <c r="EJ244" s="182">
        <v>0</v>
      </c>
      <c r="FY244" s="210">
        <v>239</v>
      </c>
      <c r="FZ244">
        <v>34.341452730016982</v>
      </c>
      <c r="GA244">
        <v>40.110867766872431</v>
      </c>
      <c r="GB244">
        <v>2.5826901356464456</v>
      </c>
      <c r="GC244">
        <v>1.2258918255540079</v>
      </c>
      <c r="GD244">
        <v>1.285860750065676</v>
      </c>
      <c r="GE244">
        <v>2.6736012777463301</v>
      </c>
      <c r="GF244">
        <v>5.7796429797508946</v>
      </c>
      <c r="GG244">
        <v>9.5230392594937037</v>
      </c>
      <c r="GH244">
        <v>9.9011584570485596</v>
      </c>
      <c r="GI244">
        <v>9.0650107074128954</v>
      </c>
      <c r="GJ244"/>
      <c r="GK244"/>
      <c r="GL244"/>
      <c r="GM244"/>
    </row>
    <row r="245" spans="1:195" s="7" customFormat="1">
      <c r="A245" s="1"/>
      <c r="B245">
        <v>4.2941463362303978E-2</v>
      </c>
      <c r="C245">
        <v>3</v>
      </c>
      <c r="D245">
        <v>39673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 s="2"/>
      <c r="AK245" s="81"/>
      <c r="AL245" s="81"/>
      <c r="AM245" s="43">
        <v>229</v>
      </c>
      <c r="AN245">
        <v>128.82847565762523</v>
      </c>
      <c r="AO245">
        <v>15.151737403887887</v>
      </c>
      <c r="AP245">
        <v>162.63374638659633</v>
      </c>
      <c r="AQ245">
        <v>140.38531825521878</v>
      </c>
      <c r="AR245">
        <v>14.590564659226374</v>
      </c>
      <c r="AS245">
        <v>222.4785301546176</v>
      </c>
      <c r="AT245">
        <v>9.0944916895330401</v>
      </c>
      <c r="AU245">
        <v>11.546750538856138</v>
      </c>
      <c r="AV245"/>
      <c r="AW245"/>
      <c r="DE245" s="187">
        <v>39799</v>
      </c>
      <c r="DF245" s="182">
        <v>0</v>
      </c>
      <c r="DG245" s="182">
        <v>29.24465240641711</v>
      </c>
      <c r="DH245" s="182">
        <v>9.375</v>
      </c>
      <c r="DI245" s="182">
        <v>28.819444444444446</v>
      </c>
      <c r="DJ245" s="182">
        <v>3.125</v>
      </c>
      <c r="DK245" s="182">
        <v>1.0416666666666665</v>
      </c>
      <c r="DL245" s="182">
        <v>1.0416666666666665</v>
      </c>
      <c r="DM245" s="182">
        <v>1.0416666666666665</v>
      </c>
      <c r="DN245" s="182">
        <v>0</v>
      </c>
      <c r="DO245" s="182">
        <v>0</v>
      </c>
      <c r="DP245" s="182">
        <v>0</v>
      </c>
      <c r="DQ245" s="182">
        <v>0</v>
      </c>
      <c r="DR245" s="182">
        <v>0</v>
      </c>
      <c r="DS245" s="182">
        <v>0</v>
      </c>
      <c r="DT245" s="182">
        <v>0</v>
      </c>
      <c r="DU245" s="182">
        <v>0</v>
      </c>
      <c r="DV245" s="182">
        <v>0</v>
      </c>
      <c r="DW245" s="182">
        <v>0</v>
      </c>
      <c r="DX245" s="182">
        <v>0</v>
      </c>
      <c r="DY245" s="182">
        <v>0</v>
      </c>
      <c r="DZ245" s="182">
        <v>0</v>
      </c>
      <c r="EA245" s="182">
        <v>0</v>
      </c>
      <c r="EB245" s="182">
        <v>0</v>
      </c>
      <c r="EC245" s="182">
        <v>0</v>
      </c>
      <c r="ED245" s="182">
        <v>0</v>
      </c>
      <c r="EE245" s="182">
        <v>0</v>
      </c>
      <c r="EF245" s="182">
        <v>0</v>
      </c>
      <c r="EG245" s="182">
        <v>0</v>
      </c>
      <c r="EH245" s="182">
        <v>0</v>
      </c>
      <c r="EI245" s="182">
        <v>0</v>
      </c>
      <c r="EJ245" s="182">
        <v>0</v>
      </c>
      <c r="FY245" s="210">
        <v>240</v>
      </c>
      <c r="FZ245">
        <v>54.084824404468549</v>
      </c>
      <c r="GA245">
        <v>64.693007259970287</v>
      </c>
      <c r="GB245">
        <v>2.4916019047601945</v>
      </c>
      <c r="GC245">
        <v>1.3571399741983872</v>
      </c>
      <c r="GD245">
        <v>1.4292090032604858</v>
      </c>
      <c r="GE245">
        <v>3.3008844632353846</v>
      </c>
      <c r="GF245">
        <v>9.41876263308475</v>
      </c>
      <c r="GG245">
        <v>8.2514147462685941</v>
      </c>
      <c r="GH245">
        <v>4.2176755482838395</v>
      </c>
      <c r="GI245">
        <v>11.791562103511188</v>
      </c>
      <c r="GJ245"/>
      <c r="GK245"/>
      <c r="GL245"/>
      <c r="GM245"/>
    </row>
    <row r="246" spans="1:195" s="7" customFormat="1">
      <c r="A246" s="1"/>
      <c r="B246">
        <v>0.89736184996625035</v>
      </c>
      <c r="C246">
        <v>6</v>
      </c>
      <c r="D246">
        <v>39673</v>
      </c>
      <c r="E246">
        <v>0</v>
      </c>
      <c r="F246">
        <v>0</v>
      </c>
      <c r="G246">
        <v>0</v>
      </c>
      <c r="H246">
        <v>10.416666666666666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 s="2"/>
      <c r="AK246" s="81"/>
      <c r="AL246" s="81"/>
      <c r="AM246" s="43">
        <v>230</v>
      </c>
      <c r="AN246">
        <v>139.63601906174645</v>
      </c>
      <c r="AO246">
        <v>15.48162460034122</v>
      </c>
      <c r="AP246">
        <v>161.02128574778817</v>
      </c>
      <c r="AQ246">
        <v>139.28490017230465</v>
      </c>
      <c r="AR246">
        <v>14.687769424575819</v>
      </c>
      <c r="AS246">
        <v>208.44243365259061</v>
      </c>
      <c r="AT246">
        <v>9.2494001845294367</v>
      </c>
      <c r="AU246">
        <v>12.494327849259127</v>
      </c>
      <c r="AV246"/>
      <c r="AW246"/>
      <c r="DE246" s="187">
        <f>DE218</f>
        <v>39847</v>
      </c>
      <c r="DF246" s="182">
        <v>0</v>
      </c>
      <c r="DG246" s="182">
        <v>52.164713541666671</v>
      </c>
      <c r="DH246" s="182">
        <v>81.190321180555557</v>
      </c>
      <c r="DI246" s="182">
        <v>15.543619791666666</v>
      </c>
      <c r="DJ246" s="182">
        <v>2.6041666666666665</v>
      </c>
      <c r="DK246" s="182">
        <v>1.3020833333333333</v>
      </c>
      <c r="DL246" s="182">
        <v>1.3020833333333333</v>
      </c>
      <c r="DM246" s="182">
        <v>0</v>
      </c>
      <c r="DN246" s="182">
        <v>0</v>
      </c>
      <c r="DO246" s="182">
        <v>0</v>
      </c>
      <c r="DP246" s="182">
        <v>0</v>
      </c>
      <c r="DQ246" s="182">
        <v>0</v>
      </c>
      <c r="DR246" s="182">
        <v>0</v>
      </c>
      <c r="DS246" s="182">
        <v>0</v>
      </c>
      <c r="DT246" s="182">
        <v>0</v>
      </c>
      <c r="DU246" s="182">
        <v>0</v>
      </c>
      <c r="DV246" s="182">
        <v>0</v>
      </c>
      <c r="DW246" s="182">
        <v>0</v>
      </c>
      <c r="DX246" s="182">
        <v>0</v>
      </c>
      <c r="DY246" s="182">
        <v>0</v>
      </c>
      <c r="DZ246" s="182">
        <v>0</v>
      </c>
      <c r="EA246" s="182">
        <v>0</v>
      </c>
      <c r="EB246" s="182">
        <v>0</v>
      </c>
      <c r="EC246" s="182">
        <v>0</v>
      </c>
      <c r="ED246" s="182">
        <v>0</v>
      </c>
      <c r="EE246" s="182">
        <v>0</v>
      </c>
      <c r="EF246" s="182">
        <v>0</v>
      </c>
      <c r="EG246" s="182">
        <v>0</v>
      </c>
      <c r="EH246" s="182">
        <v>0</v>
      </c>
      <c r="EI246" s="182">
        <v>0</v>
      </c>
      <c r="EJ246" s="182">
        <v>0</v>
      </c>
      <c r="FY246" s="210">
        <v>241</v>
      </c>
      <c r="FZ246">
        <v>13.027052104458161</v>
      </c>
      <c r="GA246">
        <v>16.107119051589944</v>
      </c>
      <c r="GB246">
        <v>3.1070899708661455</v>
      </c>
      <c r="GC246">
        <v>1.0934142314055646</v>
      </c>
      <c r="GD246">
        <v>0.23670999336697007</v>
      </c>
      <c r="GE246">
        <v>1.9854369954087434</v>
      </c>
      <c r="GF246">
        <v>8.4734862419931147</v>
      </c>
      <c r="GG246">
        <v>10.227151244344077</v>
      </c>
      <c r="GH246">
        <v>10.933335546928072</v>
      </c>
      <c r="GI246">
        <v>6.0966418036677696</v>
      </c>
      <c r="GJ246"/>
      <c r="GK246"/>
      <c r="GL246"/>
      <c r="GM246"/>
    </row>
    <row r="247" spans="1:195" s="7" customFormat="1">
      <c r="A247" s="77" t="s">
        <v>61</v>
      </c>
      <c r="B247">
        <v>0.17772269395709572</v>
      </c>
      <c r="C247">
        <v>8</v>
      </c>
      <c r="D247">
        <v>39673</v>
      </c>
      <c r="E247">
        <v>0</v>
      </c>
      <c r="F247">
        <v>20.833333333333332</v>
      </c>
      <c r="G247">
        <v>130.20833333333334</v>
      </c>
      <c r="H247">
        <v>307.29166666666669</v>
      </c>
      <c r="I247">
        <v>328.125</v>
      </c>
      <c r="J247">
        <v>78.125</v>
      </c>
      <c r="K247">
        <v>93.75</v>
      </c>
      <c r="L247">
        <v>62.5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 s="2"/>
      <c r="AK247" s="81"/>
      <c r="AL247" s="81"/>
      <c r="AM247" s="43">
        <v>231</v>
      </c>
      <c r="AN247">
        <v>126.32384250233812</v>
      </c>
      <c r="AO247">
        <v>12.448499814299963</v>
      </c>
      <c r="AP247">
        <v>131.14116104255001</v>
      </c>
      <c r="AQ247">
        <v>112.63919127003508</v>
      </c>
      <c r="AR247">
        <v>11.988223370359144</v>
      </c>
      <c r="AS247">
        <v>178.43175674220097</v>
      </c>
      <c r="AT247">
        <v>7.2248564303430038</v>
      </c>
      <c r="AU247">
        <v>8.0620060983377009</v>
      </c>
      <c r="AV247"/>
      <c r="AW247"/>
      <c r="DE247" s="187">
        <v>39910</v>
      </c>
      <c r="DF247" s="182">
        <v>0</v>
      </c>
      <c r="DG247" s="182">
        <v>0</v>
      </c>
      <c r="DH247" s="182">
        <v>166.95601851851848</v>
      </c>
      <c r="DI247" s="182">
        <v>19.097222222222221</v>
      </c>
      <c r="DJ247" s="182">
        <v>30.960648148148145</v>
      </c>
      <c r="DK247" s="182">
        <v>0</v>
      </c>
      <c r="DL247" s="182">
        <v>0</v>
      </c>
      <c r="DM247" s="182">
        <v>0</v>
      </c>
      <c r="DN247" s="182">
        <v>0</v>
      </c>
      <c r="DO247" s="182">
        <v>0</v>
      </c>
      <c r="DP247" s="182">
        <v>0</v>
      </c>
      <c r="DQ247" s="182">
        <v>0</v>
      </c>
      <c r="DR247" s="182">
        <v>0</v>
      </c>
      <c r="DS247" s="182">
        <v>0</v>
      </c>
      <c r="DT247" s="182">
        <v>0</v>
      </c>
      <c r="DU247" s="182">
        <v>0</v>
      </c>
      <c r="DV247" s="182">
        <v>0</v>
      </c>
      <c r="DW247" s="182">
        <v>0</v>
      </c>
      <c r="DX247" s="182">
        <v>0</v>
      </c>
      <c r="DY247" s="182">
        <v>0</v>
      </c>
      <c r="DZ247" s="182">
        <v>0</v>
      </c>
      <c r="EA247" s="182">
        <v>0</v>
      </c>
      <c r="EB247" s="182">
        <v>0</v>
      </c>
      <c r="EC247" s="182">
        <v>0</v>
      </c>
      <c r="ED247" s="182">
        <v>0</v>
      </c>
      <c r="EE247" s="182">
        <v>0</v>
      </c>
      <c r="EF247" s="182">
        <v>0</v>
      </c>
      <c r="EG247" s="182">
        <v>0</v>
      </c>
      <c r="EH247" s="182">
        <v>0</v>
      </c>
      <c r="EI247" s="182">
        <v>0</v>
      </c>
      <c r="EJ247" s="182">
        <v>0</v>
      </c>
      <c r="FY247" s="210">
        <v>242</v>
      </c>
      <c r="FZ247">
        <v>15.429931312581262</v>
      </c>
      <c r="GA247">
        <v>15.7070666628107</v>
      </c>
      <c r="GB247">
        <v>2.9190017234359189</v>
      </c>
      <c r="GC247">
        <v>1.534544305613647</v>
      </c>
      <c r="GD247">
        <v>0.84356783326355345</v>
      </c>
      <c r="GE247">
        <v>1.8100116592871152</v>
      </c>
      <c r="GF247">
        <v>6.0160280390588143</v>
      </c>
      <c r="GG247">
        <v>11.556062477019264</v>
      </c>
      <c r="GH247">
        <v>12.16966158386677</v>
      </c>
      <c r="GI247">
        <v>6.5100126164878818</v>
      </c>
      <c r="GJ247"/>
      <c r="GK247"/>
      <c r="GL247"/>
      <c r="GM247"/>
    </row>
    <row r="248" spans="1:195" s="7" customFormat="1">
      <c r="A248" s="77" t="s">
        <v>62</v>
      </c>
      <c r="B248">
        <v>0.42614849045542957</v>
      </c>
      <c r="C248">
        <v>9</v>
      </c>
      <c r="D248">
        <v>39714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10.416666666666666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 s="2"/>
      <c r="AK248" s="81"/>
      <c r="AL248" s="81"/>
      <c r="AM248" s="43">
        <v>232</v>
      </c>
      <c r="AN248">
        <v>139.58905395946215</v>
      </c>
      <c r="AO248">
        <v>8.5905065663838265</v>
      </c>
      <c r="AP248">
        <v>87.766434687259547</v>
      </c>
      <c r="AQ248">
        <v>72.157021789432434</v>
      </c>
      <c r="AR248">
        <v>8.4692834182380388</v>
      </c>
      <c r="AS248">
        <v>171.14542826163378</v>
      </c>
      <c r="AT248">
        <v>5.3581436561850611</v>
      </c>
      <c r="AU248">
        <v>26.475195340926824</v>
      </c>
      <c r="AV248"/>
      <c r="AW248"/>
      <c r="DE248" s="187">
        <v>39949</v>
      </c>
      <c r="DF248" s="182">
        <v>0</v>
      </c>
      <c r="DG248" s="182">
        <v>49.641679350583459</v>
      </c>
      <c r="DH248" s="182">
        <v>124.45804250434796</v>
      </c>
      <c r="DI248" s="182">
        <v>17.24537037037037</v>
      </c>
      <c r="DJ248" s="182">
        <v>22.011133417309612</v>
      </c>
      <c r="DK248" s="182">
        <v>5.208333333333333</v>
      </c>
      <c r="DL248" s="182">
        <v>5.208333333333333</v>
      </c>
      <c r="DM248" s="182">
        <v>0</v>
      </c>
      <c r="DN248" s="182">
        <v>0</v>
      </c>
      <c r="DO248" s="182">
        <v>8</v>
      </c>
      <c r="DP248" s="182">
        <v>0</v>
      </c>
      <c r="DQ248" s="182">
        <v>0</v>
      </c>
      <c r="DR248" s="182">
        <v>0</v>
      </c>
      <c r="DS248" s="182">
        <v>0</v>
      </c>
      <c r="DT248" s="182">
        <v>0</v>
      </c>
      <c r="DU248" s="182">
        <v>0</v>
      </c>
      <c r="DV248" s="182">
        <v>0</v>
      </c>
      <c r="DW248" s="182">
        <v>0</v>
      </c>
      <c r="DX248" s="182">
        <v>0</v>
      </c>
      <c r="DY248" s="182">
        <v>0</v>
      </c>
      <c r="DZ248" s="182">
        <v>0</v>
      </c>
      <c r="EA248" s="182">
        <v>0</v>
      </c>
      <c r="EB248" s="182">
        <v>0</v>
      </c>
      <c r="EC248" s="182">
        <v>0</v>
      </c>
      <c r="ED248" s="182">
        <v>0</v>
      </c>
      <c r="EE248" s="182">
        <v>0</v>
      </c>
      <c r="EF248" s="182">
        <v>0</v>
      </c>
      <c r="EG248" s="182">
        <v>0</v>
      </c>
      <c r="EH248" s="182">
        <v>0</v>
      </c>
      <c r="EI248" s="182">
        <v>0</v>
      </c>
      <c r="EJ248" s="182">
        <v>0</v>
      </c>
      <c r="FY248" s="210">
        <v>243</v>
      </c>
      <c r="FZ248">
        <v>23.664873916151727</v>
      </c>
      <c r="GA248">
        <v>27.547175697276522</v>
      </c>
      <c r="GB248">
        <v>2.2406888716605757</v>
      </c>
      <c r="GC248">
        <v>0.91478346756213047</v>
      </c>
      <c r="GD248">
        <v>0.67869142311742392</v>
      </c>
      <c r="GE248">
        <v>1.3046277611898527</v>
      </c>
      <c r="GF248">
        <v>8.913994702688095</v>
      </c>
      <c r="GG248">
        <v>12.791274334311398</v>
      </c>
      <c r="GH248">
        <v>9.9121924833786821</v>
      </c>
      <c r="GI248">
        <v>7.6246870162815803</v>
      </c>
      <c r="GJ248"/>
      <c r="GK248"/>
      <c r="GL248"/>
      <c r="GM248"/>
    </row>
    <row r="249" spans="1:195" s="7" customFormat="1">
      <c r="A249" s="1"/>
      <c r="B249">
        <v>0.16242993867046485</v>
      </c>
      <c r="C249">
        <v>7</v>
      </c>
      <c r="D249">
        <v>39714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 s="2"/>
      <c r="AK249" s="81"/>
      <c r="AL249" s="81"/>
      <c r="AM249" s="43">
        <v>233</v>
      </c>
      <c r="AN249">
        <v>145.72539108423834</v>
      </c>
      <c r="AO249">
        <v>17.506344324385367</v>
      </c>
      <c r="AP249">
        <v>189.51167694093752</v>
      </c>
      <c r="AQ249">
        <v>164.39715697683508</v>
      </c>
      <c r="AR249">
        <v>16.487745442881593</v>
      </c>
      <c r="AS249">
        <v>209.49428369162237</v>
      </c>
      <c r="AT249">
        <v>9.7363556323708984</v>
      </c>
      <c r="AU249">
        <v>39.933826800841473</v>
      </c>
      <c r="AV249"/>
      <c r="AW249"/>
      <c r="DE249" s="187">
        <v>39987</v>
      </c>
      <c r="DF249" s="182">
        <v>0</v>
      </c>
      <c r="DG249" s="182">
        <v>0</v>
      </c>
      <c r="DH249" s="182">
        <v>6.0763888888888884</v>
      </c>
      <c r="DI249" s="182">
        <v>0</v>
      </c>
      <c r="DJ249" s="182">
        <v>17.626250781738587</v>
      </c>
      <c r="DK249" s="182">
        <v>1.0416666666666665</v>
      </c>
      <c r="DL249" s="182">
        <v>1.0416666666666665</v>
      </c>
      <c r="DM249" s="182">
        <v>3.125</v>
      </c>
      <c r="DN249" s="182">
        <v>0</v>
      </c>
      <c r="DO249" s="182">
        <v>0</v>
      </c>
      <c r="DP249" s="182">
        <v>0</v>
      </c>
      <c r="DQ249" s="182">
        <v>0</v>
      </c>
      <c r="DR249" s="182">
        <v>0</v>
      </c>
      <c r="DS249" s="182">
        <v>0</v>
      </c>
      <c r="DT249" s="182">
        <v>0</v>
      </c>
      <c r="DU249" s="182">
        <v>0</v>
      </c>
      <c r="DV249" s="182">
        <v>0</v>
      </c>
      <c r="DW249" s="182">
        <v>0</v>
      </c>
      <c r="DX249" s="182">
        <v>0</v>
      </c>
      <c r="DY249" s="182">
        <v>0</v>
      </c>
      <c r="DZ249" s="182">
        <v>0</v>
      </c>
      <c r="EA249" s="182">
        <v>0</v>
      </c>
      <c r="EB249" s="182">
        <v>0</v>
      </c>
      <c r="EC249" s="182">
        <v>0</v>
      </c>
      <c r="ED249" s="182">
        <v>0</v>
      </c>
      <c r="EE249" s="182">
        <v>0</v>
      </c>
      <c r="EF249" s="182">
        <v>0</v>
      </c>
      <c r="EG249" s="182">
        <v>0</v>
      </c>
      <c r="EH249" s="182">
        <v>0</v>
      </c>
      <c r="EI249" s="182">
        <v>0</v>
      </c>
      <c r="EJ249" s="182">
        <v>0</v>
      </c>
      <c r="FY249" s="210">
        <v>244</v>
      </c>
      <c r="FZ249">
        <v>22.637399835007177</v>
      </c>
      <c r="GA249">
        <v>29.361146615821227</v>
      </c>
      <c r="GB249">
        <v>4.0077613568209625</v>
      </c>
      <c r="GC249">
        <v>1.4508364524999371</v>
      </c>
      <c r="GD249">
        <v>0.8208789725221205</v>
      </c>
      <c r="GE249">
        <v>2.4459040141786996</v>
      </c>
      <c r="GF249">
        <v>4.0931139685144364</v>
      </c>
      <c r="GG249">
        <v>6.7842366036287611</v>
      </c>
      <c r="GH249">
        <v>7.7688286756201084</v>
      </c>
      <c r="GI249">
        <v>6.7921743398136449</v>
      </c>
      <c r="GJ249"/>
      <c r="GK249"/>
      <c r="GL249"/>
      <c r="GM249"/>
    </row>
    <row r="250" spans="1:195" s="7" customFormat="1">
      <c r="A250" s="1"/>
      <c r="B250">
        <v>0.33359383890816585</v>
      </c>
      <c r="C250">
        <v>8</v>
      </c>
      <c r="D250">
        <v>39714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 s="2"/>
      <c r="AK250" s="81"/>
      <c r="AL250" s="81"/>
      <c r="AM250" s="43">
        <v>234</v>
      </c>
      <c r="AN250">
        <v>75.005792982173276</v>
      </c>
      <c r="AO250">
        <v>7.1200591300040355</v>
      </c>
      <c r="AP250">
        <v>68.668125477831637</v>
      </c>
      <c r="AQ250">
        <v>58.697478319985819</v>
      </c>
      <c r="AR250">
        <v>7.2189257677955236</v>
      </c>
      <c r="AS250">
        <v>134.54779332692411</v>
      </c>
      <c r="AT250">
        <v>4.5450107740512715</v>
      </c>
      <c r="AU250">
        <v>13.079727081866473</v>
      </c>
      <c r="AV250"/>
      <c r="AW250"/>
      <c r="DE250" s="187"/>
      <c r="DF250" s="182"/>
      <c r="DG250" s="186"/>
      <c r="DH250" s="186"/>
      <c r="DI250" s="186"/>
      <c r="DJ250" s="186"/>
      <c r="DK250" s="186"/>
      <c r="DL250" s="186"/>
      <c r="DM250" s="186"/>
      <c r="DN250" s="186"/>
      <c r="DO250" s="186"/>
      <c r="DP250" s="186"/>
      <c r="DQ250" s="186"/>
      <c r="DR250" s="186"/>
      <c r="DS250" s="186"/>
      <c r="DT250" s="186"/>
      <c r="DU250" s="186"/>
      <c r="DV250" s="186"/>
      <c r="DW250" s="186"/>
      <c r="DX250" s="186"/>
      <c r="DY250" s="186"/>
      <c r="DZ250" s="186"/>
      <c r="EA250" s="182"/>
      <c r="EB250" s="186"/>
      <c r="EC250" s="182"/>
      <c r="ED250" s="182"/>
      <c r="EE250" s="182"/>
      <c r="EF250" s="182"/>
      <c r="EG250" s="182"/>
      <c r="EH250" s="182"/>
      <c r="EI250" s="182"/>
      <c r="EJ250" s="182"/>
      <c r="FY250" s="210">
        <v>245</v>
      </c>
      <c r="FZ250">
        <v>0.60124878694315187</v>
      </c>
      <c r="GA250">
        <v>3.3791340930121203</v>
      </c>
      <c r="GB250">
        <v>4.3976338956270142</v>
      </c>
      <c r="GC250">
        <v>2.1830845287122118</v>
      </c>
      <c r="GD250">
        <v>1.5017023192140515</v>
      </c>
      <c r="GE250">
        <v>2.5063573553841314</v>
      </c>
      <c r="GF250">
        <v>4.3846858212166131</v>
      </c>
      <c r="GG250">
        <v>9.418157351703325</v>
      </c>
      <c r="GH250">
        <v>11.686181742421496</v>
      </c>
      <c r="GI250">
        <v>4.6763600427116367</v>
      </c>
      <c r="GJ250"/>
      <c r="GK250"/>
      <c r="GL250"/>
      <c r="GM250"/>
    </row>
    <row r="251" spans="1:195" s="7" customFormat="1">
      <c r="A251" s="1"/>
      <c r="B251">
        <v>0.89053577393847805</v>
      </c>
      <c r="C251">
        <v>3</v>
      </c>
      <c r="D251">
        <v>39714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10.416666666666666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 s="2"/>
      <c r="AK251" s="81"/>
      <c r="AL251" s="81"/>
      <c r="AM251" s="43">
        <v>235</v>
      </c>
      <c r="AN251">
        <v>159.92507880908431</v>
      </c>
      <c r="AO251">
        <v>13.298551729107842</v>
      </c>
      <c r="AP251">
        <v>138.67867033159436</v>
      </c>
      <c r="AQ251">
        <v>118.17890203473098</v>
      </c>
      <c r="AR251">
        <v>12.586820305964443</v>
      </c>
      <c r="AS251">
        <v>185.71254913770872</v>
      </c>
      <c r="AT251">
        <v>8.0448750908088655</v>
      </c>
      <c r="AU251">
        <v>22.806119376817147</v>
      </c>
      <c r="AV251"/>
      <c r="AW251"/>
      <c r="DE251" s="187"/>
      <c r="DF251" s="182"/>
      <c r="DG251" s="186"/>
      <c r="DH251" s="186"/>
      <c r="DI251" s="186"/>
      <c r="DJ251" s="186"/>
      <c r="DK251" s="186"/>
      <c r="DL251" s="186"/>
      <c r="DM251" s="186"/>
      <c r="DN251" s="186"/>
      <c r="DO251" s="186"/>
      <c r="DP251" s="186"/>
      <c r="DQ251" s="186"/>
      <c r="DR251" s="186"/>
      <c r="DS251" s="186"/>
      <c r="DT251" s="186"/>
      <c r="DU251" s="186"/>
      <c r="DV251" s="186"/>
      <c r="DW251" s="186"/>
      <c r="DX251" s="186"/>
      <c r="DY251" s="186"/>
      <c r="DZ251" s="186"/>
      <c r="EA251" s="182"/>
      <c r="EB251" s="186"/>
      <c r="EC251" s="182"/>
      <c r="ED251" s="182"/>
      <c r="EE251" s="182"/>
      <c r="EF251" s="182"/>
      <c r="EG251" s="182"/>
      <c r="EH251" s="182"/>
      <c r="EI251" s="182"/>
      <c r="EJ251" s="182"/>
      <c r="FY251" s="210">
        <v>246</v>
      </c>
      <c r="FZ251">
        <v>54.625955642308227</v>
      </c>
      <c r="GA251">
        <v>66.635262263428302</v>
      </c>
      <c r="GB251">
        <v>2.5850581099685401</v>
      </c>
      <c r="GC251">
        <v>0.54730758041838723</v>
      </c>
      <c r="GD251">
        <v>1.0563187100917215</v>
      </c>
      <c r="GE251">
        <v>1.7841899044233387</v>
      </c>
      <c r="GF251">
        <v>2.872432772250606</v>
      </c>
      <c r="GG251">
        <v>4.4059164941389275</v>
      </c>
      <c r="GH251">
        <v>5.2521577370927304</v>
      </c>
      <c r="GI251">
        <v>10.674438705043638</v>
      </c>
      <c r="GJ251"/>
      <c r="GK251"/>
      <c r="GL251"/>
      <c r="GM251"/>
    </row>
    <row r="252" spans="1:195" s="7" customFormat="1">
      <c r="A252" s="1"/>
      <c r="B252">
        <v>0.55383418382807936</v>
      </c>
      <c r="C252">
        <v>3</v>
      </c>
      <c r="D252">
        <v>39714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10.416666666666666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 s="2"/>
      <c r="AK252" s="81"/>
      <c r="AL252" s="81"/>
      <c r="AM252" s="43">
        <v>236</v>
      </c>
      <c r="AN252">
        <v>122.66868026510035</v>
      </c>
      <c r="AO252">
        <v>8.5510076186999129</v>
      </c>
      <c r="AP252">
        <v>80.363463744271996</v>
      </c>
      <c r="AQ252">
        <v>68.491686072457071</v>
      </c>
      <c r="AR252">
        <v>8.2941995067386927</v>
      </c>
      <c r="AS252">
        <v>131.98229907125392</v>
      </c>
      <c r="AT252">
        <v>5.0838151569572814</v>
      </c>
      <c r="AU252">
        <v>23.408729480820288</v>
      </c>
      <c r="AV252"/>
      <c r="AW252"/>
      <c r="FY252" s="210">
        <v>247</v>
      </c>
      <c r="FZ252">
        <v>54.833239098502261</v>
      </c>
      <c r="GA252">
        <v>65.527425389897758</v>
      </c>
      <c r="GB252">
        <v>3.7193532423693045</v>
      </c>
      <c r="GC252">
        <v>1.4197207810816153</v>
      </c>
      <c r="GD252">
        <v>1.0600093976835436</v>
      </c>
      <c r="GE252">
        <v>2.3894955434456042</v>
      </c>
      <c r="GF252">
        <v>2.466879069609702</v>
      </c>
      <c r="GG252">
        <v>5.9565170265481369</v>
      </c>
      <c r="GH252">
        <v>8.3724461330869104</v>
      </c>
      <c r="GI252">
        <v>11.417869091973378</v>
      </c>
      <c r="GJ252"/>
      <c r="GK252"/>
      <c r="GL252"/>
      <c r="GM252"/>
    </row>
    <row r="253" spans="1:195" s="7" customFormat="1">
      <c r="A253" s="1"/>
      <c r="B253">
        <v>0.71838362512516429</v>
      </c>
      <c r="C253">
        <v>7</v>
      </c>
      <c r="D253">
        <v>39714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 s="2"/>
      <c r="AK253" s="81"/>
      <c r="AL253" s="81"/>
      <c r="AM253" s="43">
        <v>237</v>
      </c>
      <c r="AN253">
        <v>83.363117947830787</v>
      </c>
      <c r="AO253">
        <v>9.1100411977465718</v>
      </c>
      <c r="AP253">
        <v>90.137574680706976</v>
      </c>
      <c r="AQ253">
        <v>78.093810639848655</v>
      </c>
      <c r="AR253">
        <v>8.8556163223585553</v>
      </c>
      <c r="AS253">
        <v>126.49456899592401</v>
      </c>
      <c r="AT253">
        <v>5.9739665657378707</v>
      </c>
      <c r="AU253">
        <v>6.292238653202558</v>
      </c>
      <c r="AV253"/>
      <c r="AW253"/>
      <c r="FY253" s="210">
        <v>248</v>
      </c>
      <c r="FZ253">
        <v>45.719517358632906</v>
      </c>
      <c r="GA253">
        <v>53.533213098072437</v>
      </c>
      <c r="GB253">
        <v>2.8604573677078893</v>
      </c>
      <c r="GC253">
        <v>0.84450673909455931</v>
      </c>
      <c r="GD253">
        <v>0.66484762017030741</v>
      </c>
      <c r="GE253">
        <v>2.1084651012986781</v>
      </c>
      <c r="GF253">
        <v>2.4224887465253819</v>
      </c>
      <c r="GG253">
        <v>5.5991773969918821</v>
      </c>
      <c r="GH253">
        <v>9.469026117929765</v>
      </c>
      <c r="GI253">
        <v>9.7833487025101604</v>
      </c>
      <c r="GJ253"/>
      <c r="GK253"/>
      <c r="GL253"/>
      <c r="GM253"/>
    </row>
    <row r="254" spans="1:195" s="7" customFormat="1">
      <c r="A254" s="1"/>
      <c r="B254">
        <v>0.47980505636116194</v>
      </c>
      <c r="C254">
        <v>8</v>
      </c>
      <c r="D254">
        <v>39714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 s="2"/>
      <c r="AK254" s="81"/>
      <c r="AL254" s="81"/>
      <c r="AM254" s="43">
        <v>238</v>
      </c>
      <c r="AN254">
        <v>113.801051570898</v>
      </c>
      <c r="AO254">
        <v>10.939434743426805</v>
      </c>
      <c r="AP254">
        <v>112.55037948763693</v>
      </c>
      <c r="AQ254">
        <v>94.68946407214348</v>
      </c>
      <c r="AR254">
        <v>10.563286206409147</v>
      </c>
      <c r="AS254">
        <v>211.2274334965054</v>
      </c>
      <c r="AT254">
        <v>6.3957550377806847</v>
      </c>
      <c r="AU254">
        <v>22.742307359733829</v>
      </c>
      <c r="AV254"/>
      <c r="AW254"/>
      <c r="FY254" s="210">
        <v>249</v>
      </c>
      <c r="FZ254">
        <v>33.733079213394959</v>
      </c>
      <c r="GA254">
        <v>39.203257754957264</v>
      </c>
      <c r="GB254">
        <v>1.9692890027427858</v>
      </c>
      <c r="GC254">
        <v>1.0581567193254144</v>
      </c>
      <c r="GD254">
        <v>0.74768433473215601</v>
      </c>
      <c r="GE254">
        <v>4.3887266404263361</v>
      </c>
      <c r="GF254">
        <v>14.044877101682951</v>
      </c>
      <c r="GG254">
        <v>8.5710030976581759</v>
      </c>
      <c r="GH254">
        <v>5.1803067718633073</v>
      </c>
      <c r="GI254">
        <v>9.256444880174211</v>
      </c>
      <c r="GJ254"/>
      <c r="GK254"/>
      <c r="GL254"/>
      <c r="GM254"/>
    </row>
    <row r="255" spans="1:195" s="7" customFormat="1">
      <c r="A255" s="1"/>
      <c r="B255">
        <v>0.47843466325464434</v>
      </c>
      <c r="C255">
        <v>4</v>
      </c>
      <c r="D255">
        <v>39714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20.833333333333332</v>
      </c>
      <c r="L255">
        <v>10.416666666666666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 s="2"/>
      <c r="AK255" s="81"/>
      <c r="AL255" s="81"/>
      <c r="AM255" s="43">
        <v>239</v>
      </c>
      <c r="AN255">
        <v>125.88984061787933</v>
      </c>
      <c r="AO255">
        <v>13.167649568625203</v>
      </c>
      <c r="AP255">
        <v>135.17786717016122</v>
      </c>
      <c r="AQ255">
        <v>116.48921588960791</v>
      </c>
      <c r="AR255">
        <v>12.638765736116818</v>
      </c>
      <c r="AS255">
        <v>213.53135508579396</v>
      </c>
      <c r="AT255">
        <v>7.7446580603905106</v>
      </c>
      <c r="AU255">
        <v>55.305521131148026</v>
      </c>
      <c r="AV255"/>
      <c r="AW255"/>
      <c r="FY255" s="210">
        <v>250</v>
      </c>
      <c r="FZ255">
        <v>11.489010265749727</v>
      </c>
      <c r="GA255">
        <v>16.30845141506278</v>
      </c>
      <c r="GB255">
        <v>3.3218831189542795</v>
      </c>
      <c r="GC255">
        <v>1.1287320648259964</v>
      </c>
      <c r="GD255">
        <v>0.95555467296629293</v>
      </c>
      <c r="GE255">
        <v>2.0501589481773097</v>
      </c>
      <c r="GF255">
        <v>11.443267447042833</v>
      </c>
      <c r="GG255">
        <v>16.656834708025798</v>
      </c>
      <c r="GH255">
        <v>12.32983721097419</v>
      </c>
      <c r="GI255">
        <v>7.095138110771277</v>
      </c>
      <c r="GJ255"/>
      <c r="GK255"/>
      <c r="GL255"/>
      <c r="GM255"/>
    </row>
    <row r="256" spans="1:195" s="7" customFormat="1">
      <c r="A256" s="1"/>
      <c r="B256">
        <v>0.38091969262723202</v>
      </c>
      <c r="C256">
        <v>8</v>
      </c>
      <c r="D256">
        <v>39714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 s="2"/>
      <c r="AK256" s="81"/>
      <c r="AL256" s="81"/>
      <c r="AM256" s="43">
        <v>240</v>
      </c>
      <c r="AN256">
        <v>157.49112857288748</v>
      </c>
      <c r="AO256">
        <v>17.51011176802896</v>
      </c>
      <c r="AP256">
        <v>185.26107750787745</v>
      </c>
      <c r="AQ256">
        <v>161.03608204104162</v>
      </c>
      <c r="AR256">
        <v>16.424329344135149</v>
      </c>
      <c r="AS256">
        <v>256.65324627849384</v>
      </c>
      <c r="AT256">
        <v>10.429105763110741</v>
      </c>
      <c r="AU256">
        <v>119.84025629590712</v>
      </c>
      <c r="AV256"/>
      <c r="AW256"/>
      <c r="FY256" s="210">
        <v>251</v>
      </c>
      <c r="FZ256">
        <v>54.048329142583214</v>
      </c>
      <c r="GA256">
        <v>66.363762651188523</v>
      </c>
      <c r="GB256">
        <v>4.4117770171228097</v>
      </c>
      <c r="GC256">
        <v>1.8840559170190225</v>
      </c>
      <c r="GD256">
        <v>1.7103016132112812</v>
      </c>
      <c r="GE256">
        <v>3.7977116764811991</v>
      </c>
      <c r="GF256">
        <v>5.8415470240814535</v>
      </c>
      <c r="GG256">
        <v>7.7937796247317674</v>
      </c>
      <c r="GH256">
        <v>9.7152389873400775</v>
      </c>
      <c r="GI256">
        <v>12.676988498438931</v>
      </c>
      <c r="GJ256"/>
      <c r="GK256"/>
      <c r="GL256"/>
      <c r="GM256"/>
    </row>
    <row r="257" spans="1:195" s="7" customFormat="1">
      <c r="A257" s="1"/>
      <c r="B257">
        <v>0.30898950571231776</v>
      </c>
      <c r="C257">
        <v>7</v>
      </c>
      <c r="D257">
        <v>39714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 s="2"/>
      <c r="AK257" s="81"/>
      <c r="AL257" s="81"/>
      <c r="AM257" s="43">
        <v>241</v>
      </c>
      <c r="AN257">
        <v>118.69615095062579</v>
      </c>
      <c r="AO257">
        <v>8.5538927545102474</v>
      </c>
      <c r="AP257">
        <v>86.911503939632055</v>
      </c>
      <c r="AQ257">
        <v>71.287437184028562</v>
      </c>
      <c r="AR257">
        <v>8.3764125191806738</v>
      </c>
      <c r="AS257">
        <v>136.23918933819931</v>
      </c>
      <c r="AT257">
        <v>4.9966271666459674</v>
      </c>
      <c r="AU257">
        <v>17.53534912528314</v>
      </c>
      <c r="AV257"/>
      <c r="AW257"/>
      <c r="FY257" s="210">
        <v>252</v>
      </c>
      <c r="FZ257">
        <v>27.972489609975582</v>
      </c>
      <c r="GA257">
        <v>27.698657403415911</v>
      </c>
      <c r="GB257">
        <v>2.9990757741368506</v>
      </c>
      <c r="GC257">
        <v>1.2364545696554821</v>
      </c>
      <c r="GD257">
        <v>0.89105977022402616</v>
      </c>
      <c r="GE257">
        <v>3.1000929348461939</v>
      </c>
      <c r="GF257">
        <v>9.709278171937104</v>
      </c>
      <c r="GG257">
        <v>10.538371232219005</v>
      </c>
      <c r="GH257">
        <v>7.8356452002577726</v>
      </c>
      <c r="GI257">
        <v>8.3834945963444589</v>
      </c>
      <c r="GJ257"/>
      <c r="GK257"/>
      <c r="GL257"/>
      <c r="GM257"/>
    </row>
    <row r="258" spans="1:195" s="7" customFormat="1">
      <c r="A258" s="1"/>
      <c r="B258">
        <v>0.23902350811261197</v>
      </c>
      <c r="C258">
        <v>5</v>
      </c>
      <c r="D258">
        <v>39747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 s="2"/>
      <c r="AK258" s="81"/>
      <c r="AL258" s="81"/>
      <c r="AM258" s="43">
        <v>242</v>
      </c>
      <c r="AN258">
        <v>120.07260254092151</v>
      </c>
      <c r="AO258">
        <v>9.1523691359303125</v>
      </c>
      <c r="AP258">
        <v>88.806842243844741</v>
      </c>
      <c r="AQ258">
        <v>74.495888213424934</v>
      </c>
      <c r="AR258">
        <v>9.0086968726665972</v>
      </c>
      <c r="AS258">
        <v>163.23397708980528</v>
      </c>
      <c r="AT258">
        <v>4.9746476502345205</v>
      </c>
      <c r="AU258">
        <v>24.191328467309887</v>
      </c>
      <c r="AV258"/>
      <c r="AW258"/>
      <c r="FY258" s="210">
        <v>253</v>
      </c>
      <c r="FZ258">
        <v>2.7038699528603058</v>
      </c>
      <c r="GA258">
        <v>2.3106233633223385</v>
      </c>
      <c r="GB258">
        <v>3.5208098358510851</v>
      </c>
      <c r="GC258">
        <v>1.6435916188490221</v>
      </c>
      <c r="GD258">
        <v>0.24331275599988661</v>
      </c>
      <c r="GE258">
        <v>0.95367050592665747</v>
      </c>
      <c r="GF258">
        <v>5.4718415773475231</v>
      </c>
      <c r="GG258">
        <v>16.560251431184529</v>
      </c>
      <c r="GH258">
        <v>20.527452886845722</v>
      </c>
      <c r="GI258">
        <v>5.6480152618020831</v>
      </c>
      <c r="GJ258"/>
      <c r="GK258"/>
      <c r="GL258"/>
      <c r="GM258"/>
    </row>
    <row r="259" spans="1:195" s="7" customFormat="1">
      <c r="A259" s="90"/>
      <c r="B259">
        <v>0.28919548099679293</v>
      </c>
      <c r="C259">
        <v>6</v>
      </c>
      <c r="D259">
        <v>39747</v>
      </c>
      <c r="E259">
        <v>0</v>
      </c>
      <c r="F259">
        <v>0</v>
      </c>
      <c r="G259">
        <v>325.52083333333331</v>
      </c>
      <c r="H259">
        <v>0</v>
      </c>
      <c r="I259">
        <v>65.104166666666671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 s="2"/>
      <c r="AK259" s="81"/>
      <c r="AL259" s="81"/>
      <c r="AM259" s="43">
        <v>243</v>
      </c>
      <c r="AN259">
        <v>124.30369974440502</v>
      </c>
      <c r="AO259">
        <v>10.980028703922292</v>
      </c>
      <c r="AP259">
        <v>113.70085909681853</v>
      </c>
      <c r="AQ259">
        <v>95.592989673617993</v>
      </c>
      <c r="AR259">
        <v>10.626497005799692</v>
      </c>
      <c r="AS259">
        <v>179.00320358731764</v>
      </c>
      <c r="AT259">
        <v>6.4839595692204073</v>
      </c>
      <c r="AU259">
        <v>23.67581534955864</v>
      </c>
      <c r="AV259"/>
      <c r="AW259"/>
      <c r="FY259" s="210">
        <v>254</v>
      </c>
      <c r="FZ259">
        <v>34.265153318527481</v>
      </c>
      <c r="GA259">
        <v>40.003229858752917</v>
      </c>
      <c r="GB259">
        <v>3.7355243008654089</v>
      </c>
      <c r="GC259">
        <v>1.8493144380448814</v>
      </c>
      <c r="GD259">
        <v>1.36248745836322</v>
      </c>
      <c r="GE259">
        <v>2.3327740389281315</v>
      </c>
      <c r="GF259">
        <v>8.3714454940985803</v>
      </c>
      <c r="GG259">
        <v>9.2447190127525314</v>
      </c>
      <c r="GH259">
        <v>8.2083197432768511</v>
      </c>
      <c r="GI259">
        <v>9.5958720833619147</v>
      </c>
      <c r="GJ259"/>
      <c r="GK259"/>
      <c r="GL259"/>
      <c r="GM259"/>
    </row>
    <row r="260" spans="1:195" s="7" customFormat="1">
      <c r="A260" s="77" t="s">
        <v>61</v>
      </c>
      <c r="B260">
        <v>0.37698958941511695</v>
      </c>
      <c r="C260">
        <v>1</v>
      </c>
      <c r="D260">
        <v>39747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 s="2"/>
      <c r="AK260" s="81"/>
      <c r="AL260" s="81"/>
      <c r="AM260" s="43">
        <v>244</v>
      </c>
      <c r="AN260">
        <v>100.89482605805661</v>
      </c>
      <c r="AO260">
        <v>10.015215318545339</v>
      </c>
      <c r="AP260">
        <v>101.52588975142208</v>
      </c>
      <c r="AQ260">
        <v>86.162280834427065</v>
      </c>
      <c r="AR260">
        <v>9.4189791001107466</v>
      </c>
      <c r="AS260">
        <v>139.68002515941407</v>
      </c>
      <c r="AT260">
        <v>5.5434748058333234</v>
      </c>
      <c r="AU260">
        <v>40.799875299389583</v>
      </c>
      <c r="AV260"/>
      <c r="AW260"/>
      <c r="FY260" s="210">
        <v>255</v>
      </c>
      <c r="FZ260">
        <v>3.7381610712102034</v>
      </c>
      <c r="GA260">
        <v>2.4295306543409367</v>
      </c>
      <c r="GB260">
        <v>2.7359654480309517</v>
      </c>
      <c r="GC260">
        <v>1.2729967365272876</v>
      </c>
      <c r="GD260">
        <v>0.59203320666425052</v>
      </c>
      <c r="GE260">
        <v>1.9287431742837695</v>
      </c>
      <c r="GF260">
        <v>10.65101361384945</v>
      </c>
      <c r="GG260">
        <v>10.305412035593015</v>
      </c>
      <c r="GH260">
        <v>8.0050771826138014</v>
      </c>
      <c r="GI260">
        <v>4.7717007932509636</v>
      </c>
      <c r="GJ260"/>
      <c r="GK260"/>
      <c r="GL260"/>
      <c r="GM260"/>
    </row>
    <row r="261" spans="1:195" s="7" customFormat="1">
      <c r="A261" s="77" t="s">
        <v>62</v>
      </c>
      <c r="B261">
        <v>0.93584473700945736</v>
      </c>
      <c r="C261">
        <v>7</v>
      </c>
      <c r="D261">
        <v>39747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 s="2"/>
      <c r="AK261" s="81"/>
      <c r="AL261" s="81"/>
      <c r="AM261" s="43">
        <v>245</v>
      </c>
      <c r="AN261">
        <v>112.99471610702719</v>
      </c>
      <c r="AO261">
        <v>6.571929001718078</v>
      </c>
      <c r="AP261">
        <v>54.520313573479541</v>
      </c>
      <c r="AQ261">
        <v>44.73454593694575</v>
      </c>
      <c r="AR261">
        <v>6.4654168817191362</v>
      </c>
      <c r="AS261">
        <v>131.23101720512713</v>
      </c>
      <c r="AT261">
        <v>3.9935937973818807</v>
      </c>
      <c r="AU261">
        <v>-31.115223451091531</v>
      </c>
      <c r="AV261"/>
      <c r="AW261"/>
      <c r="FY261" s="210">
        <v>256</v>
      </c>
      <c r="FZ261">
        <v>21.739076487472587</v>
      </c>
      <c r="GA261">
        <v>31.686881698692897</v>
      </c>
      <c r="GB261">
        <v>4.7339716222926791</v>
      </c>
      <c r="GC261">
        <v>1.1193072804727633</v>
      </c>
      <c r="GD261">
        <v>0.68735254300481463</v>
      </c>
      <c r="GE261">
        <v>2.1712475791228214</v>
      </c>
      <c r="GF261">
        <v>11.738805653066889</v>
      </c>
      <c r="GG261">
        <v>12.770279408481347</v>
      </c>
      <c r="GH261">
        <v>8.1587770796561099</v>
      </c>
      <c r="GI261">
        <v>8.1965883001493598</v>
      </c>
      <c r="GJ261"/>
      <c r="GK261"/>
      <c r="GL261"/>
      <c r="GM261"/>
    </row>
    <row r="262" spans="1:195" s="7" customFormat="1" ht="12.75" customHeight="1">
      <c r="A262" s="77"/>
      <c r="B262">
        <v>0.74950169931338828</v>
      </c>
      <c r="C262">
        <v>6</v>
      </c>
      <c r="D262">
        <v>39747</v>
      </c>
      <c r="E262">
        <v>0</v>
      </c>
      <c r="F262">
        <v>0</v>
      </c>
      <c r="G262">
        <v>325.52083333333331</v>
      </c>
      <c r="H262">
        <v>0</v>
      </c>
      <c r="I262">
        <v>65.104166666666671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 s="2"/>
      <c r="AK262" s="81"/>
      <c r="AL262" s="81"/>
      <c r="AM262" s="43">
        <v>246</v>
      </c>
      <c r="AN262">
        <v>91.339081539666893</v>
      </c>
      <c r="AO262">
        <v>15.749299723287745</v>
      </c>
      <c r="AP262">
        <v>173.62784219321642</v>
      </c>
      <c r="AQ262">
        <v>150.43903791916441</v>
      </c>
      <c r="AR262">
        <v>14.991559152360697</v>
      </c>
      <c r="AS262">
        <v>185.62236105563508</v>
      </c>
      <c r="AT262">
        <v>10.136864248277464</v>
      </c>
      <c r="AU262">
        <v>102.52185875993914</v>
      </c>
      <c r="AV262"/>
      <c r="AW262"/>
      <c r="FY262" s="210">
        <v>257</v>
      </c>
      <c r="FZ262">
        <v>22.101252323278278</v>
      </c>
      <c r="GA262">
        <v>27.150709339895577</v>
      </c>
      <c r="GB262">
        <v>3.4011485845180651</v>
      </c>
      <c r="GC262">
        <v>1.898884065433224</v>
      </c>
      <c r="GD262">
        <v>0.95867818934009907</v>
      </c>
      <c r="GE262">
        <v>1.8671556961353253</v>
      </c>
      <c r="GF262">
        <v>7.975279335359164</v>
      </c>
      <c r="GG262">
        <v>17.1610978094768</v>
      </c>
      <c r="GH262">
        <v>17.505421603560357</v>
      </c>
      <c r="GI262">
        <v>8.8742803270638042</v>
      </c>
      <c r="GJ262"/>
      <c r="GK262"/>
      <c r="GL262"/>
      <c r="GM262"/>
    </row>
    <row r="263" spans="1:195" s="7" customFormat="1">
      <c r="A263" s="77"/>
      <c r="B263">
        <v>0.17950883731421374</v>
      </c>
      <c r="C263">
        <v>4</v>
      </c>
      <c r="D263">
        <v>39747</v>
      </c>
      <c r="E263">
        <v>0</v>
      </c>
      <c r="F263">
        <v>0</v>
      </c>
      <c r="G263">
        <v>251.43678160919538</v>
      </c>
      <c r="H263">
        <v>125.71839080459769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 s="2"/>
      <c r="AK263" s="81"/>
      <c r="AL263" s="81"/>
      <c r="AM263" s="43">
        <v>247</v>
      </c>
      <c r="AN263">
        <v>107.84351606635175</v>
      </c>
      <c r="AO263">
        <v>16.862641666182913</v>
      </c>
      <c r="AP263">
        <v>181.36144619538209</v>
      </c>
      <c r="AQ263">
        <v>157.16295477419823</v>
      </c>
      <c r="AR263">
        <v>15.992276599424487</v>
      </c>
      <c r="AS263">
        <v>208.80569467224169</v>
      </c>
      <c r="AT263">
        <v>10.325110487185997</v>
      </c>
      <c r="AU263">
        <v>66.246746099678774</v>
      </c>
      <c r="AV263"/>
      <c r="AW263"/>
      <c r="FY263" s="210">
        <v>258</v>
      </c>
      <c r="FZ263">
        <v>12.130545092619663</v>
      </c>
      <c r="GA263">
        <v>15.532894405249738</v>
      </c>
      <c r="GB263">
        <v>1.8924361500276312</v>
      </c>
      <c r="GC263">
        <v>0.9507579812615915</v>
      </c>
      <c r="GD263">
        <v>1.5672474082952594</v>
      </c>
      <c r="GE263">
        <v>3.974950515237258</v>
      </c>
      <c r="GF263">
        <v>6.2868703659870491</v>
      </c>
      <c r="GG263">
        <v>5.2268948979502783</v>
      </c>
      <c r="GH263">
        <v>5.4697756974141072</v>
      </c>
      <c r="GI263">
        <v>5.1854975594645438</v>
      </c>
      <c r="GJ263"/>
      <c r="GK263"/>
      <c r="GL263"/>
      <c r="GM263"/>
    </row>
    <row r="264" spans="1:195" s="7" customFormat="1">
      <c r="A264" s="77"/>
      <c r="B264">
        <v>0.21342139356601297</v>
      </c>
      <c r="C264">
        <v>7</v>
      </c>
      <c r="D264">
        <v>39747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 s="2"/>
      <c r="AK264" s="81"/>
      <c r="AL264" s="81"/>
      <c r="AM264" s="43">
        <v>248</v>
      </c>
      <c r="AN264">
        <v>98.71679834204096</v>
      </c>
      <c r="AO264">
        <v>14.186481496689987</v>
      </c>
      <c r="AP264">
        <v>154.40309359442858</v>
      </c>
      <c r="AQ264">
        <v>133.00504824893395</v>
      </c>
      <c r="AR264">
        <v>13.657333233988794</v>
      </c>
      <c r="AS264">
        <v>180.93949003433929</v>
      </c>
      <c r="AT264">
        <v>8.8930583683004052</v>
      </c>
      <c r="AU264">
        <v>84.233490881821794</v>
      </c>
      <c r="AV264"/>
      <c r="AW264"/>
      <c r="FY264" s="210">
        <v>259</v>
      </c>
      <c r="FZ264">
        <v>11.674054671843871</v>
      </c>
      <c r="GA264">
        <v>13.997150019481953</v>
      </c>
      <c r="GB264">
        <v>2.2142444244366608</v>
      </c>
      <c r="GC264">
        <v>1.285357370780509</v>
      </c>
      <c r="GD264">
        <v>0.52542885098468173</v>
      </c>
      <c r="GE264">
        <v>2.5145435286349769</v>
      </c>
      <c r="GF264">
        <v>5.8953298005531902</v>
      </c>
      <c r="GG264">
        <v>6.6661818748395483</v>
      </c>
      <c r="GH264">
        <v>9.3737617857018805</v>
      </c>
      <c r="GI264">
        <v>5.121829906492037</v>
      </c>
      <c r="GJ264"/>
      <c r="GK264"/>
      <c r="GL264"/>
      <c r="GM264"/>
    </row>
    <row r="265" spans="1:195" s="7" customFormat="1">
      <c r="A265" s="77"/>
      <c r="B265">
        <v>0.27717058853191201</v>
      </c>
      <c r="C265">
        <v>3</v>
      </c>
      <c r="D265">
        <v>39747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 s="2"/>
      <c r="AK265" s="81"/>
      <c r="AL265" s="81"/>
      <c r="AM265" s="43">
        <v>249</v>
      </c>
      <c r="AN265">
        <v>155.26713258746818</v>
      </c>
      <c r="AO265">
        <v>13.371026909306247</v>
      </c>
      <c r="AP265">
        <v>138.18152076748942</v>
      </c>
      <c r="AQ265">
        <v>118.15282551695758</v>
      </c>
      <c r="AR265">
        <v>12.662244200477536</v>
      </c>
      <c r="AS265">
        <v>224.74152245119831</v>
      </c>
      <c r="AT265">
        <v>8.7366373320781907</v>
      </c>
      <c r="AU265">
        <v>43.56454524947749</v>
      </c>
      <c r="AV265"/>
      <c r="AW265"/>
      <c r="FY265" s="210">
        <v>260</v>
      </c>
      <c r="FZ265">
        <v>21.760582835041223</v>
      </c>
      <c r="GA265">
        <v>28.560476181805861</v>
      </c>
      <c r="GB265">
        <v>3.0825670592851937</v>
      </c>
      <c r="GC265">
        <v>1.3998931382812747</v>
      </c>
      <c r="GD265">
        <v>1.2166145245217215</v>
      </c>
      <c r="GE265">
        <v>2.3478076420059577</v>
      </c>
      <c r="GF265">
        <v>3.9423945057465422</v>
      </c>
      <c r="GG265">
        <v>4.8150836840677478</v>
      </c>
      <c r="GH265">
        <v>5.9719521505160085</v>
      </c>
      <c r="GI265">
        <v>6.3507305788313477</v>
      </c>
      <c r="GJ265"/>
      <c r="GK265"/>
      <c r="GL265"/>
      <c r="GM265"/>
    </row>
    <row r="266" spans="1:195" s="7" customFormat="1">
      <c r="A266" s="1"/>
      <c r="B266">
        <v>0.28827059197192684</v>
      </c>
      <c r="C266">
        <v>7</v>
      </c>
      <c r="D266">
        <v>39747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 s="2"/>
      <c r="AK266" s="81"/>
      <c r="AL266" s="81"/>
      <c r="AM266" s="43">
        <v>250</v>
      </c>
      <c r="AN266">
        <v>144.02581106822458</v>
      </c>
      <c r="AO266">
        <v>10.314722165437814</v>
      </c>
      <c r="AP266">
        <v>100.87145535019064</v>
      </c>
      <c r="AQ266">
        <v>82.778867962550493</v>
      </c>
      <c r="AR266">
        <v>9.8543887061801385</v>
      </c>
      <c r="AS266">
        <v>168.81857946389334</v>
      </c>
      <c r="AT266">
        <v>6.1541580051014959</v>
      </c>
      <c r="AU266">
        <v>42.473479233196592</v>
      </c>
      <c r="AV266"/>
      <c r="AW266"/>
      <c r="FY266" s="210">
        <v>261</v>
      </c>
      <c r="FZ266">
        <v>22.382698856779786</v>
      </c>
      <c r="GA266">
        <v>30.287498896671416</v>
      </c>
      <c r="GB266">
        <v>3.6464903369727812</v>
      </c>
      <c r="GC266">
        <v>1.2504641756386699</v>
      </c>
      <c r="GD266">
        <v>0.51510823569642927</v>
      </c>
      <c r="GE266">
        <v>0.87418946901699401</v>
      </c>
      <c r="GF266">
        <v>0.67184718324678072</v>
      </c>
      <c r="GG266">
        <v>5.2832003692772656</v>
      </c>
      <c r="GH266">
        <v>9.879008537476162</v>
      </c>
      <c r="GI266">
        <v>6.1930351997451307</v>
      </c>
      <c r="GJ266"/>
      <c r="GK266"/>
      <c r="GL266"/>
      <c r="GM266"/>
    </row>
    <row r="267" spans="1:195" s="7" customFormat="1">
      <c r="A267" s="1"/>
      <c r="B267">
        <v>0.39586273637778557</v>
      </c>
      <c r="C267">
        <v>7</v>
      </c>
      <c r="D267">
        <v>39747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 s="2"/>
      <c r="AK267" s="81"/>
      <c r="AL267" s="81"/>
      <c r="AM267" s="43">
        <v>251</v>
      </c>
      <c r="AN267">
        <v>153.10660613659306</v>
      </c>
      <c r="AO267">
        <v>18.632444381830489</v>
      </c>
      <c r="AP267">
        <v>194.51992059865108</v>
      </c>
      <c r="AQ267">
        <v>168.24349215219829</v>
      </c>
      <c r="AR267">
        <v>17.700486623895642</v>
      </c>
      <c r="AS267">
        <v>240.93224753867091</v>
      </c>
      <c r="AT267">
        <v>10.966068779909905</v>
      </c>
      <c r="AU267">
        <v>40.226779826129075</v>
      </c>
      <c r="AV267"/>
      <c r="AW267"/>
      <c r="FY267" s="210">
        <v>262</v>
      </c>
      <c r="FZ267">
        <v>35.539107709043293</v>
      </c>
      <c r="GA267">
        <v>38.19236584959647</v>
      </c>
      <c r="GB267">
        <v>2.858183395494263</v>
      </c>
      <c r="GC267">
        <v>1.9298714623545214</v>
      </c>
      <c r="GD267">
        <v>1.0919322002253915</v>
      </c>
      <c r="GE267">
        <v>3.3385517913434781</v>
      </c>
      <c r="GF267">
        <v>5.3918711661247372</v>
      </c>
      <c r="GG267">
        <v>9.3179114090966841</v>
      </c>
      <c r="GH267">
        <v>13.381140401023146</v>
      </c>
      <c r="GI267">
        <v>9.6690225298331001</v>
      </c>
      <c r="GJ267"/>
      <c r="GK267"/>
      <c r="GL267"/>
      <c r="GM267"/>
    </row>
    <row r="268" spans="1:195" s="7" customFormat="1">
      <c r="A268" s="1"/>
      <c r="B268">
        <v>0.38040286468563522</v>
      </c>
      <c r="C268">
        <v>9</v>
      </c>
      <c r="D268">
        <v>39775</v>
      </c>
      <c r="E268">
        <v>0</v>
      </c>
      <c r="F268">
        <v>0</v>
      </c>
      <c r="G268">
        <v>20.833333333333332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 s="2"/>
      <c r="AK268" s="81"/>
      <c r="AL268" s="81"/>
      <c r="AM268" s="43">
        <v>252</v>
      </c>
      <c r="AN268">
        <v>143.19593683443981</v>
      </c>
      <c r="AO268">
        <v>11.751572788987602</v>
      </c>
      <c r="AP268">
        <v>117.99334799112324</v>
      </c>
      <c r="AQ268">
        <v>100.36461926301239</v>
      </c>
      <c r="AR268">
        <v>11.590704844002907</v>
      </c>
      <c r="AS268">
        <v>187.96492966393015</v>
      </c>
      <c r="AT268">
        <v>7.4263619919872399</v>
      </c>
      <c r="AU268">
        <v>45.995637012998714</v>
      </c>
      <c r="AV268"/>
      <c r="AW268"/>
      <c r="FY268" s="210">
        <v>263</v>
      </c>
      <c r="FZ268">
        <v>45.468764380897575</v>
      </c>
      <c r="GA268">
        <v>52.523772925821817</v>
      </c>
      <c r="GB268">
        <v>2.7177913780670302</v>
      </c>
      <c r="GC268">
        <v>0.99338942686262355</v>
      </c>
      <c r="GD268">
        <v>0.3590025059336267</v>
      </c>
      <c r="GE268">
        <v>1.9935152264736844</v>
      </c>
      <c r="GF268">
        <v>11.076282227790987</v>
      </c>
      <c r="GG268">
        <v>11.198841174207939</v>
      </c>
      <c r="GH268">
        <v>8.0911246759279845</v>
      </c>
      <c r="GI268">
        <v>10.875518246911792</v>
      </c>
      <c r="GJ268"/>
      <c r="GK268"/>
      <c r="GL268"/>
      <c r="GM268"/>
    </row>
    <row r="269" spans="1:195" s="7" customFormat="1">
      <c r="A269" s="1"/>
      <c r="B269">
        <v>0.91151921081541687</v>
      </c>
      <c r="C269">
        <v>3</v>
      </c>
      <c r="D269">
        <v>39775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 s="2"/>
      <c r="AK269" s="81"/>
      <c r="AL269" s="81"/>
      <c r="AM269" s="43">
        <v>253</v>
      </c>
      <c r="AN269">
        <v>133.04657911059152</v>
      </c>
      <c r="AO269">
        <v>7.8388537020920976</v>
      </c>
      <c r="AP269">
        <v>74.741844532038357</v>
      </c>
      <c r="AQ269">
        <v>59.58343918998915</v>
      </c>
      <c r="AR269">
        <v>7.7893191351188076</v>
      </c>
      <c r="AS269">
        <v>159.78915783188734</v>
      </c>
      <c r="AT269">
        <v>4.3825303026510607</v>
      </c>
      <c r="AU269">
        <v>26.917977995466526</v>
      </c>
      <c r="AV269"/>
      <c r="AW269"/>
      <c r="FY269" s="210">
        <v>264</v>
      </c>
      <c r="FZ269">
        <v>23.379762010713087</v>
      </c>
      <c r="GA269">
        <v>27.389839704166352</v>
      </c>
      <c r="GB269">
        <v>3.0555889406119818</v>
      </c>
      <c r="GC269">
        <v>1.2292434770974199</v>
      </c>
      <c r="GD269">
        <v>1.0076219681552245</v>
      </c>
      <c r="GE269">
        <v>2.3801076532667715</v>
      </c>
      <c r="GF269">
        <v>10.331162559681616</v>
      </c>
      <c r="GG269">
        <v>9.961745378537767</v>
      </c>
      <c r="GH269">
        <v>5.628697189291179</v>
      </c>
      <c r="GI269">
        <v>7.5632321434670908</v>
      </c>
      <c r="GJ269"/>
      <c r="GK269"/>
      <c r="GL269"/>
      <c r="GM269"/>
    </row>
    <row r="270" spans="1:195" s="7" customFormat="1">
      <c r="A270" s="1"/>
      <c r="B270">
        <v>5.2536794425133815E-2</v>
      </c>
      <c r="C270">
        <v>5</v>
      </c>
      <c r="D270">
        <v>39775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 s="2"/>
      <c r="AK270" s="81"/>
      <c r="AL270" s="81"/>
      <c r="AM270" s="43">
        <v>254</v>
      </c>
      <c r="AN270">
        <v>124.40994322933355</v>
      </c>
      <c r="AO270">
        <v>13.673519243394102</v>
      </c>
      <c r="AP270">
        <v>139.27224515112212</v>
      </c>
      <c r="AQ270">
        <v>118.96883974697191</v>
      </c>
      <c r="AR270">
        <v>13.413021680151646</v>
      </c>
      <c r="AS270">
        <v>218.98128933618028</v>
      </c>
      <c r="AT270">
        <v>8.230924955250094</v>
      </c>
      <c r="AU270">
        <v>10.311303480837511</v>
      </c>
      <c r="AV270"/>
      <c r="AW270"/>
      <c r="FY270" s="210">
        <v>265</v>
      </c>
      <c r="FZ270">
        <v>12.168694798364415</v>
      </c>
      <c r="GA270">
        <v>15.443575923598821</v>
      </c>
      <c r="GB270">
        <v>1.3195588954631805</v>
      </c>
      <c r="GC270">
        <v>0.58829315361505252</v>
      </c>
      <c r="GD270">
        <v>0.98009066390687294</v>
      </c>
      <c r="GE270">
        <v>2.0870428240850236</v>
      </c>
      <c r="GF270">
        <v>7.4615054321677716</v>
      </c>
      <c r="GG270">
        <v>10.020984336977257</v>
      </c>
      <c r="GH270">
        <v>6.9062654778781463</v>
      </c>
      <c r="GI270">
        <v>5.1398870593070676</v>
      </c>
      <c r="GJ270"/>
      <c r="GK270"/>
      <c r="GL270"/>
      <c r="GM270"/>
    </row>
    <row r="271" spans="1:195" s="7" customFormat="1">
      <c r="A271" s="77"/>
      <c r="B271">
        <v>0.63645792422037428</v>
      </c>
      <c r="C271">
        <v>6</v>
      </c>
      <c r="D271">
        <v>39775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 s="2"/>
      <c r="AK271" s="81"/>
      <c r="AL271" s="81"/>
      <c r="AM271" s="43">
        <v>255</v>
      </c>
      <c r="AN271">
        <v>93.65419964315771</v>
      </c>
      <c r="AO271">
        <v>6.3252552352976847</v>
      </c>
      <c r="AP271">
        <v>58.127308769168309</v>
      </c>
      <c r="AQ271">
        <v>46.430633916364634</v>
      </c>
      <c r="AR271">
        <v>6.5418763896823053</v>
      </c>
      <c r="AS271">
        <v>150.06229250402691</v>
      </c>
      <c r="AT271">
        <v>3.6770392432672137</v>
      </c>
      <c r="AU271">
        <v>1.8150015925937901</v>
      </c>
      <c r="AV271"/>
      <c r="AW271"/>
      <c r="FY271" s="210">
        <v>266</v>
      </c>
      <c r="FZ271">
        <v>30.295121406117129</v>
      </c>
      <c r="GA271">
        <v>27.853639335118</v>
      </c>
      <c r="GB271">
        <v>2.8916497358870488</v>
      </c>
      <c r="GC271">
        <v>1.196676977288698</v>
      </c>
      <c r="GD271">
        <v>0.26328510460418142</v>
      </c>
      <c r="GE271">
        <v>1.2485811936596667</v>
      </c>
      <c r="GF271">
        <v>3.9282669692493255</v>
      </c>
      <c r="GG271">
        <v>3.6956085630445639</v>
      </c>
      <c r="GH271">
        <v>4.7986579904569631</v>
      </c>
      <c r="GI271">
        <v>6.8089755372184637</v>
      </c>
      <c r="GJ271"/>
      <c r="GK271"/>
      <c r="GL271"/>
      <c r="GM271"/>
    </row>
    <row r="272" spans="1:195" s="7" customFormat="1">
      <c r="A272" s="77"/>
      <c r="B272">
        <v>0.51426781814813616</v>
      </c>
      <c r="C272">
        <v>4</v>
      </c>
      <c r="D272">
        <v>39775</v>
      </c>
      <c r="E272">
        <v>0</v>
      </c>
      <c r="F272">
        <v>10.416666666666666</v>
      </c>
      <c r="G272">
        <v>62.5</v>
      </c>
      <c r="H272">
        <v>31.25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 s="2"/>
      <c r="AK272" s="81"/>
      <c r="AL272" s="81"/>
      <c r="AM272" s="43">
        <v>256</v>
      </c>
      <c r="AN272">
        <v>138.9159184989534</v>
      </c>
      <c r="AO272">
        <v>12.038959472108196</v>
      </c>
      <c r="AP272">
        <v>124.95707938745085</v>
      </c>
      <c r="AQ272">
        <v>103.00228765241225</v>
      </c>
      <c r="AR272">
        <v>11.355439669337619</v>
      </c>
      <c r="AS272">
        <v>212.55824652154999</v>
      </c>
      <c r="AT272">
        <v>7.3696116350842091</v>
      </c>
      <c r="AU272">
        <v>19.202416604191285</v>
      </c>
      <c r="AV272"/>
      <c r="AW272"/>
      <c r="FY272" s="210">
        <v>267</v>
      </c>
      <c r="FZ272">
        <v>27.324316613135466</v>
      </c>
      <c r="GA272">
        <v>26.31622244986869</v>
      </c>
      <c r="GB272">
        <v>2.6950266170931929</v>
      </c>
      <c r="GC272">
        <v>1.8665152285937827</v>
      </c>
      <c r="GD272">
        <v>1.7842002722492305</v>
      </c>
      <c r="GE272">
        <v>4.2124081697656344</v>
      </c>
      <c r="GF272">
        <v>4.2872900829210332</v>
      </c>
      <c r="GG272">
        <v>3.7122428267040126</v>
      </c>
      <c r="GH272">
        <v>7.6324356862487779</v>
      </c>
      <c r="GI272">
        <v>7.7374839197091152</v>
      </c>
      <c r="GJ272"/>
      <c r="GK272"/>
      <c r="GL272"/>
      <c r="GM272"/>
    </row>
    <row r="273" spans="1:195" s="7" customFormat="1">
      <c r="A273" s="1"/>
      <c r="B273">
        <v>0.81021127186861452</v>
      </c>
      <c r="C273">
        <v>4</v>
      </c>
      <c r="D273">
        <v>39775</v>
      </c>
      <c r="E273">
        <v>0</v>
      </c>
      <c r="F273">
        <v>10.416666666666666</v>
      </c>
      <c r="G273">
        <v>62.5</v>
      </c>
      <c r="H273">
        <v>31.25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 s="2"/>
      <c r="AK273" s="81"/>
      <c r="AL273" s="81"/>
      <c r="AM273" s="43">
        <v>257</v>
      </c>
      <c r="AN273">
        <v>149.58393962008651</v>
      </c>
      <c r="AO273">
        <v>12.993192776930218</v>
      </c>
      <c r="AP273">
        <v>129.80273813995052</v>
      </c>
      <c r="AQ273">
        <v>108.89390727406071</v>
      </c>
      <c r="AR273">
        <v>12.331674005556986</v>
      </c>
      <c r="AS273">
        <v>235.58348857364805</v>
      </c>
      <c r="AT273">
        <v>7.2740574999119643</v>
      </c>
      <c r="AU273">
        <v>31.176717828553418</v>
      </c>
      <c r="AV273"/>
      <c r="AW273"/>
      <c r="FY273" s="210">
        <v>268</v>
      </c>
      <c r="FZ273">
        <v>44.890247956190692</v>
      </c>
      <c r="GA273">
        <v>53.13084494908189</v>
      </c>
      <c r="GB273">
        <v>1.611783736569643</v>
      </c>
      <c r="GC273">
        <v>0.37426083568294638</v>
      </c>
      <c r="GD273">
        <v>0.82391930939061131</v>
      </c>
      <c r="GE273">
        <v>2.3125765604112321</v>
      </c>
      <c r="GF273">
        <v>3.0361580754564059</v>
      </c>
      <c r="GG273">
        <v>3.5777828859493361</v>
      </c>
      <c r="GH273">
        <v>5.9953672546631207</v>
      </c>
      <c r="GI273">
        <v>9.0143853555691962</v>
      </c>
      <c r="GJ273"/>
      <c r="GK273"/>
      <c r="GL273"/>
      <c r="GM273"/>
    </row>
    <row r="274" spans="1:195" s="7" customFormat="1">
      <c r="A274" s="1"/>
      <c r="B274">
        <v>0.16095629810255074</v>
      </c>
      <c r="C274">
        <v>3</v>
      </c>
      <c r="D274">
        <v>39775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 s="2"/>
      <c r="AK274" s="81"/>
      <c r="AL274" s="81"/>
      <c r="AM274" s="43">
        <v>258</v>
      </c>
      <c r="AN274">
        <v>97.818483076331702</v>
      </c>
      <c r="AO274">
        <v>7.4064691989802309</v>
      </c>
      <c r="AP274">
        <v>67.030779115851928</v>
      </c>
      <c r="AQ274">
        <v>58.217870073507129</v>
      </c>
      <c r="AR274">
        <v>7.1242993274571322</v>
      </c>
      <c r="AS274">
        <v>144.39945281982216</v>
      </c>
      <c r="AT274">
        <v>4.2784013122891755</v>
      </c>
      <c r="AU274">
        <v>25.356541869964072</v>
      </c>
      <c r="AV274"/>
      <c r="AW274"/>
      <c r="FY274" s="210">
        <v>269</v>
      </c>
      <c r="FZ274">
        <v>44.759106689035548</v>
      </c>
      <c r="GA274">
        <v>52.915145058614861</v>
      </c>
      <c r="GB274">
        <v>2.8980481231957218</v>
      </c>
      <c r="GC274">
        <v>1.3372829035770064</v>
      </c>
      <c r="GD274">
        <v>0.51822188887470522</v>
      </c>
      <c r="GE274">
        <v>3.0363769648346239</v>
      </c>
      <c r="GF274">
        <v>8.5723334054495837</v>
      </c>
      <c r="GG274">
        <v>8.6063382754793487</v>
      </c>
      <c r="GH274">
        <v>9.50786287831958</v>
      </c>
      <c r="GI274">
        <v>10.68199864827014</v>
      </c>
      <c r="GJ274"/>
      <c r="GK274"/>
      <c r="GL274"/>
      <c r="GM274"/>
    </row>
    <row r="275" spans="1:195" s="7" customFormat="1">
      <c r="A275" s="1"/>
      <c r="B275">
        <v>0.19467884172298633</v>
      </c>
      <c r="C275">
        <v>1</v>
      </c>
      <c r="D275">
        <v>39775</v>
      </c>
      <c r="E275">
        <v>0</v>
      </c>
      <c r="F275">
        <v>0</v>
      </c>
      <c r="G275">
        <v>43.75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 s="2"/>
      <c r="AK275" s="81"/>
      <c r="AL275" s="81"/>
      <c r="AM275" s="43">
        <v>259</v>
      </c>
      <c r="AN275">
        <v>102.57928227126226</v>
      </c>
      <c r="AO275">
        <v>7.2202758500756969</v>
      </c>
      <c r="AP275">
        <v>70.430461876004415</v>
      </c>
      <c r="AQ275">
        <v>59.267882233749312</v>
      </c>
      <c r="AR275">
        <v>6.9758670546309771</v>
      </c>
      <c r="AS275">
        <v>122.27015388242241</v>
      </c>
      <c r="AT275">
        <v>4.4627571518147704</v>
      </c>
      <c r="AU275">
        <v>20.958925281625365</v>
      </c>
      <c r="AV275"/>
      <c r="AW275"/>
      <c r="FY275" s="210">
        <v>270</v>
      </c>
      <c r="FZ275">
        <v>35.001767249245063</v>
      </c>
      <c r="GA275">
        <v>39.502367868078963</v>
      </c>
      <c r="GB275">
        <v>2.0676873341212541</v>
      </c>
      <c r="GC275">
        <v>1.2509259731511178</v>
      </c>
      <c r="GD275">
        <v>1.435223538313815</v>
      </c>
      <c r="GE275">
        <v>4.7561662426465103</v>
      </c>
      <c r="GF275">
        <v>6.7631515709994146</v>
      </c>
      <c r="GG275">
        <v>8.0195108811278963</v>
      </c>
      <c r="GH275">
        <v>10.507542651332971</v>
      </c>
      <c r="GI275">
        <v>9.3979487018693053</v>
      </c>
      <c r="GJ275"/>
      <c r="GK275"/>
      <c r="GL275"/>
      <c r="GM275"/>
    </row>
    <row r="276" spans="1:195" s="7" customFormat="1">
      <c r="A276" s="1"/>
      <c r="B276">
        <v>0.16577380219351401</v>
      </c>
      <c r="C276">
        <v>7</v>
      </c>
      <c r="D276">
        <v>39775</v>
      </c>
      <c r="E276">
        <v>0</v>
      </c>
      <c r="F276">
        <v>0</v>
      </c>
      <c r="G276">
        <v>83.64898989898991</v>
      </c>
      <c r="H276">
        <v>46.296296296296298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 s="2"/>
      <c r="AK276" s="81"/>
      <c r="AL276" s="81"/>
      <c r="AM276" s="43">
        <v>260</v>
      </c>
      <c r="AN276">
        <v>73.880359047046284</v>
      </c>
      <c r="AO276">
        <v>9.277952089381083</v>
      </c>
      <c r="AP276">
        <v>92.668661688529511</v>
      </c>
      <c r="AQ276">
        <v>79.448102300102875</v>
      </c>
      <c r="AR276">
        <v>8.8432627174481624</v>
      </c>
      <c r="AS276">
        <v>138.84355676898957</v>
      </c>
      <c r="AT276">
        <v>5.3340249266722353</v>
      </c>
      <c r="AU276">
        <v>7.5957452897496553</v>
      </c>
      <c r="AV276"/>
      <c r="AW276"/>
      <c r="FY276" s="210">
        <v>271</v>
      </c>
      <c r="FZ276">
        <v>14.176123760342016</v>
      </c>
      <c r="GA276">
        <v>14.132883249156114</v>
      </c>
      <c r="GB276">
        <v>0.84653563530470932</v>
      </c>
      <c r="GC276">
        <v>0.3549945528396331</v>
      </c>
      <c r="GD276">
        <v>1.1015780227633751</v>
      </c>
      <c r="GE276">
        <v>2.9372477596046718</v>
      </c>
      <c r="GF276">
        <v>8.0284819432580452</v>
      </c>
      <c r="GG276">
        <v>9.1986473352167994</v>
      </c>
      <c r="GH276">
        <v>6.9231804034980513</v>
      </c>
      <c r="GI276">
        <v>5.4830251422955634</v>
      </c>
      <c r="GJ276"/>
      <c r="GK276"/>
      <c r="GL276"/>
      <c r="GM276"/>
    </row>
    <row r="277" spans="1:195" s="7" customFormat="1">
      <c r="A277" s="1"/>
      <c r="B277">
        <v>7.4654334393418953E-2</v>
      </c>
      <c r="C277">
        <v>10</v>
      </c>
      <c r="D277">
        <v>39775</v>
      </c>
      <c r="E277">
        <v>0</v>
      </c>
      <c r="F277">
        <v>20.833333333333332</v>
      </c>
      <c r="G277">
        <v>20.833333333333332</v>
      </c>
      <c r="H277">
        <v>10.416666666666666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 s="2"/>
      <c r="AK277" s="81"/>
      <c r="AL277" s="81"/>
      <c r="AM277" s="43">
        <v>261</v>
      </c>
      <c r="AN277">
        <v>73.576655044556659</v>
      </c>
      <c r="AO277">
        <v>9.0290186307874869</v>
      </c>
      <c r="AP277">
        <v>96.10520432610052</v>
      </c>
      <c r="AQ277">
        <v>80.98354126052142</v>
      </c>
      <c r="AR277">
        <v>8.6524802579094686</v>
      </c>
      <c r="AS277">
        <v>127.47376221448775</v>
      </c>
      <c r="AT277" t="e">
        <v>#DIV/0!</v>
      </c>
      <c r="AU277" t="e">
        <v>#DIV/0!</v>
      </c>
      <c r="AV277"/>
      <c r="AW277"/>
      <c r="FY277" s="210">
        <v>272</v>
      </c>
      <c r="FZ277">
        <v>33.80713385999659</v>
      </c>
      <c r="GA277">
        <v>43.301310920342779</v>
      </c>
      <c r="GB277">
        <v>4.5828333650436814</v>
      </c>
      <c r="GC277">
        <v>1.2242692279759173</v>
      </c>
      <c r="GD277">
        <v>0.84957784829193939</v>
      </c>
      <c r="GE277">
        <v>3.040744939272376</v>
      </c>
      <c r="GF277">
        <v>8.6604146247932707</v>
      </c>
      <c r="GG277">
        <v>12.844112385226545</v>
      </c>
      <c r="GH277">
        <v>13.499059860924733</v>
      </c>
      <c r="GI277">
        <v>10.334597647254027</v>
      </c>
      <c r="GJ277"/>
      <c r="GK277"/>
      <c r="GL277"/>
      <c r="GM277"/>
    </row>
    <row r="278" spans="1:195" s="7" customFormat="1">
      <c r="A278" s="1"/>
      <c r="B278">
        <v>9.9751024299880697E-2</v>
      </c>
      <c r="C278">
        <v>8</v>
      </c>
      <c r="D278">
        <v>39799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 s="2"/>
      <c r="AK278" s="81"/>
      <c r="AL278" s="81"/>
      <c r="AM278" s="43">
        <v>262</v>
      </c>
      <c r="AN278">
        <v>157.58310693358763</v>
      </c>
      <c r="AO278">
        <v>13.793123608077707</v>
      </c>
      <c r="AP278">
        <v>139.68569429980627</v>
      </c>
      <c r="AQ278">
        <v>120.70995791413509</v>
      </c>
      <c r="AR278">
        <v>13.375154094038079</v>
      </c>
      <c r="AS278">
        <v>208.74417352375818</v>
      </c>
      <c r="AT278">
        <v>8.3244929106414318</v>
      </c>
      <c r="AU278">
        <v>36.57838178517116</v>
      </c>
      <c r="AV278"/>
      <c r="AW278"/>
      <c r="FY278" s="210">
        <v>273</v>
      </c>
      <c r="FZ278">
        <v>21.261387411601682</v>
      </c>
      <c r="GA278">
        <v>27.179174083620637</v>
      </c>
      <c r="GB278">
        <v>1.6935695946780114</v>
      </c>
      <c r="GC278">
        <v>0.50333055863329634</v>
      </c>
      <c r="GD278">
        <v>0.3874870653150605</v>
      </c>
      <c r="GE278">
        <v>0.73160240156156686</v>
      </c>
      <c r="GF278">
        <v>11.663047840783616</v>
      </c>
      <c r="GG278">
        <v>16.333948794159106</v>
      </c>
      <c r="GH278">
        <v>12.02276558728418</v>
      </c>
      <c r="GI278">
        <v>7.7982960680259321</v>
      </c>
      <c r="GJ278"/>
      <c r="GK278"/>
      <c r="GL278"/>
      <c r="GM278"/>
    </row>
    <row r="279" spans="1:195" s="7" customFormat="1">
      <c r="A279" s="1"/>
      <c r="B279">
        <v>0.92570120640376263</v>
      </c>
      <c r="C279">
        <v>5</v>
      </c>
      <c r="D279">
        <v>39799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 s="2"/>
      <c r="AK279" s="81"/>
      <c r="AL279" s="81"/>
      <c r="AM279" s="43">
        <v>263</v>
      </c>
      <c r="AN279">
        <v>137.19170850927125</v>
      </c>
      <c r="AO279">
        <v>15.774002488799443</v>
      </c>
      <c r="AP279">
        <v>170.95964007439775</v>
      </c>
      <c r="AQ279">
        <v>145.29800216889504</v>
      </c>
      <c r="AR279">
        <v>15.098829207273083</v>
      </c>
      <c r="AS279">
        <v>254.91646210089897</v>
      </c>
      <c r="AT279">
        <v>10.446341724544332</v>
      </c>
      <c r="AU279">
        <v>-1.0885015530678679</v>
      </c>
      <c r="AV279"/>
      <c r="AW279"/>
      <c r="FY279" s="210">
        <v>274</v>
      </c>
      <c r="FZ279">
        <v>23.384317307632084</v>
      </c>
      <c r="GA279">
        <v>27.465644150027774</v>
      </c>
      <c r="GB279">
        <v>2.4094421777761683</v>
      </c>
      <c r="GC279">
        <v>1.0348328615020277</v>
      </c>
      <c r="GD279">
        <v>0.89690380206453435</v>
      </c>
      <c r="GE279">
        <v>3.4583816210518621</v>
      </c>
      <c r="GF279">
        <v>5.9337776914537281</v>
      </c>
      <c r="GG279">
        <v>5.7940566993990146</v>
      </c>
      <c r="GH279">
        <v>6.9311747244845048</v>
      </c>
      <c r="GI279">
        <v>6.7453328793600171</v>
      </c>
      <c r="GJ279"/>
      <c r="GK279"/>
      <c r="GL279"/>
      <c r="GM279"/>
    </row>
    <row r="280" spans="1:195" s="7" customFormat="1">
      <c r="A280" s="1"/>
      <c r="B280">
        <v>0.44391135222062861</v>
      </c>
      <c r="C280">
        <v>3</v>
      </c>
      <c r="D280">
        <v>39799</v>
      </c>
      <c r="E280">
        <v>0</v>
      </c>
      <c r="F280">
        <v>0</v>
      </c>
      <c r="G280">
        <v>83.333333333333329</v>
      </c>
      <c r="H280">
        <v>166.66666666666666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 s="2"/>
      <c r="AK280" s="81"/>
      <c r="AL280" s="81"/>
      <c r="AM280" s="43">
        <v>264</v>
      </c>
      <c r="AN280">
        <v>82.854703431307513</v>
      </c>
      <c r="AO280">
        <v>10.843377910964113</v>
      </c>
      <c r="AP280">
        <v>109.1438040836257</v>
      </c>
      <c r="AQ280">
        <v>91.927001024988485</v>
      </c>
      <c r="AR280">
        <v>10.530384340705934</v>
      </c>
      <c r="AS280">
        <v>186.68054871666709</v>
      </c>
      <c r="AT280">
        <v>6.9680391655932299</v>
      </c>
      <c r="AU280">
        <v>11.669662440823878</v>
      </c>
      <c r="AV280"/>
      <c r="AW280"/>
      <c r="FY280" s="210">
        <v>275</v>
      </c>
      <c r="FZ280">
        <v>12.944825580745174</v>
      </c>
      <c r="GA280">
        <v>15.056444969231185</v>
      </c>
      <c r="GB280">
        <v>2.7906514370836151</v>
      </c>
      <c r="GC280">
        <v>1.3646045294975204</v>
      </c>
      <c r="GD280">
        <v>0.83960188957378312</v>
      </c>
      <c r="GE280">
        <v>3.3920524462896626</v>
      </c>
      <c r="GF280">
        <v>7.5351373385895384</v>
      </c>
      <c r="GG280">
        <v>4.9604732013268036</v>
      </c>
      <c r="GH280">
        <v>4.7552985768104001</v>
      </c>
      <c r="GI280">
        <v>5.2041877594505426</v>
      </c>
      <c r="GJ280"/>
      <c r="GK280"/>
      <c r="GL280"/>
      <c r="GM280"/>
    </row>
    <row r="281" spans="1:195" s="7" customFormat="1">
      <c r="A281" s="1"/>
      <c r="B281">
        <v>0.86026362039872928</v>
      </c>
      <c r="C281">
        <v>9</v>
      </c>
      <c r="D281">
        <v>39799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 s="80"/>
      <c r="AK281" s="81"/>
      <c r="AL281" s="81"/>
      <c r="AM281" s="43">
        <v>265</v>
      </c>
      <c r="AN281">
        <v>90.363736484213604</v>
      </c>
      <c r="AO281">
        <v>7.5506321383894273</v>
      </c>
      <c r="AP281">
        <v>73.415733972545809</v>
      </c>
      <c r="AQ281">
        <v>62.115898565363594</v>
      </c>
      <c r="AR281">
        <v>7.1143304173840205</v>
      </c>
      <c r="AS281">
        <v>122.65589438658752</v>
      </c>
      <c r="AT281">
        <v>4.0903191260140064</v>
      </c>
      <c r="AU281">
        <v>41.565080023670987</v>
      </c>
      <c r="AV281"/>
      <c r="AW281"/>
      <c r="FY281" s="210">
        <v>276</v>
      </c>
      <c r="FZ281">
        <v>56.284661008415391</v>
      </c>
      <c r="GA281">
        <v>66.165967457594519</v>
      </c>
      <c r="GB281">
        <v>1.8900307711730555</v>
      </c>
      <c r="GC281">
        <v>0.57865925937152207</v>
      </c>
      <c r="GD281">
        <v>0.69461455759897439</v>
      </c>
      <c r="GE281">
        <v>2.4850375254848598</v>
      </c>
      <c r="GF281">
        <v>5.4060544369859009</v>
      </c>
      <c r="GG281">
        <v>5.522206609126548</v>
      </c>
      <c r="GH281">
        <v>7.8637953690886828</v>
      </c>
      <c r="GI281">
        <v>11.413588846011946</v>
      </c>
      <c r="GJ281"/>
      <c r="GK281"/>
      <c r="GL281"/>
      <c r="GM281"/>
    </row>
    <row r="282" spans="1:195" s="7" customFormat="1">
      <c r="A282" s="1"/>
      <c r="B282">
        <v>0.72799665210679088</v>
      </c>
      <c r="C282">
        <v>2</v>
      </c>
      <c r="D282">
        <v>39799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 s="80"/>
      <c r="AK282" s="81"/>
      <c r="AL282" s="81"/>
      <c r="AM282" s="43">
        <v>266</v>
      </c>
      <c r="AN282">
        <v>86.467910037662961</v>
      </c>
      <c r="AO282">
        <v>9.1395650498808827</v>
      </c>
      <c r="AP282">
        <v>96.950172339573172</v>
      </c>
      <c r="AQ282">
        <v>82.980462812644021</v>
      </c>
      <c r="AR282">
        <v>9.4687566316215008</v>
      </c>
      <c r="AS282">
        <v>141.96172962146287</v>
      </c>
      <c r="AT282">
        <v>6.010763749497726</v>
      </c>
      <c r="AU282">
        <v>23.225378260896917</v>
      </c>
      <c r="AV282"/>
      <c r="AW282"/>
      <c r="FY282" s="210">
        <v>277</v>
      </c>
      <c r="FZ282">
        <v>54.84838990465564</v>
      </c>
      <c r="GA282">
        <v>64.163630329257032</v>
      </c>
      <c r="GB282">
        <v>2.4152473761136322</v>
      </c>
      <c r="GC282">
        <v>1.4807785493000822</v>
      </c>
      <c r="GD282">
        <v>0.73946875113170785</v>
      </c>
      <c r="GE282">
        <v>2.2459737923914282</v>
      </c>
      <c r="GF282">
        <v>6.1172359533713818</v>
      </c>
      <c r="GG282">
        <v>11.026553462533428</v>
      </c>
      <c r="GH282">
        <v>10.32377103569841</v>
      </c>
      <c r="GI282">
        <v>11.857674276508124</v>
      </c>
      <c r="GJ282"/>
      <c r="GK282"/>
      <c r="GL282"/>
      <c r="GM282"/>
    </row>
    <row r="283" spans="1:195" s="7" customFormat="1">
      <c r="A283" s="1"/>
      <c r="B283">
        <v>0.77514481910604038</v>
      </c>
      <c r="C283">
        <v>1</v>
      </c>
      <c r="D283">
        <v>39799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 s="80"/>
      <c r="AK283" s="81"/>
      <c r="AL283" s="81"/>
      <c r="AM283" s="43">
        <v>267</v>
      </c>
      <c r="AN283">
        <v>101.2505264968172</v>
      </c>
      <c r="AO283">
        <v>10.566830707849762</v>
      </c>
      <c r="AP283">
        <v>99.442553412998194</v>
      </c>
      <c r="AQ283">
        <v>87.56814186628894</v>
      </c>
      <c r="AR283">
        <v>10.734401285683635</v>
      </c>
      <c r="AS283">
        <v>194.45959797996684</v>
      </c>
      <c r="AT283">
        <v>6.165566653512756</v>
      </c>
      <c r="AU283">
        <v>-2.4103796635327344</v>
      </c>
      <c r="AV283"/>
      <c r="AW283"/>
      <c r="FY283" s="210">
        <v>278</v>
      </c>
      <c r="FZ283">
        <v>2.0944492888058033</v>
      </c>
      <c r="GA283">
        <v>2.0817031598637348</v>
      </c>
      <c r="GB283">
        <v>0.83876906551998953</v>
      </c>
      <c r="GC283">
        <v>0.22017144410299569</v>
      </c>
      <c r="GD283">
        <v>0.80934077219053902</v>
      </c>
      <c r="GE283">
        <v>2.781150997867905</v>
      </c>
      <c r="GF283">
        <v>4.8014310504117086</v>
      </c>
      <c r="GG283">
        <v>5.4719732684458471</v>
      </c>
      <c r="GH283">
        <v>8.7181682528771081</v>
      </c>
      <c r="GI283">
        <v>3.2302101666461063</v>
      </c>
      <c r="GJ283"/>
      <c r="GK283"/>
      <c r="GL283"/>
      <c r="GM283"/>
    </row>
    <row r="284" spans="1:195" s="7" customFormat="1">
      <c r="A284" s="1"/>
      <c r="B284">
        <v>0.78356851238510972</v>
      </c>
      <c r="C284">
        <v>4</v>
      </c>
      <c r="D284">
        <v>39799</v>
      </c>
      <c r="E284">
        <v>0</v>
      </c>
      <c r="F284">
        <v>292.44652406417111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 s="80"/>
      <c r="AK284" s="81"/>
      <c r="AL284" s="81"/>
      <c r="AM284" s="43">
        <v>268</v>
      </c>
      <c r="AN284">
        <v>92.889669248674934</v>
      </c>
      <c r="AO284">
        <v>13.129227797484873</v>
      </c>
      <c r="AP284">
        <v>143.40417313790164</v>
      </c>
      <c r="AQ284">
        <v>124.7673269189651</v>
      </c>
      <c r="AR284">
        <v>12.586784744044023</v>
      </c>
      <c r="AS284">
        <v>171.09994270680764</v>
      </c>
      <c r="AT284">
        <v>7.6007638894492047</v>
      </c>
      <c r="AU284">
        <v>6.5319198405983663</v>
      </c>
      <c r="AV284"/>
      <c r="AW284"/>
      <c r="FY284" s="210">
        <v>279</v>
      </c>
      <c r="FZ284">
        <v>13.152266259389823</v>
      </c>
      <c r="GA284">
        <v>14.656212233988658</v>
      </c>
      <c r="GB284">
        <v>1.298691747772398</v>
      </c>
      <c r="GC284">
        <v>0.6031690573584616</v>
      </c>
      <c r="GD284">
        <v>0.4175939408063109</v>
      </c>
      <c r="GE284">
        <v>0.68671153756380265</v>
      </c>
      <c r="GF284">
        <v>5.4112548805518284</v>
      </c>
      <c r="GG284">
        <v>6.6433015585782007</v>
      </c>
      <c r="GH284">
        <v>5.7988824895419384</v>
      </c>
      <c r="GI284">
        <v>4.4004000153122407</v>
      </c>
      <c r="GJ284"/>
      <c r="GK284"/>
      <c r="GL284"/>
      <c r="GM284"/>
    </row>
    <row r="285" spans="1:195" s="7" customFormat="1">
      <c r="A285" s="1"/>
      <c r="B285">
        <v>0.68896217207237243</v>
      </c>
      <c r="C285">
        <v>7</v>
      </c>
      <c r="D285">
        <v>39799</v>
      </c>
      <c r="E285">
        <v>0</v>
      </c>
      <c r="F285">
        <v>0</v>
      </c>
      <c r="G285">
        <v>0</v>
      </c>
      <c r="H285">
        <v>121.52777777777777</v>
      </c>
      <c r="I285">
        <v>0</v>
      </c>
      <c r="J285">
        <v>0</v>
      </c>
      <c r="K285">
        <v>10.416666666666666</v>
      </c>
      <c r="L285">
        <v>10.416666666666666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 s="80"/>
      <c r="AK285" s="81"/>
      <c r="AL285" s="81"/>
      <c r="AM285" s="43">
        <v>269</v>
      </c>
      <c r="AN285">
        <v>140.83119282096914</v>
      </c>
      <c r="AO285">
        <v>15.585070574209215</v>
      </c>
      <c r="AP285">
        <v>166.70131200133713</v>
      </c>
      <c r="AQ285">
        <v>142.8327148356511</v>
      </c>
      <c r="AR285">
        <v>14.762338299748761</v>
      </c>
      <c r="AS285">
        <v>215.53384191662622</v>
      </c>
      <c r="AT285">
        <v>9.1539408899482488</v>
      </c>
      <c r="AU285">
        <v>52.188360928176373</v>
      </c>
      <c r="AV285"/>
      <c r="AW285"/>
      <c r="FY285" s="210">
        <v>280</v>
      </c>
      <c r="FZ285">
        <v>11.632721484484609</v>
      </c>
      <c r="GA285">
        <v>16.561119469078385</v>
      </c>
      <c r="GB285">
        <v>3.8457327157714238</v>
      </c>
      <c r="GC285">
        <v>1.5051709667681412</v>
      </c>
      <c r="GD285">
        <v>0.62234120674791105</v>
      </c>
      <c r="GE285">
        <v>3.9099588340784681</v>
      </c>
      <c r="GF285">
        <v>7.833006094355456</v>
      </c>
      <c r="GG285">
        <v>5.131883181306053</v>
      </c>
      <c r="GH285">
        <v>6.2417879528245743</v>
      </c>
      <c r="GI285">
        <v>5.4382743177857957</v>
      </c>
      <c r="GJ285"/>
      <c r="GK285"/>
      <c r="GL285"/>
      <c r="GM285"/>
    </row>
    <row r="286" spans="1:195" s="7" customFormat="1">
      <c r="A286" s="1"/>
      <c r="B286">
        <v>0.37092004161056913</v>
      </c>
      <c r="C286">
        <v>1</v>
      </c>
      <c r="D286">
        <v>39799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 s="80"/>
      <c r="AK286" s="81"/>
      <c r="AL286" s="81"/>
      <c r="AM286" s="43">
        <v>270</v>
      </c>
      <c r="AN286">
        <v>145.26049390321225</v>
      </c>
      <c r="AO286">
        <v>13.574583702470164</v>
      </c>
      <c r="AP286">
        <v>136.13521086291865</v>
      </c>
      <c r="AQ286">
        <v>118.70229201088632</v>
      </c>
      <c r="AR286">
        <v>12.956665233377521</v>
      </c>
      <c r="AS286">
        <v>202.57825017722766</v>
      </c>
      <c r="AT286">
        <v>7.604001077455302</v>
      </c>
      <c r="AU286">
        <v>4.6618628805958275</v>
      </c>
      <c r="AV286"/>
      <c r="AW286"/>
      <c r="FY286" s="210">
        <v>281</v>
      </c>
      <c r="FZ286">
        <v>24.045064925438012</v>
      </c>
      <c r="GA286">
        <v>28.098940536253728</v>
      </c>
      <c r="GB286">
        <v>4.2557794896292753</v>
      </c>
      <c r="GC286">
        <v>2.1650042538155123</v>
      </c>
      <c r="GD286">
        <v>0.88649549135567196</v>
      </c>
      <c r="GE286">
        <v>2.2769667121284445</v>
      </c>
      <c r="GF286">
        <v>4.7013858527392838</v>
      </c>
      <c r="GG286">
        <v>7.1187722813345093</v>
      </c>
      <c r="GH286">
        <v>10.439950602661499</v>
      </c>
      <c r="GI286">
        <v>7.6142517486798402</v>
      </c>
      <c r="GJ286"/>
      <c r="GK286"/>
      <c r="GL286"/>
      <c r="GM286"/>
    </row>
    <row r="287" spans="1:195" s="7" customFormat="1">
      <c r="A287" s="1"/>
      <c r="B287">
        <v>0.66688201251126689</v>
      </c>
      <c r="C287">
        <v>7</v>
      </c>
      <c r="D287">
        <v>39799</v>
      </c>
      <c r="E287">
        <v>0</v>
      </c>
      <c r="F287">
        <v>0</v>
      </c>
      <c r="G287">
        <v>0</v>
      </c>
      <c r="H287">
        <v>121.52777777777777</v>
      </c>
      <c r="I287">
        <v>0</v>
      </c>
      <c r="J287">
        <v>0</v>
      </c>
      <c r="K287">
        <v>10.416666666666666</v>
      </c>
      <c r="L287">
        <v>10.416666666666666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 s="80"/>
      <c r="AK287" s="81"/>
      <c r="AL287" s="81"/>
      <c r="AM287" s="43">
        <v>271</v>
      </c>
      <c r="AN287">
        <v>105.03997457962407</v>
      </c>
      <c r="AO287">
        <v>7.6917372094184113</v>
      </c>
      <c r="AP287">
        <v>73.864016453429713</v>
      </c>
      <c r="AQ287">
        <v>63.182697804278973</v>
      </c>
      <c r="AR287">
        <v>7.5534284875397715</v>
      </c>
      <c r="AS287">
        <v>136.71570866660019</v>
      </c>
      <c r="AT287" t="e">
        <v>#DIV/0!</v>
      </c>
      <c r="AU287" t="e">
        <v>#DIV/0!</v>
      </c>
      <c r="AV287"/>
      <c r="AW287"/>
      <c r="FY287" s="210">
        <v>282</v>
      </c>
      <c r="FZ287">
        <v>33.76063807929139</v>
      </c>
      <c r="GA287">
        <v>41.051933014191398</v>
      </c>
      <c r="GB287">
        <v>2.8443144869968657</v>
      </c>
      <c r="GC287">
        <v>0.93423757716972355</v>
      </c>
      <c r="GD287">
        <v>0.75252332367876429</v>
      </c>
      <c r="GE287">
        <v>2.2295596405075546</v>
      </c>
      <c r="GF287">
        <v>6.6662398380000933</v>
      </c>
      <c r="GG287">
        <v>9.8250217230025072</v>
      </c>
      <c r="GH287">
        <v>11.850871499219432</v>
      </c>
      <c r="GI287">
        <v>9.2147114123394935</v>
      </c>
      <c r="GJ287"/>
      <c r="GK287"/>
      <c r="GL287"/>
      <c r="GM287"/>
    </row>
    <row r="288" spans="1:195" s="7" customFormat="1">
      <c r="A288" s="1"/>
      <c r="B288">
        <v>0.23545054644117114</v>
      </c>
      <c r="C288">
        <v>9</v>
      </c>
      <c r="D288">
        <v>39847</v>
      </c>
      <c r="E288">
        <v>0</v>
      </c>
      <c r="F288">
        <v>65.104166666666671</v>
      </c>
      <c r="G288">
        <v>0</v>
      </c>
      <c r="H288">
        <v>10.416666666666666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 s="80"/>
      <c r="AK288" s="81"/>
      <c r="AL288" s="81"/>
      <c r="AM288" s="43">
        <v>272</v>
      </c>
      <c r="AN288">
        <v>167.08493413588363</v>
      </c>
      <c r="AO288">
        <v>15.051362474214509</v>
      </c>
      <c r="AP288">
        <v>157.11083333448892</v>
      </c>
      <c r="AQ288">
        <v>132.14405467912187</v>
      </c>
      <c r="AR288">
        <v>14.342658637180941</v>
      </c>
      <c r="AS288">
        <v>218.02787294274384</v>
      </c>
      <c r="AT288">
        <v>8.752818873925122</v>
      </c>
      <c r="AU288">
        <v>45.112505112594825</v>
      </c>
      <c r="AV288"/>
      <c r="AW288"/>
      <c r="FY288" s="210">
        <v>283</v>
      </c>
      <c r="FZ288">
        <v>44.885692659271697</v>
      </c>
      <c r="GA288">
        <v>52.897295909982816</v>
      </c>
      <c r="GB288">
        <v>2.30172206028662</v>
      </c>
      <c r="GC288">
        <v>0.95235840173151931</v>
      </c>
      <c r="GD288">
        <v>0.4724745139977824</v>
      </c>
      <c r="GE288">
        <v>1.7857558396521198</v>
      </c>
      <c r="GF288">
        <v>6.0388180884377984</v>
      </c>
      <c r="GG288">
        <v>5.2778953658175798</v>
      </c>
      <c r="GH288">
        <v>6.0595044804425084</v>
      </c>
      <c r="GI288">
        <v>9.5206141066202363</v>
      </c>
      <c r="GJ288"/>
      <c r="GK288"/>
      <c r="GL288"/>
      <c r="GM288"/>
    </row>
    <row r="289" spans="1:195" s="7" customFormat="1">
      <c r="A289" s="1"/>
      <c r="B289">
        <v>0.32815852705949244</v>
      </c>
      <c r="C289">
        <v>2</v>
      </c>
      <c r="D289">
        <v>39847</v>
      </c>
      <c r="E289">
        <v>0</v>
      </c>
      <c r="F289">
        <v>341.796875</v>
      </c>
      <c r="G289">
        <v>569.66145833333337</v>
      </c>
      <c r="H289">
        <v>113.93229166666666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 s="80"/>
      <c r="AK289" s="81"/>
      <c r="AL289" s="81"/>
      <c r="AM289" s="43">
        <v>273</v>
      </c>
      <c r="AN289">
        <v>114.64271738819953</v>
      </c>
      <c r="AO289">
        <v>11.365815789683541</v>
      </c>
      <c r="AP289">
        <v>120.41234735533359</v>
      </c>
      <c r="AQ289">
        <v>99.574609405663082</v>
      </c>
      <c r="AR289">
        <v>10.870415156759551</v>
      </c>
      <c r="AS289">
        <v>175.04704744812037</v>
      </c>
      <c r="AT289">
        <v>6.9184168817486196</v>
      </c>
      <c r="AU289">
        <v>24.4907525778288</v>
      </c>
      <c r="AV289"/>
      <c r="AW289"/>
      <c r="FY289" s="210">
        <v>284</v>
      </c>
      <c r="FZ289">
        <v>37.04882616297774</v>
      </c>
      <c r="GA289">
        <v>38.612649021255287</v>
      </c>
      <c r="GB289">
        <v>0.74933554162945559</v>
      </c>
      <c r="GC289">
        <v>0.46346796920987454</v>
      </c>
      <c r="GD289">
        <v>1.005000607064126</v>
      </c>
      <c r="GE289">
        <v>2.6259139470313313</v>
      </c>
      <c r="GF289">
        <v>7.544596311161742</v>
      </c>
      <c r="GG289">
        <v>6.8393093830971434</v>
      </c>
      <c r="GH289">
        <v>4.7903259933545232</v>
      </c>
      <c r="GI289">
        <v>8.3529535404110007</v>
      </c>
      <c r="GJ289"/>
      <c r="GK289"/>
      <c r="GL289"/>
      <c r="GM289"/>
    </row>
    <row r="290" spans="1:195" s="7" customFormat="1">
      <c r="A290" s="1"/>
      <c r="B290">
        <v>0.66659331325246041</v>
      </c>
      <c r="C290">
        <v>7</v>
      </c>
      <c r="D290">
        <v>39847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 s="80"/>
      <c r="AK290" s="81"/>
      <c r="AL290" s="81"/>
      <c r="AM290" s="43">
        <v>274</v>
      </c>
      <c r="AN290">
        <v>102.00298916124372</v>
      </c>
      <c r="AO290">
        <v>9.739359738830256</v>
      </c>
      <c r="AP290">
        <v>97.788970744331905</v>
      </c>
      <c r="AQ290">
        <v>84.05386391475173</v>
      </c>
      <c r="AR290">
        <v>9.2615928288685048</v>
      </c>
      <c r="AS290">
        <v>121.14237457660933</v>
      </c>
      <c r="AT290">
        <v>5.976410334713929</v>
      </c>
      <c r="AU290">
        <v>30.717702496701587</v>
      </c>
      <c r="AV290"/>
      <c r="AW290"/>
      <c r="FY290" s="210">
        <v>285</v>
      </c>
      <c r="FZ290">
        <v>5.9043544745865129</v>
      </c>
      <c r="GA290">
        <v>1.672208306774992</v>
      </c>
      <c r="GB290">
        <v>1.9500580405210968</v>
      </c>
      <c r="GC290">
        <v>1.2485551075782737</v>
      </c>
      <c r="GD290">
        <v>1.2997270925765845</v>
      </c>
      <c r="GE290">
        <v>3.0502005797691294</v>
      </c>
      <c r="GF290">
        <v>1.4819313354102215</v>
      </c>
      <c r="GG290">
        <v>4.5149666005303217</v>
      </c>
      <c r="GH290">
        <v>9.6291963552406088</v>
      </c>
      <c r="GI290">
        <v>3.9014166751003945</v>
      </c>
      <c r="GJ290"/>
      <c r="GK290"/>
      <c r="GL290"/>
      <c r="GM290"/>
    </row>
    <row r="291" spans="1:195" s="7" customFormat="1">
      <c r="A291" s="1"/>
      <c r="B291">
        <v>0.99581605219161862</v>
      </c>
      <c r="C291">
        <v>6</v>
      </c>
      <c r="D291">
        <v>39847</v>
      </c>
      <c r="E291">
        <v>0</v>
      </c>
      <c r="F291">
        <v>10.416666666666666</v>
      </c>
      <c r="G291">
        <v>10.416666666666666</v>
      </c>
      <c r="H291">
        <v>0</v>
      </c>
      <c r="I291">
        <v>20.833333333333332</v>
      </c>
      <c r="J291">
        <v>0</v>
      </c>
      <c r="K291">
        <v>10.416666666666666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 s="80"/>
      <c r="AK291" s="81"/>
      <c r="AL291" s="81"/>
      <c r="AM291" s="43">
        <v>275</v>
      </c>
      <c r="AN291">
        <v>108.26284552340431</v>
      </c>
      <c r="AO291">
        <v>7.3366156104666631</v>
      </c>
      <c r="AP291">
        <v>69.322498896658544</v>
      </c>
      <c r="AQ291">
        <v>58.843277728598231</v>
      </c>
      <c r="AR291">
        <v>7.0833910413171823</v>
      </c>
      <c r="AS291">
        <v>130.62256704397498</v>
      </c>
      <c r="AT291">
        <v>4.5229495597962055</v>
      </c>
      <c r="AU291">
        <v>7.1872932911341199</v>
      </c>
      <c r="AV291"/>
      <c r="AW291"/>
      <c r="FY291" s="210">
        <v>286</v>
      </c>
      <c r="FZ291">
        <v>46.39085581628715</v>
      </c>
      <c r="GA291">
        <v>51.906974752648729</v>
      </c>
      <c r="GB291">
        <v>3.0085572124644733</v>
      </c>
      <c r="GC291">
        <v>1.8859315502147669</v>
      </c>
      <c r="GD291">
        <v>0.95258996898342363</v>
      </c>
      <c r="GE291">
        <v>3.7204083963754662</v>
      </c>
      <c r="GF291">
        <v>10.223753289779701</v>
      </c>
      <c r="GG291">
        <v>7.2125581849371105</v>
      </c>
      <c r="GH291">
        <v>6.1379635908666579</v>
      </c>
      <c r="GI291">
        <v>10.968549028690946</v>
      </c>
      <c r="GJ291"/>
      <c r="GK291"/>
      <c r="GL291"/>
      <c r="GM291"/>
    </row>
    <row r="292" spans="1:195" s="7" customFormat="1">
      <c r="A292" s="1"/>
      <c r="B292">
        <v>0.80489922887646537</v>
      </c>
      <c r="C292">
        <v>7</v>
      </c>
      <c r="D292">
        <v>39847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 s="80"/>
      <c r="AK292" s="81"/>
      <c r="AL292" s="81"/>
      <c r="AM292" s="43">
        <v>276</v>
      </c>
      <c r="AN292">
        <v>119.10411539780607</v>
      </c>
      <c r="AO292">
        <v>16.590213779839257</v>
      </c>
      <c r="AP292">
        <v>182.77445102094748</v>
      </c>
      <c r="AQ292">
        <v>158.3046158408514</v>
      </c>
      <c r="AR292">
        <v>15.913064782745201</v>
      </c>
      <c r="AS292">
        <v>229.41659420080973</v>
      </c>
      <c r="AT292">
        <v>9.4312678463332418</v>
      </c>
      <c r="AU292">
        <v>9.053851415667026</v>
      </c>
      <c r="AV292"/>
      <c r="AW292"/>
      <c r="FY292" s="210">
        <v>287</v>
      </c>
      <c r="FZ292">
        <v>38.708291378576391</v>
      </c>
      <c r="GA292">
        <v>40.550303164474386</v>
      </c>
      <c r="GB292">
        <v>3.1520383624283772</v>
      </c>
      <c r="GC292">
        <v>1.2694220985354949</v>
      </c>
      <c r="GD292">
        <v>0.92587572306903443</v>
      </c>
      <c r="GE292">
        <v>1.8513176378731577</v>
      </c>
      <c r="GF292">
        <v>6.9909748847941371</v>
      </c>
      <c r="GG292">
        <v>8.5358798976530483</v>
      </c>
      <c r="GH292">
        <v>7.0916446745555302</v>
      </c>
      <c r="GI292">
        <v>9.4237587639209632</v>
      </c>
      <c r="GJ292"/>
      <c r="GK292"/>
      <c r="GL292"/>
      <c r="GM292"/>
    </row>
    <row r="293" spans="1:195" s="7" customFormat="1">
      <c r="A293" s="1"/>
      <c r="B293">
        <v>0.98044735148912143</v>
      </c>
      <c r="C293">
        <v>1</v>
      </c>
      <c r="D293">
        <v>39847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10.416666666666666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 s="80"/>
      <c r="AK293" s="81"/>
      <c r="AL293" s="81"/>
      <c r="AM293" s="43">
        <v>277</v>
      </c>
      <c r="AN293">
        <v>161.5491472672399</v>
      </c>
      <c r="AO293">
        <v>17.748922455515572</v>
      </c>
      <c r="AP293">
        <v>190.81554497143421</v>
      </c>
      <c r="AQ293">
        <v>165.21872343096086</v>
      </c>
      <c r="AR293">
        <v>16.507346979976614</v>
      </c>
      <c r="AS293">
        <v>288.06468463388467</v>
      </c>
      <c r="AT293">
        <v>10.028427296741134</v>
      </c>
      <c r="AU293">
        <v>273.00711552762419</v>
      </c>
      <c r="AV293"/>
      <c r="AW293"/>
      <c r="FY293" s="210">
        <v>288</v>
      </c>
      <c r="FZ293">
        <v>1.8076829395077518</v>
      </c>
      <c r="GA293">
        <v>3.6042463264466775</v>
      </c>
      <c r="GB293">
        <v>3.1304996700051753</v>
      </c>
      <c r="GC293">
        <v>1.1492545314861591</v>
      </c>
      <c r="GD293">
        <v>0.78502913192885937</v>
      </c>
      <c r="GE293">
        <v>2.382460946456685</v>
      </c>
      <c r="GF293">
        <v>10.960792746460408</v>
      </c>
      <c r="GG293">
        <v>8.6073779235896382</v>
      </c>
      <c r="GH293">
        <v>4.0213296732814747</v>
      </c>
      <c r="GI293">
        <v>4.1247470276620346</v>
      </c>
      <c r="GJ293"/>
      <c r="GK293"/>
      <c r="GL293"/>
      <c r="GM293"/>
    </row>
    <row r="294" spans="1:195" s="7" customFormat="1">
      <c r="A294" s="1"/>
      <c r="B294">
        <v>0.49266191143110261</v>
      </c>
      <c r="C294">
        <v>1</v>
      </c>
      <c r="D294">
        <v>39847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10.416666666666666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 s="80"/>
      <c r="AK294" s="81"/>
      <c r="AL294" s="81"/>
      <c r="AM294" s="43">
        <v>278</v>
      </c>
      <c r="AN294">
        <v>77.154933846318514</v>
      </c>
      <c r="AO294">
        <v>4.1880637887026513</v>
      </c>
      <c r="AP294">
        <v>37.031552492443581</v>
      </c>
      <c r="AQ294">
        <v>31.047367466731739</v>
      </c>
      <c r="AR294">
        <v>4.3721907239091538</v>
      </c>
      <c r="AS294">
        <v>85.68573497990522</v>
      </c>
      <c r="AT294" t="e">
        <v>#DIV/0!</v>
      </c>
      <c r="AU294" t="e">
        <v>#DIV/0!</v>
      </c>
      <c r="AV294"/>
      <c r="AW294"/>
      <c r="FY294" s="210">
        <v>289</v>
      </c>
      <c r="FZ294">
        <v>23.381898344895124</v>
      </c>
      <c r="GA294">
        <v>29.768440181125715</v>
      </c>
      <c r="GB294">
        <v>4.4444644400811431</v>
      </c>
      <c r="GC294">
        <v>1.5866020034149018</v>
      </c>
      <c r="GD294">
        <v>0.72486807986941515</v>
      </c>
      <c r="GE294">
        <v>3.1291308499656205</v>
      </c>
      <c r="GF294">
        <v>6.2675504374905673</v>
      </c>
      <c r="GG294">
        <v>6.8765202124366454</v>
      </c>
      <c r="GH294">
        <v>8.6959766861603658</v>
      </c>
      <c r="GI294">
        <v>7.4893393135446997</v>
      </c>
      <c r="GJ294"/>
      <c r="GK294"/>
      <c r="GL294"/>
      <c r="GM294"/>
    </row>
    <row r="295" spans="1:195" s="7" customFormat="1">
      <c r="A295" s="1"/>
      <c r="B295">
        <v>0.8274780047925665</v>
      </c>
      <c r="C295">
        <v>7</v>
      </c>
      <c r="D295">
        <v>39847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 s="80"/>
      <c r="AK295" s="81"/>
      <c r="AL295" s="81"/>
      <c r="AM295" s="43">
        <v>279</v>
      </c>
      <c r="AN295">
        <v>77.026542650216385</v>
      </c>
      <c r="AO295">
        <v>6.132515349508485</v>
      </c>
      <c r="AP295">
        <v>63.374057936361588</v>
      </c>
      <c r="AQ295">
        <v>53.068483720863661</v>
      </c>
      <c r="AR295">
        <v>6.1149711276197545</v>
      </c>
      <c r="AS295">
        <v>92.424648428835269</v>
      </c>
      <c r="AT295">
        <v>3.8966054652666116</v>
      </c>
      <c r="AU295">
        <v>18.652535753162557</v>
      </c>
      <c r="AV295"/>
      <c r="AW295"/>
      <c r="FY295" s="210">
        <v>290</v>
      </c>
      <c r="FZ295">
        <v>33.312324205013013</v>
      </c>
      <c r="GA295">
        <v>41.651600084655875</v>
      </c>
      <c r="GB295">
        <v>3.0785956334931872</v>
      </c>
      <c r="GC295">
        <v>1.2043250656220594</v>
      </c>
      <c r="GD295">
        <v>1.2725374622877452</v>
      </c>
      <c r="GE295">
        <v>3.4267083037584509</v>
      </c>
      <c r="GF295">
        <v>6.4623522775595541</v>
      </c>
      <c r="GG295">
        <v>8.2057069173577002</v>
      </c>
      <c r="GH295">
        <v>8.1744846903925303</v>
      </c>
      <c r="GI295">
        <v>8.9002432502918385</v>
      </c>
      <c r="GJ295"/>
      <c r="GK295"/>
      <c r="GL295"/>
      <c r="GM295"/>
    </row>
    <row r="296" spans="1:195" s="7" customFormat="1">
      <c r="A296" s="1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 s="80"/>
      <c r="AK296" s="81"/>
      <c r="AL296" s="81"/>
      <c r="AM296" s="43">
        <v>280</v>
      </c>
      <c r="AN296">
        <v>119.20415239524161</v>
      </c>
      <c r="AO296">
        <v>7.8210233824516422</v>
      </c>
      <c r="AP296">
        <v>74.915410373834391</v>
      </c>
      <c r="AQ296">
        <v>62.721996223200811</v>
      </c>
      <c r="AR296">
        <v>7.3514739023995039</v>
      </c>
      <c r="AS296">
        <v>114.48659782149268</v>
      </c>
      <c r="AT296">
        <v>4.3072032392579223</v>
      </c>
      <c r="AU296">
        <v>4.2303392975960161</v>
      </c>
      <c r="AV296"/>
      <c r="AW296"/>
      <c r="FY296" s="210">
        <v>291</v>
      </c>
      <c r="FZ296">
        <v>4.0099385061915545</v>
      </c>
      <c r="GA296">
        <v>4.1073869497615991</v>
      </c>
      <c r="GB296">
        <v>3.1978203643484493</v>
      </c>
      <c r="GC296">
        <v>0.95652230064297128</v>
      </c>
      <c r="GD296">
        <v>0.5851298335928925</v>
      </c>
      <c r="GE296">
        <v>3.4429017050724786</v>
      </c>
      <c r="GF296">
        <v>8.4449076756927841</v>
      </c>
      <c r="GG296">
        <v>11.284209559395293</v>
      </c>
      <c r="GH296">
        <v>14.463026137042402</v>
      </c>
      <c r="GI296">
        <v>5.5510285521417471</v>
      </c>
      <c r="GJ296"/>
      <c r="GK296"/>
      <c r="GL296"/>
      <c r="GM296"/>
    </row>
    <row r="297" spans="1:195" s="7" customFormat="1">
      <c r="A297" s="1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 s="80"/>
      <c r="AK297" s="81"/>
      <c r="AL297" s="81"/>
      <c r="AM297" s="43">
        <v>281</v>
      </c>
      <c r="AN297">
        <v>122.26794705745449</v>
      </c>
      <c r="AO297">
        <v>10.772843388947653</v>
      </c>
      <c r="AP297">
        <v>107.79326859029189</v>
      </c>
      <c r="AQ297">
        <v>91.602611894035775</v>
      </c>
      <c r="AR297">
        <v>10.55362989981343</v>
      </c>
      <c r="AS297">
        <v>163.95376150729149</v>
      </c>
      <c r="AT297">
        <v>6.2515090708721948</v>
      </c>
      <c r="AU297">
        <v>4.8464786271859541</v>
      </c>
      <c r="AV297"/>
      <c r="AW297"/>
      <c r="FY297" s="210">
        <v>292</v>
      </c>
      <c r="FZ297">
        <v>16.222422824583209</v>
      </c>
      <c r="GA297">
        <v>16.752192631024378</v>
      </c>
      <c r="GB297">
        <v>2.9045656970529912</v>
      </c>
      <c r="GC297">
        <v>1.0211249022706008</v>
      </c>
      <c r="GD297">
        <v>0.60559180483948882</v>
      </c>
      <c r="GE297">
        <v>2.2286574386005014</v>
      </c>
      <c r="GF297">
        <v>8.9524272376133371</v>
      </c>
      <c r="GG297">
        <v>10.883716579460824</v>
      </c>
      <c r="GH297">
        <v>10.066943679044581</v>
      </c>
      <c r="GI297">
        <v>6.6892256790771061</v>
      </c>
      <c r="GJ297"/>
      <c r="GK297"/>
      <c r="GL297"/>
      <c r="GM297"/>
    </row>
    <row r="298" spans="1:195" s="7" customFormat="1">
      <c r="A298" s="1"/>
      <c r="B298">
        <v>0.57423955402043969</v>
      </c>
      <c r="C298">
        <v>1</v>
      </c>
      <c r="D298">
        <v>39910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 s="80"/>
      <c r="AK298" s="81"/>
      <c r="AL298" s="81"/>
      <c r="AM298" s="43">
        <v>282</v>
      </c>
      <c r="AN298">
        <v>108.90358797534066</v>
      </c>
      <c r="AO298">
        <v>13.259836984436939</v>
      </c>
      <c r="AP298">
        <v>140.36538488342129</v>
      </c>
      <c r="AQ298">
        <v>119.13005059439723</v>
      </c>
      <c r="AR298">
        <v>12.825686394362448</v>
      </c>
      <c r="AS298">
        <v>203.18450670868984</v>
      </c>
      <c r="AT298">
        <v>7.9472141145212767</v>
      </c>
      <c r="AU298">
        <v>-4.9297982034077332</v>
      </c>
      <c r="AV298"/>
      <c r="AW298"/>
      <c r="FY298" s="210">
        <v>293</v>
      </c>
      <c r="FZ298">
        <v>32.391604584927926</v>
      </c>
      <c r="GA298">
        <v>42.524400636904389</v>
      </c>
      <c r="GB298">
        <v>3.7877987599931364</v>
      </c>
      <c r="GC298">
        <v>1.0625364519442699</v>
      </c>
      <c r="GD298">
        <v>0.41116526907877882</v>
      </c>
      <c r="GE298">
        <v>2.4038988368405829</v>
      </c>
      <c r="GF298">
        <v>5.2973737854652114</v>
      </c>
      <c r="GG298">
        <v>7.2991418723076613</v>
      </c>
      <c r="GH298">
        <v>10.084353106923448</v>
      </c>
      <c r="GI298">
        <v>8.5237199940874504</v>
      </c>
      <c r="GJ298"/>
      <c r="GK298"/>
      <c r="GL298"/>
      <c r="GM298"/>
    </row>
    <row r="299" spans="1:195" s="7" customFormat="1">
      <c r="A299" s="1"/>
      <c r="B299">
        <v>0.10183626969811943</v>
      </c>
      <c r="C299">
        <v>6</v>
      </c>
      <c r="D299">
        <v>39910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 s="80"/>
      <c r="AK299" s="81"/>
      <c r="AL299" s="81"/>
      <c r="AM299" s="43">
        <v>283</v>
      </c>
      <c r="AN299">
        <v>112.11820531985738</v>
      </c>
      <c r="AO299">
        <v>13.810113055327202</v>
      </c>
      <c r="AP299">
        <v>151.37539382591876</v>
      </c>
      <c r="AQ299">
        <v>130.19213142624068</v>
      </c>
      <c r="AR299">
        <v>13.250926857967265</v>
      </c>
      <c r="AS299">
        <v>203.17336786806064</v>
      </c>
      <c r="AT299">
        <v>8.3075948903005497</v>
      </c>
      <c r="AU299">
        <v>9.2171730360809399</v>
      </c>
      <c r="AV299"/>
      <c r="AW299"/>
      <c r="FY299" s="210">
        <v>294</v>
      </c>
      <c r="FZ299">
        <v>2.7338477814937066</v>
      </c>
      <c r="GA299">
        <v>1.3670291824594525</v>
      </c>
      <c r="GB299">
        <v>2.0814527990072547</v>
      </c>
      <c r="GC299">
        <v>1.2107857574963461</v>
      </c>
      <c r="GD299">
        <v>0.82274904087568923</v>
      </c>
      <c r="GE299">
        <v>2.3659942620339618</v>
      </c>
      <c r="GF299">
        <v>4.9083134911820077</v>
      </c>
      <c r="GG299">
        <v>6.8919376892665927</v>
      </c>
      <c r="GH299">
        <v>10.179152874975557</v>
      </c>
      <c r="GI299">
        <v>3.9016631915181592</v>
      </c>
      <c r="GJ299"/>
      <c r="GK299"/>
      <c r="GL299"/>
      <c r="GM299"/>
    </row>
    <row r="300" spans="1:195" s="7" customFormat="1">
      <c r="A300" s="1"/>
      <c r="B300">
        <v>0.86412499494623796</v>
      </c>
      <c r="C300">
        <v>3</v>
      </c>
      <c r="D300">
        <v>39910</v>
      </c>
      <c r="E300">
        <v>0</v>
      </c>
      <c r="F300">
        <v>0</v>
      </c>
      <c r="G300">
        <v>173.61111111111111</v>
      </c>
      <c r="H300">
        <v>86.805555555555557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 s="80"/>
      <c r="AK300" s="81"/>
      <c r="AL300" s="81"/>
      <c r="AM300" s="43">
        <v>284</v>
      </c>
      <c r="AN300">
        <v>113.15256871179868</v>
      </c>
      <c r="AO300">
        <v>11.831428488965784</v>
      </c>
      <c r="AP300">
        <v>124.16507891209866</v>
      </c>
      <c r="AQ300">
        <v>108.03237847719222</v>
      </c>
      <c r="AR300">
        <v>11.616050244844606</v>
      </c>
      <c r="AS300">
        <v>166.65832277620646</v>
      </c>
      <c r="AT300">
        <v>7.3911588039638829</v>
      </c>
      <c r="AU300">
        <v>4.0172800515256268</v>
      </c>
      <c r="AV300"/>
      <c r="AW300"/>
      <c r="FY300" s="210">
        <v>295</v>
      </c>
      <c r="FZ300">
        <v>4.1200065243559072</v>
      </c>
      <c r="GA300">
        <v>1.5382992928814216</v>
      </c>
      <c r="GB300">
        <v>1.3728515227606919</v>
      </c>
      <c r="GC300">
        <v>1.0967824827867974</v>
      </c>
      <c r="GD300">
        <v>1.1204480936820738</v>
      </c>
      <c r="GE300">
        <v>2.3707365647342722</v>
      </c>
      <c r="GF300">
        <v>4.3589416798376295</v>
      </c>
      <c r="GG300">
        <v>4.3517782806261387</v>
      </c>
      <c r="GH300">
        <v>5.1846174767341378</v>
      </c>
      <c r="GI300">
        <v>3.1995688567519203</v>
      </c>
      <c r="GJ300"/>
      <c r="GK300"/>
      <c r="GL300"/>
      <c r="GM300"/>
    </row>
    <row r="301" spans="1:195" s="7" customFormat="1">
      <c r="A301" s="1"/>
      <c r="B301">
        <v>0.40232305812586411</v>
      </c>
      <c r="C301">
        <v>9</v>
      </c>
      <c r="D301">
        <v>39910</v>
      </c>
      <c r="E301">
        <v>0</v>
      </c>
      <c r="F301">
        <v>0</v>
      </c>
      <c r="G301">
        <v>1114.0046296296293</v>
      </c>
      <c r="H301">
        <v>0</v>
      </c>
      <c r="I301">
        <v>101.27314814814814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 s="80"/>
      <c r="AK301" s="81"/>
      <c r="AL301" s="81"/>
      <c r="AM301" s="43">
        <v>285</v>
      </c>
      <c r="AN301">
        <v>80.114337431057407</v>
      </c>
      <c r="AO301">
        <v>4.946489857385477</v>
      </c>
      <c r="AP301">
        <v>39.440498581945157</v>
      </c>
      <c r="AQ301">
        <v>34.652614568088133</v>
      </c>
      <c r="AR301">
        <v>5.3675506239322743</v>
      </c>
      <c r="AS301">
        <v>84.118935458283772</v>
      </c>
      <c r="AT301">
        <v>3.0085993352012359</v>
      </c>
      <c r="AU301">
        <v>-3.8126273979369358</v>
      </c>
      <c r="AV301"/>
      <c r="AW301"/>
      <c r="FY301" s="210">
        <v>296</v>
      </c>
      <c r="FZ301">
        <v>23.377343047976126</v>
      </c>
      <c r="GA301">
        <v>28.563183133959072</v>
      </c>
      <c r="GB301">
        <v>3.5902385157382151</v>
      </c>
      <c r="GC301">
        <v>1.4754319323936369</v>
      </c>
      <c r="GD301">
        <v>0.48272756812642426</v>
      </c>
      <c r="GE301">
        <v>1.7204388701126521</v>
      </c>
      <c r="GF301">
        <v>6.5179717795050358</v>
      </c>
      <c r="GG301">
        <v>8.8258571755347361</v>
      </c>
      <c r="GH301">
        <v>8.696554263954603</v>
      </c>
      <c r="GI301">
        <v>7.1755099002304501</v>
      </c>
      <c r="GJ301"/>
      <c r="GK301"/>
      <c r="GL301"/>
      <c r="GM301"/>
    </row>
    <row r="302" spans="1:195" s="7" customFormat="1">
      <c r="A302" s="1"/>
      <c r="B302">
        <v>0.68383827957274068</v>
      </c>
      <c r="C302">
        <v>10</v>
      </c>
      <c r="D302">
        <v>39910</v>
      </c>
      <c r="E302">
        <v>0</v>
      </c>
      <c r="F302">
        <v>0</v>
      </c>
      <c r="G302">
        <v>312.5</v>
      </c>
      <c r="H302">
        <v>104.16666666666667</v>
      </c>
      <c r="I302">
        <v>208.33333333333334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 s="80"/>
      <c r="AK302" s="81"/>
      <c r="AL302" s="81"/>
      <c r="AM302" s="43">
        <v>286</v>
      </c>
      <c r="AN302">
        <v>147.91511285770488</v>
      </c>
      <c r="AO302">
        <v>15.831213774582377</v>
      </c>
      <c r="AP302">
        <v>164.95219342389859</v>
      </c>
      <c r="AQ302">
        <v>142.4081417912484</v>
      </c>
      <c r="AR302">
        <v>15.154045055337269</v>
      </c>
      <c r="AS302">
        <v>247.38989495155474</v>
      </c>
      <c r="AT302">
        <v>9.603031729645215</v>
      </c>
      <c r="AU302">
        <v>32.523579670912696</v>
      </c>
      <c r="AV302"/>
      <c r="AW302"/>
      <c r="FY302" s="210">
        <v>297</v>
      </c>
      <c r="FZ302">
        <v>22.103388657460311</v>
      </c>
      <c r="GA302">
        <v>27.354823498850386</v>
      </c>
      <c r="GB302">
        <v>3.217878926902086</v>
      </c>
      <c r="GC302">
        <v>1.6677179619732416</v>
      </c>
      <c r="GD302">
        <v>0.58599374491348999</v>
      </c>
      <c r="GE302">
        <v>3.2326159334293205</v>
      </c>
      <c r="GF302">
        <v>8.3499614833487072</v>
      </c>
      <c r="GG302">
        <v>8.3031629770164219</v>
      </c>
      <c r="GH302">
        <v>9.0395691841522776</v>
      </c>
      <c r="GI302">
        <v>7.3376676901861435</v>
      </c>
      <c r="GJ302"/>
      <c r="GK302"/>
      <c r="GL302"/>
      <c r="GM302"/>
    </row>
    <row r="303" spans="1:195" s="7" customFormat="1">
      <c r="A303" s="1"/>
      <c r="B303">
        <v>0.70205635612668194</v>
      </c>
      <c r="C303">
        <v>10</v>
      </c>
      <c r="D303">
        <v>39910</v>
      </c>
      <c r="E303">
        <v>0</v>
      </c>
      <c r="F303">
        <v>0</v>
      </c>
      <c r="G303">
        <v>312.5</v>
      </c>
      <c r="H303">
        <v>104.16666666666667</v>
      </c>
      <c r="I303">
        <v>208.33333333333334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 s="80"/>
      <c r="AK303" s="81"/>
      <c r="AL303" s="81"/>
      <c r="AM303" s="43">
        <v>287</v>
      </c>
      <c r="AN303">
        <v>109.03619184483928</v>
      </c>
      <c r="AO303">
        <v>13.232714198523658</v>
      </c>
      <c r="AP303">
        <v>138.52756233332406</v>
      </c>
      <c r="AQ303">
        <v>118.49950658588051</v>
      </c>
      <c r="AR303">
        <v>13.164182132406532</v>
      </c>
      <c r="AS303">
        <v>211.8431855446739</v>
      </c>
      <c r="AT303">
        <v>8.2834879915511639</v>
      </c>
      <c r="AU303">
        <v>27.943991485663012</v>
      </c>
      <c r="AV303"/>
      <c r="AW303"/>
      <c r="FY303" s="210">
        <v>298</v>
      </c>
      <c r="FZ303">
        <v>22.119142090654559</v>
      </c>
      <c r="GA303">
        <v>28.930172064714746</v>
      </c>
      <c r="GB303">
        <v>2.3354835864812538</v>
      </c>
      <c r="GC303">
        <v>0.64421274472140311</v>
      </c>
      <c r="GD303">
        <v>0.62815009718388692</v>
      </c>
      <c r="GE303">
        <v>3.4668078761008654</v>
      </c>
      <c r="GF303">
        <v>8.1370837149152848</v>
      </c>
      <c r="GG303">
        <v>8.1295571538607341</v>
      </c>
      <c r="GH303">
        <v>7.7245436622726942</v>
      </c>
      <c r="GI303">
        <v>6.9148461855302354</v>
      </c>
      <c r="GJ303"/>
      <c r="GK303"/>
      <c r="GL303"/>
      <c r="GM303"/>
    </row>
    <row r="304" spans="1:195" s="7" customFormat="1">
      <c r="A304" s="1"/>
      <c r="B304">
        <v>0.14066181461390492</v>
      </c>
      <c r="C304">
        <v>2</v>
      </c>
      <c r="D304">
        <v>39910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 s="80"/>
      <c r="AK304" s="81"/>
      <c r="AL304" s="81"/>
      <c r="AM304" s="43">
        <v>288</v>
      </c>
      <c r="AN304">
        <v>94.370998068042695</v>
      </c>
      <c r="AO304">
        <v>5.7110047033398645</v>
      </c>
      <c r="AP304">
        <v>51.042936870742452</v>
      </c>
      <c r="AQ304">
        <v>40.573420916824865</v>
      </c>
      <c r="AR304">
        <v>5.6429635957346234</v>
      </c>
      <c r="AS304">
        <v>112.28745977719269</v>
      </c>
      <c r="AT304">
        <v>3.3380331654862943</v>
      </c>
      <c r="AU304">
        <v>11.646438960897683</v>
      </c>
      <c r="AV304"/>
      <c r="AW304"/>
      <c r="FY304" s="210">
        <v>299</v>
      </c>
      <c r="FZ304">
        <v>11.773357652310814</v>
      </c>
      <c r="GA304">
        <v>15.597945129635754</v>
      </c>
      <c r="GB304">
        <v>2.0498860264708889</v>
      </c>
      <c r="GC304">
        <v>1.3240237441926084</v>
      </c>
      <c r="GD304">
        <v>0.86147716718118961</v>
      </c>
      <c r="GE304">
        <v>1.9080418797827363</v>
      </c>
      <c r="GF304">
        <v>4.6415586971895459</v>
      </c>
      <c r="GG304">
        <v>4.0205036785358859</v>
      </c>
      <c r="GH304">
        <v>7.0203635251929315</v>
      </c>
      <c r="GI304">
        <v>4.6984782964989726</v>
      </c>
      <c r="GJ304"/>
      <c r="GK304"/>
      <c r="GL304"/>
      <c r="GM304"/>
    </row>
    <row r="305" spans="1:195" s="7" customFormat="1">
      <c r="A305" s="1"/>
      <c r="B305">
        <v>0.40271761682487295</v>
      </c>
      <c r="C305">
        <v>9</v>
      </c>
      <c r="D305">
        <v>39910</v>
      </c>
      <c r="E305">
        <v>0</v>
      </c>
      <c r="F305">
        <v>0</v>
      </c>
      <c r="G305">
        <v>1114.0046296296293</v>
      </c>
      <c r="H305">
        <v>0</v>
      </c>
      <c r="I305">
        <v>101.27314814814814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 s="80"/>
      <c r="AK305" s="81"/>
      <c r="AL305" s="81"/>
      <c r="AM305" s="43">
        <v>289</v>
      </c>
      <c r="AN305">
        <v>115.05264908089025</v>
      </c>
      <c r="AO305">
        <v>10.800873075055501</v>
      </c>
      <c r="AP305">
        <v>109.5422491574752</v>
      </c>
      <c r="AQ305">
        <v>92.364790548984203</v>
      </c>
      <c r="AR305">
        <v>10.304701094722052</v>
      </c>
      <c r="AS305">
        <v>162.47658982228961</v>
      </c>
      <c r="AT305">
        <v>6.2069348176368502</v>
      </c>
      <c r="AU305">
        <v>21.630758504425405</v>
      </c>
      <c r="AV305"/>
      <c r="AW305"/>
      <c r="FY305" s="210">
        <v>300</v>
      </c>
      <c r="FZ305">
        <v>37.182054972570143</v>
      </c>
      <c r="GA305">
        <v>37.829143497983416</v>
      </c>
      <c r="GB305">
        <v>1.8853190068316916</v>
      </c>
      <c r="GC305">
        <v>1.4618234555939851</v>
      </c>
      <c r="GD305">
        <v>1.3632315839976661</v>
      </c>
      <c r="GE305">
        <v>3.6309043118961855</v>
      </c>
      <c r="GF305">
        <v>7.5115828890026695</v>
      </c>
      <c r="GG305">
        <v>12.285940979572899</v>
      </c>
      <c r="GH305">
        <v>13.243746277652551</v>
      </c>
      <c r="GI305">
        <v>10.213543459656819</v>
      </c>
      <c r="GJ305"/>
      <c r="GK305"/>
      <c r="GL305"/>
      <c r="GM305"/>
    </row>
    <row r="306" spans="1:195" s="7" customFormat="1">
      <c r="A306" s="1"/>
      <c r="B306">
        <v>0.82001920441797349</v>
      </c>
      <c r="C306">
        <v>6</v>
      </c>
      <c r="D306">
        <v>39910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 s="80"/>
      <c r="AK306" s="81"/>
      <c r="AL306" s="81"/>
      <c r="AM306" s="43">
        <v>290</v>
      </c>
      <c r="AN306">
        <v>122.97078867168621</v>
      </c>
      <c r="AO306">
        <v>13.134340437332696</v>
      </c>
      <c r="AP306">
        <v>134.37169945930668</v>
      </c>
      <c r="AQ306">
        <v>115.68887789043195</v>
      </c>
      <c r="AR306">
        <v>12.359836916188431</v>
      </c>
      <c r="AS306">
        <v>193.78971832498286</v>
      </c>
      <c r="AT306">
        <v>7.1520388656423348</v>
      </c>
      <c r="AU306">
        <v>33.18894773141394</v>
      </c>
      <c r="AV306"/>
      <c r="AW306"/>
      <c r="FY306" s="210">
        <v>301</v>
      </c>
      <c r="FZ306">
        <v>27.874384246964034</v>
      </c>
      <c r="GA306">
        <v>28.448560354566261</v>
      </c>
      <c r="GB306">
        <v>3.4670188844849816</v>
      </c>
      <c r="GC306">
        <v>1.3579996675075927</v>
      </c>
      <c r="GD306">
        <v>1.0947900518332769</v>
      </c>
      <c r="GE306">
        <v>2.5273084994706996</v>
      </c>
      <c r="GF306">
        <v>4.2972148247759216</v>
      </c>
      <c r="GG306">
        <v>4.558570273326259</v>
      </c>
      <c r="GH306">
        <v>6.5551607291227025</v>
      </c>
      <c r="GI306">
        <v>7.4334623878033419</v>
      </c>
      <c r="GJ306"/>
      <c r="GK306"/>
      <c r="GL306"/>
      <c r="GM306"/>
    </row>
    <row r="307" spans="1:195" s="7" customFormat="1">
      <c r="A307" s="1"/>
      <c r="B307">
        <v>0.3611785490679269</v>
      </c>
      <c r="C307">
        <v>4</v>
      </c>
      <c r="D307">
        <v>39910</v>
      </c>
      <c r="E307">
        <v>0</v>
      </c>
      <c r="F307">
        <v>0</v>
      </c>
      <c r="G307">
        <v>69.444444444444443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 s="80"/>
      <c r="AK307" s="81"/>
      <c r="AL307" s="81"/>
      <c r="AM307" s="43">
        <v>291</v>
      </c>
      <c r="AN307">
        <v>118.37402872157836</v>
      </c>
      <c r="AO307">
        <v>7.4529458853442945</v>
      </c>
      <c r="AP307">
        <v>69.270577793145847</v>
      </c>
      <c r="AQ307">
        <v>56.042871583882174</v>
      </c>
      <c r="AR307">
        <v>7.5282933973770545</v>
      </c>
      <c r="AS307">
        <v>143.41048206063925</v>
      </c>
      <c r="AT307">
        <v>4.3967830912294845</v>
      </c>
      <c r="AU307">
        <v>7.2797004283118216</v>
      </c>
      <c r="AV307"/>
      <c r="AW307"/>
      <c r="FY307" s="210">
        <v>302</v>
      </c>
      <c r="FZ307">
        <v>23.766644651100407</v>
      </c>
      <c r="GA307">
        <v>27.805452850584324</v>
      </c>
      <c r="GB307">
        <v>1.9665679619863727</v>
      </c>
      <c r="GC307">
        <v>0.943392540795013</v>
      </c>
      <c r="GD307">
        <v>1.1630698459021487</v>
      </c>
      <c r="GE307">
        <v>3.7755740839628804</v>
      </c>
      <c r="GF307">
        <v>7.0755022285516969</v>
      </c>
      <c r="GG307">
        <v>5.5244042961307382</v>
      </c>
      <c r="GH307">
        <v>6.5422593438904739</v>
      </c>
      <c r="GI307">
        <v>6.996019451596557</v>
      </c>
      <c r="GJ307"/>
      <c r="GK307"/>
      <c r="GL307"/>
      <c r="GM307"/>
    </row>
    <row r="308" spans="1:195" s="7" customFormat="1">
      <c r="A308" s="1"/>
      <c r="B308">
        <v>0.87313038893237138</v>
      </c>
      <c r="C308">
        <v>3</v>
      </c>
      <c r="D308">
        <v>39949</v>
      </c>
      <c r="E308">
        <v>0</v>
      </c>
      <c r="F308">
        <v>405.09259259259255</v>
      </c>
      <c r="G308">
        <v>922.4537037037037</v>
      </c>
      <c r="H308">
        <v>162.03703703703704</v>
      </c>
      <c r="I308">
        <v>52.083333333333336</v>
      </c>
      <c r="J308">
        <v>41.666666666666664</v>
      </c>
      <c r="K308">
        <v>31.25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 s="80"/>
      <c r="AK308" s="81"/>
      <c r="AL308" s="81"/>
      <c r="AM308" s="43">
        <v>292</v>
      </c>
      <c r="AN308">
        <v>111.65348349675912</v>
      </c>
      <c r="AO308">
        <v>9.2271588175406443</v>
      </c>
      <c r="AP308">
        <v>91.99163266370978</v>
      </c>
      <c r="AQ308">
        <v>76.326868473567018</v>
      </c>
      <c r="AR308">
        <v>9.2200040135509163</v>
      </c>
      <c r="AS308">
        <v>155.41713033206253</v>
      </c>
      <c r="AT308">
        <v>5.3127459452146617</v>
      </c>
      <c r="AU308">
        <v>25.289263623448786</v>
      </c>
      <c r="AV308"/>
      <c r="AW308"/>
      <c r="FY308" s="210">
        <v>303</v>
      </c>
      <c r="FZ308">
        <v>22.32291739736208</v>
      </c>
      <c r="GA308">
        <v>29.783299252550634</v>
      </c>
      <c r="GB308">
        <v>3.9230524206362078</v>
      </c>
      <c r="GC308">
        <v>1.3016110281759168</v>
      </c>
      <c r="GD308">
        <v>0.64064309825204657</v>
      </c>
      <c r="GE308">
        <v>2.1308021779936674</v>
      </c>
      <c r="GF308">
        <v>6.2471211389676826</v>
      </c>
      <c r="GG308">
        <v>6.0005083611941581</v>
      </c>
      <c r="GH308">
        <v>5.3370797706470947</v>
      </c>
      <c r="GI308">
        <v>6.612829178668739</v>
      </c>
      <c r="GJ308"/>
      <c r="GK308"/>
      <c r="GL308"/>
      <c r="GM308"/>
    </row>
    <row r="309" spans="1:195" s="7" customFormat="1">
      <c r="A309" s="1"/>
      <c r="B309">
        <v>0.12744574180178847</v>
      </c>
      <c r="C309">
        <v>4</v>
      </c>
      <c r="D309">
        <v>39949</v>
      </c>
      <c r="E309">
        <v>0</v>
      </c>
      <c r="F309">
        <v>91.324200913241995</v>
      </c>
      <c r="G309">
        <v>91.324200913241995</v>
      </c>
      <c r="H309">
        <v>0</v>
      </c>
      <c r="I309">
        <v>45.662100456620998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 s="80"/>
      <c r="AK309" s="81"/>
      <c r="AL309" s="81"/>
      <c r="AM309" s="43">
        <v>293</v>
      </c>
      <c r="AN309">
        <v>104.22490480891153</v>
      </c>
      <c r="AO309">
        <v>12.543361820100987</v>
      </c>
      <c r="AP309">
        <v>134.66583458471396</v>
      </c>
      <c r="AQ309">
        <v>113.78599329847285</v>
      </c>
      <c r="AR309">
        <v>11.807472537944761</v>
      </c>
      <c r="AS309">
        <v>161.85651211131818</v>
      </c>
      <c r="AT309">
        <v>7.1154185232745917</v>
      </c>
      <c r="AU309">
        <v>67.199211116849511</v>
      </c>
      <c r="AV309"/>
      <c r="AW309"/>
      <c r="FY309" s="210">
        <v>304</v>
      </c>
      <c r="FZ309">
        <v>44.423882422699364</v>
      </c>
      <c r="GA309">
        <v>52.788192940593042</v>
      </c>
      <c r="GB309">
        <v>2.7745886667345232</v>
      </c>
      <c r="GC309">
        <v>1.307289472384884</v>
      </c>
      <c r="GD309">
        <v>1.1102118535023644</v>
      </c>
      <c r="GE309">
        <v>2.8122050668784215</v>
      </c>
      <c r="GF309">
        <v>4.2574572841474341</v>
      </c>
      <c r="GG309">
        <v>7.9543080523500862</v>
      </c>
      <c r="GH309">
        <v>10.811357723943738</v>
      </c>
      <c r="GI309">
        <v>10.360549559832242</v>
      </c>
      <c r="GJ309"/>
      <c r="GK309"/>
      <c r="GL309"/>
      <c r="GM309"/>
    </row>
    <row r="310" spans="1:195" s="7" customFormat="1">
      <c r="A310" s="1"/>
      <c r="B310">
        <v>0.32706944253207926</v>
      </c>
      <c r="C310">
        <v>4</v>
      </c>
      <c r="D310">
        <v>39949</v>
      </c>
      <c r="E310">
        <v>0</v>
      </c>
      <c r="F310">
        <v>91.324200913241995</v>
      </c>
      <c r="G310">
        <v>91.324200913241995</v>
      </c>
      <c r="H310">
        <v>0</v>
      </c>
      <c r="I310">
        <v>45.662100456620998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 s="80"/>
      <c r="AK310" s="81"/>
      <c r="AL310" s="81"/>
      <c r="AM310" s="43">
        <v>294</v>
      </c>
      <c r="AN310">
        <v>74.626412425781169</v>
      </c>
      <c r="AO310">
        <v>5.1156329694083444</v>
      </c>
      <c r="AP310">
        <v>44.162691456527796</v>
      </c>
      <c r="AQ310">
        <v>36.462926070308725</v>
      </c>
      <c r="AR310">
        <v>5.347209750409748</v>
      </c>
      <c r="AS310">
        <v>94.483285677982678</v>
      </c>
      <c r="AT310">
        <v>2.9263283936791744</v>
      </c>
      <c r="AU310">
        <v>9.3407125005873102</v>
      </c>
      <c r="AV310"/>
      <c r="AW310"/>
      <c r="FY310" s="210">
        <v>305</v>
      </c>
      <c r="FZ310">
        <v>25.337799008311979</v>
      </c>
      <c r="GA310">
        <v>29.229603963355714</v>
      </c>
      <c r="GB310">
        <v>4.3338500611713551</v>
      </c>
      <c r="GC310">
        <v>1.7436192615909785</v>
      </c>
      <c r="GD310">
        <v>0.58225592560292927</v>
      </c>
      <c r="GE310">
        <v>2.01183015751766</v>
      </c>
      <c r="GF310">
        <v>10.217506399701591</v>
      </c>
      <c r="GG310">
        <v>11.961777782303008</v>
      </c>
      <c r="GH310">
        <v>9.9246338573725588</v>
      </c>
      <c r="GI310">
        <v>8.5666495303972336</v>
      </c>
      <c r="GJ310"/>
      <c r="GK310"/>
      <c r="GL310"/>
      <c r="GM310"/>
    </row>
    <row r="311" spans="1:195" s="7" customFormat="1">
      <c r="A311" s="1"/>
      <c r="B311">
        <v>0.64538068867419973</v>
      </c>
      <c r="C311">
        <v>6</v>
      </c>
      <c r="D311">
        <v>39949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 s="80"/>
      <c r="AK311" s="81"/>
      <c r="AL311" s="81"/>
      <c r="AM311" s="43">
        <v>295</v>
      </c>
      <c r="AN311">
        <v>62.006117385188666</v>
      </c>
      <c r="AO311">
        <v>4.1424041150915958</v>
      </c>
      <c r="AP311">
        <v>33.164065612222004</v>
      </c>
      <c r="AQ311">
        <v>28.714030775150992</v>
      </c>
      <c r="AR311">
        <v>4.3700037923843107</v>
      </c>
      <c r="AS311">
        <v>86.623201291641379</v>
      </c>
      <c r="AT311">
        <v>2.6448974896661013</v>
      </c>
      <c r="AU311">
        <v>8.4218894279826557</v>
      </c>
      <c r="AV311"/>
      <c r="AW311"/>
      <c r="FY311" s="210">
        <v>306</v>
      </c>
      <c r="FZ311">
        <v>54.108875120878466</v>
      </c>
      <c r="GA311">
        <v>64.451868273765996</v>
      </c>
      <c r="GB311">
        <v>2.462889504210882</v>
      </c>
      <c r="GC311">
        <v>1.1953780579896796</v>
      </c>
      <c r="GD311">
        <v>0.62796285243892425</v>
      </c>
      <c r="GE311">
        <v>2.9877352834319333</v>
      </c>
      <c r="GF311">
        <v>5.9267989900321805</v>
      </c>
      <c r="GG311">
        <v>12.043407653953498</v>
      </c>
      <c r="GH311">
        <v>15.94287174706565</v>
      </c>
      <c r="GI311">
        <v>12.560717695202786</v>
      </c>
      <c r="GJ311"/>
      <c r="GK311"/>
      <c r="GL311"/>
      <c r="GM311"/>
    </row>
    <row r="312" spans="1:195" s="7" customFormat="1">
      <c r="A312" s="1"/>
      <c r="B312">
        <v>0.92093621236342393</v>
      </c>
      <c r="C312">
        <v>9</v>
      </c>
      <c r="D312">
        <v>39949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10.416666666666666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 s="80"/>
      <c r="AK312" s="81"/>
      <c r="AL312" s="81"/>
      <c r="AM312" s="43">
        <v>296</v>
      </c>
      <c r="AN312">
        <v>110.38168117955991</v>
      </c>
      <c r="AO312">
        <v>10.399171536511414</v>
      </c>
      <c r="AP312">
        <v>107.71404941564876</v>
      </c>
      <c r="AQ312">
        <v>90.425256187530948</v>
      </c>
      <c r="AR312">
        <v>9.9453881181631392</v>
      </c>
      <c r="AS312">
        <v>172.87475517374602</v>
      </c>
      <c r="AT312">
        <v>6.1259170236099392</v>
      </c>
      <c r="AU312">
        <v>90.926566061198869</v>
      </c>
      <c r="AV312"/>
      <c r="AW312"/>
      <c r="FY312" s="210">
        <v>307</v>
      </c>
      <c r="FZ312">
        <v>11.396832014961657</v>
      </c>
      <c r="GA312">
        <v>14.142403058322333</v>
      </c>
      <c r="GB312">
        <v>1.2855639870575342</v>
      </c>
      <c r="GC312">
        <v>0.89732025019836015</v>
      </c>
      <c r="GD312">
        <v>0.74171976672110596</v>
      </c>
      <c r="GE312">
        <v>2.8584252438914026</v>
      </c>
      <c r="GF312">
        <v>8.9310223687693693</v>
      </c>
      <c r="GG312">
        <v>8.8997673035169562</v>
      </c>
      <c r="GH312">
        <v>8.1128790071029862</v>
      </c>
      <c r="GI312">
        <v>5.3259076375805758</v>
      </c>
      <c r="GJ312"/>
      <c r="GK312"/>
      <c r="GL312"/>
      <c r="GM312"/>
    </row>
    <row r="313" spans="1:195" s="7" customFormat="1">
      <c r="A313" s="1"/>
      <c r="B313">
        <v>0.36267370459568715</v>
      </c>
      <c r="C313">
        <v>7</v>
      </c>
      <c r="D313">
        <v>39949</v>
      </c>
      <c r="E313">
        <v>0</v>
      </c>
      <c r="F313">
        <v>0</v>
      </c>
      <c r="G313">
        <v>0</v>
      </c>
      <c r="H313">
        <v>10.416666666666666</v>
      </c>
      <c r="I313">
        <v>20.833333333333332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 s="80"/>
      <c r="AK313" s="81"/>
      <c r="AL313" s="81"/>
      <c r="AM313" s="43">
        <v>297</v>
      </c>
      <c r="AN313">
        <v>145.73083742518062</v>
      </c>
      <c r="AO313">
        <v>10.684786222857438</v>
      </c>
      <c r="AP313">
        <v>107.68820910307792</v>
      </c>
      <c r="AQ313">
        <v>91.192780058232373</v>
      </c>
      <c r="AR313">
        <v>10.052679213016331</v>
      </c>
      <c r="AS313">
        <v>196.71151953983826</v>
      </c>
      <c r="AT313">
        <v>6.029700508673919</v>
      </c>
      <c r="AU313">
        <v>44.384749901205296</v>
      </c>
      <c r="AV313"/>
      <c r="AW313"/>
      <c r="FY313" s="210">
        <v>308</v>
      </c>
      <c r="FZ313">
        <v>32.486683688775578</v>
      </c>
      <c r="GA313">
        <v>41.929108549801477</v>
      </c>
      <c r="GB313">
        <v>4.170918135222033</v>
      </c>
      <c r="GC313">
        <v>1.5623637491869604</v>
      </c>
      <c r="GD313">
        <v>0.69981823730539539</v>
      </c>
      <c r="GE313">
        <v>3.272367543626491</v>
      </c>
      <c r="GF313">
        <v>6.7913471166512371</v>
      </c>
      <c r="GG313">
        <v>9.5308877520673985</v>
      </c>
      <c r="GH313">
        <v>13.403689726780891</v>
      </c>
      <c r="GI313">
        <v>9.5821172173039812</v>
      </c>
      <c r="GJ313"/>
      <c r="GK313"/>
      <c r="GL313"/>
      <c r="GM313"/>
    </row>
    <row r="314" spans="1:195" s="7" customFormat="1">
      <c r="A314" s="1"/>
      <c r="B314">
        <v>0.90071169330660794</v>
      </c>
      <c r="C314">
        <v>3</v>
      </c>
      <c r="D314">
        <v>39949</v>
      </c>
      <c r="E314">
        <v>0</v>
      </c>
      <c r="F314">
        <v>405.09259259259255</v>
      </c>
      <c r="G314">
        <v>922.4537037037037</v>
      </c>
      <c r="H314">
        <v>162.03703703703704</v>
      </c>
      <c r="I314">
        <v>52.083333333333336</v>
      </c>
      <c r="J314">
        <v>41.666666666666664</v>
      </c>
      <c r="K314">
        <v>31.25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 s="80"/>
      <c r="AK314" s="81"/>
      <c r="AL314" s="81"/>
      <c r="AM314" s="43">
        <v>298</v>
      </c>
      <c r="AN314">
        <v>118.9740626826818</v>
      </c>
      <c r="AO314">
        <v>10.209444413552552</v>
      </c>
      <c r="AP314">
        <v>104.8768331061504</v>
      </c>
      <c r="AQ314">
        <v>89.029999176435652</v>
      </c>
      <c r="AR314">
        <v>9.467866551291019</v>
      </c>
      <c r="AS314">
        <v>141.85673182713512</v>
      </c>
      <c r="AT314">
        <v>5.4870283021959372</v>
      </c>
      <c r="AU314">
        <v>37.984115369858912</v>
      </c>
      <c r="AV314"/>
      <c r="AW314"/>
      <c r="FY314" s="210">
        <v>309</v>
      </c>
      <c r="FZ314">
        <v>43.459855172909649</v>
      </c>
      <c r="GA314">
        <v>52.744670013913556</v>
      </c>
      <c r="GB314">
        <v>1.9576419481390612</v>
      </c>
      <c r="GC314">
        <v>0.95499982763500835</v>
      </c>
      <c r="GD314">
        <v>0.64786319658540692</v>
      </c>
      <c r="GE314">
        <v>3.7618935876587076</v>
      </c>
      <c r="GF314">
        <v>9.9382157652441574</v>
      </c>
      <c r="GG314">
        <v>9.516747679894916</v>
      </c>
      <c r="GH314">
        <v>10.9367241680756</v>
      </c>
      <c r="GI314">
        <v>10.811366252824813</v>
      </c>
      <c r="GJ314"/>
      <c r="GK314"/>
      <c r="GL314"/>
      <c r="GM314"/>
    </row>
    <row r="315" spans="1:195" s="7" customFormat="1">
      <c r="A315" s="1"/>
      <c r="B315">
        <v>0.56830125659390696</v>
      </c>
      <c r="C315">
        <v>7</v>
      </c>
      <c r="D315">
        <v>39949</v>
      </c>
      <c r="E315">
        <v>0</v>
      </c>
      <c r="F315">
        <v>0</v>
      </c>
      <c r="G315">
        <v>0</v>
      </c>
      <c r="H315">
        <v>10.416666666666666</v>
      </c>
      <c r="I315">
        <v>20.833333333333332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 s="80"/>
      <c r="AK315" s="81"/>
      <c r="AL315" s="81"/>
      <c r="AM315" s="43">
        <v>299</v>
      </c>
      <c r="AN315">
        <v>79.165819866027093</v>
      </c>
      <c r="AO315">
        <v>6.540747834510384</v>
      </c>
      <c r="AP315">
        <v>63.584047560152101</v>
      </c>
      <c r="AQ315">
        <v>53.895635796991328</v>
      </c>
      <c r="AR315">
        <v>6.4650197627205817</v>
      </c>
      <c r="AS315">
        <v>120.06417389352222</v>
      </c>
      <c r="AT315">
        <v>3.8410288369633037</v>
      </c>
      <c r="AU315">
        <v>4.6951352231169086</v>
      </c>
      <c r="AV315"/>
      <c r="AW315"/>
      <c r="FY315" s="210">
        <v>310</v>
      </c>
      <c r="FZ315">
        <v>3.6573063628017035</v>
      </c>
      <c r="GA315">
        <v>1.6038433816164219</v>
      </c>
      <c r="GB315">
        <v>1.8534259565379463</v>
      </c>
      <c r="GC315">
        <v>0.88506969783955591</v>
      </c>
      <c r="GD315">
        <v>0.25692776492127539</v>
      </c>
      <c r="GE315">
        <v>1.7793940433529094</v>
      </c>
      <c r="GF315">
        <v>2.417855702027091</v>
      </c>
      <c r="GG315">
        <v>1.8289838935926301</v>
      </c>
      <c r="GH315">
        <v>5.7109871856197945</v>
      </c>
      <c r="GI315">
        <v>2.4897608713818515</v>
      </c>
      <c r="GJ315"/>
      <c r="GK315"/>
      <c r="GL315"/>
      <c r="GM315"/>
    </row>
    <row r="316" spans="1:195" s="7" customFormat="1">
      <c r="A316" s="1"/>
      <c r="B316">
        <v>0.13252428918095149</v>
      </c>
      <c r="C316">
        <v>1</v>
      </c>
      <c r="D316">
        <v>39949</v>
      </c>
      <c r="E316">
        <v>0</v>
      </c>
      <c r="F316">
        <v>0</v>
      </c>
      <c r="G316">
        <v>40.788152610441763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 s="80"/>
      <c r="AK316" s="81"/>
      <c r="AL316" s="81"/>
      <c r="AM316" s="43">
        <v>300</v>
      </c>
      <c r="AN316">
        <v>144.32485207899651</v>
      </c>
      <c r="AO316">
        <v>14.585826059912975</v>
      </c>
      <c r="AP316">
        <v>146.30298528828635</v>
      </c>
      <c r="AQ316">
        <v>126.60729043475801</v>
      </c>
      <c r="AR316">
        <v>14.180124687663898</v>
      </c>
      <c r="AS316">
        <v>190.53518691550096</v>
      </c>
      <c r="AT316" t="e">
        <v>#DIV/0!</v>
      </c>
      <c r="AU316" t="e">
        <v>#DIV/0!</v>
      </c>
      <c r="AV316"/>
      <c r="AW316"/>
      <c r="FY316" s="210">
        <v>311</v>
      </c>
      <c r="FZ316">
        <v>11.687389142301157</v>
      </c>
      <c r="GA316">
        <v>15.547429353109226</v>
      </c>
      <c r="GB316">
        <v>1.2053117626134351</v>
      </c>
      <c r="GC316">
        <v>0.30328757040772625</v>
      </c>
      <c r="GD316">
        <v>1.0437177224921657</v>
      </c>
      <c r="GE316">
        <v>2.7748164808934734</v>
      </c>
      <c r="GF316">
        <v>2.3136583230718992</v>
      </c>
      <c r="GG316">
        <v>2.8062664851339703</v>
      </c>
      <c r="GH316">
        <v>5.9493050312257338</v>
      </c>
      <c r="GI316">
        <v>3.9994529869225808</v>
      </c>
      <c r="GJ316"/>
      <c r="GK316"/>
      <c r="GL316"/>
      <c r="GM316"/>
    </row>
    <row r="317" spans="1:195" s="7" customFormat="1">
      <c r="A317" s="1"/>
      <c r="B317">
        <v>0.26602329562251592</v>
      </c>
      <c r="C317">
        <v>9</v>
      </c>
      <c r="D317">
        <v>39949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10.416666666666666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 s="80"/>
      <c r="AK317" s="81"/>
      <c r="AL317" s="81"/>
      <c r="AM317" s="43">
        <v>301</v>
      </c>
      <c r="AN317">
        <v>72.911684969817927</v>
      </c>
      <c r="AO317">
        <v>10.15607372163368</v>
      </c>
      <c r="AP317">
        <v>102.30509115895623</v>
      </c>
      <c r="AQ317">
        <v>87.614469919855068</v>
      </c>
      <c r="AR317">
        <v>10.351265012442685</v>
      </c>
      <c r="AS317">
        <v>144.49938717649218</v>
      </c>
      <c r="AT317">
        <v>6.7071444178526152</v>
      </c>
      <c r="AU317">
        <v>13.473732404691035</v>
      </c>
      <c r="AV317"/>
      <c r="AW317"/>
      <c r="FY317" s="210">
        <v>312</v>
      </c>
      <c r="FZ317">
        <v>37.524096276111685</v>
      </c>
      <c r="GA317">
        <v>40.196042009220363</v>
      </c>
      <c r="GB317">
        <v>2.6684767716845155</v>
      </c>
      <c r="GC317">
        <v>1.2397641338889471</v>
      </c>
      <c r="GD317">
        <v>0.65059317256335092</v>
      </c>
      <c r="GE317">
        <v>4.0627186460198121</v>
      </c>
      <c r="GF317">
        <v>9.6881517190811142</v>
      </c>
      <c r="GG317">
        <v>6.1602373371073726</v>
      </c>
      <c r="GH317">
        <v>4.6559868341877548</v>
      </c>
      <c r="GI317">
        <v>9.0719326054433722</v>
      </c>
      <c r="GJ317"/>
      <c r="GK317"/>
      <c r="GL317"/>
      <c r="GM317"/>
    </row>
    <row r="318" spans="1:195" s="7" customFormat="1">
      <c r="A318" s="1"/>
      <c r="B318">
        <v>0.5339611833680753</v>
      </c>
      <c r="C318">
        <v>5</v>
      </c>
      <c r="D318">
        <v>39987</v>
      </c>
      <c r="E318">
        <v>0</v>
      </c>
      <c r="F318">
        <v>0</v>
      </c>
      <c r="G318">
        <v>60.763888888888886</v>
      </c>
      <c r="H318">
        <v>0</v>
      </c>
      <c r="I318">
        <v>10.416666666666666</v>
      </c>
      <c r="J318">
        <v>10.416666666666666</v>
      </c>
      <c r="K318">
        <v>0</v>
      </c>
      <c r="L318">
        <v>10.416666666666666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 s="80"/>
      <c r="AK318" s="81"/>
      <c r="AL318" s="81"/>
      <c r="AM318" s="43">
        <v>302</v>
      </c>
      <c r="AN318">
        <v>105.06088906076828</v>
      </c>
      <c r="AO318">
        <v>9.9660787798693597</v>
      </c>
      <c r="AP318">
        <v>99.105141143921941</v>
      </c>
      <c r="AQ318">
        <v>85.558887254500604</v>
      </c>
      <c r="AR318">
        <v>9.6274600459658277</v>
      </c>
      <c r="AS318">
        <v>160.50112876337741</v>
      </c>
      <c r="AT318">
        <v>5.7210588053394416</v>
      </c>
      <c r="AU318">
        <v>15.187967498862035</v>
      </c>
      <c r="AV318"/>
      <c r="AW318"/>
      <c r="FY318" s="210">
        <v>313</v>
      </c>
      <c r="FZ318">
        <v>55.893879159280786</v>
      </c>
      <c r="GA318">
        <v>68.235090766830993</v>
      </c>
      <c r="GB318">
        <v>3.0849629966368415</v>
      </c>
      <c r="GC318">
        <v>1.0449600864773809</v>
      </c>
      <c r="GD318">
        <v>0.51228235511898057</v>
      </c>
      <c r="GE318">
        <v>0.2416410899900574</v>
      </c>
      <c r="GF318">
        <v>6.5303130065799682</v>
      </c>
      <c r="GG318">
        <v>10.452456792664821</v>
      </c>
      <c r="GH318">
        <v>10.388222013880061</v>
      </c>
      <c r="GI318">
        <v>12.139128582807793</v>
      </c>
      <c r="GJ318"/>
      <c r="GK318"/>
      <c r="GL318"/>
      <c r="GM318"/>
    </row>
    <row r="319" spans="1:195" s="7" customFormat="1">
      <c r="A319" s="1"/>
      <c r="B319">
        <v>0.16942153723547371</v>
      </c>
      <c r="C319">
        <v>4</v>
      </c>
      <c r="D319">
        <v>39987</v>
      </c>
      <c r="E319">
        <v>0</v>
      </c>
      <c r="F319">
        <v>0</v>
      </c>
      <c r="G319">
        <v>0</v>
      </c>
      <c r="H319">
        <v>0</v>
      </c>
      <c r="I319">
        <v>88.922764227642276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 s="80"/>
      <c r="AK319" s="81"/>
      <c r="AL319" s="81"/>
      <c r="AM319" s="43">
        <v>303</v>
      </c>
      <c r="AN319">
        <v>98.888656149782378</v>
      </c>
      <c r="AO319">
        <v>9.6686787238563205</v>
      </c>
      <c r="AP319">
        <v>100.19608350855745</v>
      </c>
      <c r="AQ319">
        <v>84.299863824448224</v>
      </c>
      <c r="AR319">
        <v>9.1607661110370859</v>
      </c>
      <c r="AS319">
        <v>162.65776164579779</v>
      </c>
      <c r="AT319">
        <v>5.8309675155859972</v>
      </c>
      <c r="AU319">
        <v>20.998705392166976</v>
      </c>
      <c r="AV319"/>
      <c r="AW319"/>
      <c r="FY319" s="210">
        <v>314</v>
      </c>
      <c r="FZ319">
        <v>25.128270787230072</v>
      </c>
      <c r="GA319">
        <v>27.253009979348626</v>
      </c>
      <c r="GB319">
        <v>1.8181031543755108</v>
      </c>
      <c r="GC319">
        <v>1.1349543896864627</v>
      </c>
      <c r="GD319">
        <v>1.657189533108304</v>
      </c>
      <c r="GE319">
        <v>2.9894818347076644</v>
      </c>
      <c r="GF319">
        <v>5.8146047934197052</v>
      </c>
      <c r="GG319">
        <v>7.6010266745738697</v>
      </c>
      <c r="GH319">
        <v>7.0121848790331498</v>
      </c>
      <c r="GI319">
        <v>7.2990262326481554</v>
      </c>
      <c r="GJ319"/>
      <c r="GK319"/>
      <c r="GL319"/>
      <c r="GM319"/>
    </row>
    <row r="320" spans="1:195" s="7" customFormat="1">
      <c r="A320" s="1"/>
      <c r="B320">
        <v>8.3181338602119403E-2</v>
      </c>
      <c r="C320">
        <v>6</v>
      </c>
      <c r="D320">
        <v>39987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10.416666666666666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 s="80"/>
      <c r="AK320" s="81"/>
      <c r="AL320" s="81"/>
      <c r="AM320" s="43">
        <v>304</v>
      </c>
      <c r="AN320">
        <v>130.39257625144654</v>
      </c>
      <c r="AO320">
        <v>15.167181082917335</v>
      </c>
      <c r="AP320">
        <v>160.22352821481294</v>
      </c>
      <c r="AQ320">
        <v>138.60004304306608</v>
      </c>
      <c r="AR320">
        <v>14.409529615853289</v>
      </c>
      <c r="AS320">
        <v>215.29986741819562</v>
      </c>
      <c r="AT320">
        <v>9.3462546642054125</v>
      </c>
      <c r="AU320">
        <v>18.381409656072883</v>
      </c>
      <c r="AV320"/>
      <c r="AW320"/>
      <c r="FY320" s="210">
        <v>315</v>
      </c>
      <c r="FZ320">
        <v>1.0407881570693041</v>
      </c>
      <c r="GA320">
        <v>2.8980048332606958</v>
      </c>
      <c r="GB320">
        <v>3.2555209379157244</v>
      </c>
      <c r="GC320">
        <v>1.3684888609777217</v>
      </c>
      <c r="GD320">
        <v>0.6105678208235894</v>
      </c>
      <c r="GE320">
        <v>2.4313739139970263</v>
      </c>
      <c r="GF320">
        <v>4.5700131859540001</v>
      </c>
      <c r="GG320">
        <v>3.3301883621512367</v>
      </c>
      <c r="GH320">
        <v>5.2452705937377235</v>
      </c>
      <c r="GI320">
        <v>2.9673908472449524</v>
      </c>
      <c r="GJ320"/>
      <c r="GK320"/>
      <c r="GL320"/>
      <c r="GM320"/>
    </row>
    <row r="321" spans="1:195" s="7" customFormat="1">
      <c r="A321" s="1"/>
      <c r="B321">
        <v>0.87964323797703936</v>
      </c>
      <c r="C321">
        <v>9</v>
      </c>
      <c r="D321">
        <v>39987</v>
      </c>
      <c r="E321">
        <v>0</v>
      </c>
      <c r="F321">
        <v>0</v>
      </c>
      <c r="G321">
        <v>0</v>
      </c>
      <c r="H321">
        <v>0</v>
      </c>
      <c r="I321">
        <v>20.833333333333332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 s="80"/>
      <c r="AK321" s="81"/>
      <c r="AL321" s="81"/>
      <c r="AM321" s="43">
        <v>305</v>
      </c>
      <c r="AN321">
        <v>149.06661814183738</v>
      </c>
      <c r="AO321">
        <v>12.159870838075841</v>
      </c>
      <c r="AP321">
        <v>124.54078124236932</v>
      </c>
      <c r="AQ321">
        <v>103.90952594732498</v>
      </c>
      <c r="AR321">
        <v>11.861854012624036</v>
      </c>
      <c r="AS321">
        <v>199.46159203871042</v>
      </c>
      <c r="AT321">
        <v>7.141969393235942</v>
      </c>
      <c r="AU321">
        <v>21.974104313101325</v>
      </c>
      <c r="AV321"/>
      <c r="AW321"/>
      <c r="FY321" s="210">
        <v>316</v>
      </c>
      <c r="FZ321">
        <v>21.849019099532622</v>
      </c>
      <c r="GA321">
        <v>28.878688123275424</v>
      </c>
      <c r="GB321">
        <v>4.2002511075240001</v>
      </c>
      <c r="GC321">
        <v>1.9091801225888396</v>
      </c>
      <c r="GD321">
        <v>0.75318211565218252</v>
      </c>
      <c r="GE321">
        <v>1.2363015633531413</v>
      </c>
      <c r="GF321">
        <v>1.9757971816829041</v>
      </c>
      <c r="GG321">
        <v>7.5000921056452068</v>
      </c>
      <c r="GH321">
        <v>11.423583228255291</v>
      </c>
      <c r="GI321">
        <v>6.8697699761762721</v>
      </c>
      <c r="GJ321"/>
      <c r="GK321"/>
      <c r="GL321"/>
      <c r="GM321"/>
    </row>
    <row r="322" spans="1:195" s="7" customFormat="1">
      <c r="A322" s="1"/>
      <c r="B322">
        <v>0.14580447499283267</v>
      </c>
      <c r="C322">
        <v>4</v>
      </c>
      <c r="D322">
        <v>39987</v>
      </c>
      <c r="E322">
        <v>0</v>
      </c>
      <c r="F322">
        <v>0</v>
      </c>
      <c r="G322">
        <v>0</v>
      </c>
      <c r="H322">
        <v>0</v>
      </c>
      <c r="I322">
        <v>88.922764227642276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 s="80"/>
      <c r="AK322" s="81"/>
      <c r="AL322" s="81"/>
      <c r="AM322" s="43">
        <v>306</v>
      </c>
      <c r="AN322">
        <v>168.86605710147626</v>
      </c>
      <c r="AO322">
        <v>18.583106533692597</v>
      </c>
      <c r="AP322">
        <v>200.18303722039116</v>
      </c>
      <c r="AQ322">
        <v>172.30850517896999</v>
      </c>
      <c r="AR322">
        <v>17.440820304754077</v>
      </c>
      <c r="AS322">
        <v>269.12294253388109</v>
      </c>
      <c r="AT322">
        <v>10.807125806185867</v>
      </c>
      <c r="AU322">
        <v>70.369379218349366</v>
      </c>
      <c r="AV322"/>
      <c r="AW322"/>
      <c r="FY322" s="210">
        <v>317</v>
      </c>
      <c r="FZ322">
        <v>1.1964132392122102</v>
      </c>
      <c r="GA322">
        <v>4.5533362764816214</v>
      </c>
      <c r="GB322">
        <v>3.8243988036586165</v>
      </c>
      <c r="GC322">
        <v>1.4562787924929794</v>
      </c>
      <c r="GD322">
        <v>0.97130557690990582</v>
      </c>
      <c r="GE322">
        <v>1.9194711802246458</v>
      </c>
      <c r="GF322">
        <v>9.0247528433635349</v>
      </c>
      <c r="GG322">
        <v>16.333439335398875</v>
      </c>
      <c r="GH322">
        <v>15.220199019549977</v>
      </c>
      <c r="GI322">
        <v>5.7217635671685994</v>
      </c>
      <c r="GJ322"/>
      <c r="GK322"/>
      <c r="GL322"/>
      <c r="GM322"/>
    </row>
    <row r="323" spans="1:195" s="7" customFormat="1">
      <c r="A323" s="1"/>
      <c r="B323">
        <v>0.72642234324347954</v>
      </c>
      <c r="C323">
        <v>2</v>
      </c>
      <c r="D323">
        <v>39987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10.416666666666666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 s="80"/>
      <c r="AK323" s="81"/>
      <c r="AL323" s="81"/>
      <c r="AM323" s="43">
        <v>307</v>
      </c>
      <c r="AN323">
        <v>118.26734683336353</v>
      </c>
      <c r="AO323">
        <v>7.6536244995527554</v>
      </c>
      <c r="AP323">
        <v>74.069667427866065</v>
      </c>
      <c r="AQ323">
        <v>62.591840638122285</v>
      </c>
      <c r="AR323">
        <v>7.2492871789860658</v>
      </c>
      <c r="AS323">
        <v>145.0969884141864</v>
      </c>
      <c r="AT323">
        <v>4.2495194509842653</v>
      </c>
      <c r="AU323">
        <v>18.695251450138468</v>
      </c>
      <c r="AV323"/>
      <c r="AW323"/>
      <c r="FY323" s="210">
        <v>318</v>
      </c>
      <c r="FZ323">
        <v>13.044334575407506</v>
      </c>
      <c r="GA323">
        <v>15.239017088140514</v>
      </c>
      <c r="GB323">
        <v>2.1223309329162796</v>
      </c>
      <c r="GC323">
        <v>0.79088873209959909</v>
      </c>
      <c r="GD323">
        <v>0.78760708676469804</v>
      </c>
      <c r="GE323">
        <v>2.1650139532700012</v>
      </c>
      <c r="GF323">
        <v>4.2847823439103205</v>
      </c>
      <c r="GG323">
        <v>10.058254025904287</v>
      </c>
      <c r="GH323">
        <v>13.67813610588798</v>
      </c>
      <c r="GI323">
        <v>5.8438699498597728</v>
      </c>
      <c r="GJ323"/>
      <c r="GK323"/>
      <c r="GL323"/>
      <c r="GM323"/>
    </row>
    <row r="324" spans="1:195" s="7" customFormat="1">
      <c r="A324" s="1"/>
      <c r="B324">
        <v>0.46095956817154637</v>
      </c>
      <c r="C324">
        <v>7</v>
      </c>
      <c r="D324">
        <v>39987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 s="80"/>
      <c r="AK324" s="81"/>
      <c r="AL324" s="81"/>
      <c r="AM324" s="43">
        <v>308</v>
      </c>
      <c r="AN324">
        <v>154.74806569063861</v>
      </c>
      <c r="AO324">
        <v>13.957144245152989</v>
      </c>
      <c r="AP324">
        <v>145.63772420069697</v>
      </c>
      <c r="AQ324">
        <v>123.42930171672145</v>
      </c>
      <c r="AR324">
        <v>13.217317759310477</v>
      </c>
      <c r="AS324">
        <v>230.575679944055</v>
      </c>
      <c r="AT324">
        <v>8.172887610315728</v>
      </c>
      <c r="AU324">
        <v>59.386083596429899</v>
      </c>
      <c r="AV324"/>
      <c r="AW324"/>
      <c r="FY324" s="210">
        <v>319</v>
      </c>
      <c r="FZ324">
        <v>21.496386956142775</v>
      </c>
      <c r="GA324">
        <v>27.372465356098132</v>
      </c>
      <c r="GB324">
        <v>2.4576397303537294</v>
      </c>
      <c r="GC324">
        <v>1.0385210732806531</v>
      </c>
      <c r="GD324">
        <v>0.84530035986514096</v>
      </c>
      <c r="GE324">
        <v>2.738276665641298</v>
      </c>
      <c r="GF324">
        <v>5.0635039163607383</v>
      </c>
      <c r="GG324">
        <v>6.9552317374679333</v>
      </c>
      <c r="GH324">
        <v>9.10197172326051</v>
      </c>
      <c r="GI324">
        <v>6.6329111700445198</v>
      </c>
      <c r="GJ324"/>
      <c r="GK324"/>
      <c r="GL324"/>
      <c r="GM324"/>
    </row>
    <row r="325" spans="1:195" s="7" customFormat="1">
      <c r="A325" s="1"/>
      <c r="B325">
        <v>0.67088216315386617</v>
      </c>
      <c r="C325">
        <v>9</v>
      </c>
      <c r="D325">
        <v>39987</v>
      </c>
      <c r="E325">
        <v>0</v>
      </c>
      <c r="F325">
        <v>0</v>
      </c>
      <c r="G325">
        <v>0</v>
      </c>
      <c r="H325">
        <v>0</v>
      </c>
      <c r="I325">
        <v>20.833333333333332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 s="80"/>
      <c r="AK325" s="81"/>
      <c r="AL325" s="81"/>
      <c r="AM325" s="43">
        <v>309</v>
      </c>
      <c r="AN325">
        <v>157.89892357999233</v>
      </c>
      <c r="AO325">
        <v>15.833548104352554</v>
      </c>
      <c r="AP325">
        <v>168.70041558283481</v>
      </c>
      <c r="AQ325">
        <v>144.72997761288087</v>
      </c>
      <c r="AR325">
        <v>14.899930377893813</v>
      </c>
      <c r="AS325">
        <v>225.80775322151425</v>
      </c>
      <c r="AT325">
        <v>9.3075050639830703</v>
      </c>
      <c r="AU325">
        <v>103.06949314072021</v>
      </c>
      <c r="AV325"/>
      <c r="AW325"/>
      <c r="FY325" s="210">
        <v>320</v>
      </c>
      <c r="FZ325">
        <v>24.232961392846967</v>
      </c>
      <c r="GA325">
        <v>28.578227074574535</v>
      </c>
      <c r="GB325">
        <v>2.1315510260033377</v>
      </c>
      <c r="GC325">
        <v>0.80132901861898653</v>
      </c>
      <c r="GD325">
        <v>1.6476497602593185</v>
      </c>
      <c r="GE325">
        <v>6.5066825491361664</v>
      </c>
      <c r="GF325">
        <v>6.0742229060395161</v>
      </c>
      <c r="GG325">
        <v>5.1702711394171219</v>
      </c>
      <c r="GH325">
        <v>9.6106559592797254</v>
      </c>
      <c r="GI325">
        <v>7.6892003992966869</v>
      </c>
      <c r="GJ325"/>
      <c r="GK325"/>
      <c r="GL325"/>
      <c r="GM325"/>
    </row>
    <row r="326" spans="1:195" s="7" customFormat="1">
      <c r="A326" s="1"/>
      <c r="B326">
        <v>0.16339225400626756</v>
      </c>
      <c r="C326">
        <v>5</v>
      </c>
      <c r="D326">
        <v>39987</v>
      </c>
      <c r="E326">
        <v>0</v>
      </c>
      <c r="F326">
        <v>0</v>
      </c>
      <c r="G326">
        <v>60.763888888888886</v>
      </c>
      <c r="H326">
        <v>0</v>
      </c>
      <c r="I326">
        <v>10.416666666666666</v>
      </c>
      <c r="J326">
        <v>10.416666666666666</v>
      </c>
      <c r="K326">
        <v>0</v>
      </c>
      <c r="L326">
        <v>10.416666666666666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 s="80"/>
      <c r="AK326" s="81"/>
      <c r="AL326" s="81"/>
      <c r="AM326" s="43">
        <v>310</v>
      </c>
      <c r="AN326">
        <v>39.051575672070499</v>
      </c>
      <c r="AO326">
        <v>3.0481418635736763</v>
      </c>
      <c r="AP326">
        <v>27.202509944540758</v>
      </c>
      <c r="AQ326">
        <v>22.483554859691179</v>
      </c>
      <c r="AR326">
        <v>3.3489832090216711</v>
      </c>
      <c r="AS326">
        <v>53.907270043804644</v>
      </c>
      <c r="AT326" t="e">
        <v>#DIV/0!</v>
      </c>
      <c r="AU326" t="e">
        <v>#DIV/0!</v>
      </c>
      <c r="AV326"/>
      <c r="AW326"/>
      <c r="FY326" s="210">
        <v>321</v>
      </c>
      <c r="FZ326">
        <v>11.182873903065072</v>
      </c>
      <c r="GA326">
        <v>14.713835583385327</v>
      </c>
      <c r="GB326">
        <v>1.7941910904982443</v>
      </c>
      <c r="GC326">
        <v>0.87193162530473201</v>
      </c>
      <c r="GD326">
        <v>1.3521679541153113</v>
      </c>
      <c r="GE326">
        <v>3.5778595459554978</v>
      </c>
      <c r="GF326">
        <v>8.4504271624292375</v>
      </c>
      <c r="GG326">
        <v>9.3507341405942821</v>
      </c>
      <c r="GH326">
        <v>7.9463319711108289</v>
      </c>
      <c r="GI326">
        <v>5.6752389092639479</v>
      </c>
      <c r="GJ326"/>
      <c r="GK326"/>
      <c r="GL326"/>
      <c r="GM326"/>
    </row>
    <row r="327" spans="1:195" s="7" customFormat="1">
      <c r="A327" s="1"/>
      <c r="B327">
        <v>0.49429063064239109</v>
      </c>
      <c r="C327">
        <v>6</v>
      </c>
      <c r="D327">
        <v>39987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10.416666666666666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 s="80"/>
      <c r="AK327" s="81"/>
      <c r="AL327" s="81"/>
      <c r="AM327" s="43">
        <v>311</v>
      </c>
      <c r="AN327">
        <v>57.158109926806603</v>
      </c>
      <c r="AO327">
        <v>5.6722458169366323</v>
      </c>
      <c r="AP327">
        <v>54.742404070368565</v>
      </c>
      <c r="AQ327">
        <v>47.630634858171362</v>
      </c>
      <c r="AR327">
        <v>5.5128014823996612</v>
      </c>
      <c r="AS327">
        <v>80.869495992567167</v>
      </c>
      <c r="AT327" t="e">
        <v>#DIV/0!</v>
      </c>
      <c r="AU327" t="e">
        <v>#DIV/0!</v>
      </c>
      <c r="AV327"/>
      <c r="AW327"/>
      <c r="FY327" s="210">
        <v>322</v>
      </c>
      <c r="FZ327">
        <v>11.34519061630901</v>
      </c>
      <c r="GA327">
        <v>16.135159392346488</v>
      </c>
      <c r="GB327">
        <v>3.2588815160040459</v>
      </c>
      <c r="GC327">
        <v>1.2160900411812452</v>
      </c>
      <c r="GD327">
        <v>0.97189491581327014</v>
      </c>
      <c r="GE327">
        <v>2.4901486481096953</v>
      </c>
      <c r="GF327">
        <v>2.8586727088792281</v>
      </c>
      <c r="GG327">
        <v>6.2216809094394971</v>
      </c>
      <c r="GH327">
        <v>9.7826095803929469</v>
      </c>
      <c r="GI327">
        <v>5.1149493190751505</v>
      </c>
      <c r="GJ327"/>
      <c r="GK327"/>
      <c r="GL327"/>
      <c r="GM327"/>
    </row>
    <row r="328" spans="1:195" s="7" customFormat="1">
      <c r="A328" s="1"/>
      <c r="B328" t="s">
        <v>104</v>
      </c>
      <c r="C328" t="s">
        <v>104</v>
      </c>
      <c r="D328" t="s">
        <v>104</v>
      </c>
      <c r="E328" t="s">
        <v>104</v>
      </c>
      <c r="F328" t="s">
        <v>104</v>
      </c>
      <c r="G328" t="s">
        <v>104</v>
      </c>
      <c r="H328" t="s">
        <v>104</v>
      </c>
      <c r="I328" t="s">
        <v>104</v>
      </c>
      <c r="J328" t="s">
        <v>104</v>
      </c>
      <c r="K328" t="s">
        <v>104</v>
      </c>
      <c r="L328" t="s">
        <v>104</v>
      </c>
      <c r="M328" t="s">
        <v>104</v>
      </c>
      <c r="N328" t="s">
        <v>104</v>
      </c>
      <c r="O328" t="s">
        <v>104</v>
      </c>
      <c r="P328" t="s">
        <v>104</v>
      </c>
      <c r="Q328" t="s">
        <v>104</v>
      </c>
      <c r="R328" t="s">
        <v>104</v>
      </c>
      <c r="S328" t="s">
        <v>104</v>
      </c>
      <c r="T328" t="s">
        <v>104</v>
      </c>
      <c r="U328" t="s">
        <v>104</v>
      </c>
      <c r="V328" t="s">
        <v>104</v>
      </c>
      <c r="W328" t="s">
        <v>104</v>
      </c>
      <c r="X328" t="s">
        <v>104</v>
      </c>
      <c r="Y328" t="s">
        <v>104</v>
      </c>
      <c r="Z328" t="s">
        <v>104</v>
      </c>
      <c r="AA328" t="s">
        <v>104</v>
      </c>
      <c r="AB328" t="s">
        <v>104</v>
      </c>
      <c r="AC328" t="s">
        <v>104</v>
      </c>
      <c r="AD328" t="s">
        <v>104</v>
      </c>
      <c r="AE328" t="s">
        <v>104</v>
      </c>
      <c r="AF328" t="s">
        <v>104</v>
      </c>
      <c r="AG328" t="s">
        <v>104</v>
      </c>
      <c r="AH328" t="s">
        <v>104</v>
      </c>
      <c r="AI328" t="s">
        <v>104</v>
      </c>
      <c r="AJ328" s="80"/>
      <c r="AK328" s="81"/>
      <c r="AL328" s="81"/>
      <c r="AM328" s="43">
        <v>312</v>
      </c>
      <c r="AN328">
        <v>131.56775305968873</v>
      </c>
      <c r="AO328">
        <v>12.971169240309464</v>
      </c>
      <c r="AP328">
        <v>134.34470472056421</v>
      </c>
      <c r="AQ328">
        <v>115.91799950530827</v>
      </c>
      <c r="AR328">
        <v>12.44798734442416</v>
      </c>
      <c r="AS328">
        <v>190.58544115113145</v>
      </c>
      <c r="AT328">
        <v>7.7983601844394448</v>
      </c>
      <c r="AU328">
        <v>-15.520917792699823</v>
      </c>
      <c r="AV328"/>
      <c r="AW328"/>
      <c r="FY328" s="210">
        <v>323</v>
      </c>
      <c r="FZ328">
        <v>22.245679269145935</v>
      </c>
      <c r="GA328">
        <v>27.952881904616408</v>
      </c>
      <c r="GB328">
        <v>4.2419310862442927</v>
      </c>
      <c r="GC328">
        <v>2.146230421921242</v>
      </c>
      <c r="GD328">
        <v>1.0999102935495759</v>
      </c>
      <c r="GE328">
        <v>2.6630344635510173</v>
      </c>
      <c r="GF328">
        <v>3.4727347063042999</v>
      </c>
      <c r="GG328">
        <v>6.8154363044296726</v>
      </c>
      <c r="GH328">
        <v>9.302923445241678</v>
      </c>
      <c r="GI328">
        <v>7.0633356815490318</v>
      </c>
      <c r="GJ328"/>
      <c r="GK328"/>
      <c r="GL328"/>
      <c r="GM328"/>
    </row>
    <row r="329" spans="1:195" s="7" customFormat="1">
      <c r="A329" s="1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 s="80"/>
      <c r="AK329" s="81"/>
      <c r="AL329" s="81"/>
      <c r="AM329" s="43">
        <v>313</v>
      </c>
      <c r="AN329">
        <v>150.89548430404793</v>
      </c>
      <c r="AO329">
        <v>17.747818821250569</v>
      </c>
      <c r="AP329">
        <v>197.53498948733059</v>
      </c>
      <c r="AQ329">
        <v>168.52293685026768</v>
      </c>
      <c r="AR329">
        <v>16.995589627281625</v>
      </c>
      <c r="AS329">
        <v>208.66082435619586</v>
      </c>
      <c r="AT329">
        <v>10.34864309908801</v>
      </c>
      <c r="AU329">
        <v>53.65545963203737</v>
      </c>
      <c r="AV329"/>
      <c r="AW329"/>
      <c r="FY329" s="210">
        <v>324</v>
      </c>
      <c r="FZ329">
        <v>11.386523803668272</v>
      </c>
      <c r="GA329">
        <v>13.465563621129636</v>
      </c>
      <c r="GB329">
        <v>2.0109983336007735</v>
      </c>
      <c r="GC329">
        <v>1.3469680337274044</v>
      </c>
      <c r="GD329">
        <v>1.2530503612534307</v>
      </c>
      <c r="GE329">
        <v>3.3721369344912273</v>
      </c>
      <c r="GF329">
        <v>11.250818715089835</v>
      </c>
      <c r="GG329">
        <v>11.631785398871429</v>
      </c>
      <c r="GH329">
        <v>7.5751994047930644</v>
      </c>
      <c r="GI329">
        <v>6.1417624580225567</v>
      </c>
      <c r="GJ329"/>
      <c r="GK329"/>
      <c r="GL329"/>
      <c r="GM329"/>
    </row>
    <row r="330" spans="1:195" s="7" customFormat="1">
      <c r="A330" s="1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 s="80"/>
      <c r="AK330" s="81"/>
      <c r="AL330" s="81"/>
      <c r="AM330" s="43">
        <v>314</v>
      </c>
      <c r="AN330">
        <v>100.57702537888228</v>
      </c>
      <c r="AO330">
        <v>10.378625741920111</v>
      </c>
      <c r="AP330">
        <v>100.86888036848352</v>
      </c>
      <c r="AQ330">
        <v>87.707852258131524</v>
      </c>
      <c r="AR330">
        <v>10.163504184159736</v>
      </c>
      <c r="AS330">
        <v>166.49855217065428</v>
      </c>
      <c r="AT330">
        <v>6.0836521152511622</v>
      </c>
      <c r="AU330">
        <v>38.94811575271099</v>
      </c>
      <c r="AV330"/>
      <c r="AW330"/>
      <c r="FY330" s="210">
        <v>325</v>
      </c>
      <c r="FZ330">
        <v>14.583266339097806</v>
      </c>
      <c r="GA330">
        <v>14.946379714536498</v>
      </c>
      <c r="GB330">
        <v>2.9711707018054869</v>
      </c>
      <c r="GC330">
        <v>1.4997210648701811</v>
      </c>
      <c r="GD330">
        <v>0.8920497075659688</v>
      </c>
      <c r="GE330">
        <v>2.9749103562886892</v>
      </c>
      <c r="GF330">
        <v>7.7595288188284117</v>
      </c>
      <c r="GG330">
        <v>11.917749466347844</v>
      </c>
      <c r="GH330">
        <v>13.216370025529455</v>
      </c>
      <c r="GI330">
        <v>6.8949349971055618</v>
      </c>
      <c r="GJ330"/>
      <c r="GK330"/>
      <c r="GL330"/>
      <c r="GM330"/>
    </row>
    <row r="331" spans="1:195" s="7" customFormat="1">
      <c r="A331" s="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 s="80"/>
      <c r="AK331" s="81"/>
      <c r="AL331" s="81"/>
      <c r="AM331" s="43">
        <v>315</v>
      </c>
      <c r="AN331">
        <v>67.106655814175539</v>
      </c>
      <c r="AO331">
        <v>4.0174707951065525</v>
      </c>
      <c r="AP331">
        <v>34.19488330616894</v>
      </c>
      <c r="AQ331">
        <v>27.717607513131977</v>
      </c>
      <c r="AR331">
        <v>3.9961637916861119</v>
      </c>
      <c r="AS331">
        <v>88.984421236657681</v>
      </c>
      <c r="AT331">
        <v>2.5860447749555173</v>
      </c>
      <c r="AU331">
        <v>-3.4703275677057381</v>
      </c>
      <c r="AV331"/>
      <c r="AW331"/>
      <c r="FY331" s="210">
        <v>326</v>
      </c>
      <c r="FZ331">
        <v>4.020372123589258</v>
      </c>
      <c r="GA331">
        <v>2.7472024886533362</v>
      </c>
      <c r="GB331">
        <v>1.4059415042229064</v>
      </c>
      <c r="GC331">
        <v>0.45881652762356534</v>
      </c>
      <c r="GD331">
        <v>0.96964887580711345</v>
      </c>
      <c r="GE331">
        <v>2.0149778790656425</v>
      </c>
      <c r="GF331">
        <v>4.6051527760170359</v>
      </c>
      <c r="GG331">
        <v>9.9359427967139347</v>
      </c>
      <c r="GH331">
        <v>13.01910387796902</v>
      </c>
      <c r="GI331">
        <v>4.4082167840573065</v>
      </c>
      <c r="GJ331"/>
      <c r="GK331"/>
      <c r="GL331"/>
      <c r="GM331"/>
    </row>
    <row r="332" spans="1:195" s="7" customFormat="1">
      <c r="A332" s="1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 s="80"/>
      <c r="AK332" s="81"/>
      <c r="AL332" s="81"/>
      <c r="AM332" s="43">
        <v>316</v>
      </c>
      <c r="AN332">
        <v>107.69106630902255</v>
      </c>
      <c r="AO332">
        <v>10.038366034484994</v>
      </c>
      <c r="AP332">
        <v>102.69716125277023</v>
      </c>
      <c r="AQ332">
        <v>86.595864623685884</v>
      </c>
      <c r="AR332">
        <v>9.5701774317411274</v>
      </c>
      <c r="AS332">
        <v>146.63542790115599</v>
      </c>
      <c r="AT332">
        <v>5.6940695976606586</v>
      </c>
      <c r="AU332">
        <v>49.268508521568705</v>
      </c>
      <c r="AV332"/>
      <c r="AW332"/>
      <c r="FY332" s="210">
        <v>327</v>
      </c>
      <c r="FZ332">
        <v>12.66261452836612</v>
      </c>
      <c r="GA332">
        <v>15.200969779498829</v>
      </c>
      <c r="GB332">
        <v>2.8356856135247677</v>
      </c>
      <c r="GC332">
        <v>1.2040763490773128</v>
      </c>
      <c r="GD332">
        <v>0.60937413800208518</v>
      </c>
      <c r="GE332">
        <v>0.95083201571620102</v>
      </c>
      <c r="GF332">
        <v>2.8747858803665975</v>
      </c>
      <c r="GG332">
        <v>3.8206528684515844</v>
      </c>
      <c r="GH332">
        <v>4.6196928764934766</v>
      </c>
      <c r="GI332">
        <v>4.1729284642312807</v>
      </c>
      <c r="GJ332"/>
      <c r="GK332"/>
      <c r="GL332"/>
      <c r="GM332"/>
    </row>
    <row r="333" spans="1:195" s="7" customFormat="1">
      <c r="A333" s="1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 s="80"/>
      <c r="AK333" s="81"/>
      <c r="AL333" s="81"/>
      <c r="AM333" s="43">
        <v>317</v>
      </c>
      <c r="AN333">
        <v>140.08152658554212</v>
      </c>
      <c r="AO333">
        <v>8.1719536514748121</v>
      </c>
      <c r="AP333">
        <v>75.178946010480985</v>
      </c>
      <c r="AQ333">
        <v>60.221358634460977</v>
      </c>
      <c r="AR333">
        <v>7.9011368022238937</v>
      </c>
      <c r="AS333">
        <v>158.85585203664056</v>
      </c>
      <c r="AT333">
        <v>4.6980108309435362</v>
      </c>
      <c r="AU333">
        <v>37.032034893083562</v>
      </c>
      <c r="AV333"/>
      <c r="AW333"/>
      <c r="FY333" s="210">
        <v>328</v>
      </c>
      <c r="FZ333">
        <v>21.292129759112633</v>
      </c>
      <c r="GA333">
        <v>27.401947104169619</v>
      </c>
      <c r="GB333">
        <v>4.6014872375495717</v>
      </c>
      <c r="GC333">
        <v>2.2672902837370006</v>
      </c>
      <c r="GD333">
        <v>1.8961033675397532</v>
      </c>
      <c r="GE333">
        <v>5.7516725000672251</v>
      </c>
      <c r="GF333">
        <v>11.411653450183788</v>
      </c>
      <c r="GG333">
        <v>7.8429660343005372</v>
      </c>
      <c r="GH333">
        <v>4.5599647676710662</v>
      </c>
      <c r="GI333">
        <v>8.173630217996795</v>
      </c>
      <c r="GJ333"/>
      <c r="GK333"/>
      <c r="GL333"/>
      <c r="GM333"/>
    </row>
    <row r="334" spans="1:195" s="7" customFormat="1">
      <c r="A334" s="1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 s="80"/>
      <c r="AK334" s="81"/>
      <c r="AL334" s="81"/>
      <c r="AM334" s="43">
        <v>318</v>
      </c>
      <c r="AN334">
        <v>111.02991421226633</v>
      </c>
      <c r="AO334">
        <v>8.1881104902153385</v>
      </c>
      <c r="AP334">
        <v>80.899551373714033</v>
      </c>
      <c r="AQ334">
        <v>68.014234794160956</v>
      </c>
      <c r="AR334">
        <v>8.0734622108512522</v>
      </c>
      <c r="AS334">
        <v>130.1505956181685</v>
      </c>
      <c r="AT334">
        <v>4.5262819818185767</v>
      </c>
      <c r="AU334">
        <v>28.004221105749473</v>
      </c>
      <c r="AV334"/>
      <c r="AW334"/>
      <c r="FY334" s="210">
        <v>329</v>
      </c>
      <c r="FZ334">
        <v>34.70830926884598</v>
      </c>
      <c r="GA334">
        <v>38.643114562646574</v>
      </c>
      <c r="GB334">
        <v>1.3993412066221833</v>
      </c>
      <c r="GC334">
        <v>1.066379634372145</v>
      </c>
      <c r="GD334">
        <v>1.0152674066534229</v>
      </c>
      <c r="GE334">
        <v>3.3603310980703576</v>
      </c>
      <c r="GF334">
        <v>9.700232229580271</v>
      </c>
      <c r="GG334">
        <v>11.33792871881966</v>
      </c>
      <c r="GH334">
        <v>9.471598589309151</v>
      </c>
      <c r="GI334">
        <v>9.3133631490296231</v>
      </c>
      <c r="GJ334"/>
      <c r="GK334"/>
      <c r="GL334"/>
      <c r="GM334"/>
    </row>
    <row r="335" spans="1:195" s="7" customFormat="1">
      <c r="A335" s="1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 s="80"/>
      <c r="AK335" s="81"/>
      <c r="AL335" s="81"/>
      <c r="AM335" s="43">
        <v>319</v>
      </c>
      <c r="AN335">
        <v>96.337683854517167</v>
      </c>
      <c r="AO335">
        <v>9.6570646101620436</v>
      </c>
      <c r="AP335">
        <v>98.067639397637294</v>
      </c>
      <c r="AQ335">
        <v>83.702208688515427</v>
      </c>
      <c r="AR335">
        <v>9.163856035214982</v>
      </c>
      <c r="AS335">
        <v>133.64508668567402</v>
      </c>
      <c r="AT335">
        <v>5.5718666365530636</v>
      </c>
      <c r="AU335">
        <v>9.5436173537610802</v>
      </c>
      <c r="AV335"/>
      <c r="AW335"/>
      <c r="FY335" s="210">
        <v>330</v>
      </c>
      <c r="FZ335">
        <v>2.9509575586585104</v>
      </c>
      <c r="GA335">
        <v>1.5729657372765842</v>
      </c>
      <c r="GB335">
        <v>2.1369216584364099</v>
      </c>
      <c r="GC335">
        <v>1.1503719785941633</v>
      </c>
      <c r="GD335">
        <v>0.76444095520660404</v>
      </c>
      <c r="GE335">
        <v>2.2666286930639217</v>
      </c>
      <c r="GF335">
        <v>7.0479878808837544</v>
      </c>
      <c r="GG335">
        <v>7.6300584511064349</v>
      </c>
      <c r="GH335">
        <v>8.5040295181255079</v>
      </c>
      <c r="GI335">
        <v>4.0201486932901052</v>
      </c>
      <c r="GJ335"/>
      <c r="GK335"/>
      <c r="GL335"/>
      <c r="GM335"/>
    </row>
    <row r="336" spans="1:195" s="7" customFormat="1">
      <c r="A336" s="1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 s="80"/>
      <c r="AK336" s="81"/>
      <c r="AL336" s="81"/>
      <c r="AM336" s="43">
        <v>320</v>
      </c>
      <c r="AN336">
        <v>144.09515550059862</v>
      </c>
      <c r="AO336">
        <v>11.022304595214841</v>
      </c>
      <c r="AP336">
        <v>105.12984390713143</v>
      </c>
      <c r="AQ336">
        <v>92.442751225472364</v>
      </c>
      <c r="AR336">
        <v>10.4695171199358</v>
      </c>
      <c r="AS336">
        <v>156.81167588087115</v>
      </c>
      <c r="AT336">
        <v>6.1451023534010361</v>
      </c>
      <c r="AU336">
        <v>20.754175350225999</v>
      </c>
      <c r="AV336"/>
      <c r="AW336"/>
      <c r="FY336" s="210">
        <v>331</v>
      </c>
      <c r="FZ336">
        <v>2.159550564020055</v>
      </c>
      <c r="GA336">
        <v>3.2508788976791942</v>
      </c>
      <c r="GB336">
        <v>4.5212120031552603</v>
      </c>
      <c r="GC336">
        <v>2.0617421343008981</v>
      </c>
      <c r="GD336">
        <v>0.46138429760839861</v>
      </c>
      <c r="GE336">
        <v>1.7550049649128265</v>
      </c>
      <c r="GF336">
        <v>8.1466490352109968</v>
      </c>
      <c r="GG336">
        <v>8.9940145013241803</v>
      </c>
      <c r="GH336">
        <v>7.2171360344277247</v>
      </c>
      <c r="GI336">
        <v>4.3152517579778857</v>
      </c>
      <c r="GJ336"/>
      <c r="GK336"/>
      <c r="GL336"/>
      <c r="GM336"/>
    </row>
    <row r="337" spans="1:195" s="7" customFormat="1">
      <c r="A337" s="1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 s="80"/>
      <c r="AK337" s="81"/>
      <c r="AL337" s="81"/>
      <c r="AM337" s="43">
        <v>321</v>
      </c>
      <c r="AN337">
        <v>106.42983642264203</v>
      </c>
      <c r="AO337">
        <v>8.2201387502147867</v>
      </c>
      <c r="AP337">
        <v>76.374454293033025</v>
      </c>
      <c r="AQ337">
        <v>64.915591885722478</v>
      </c>
      <c r="AR337">
        <v>7.8087774008438542</v>
      </c>
      <c r="AS337">
        <v>132.73015828180039</v>
      </c>
      <c r="AT337">
        <v>4.8562511008663005</v>
      </c>
      <c r="AU337">
        <v>14.863284132025321</v>
      </c>
      <c r="AV337"/>
      <c r="AW337"/>
      <c r="FY337" s="210">
        <v>332</v>
      </c>
      <c r="FZ337">
        <v>0.68798181583035767</v>
      </c>
      <c r="GA337">
        <v>1.852004107248149</v>
      </c>
      <c r="GB337">
        <v>2.2720544605035617</v>
      </c>
      <c r="GC337">
        <v>1.2905147351703419</v>
      </c>
      <c r="GD337">
        <v>0.91937661352797506</v>
      </c>
      <c r="GE337">
        <v>2.7517598877608407</v>
      </c>
      <c r="GF337">
        <v>12.517770122078559</v>
      </c>
      <c r="GG337">
        <v>11.252988630471037</v>
      </c>
      <c r="GH337">
        <v>5.38751442044763</v>
      </c>
      <c r="GI337">
        <v>4.3038141200892195</v>
      </c>
      <c r="GJ337"/>
      <c r="GK337"/>
      <c r="GL337"/>
      <c r="GM337"/>
    </row>
    <row r="338" spans="1:195" s="7" customFormat="1">
      <c r="A338" s="1"/>
      <c r="B338" t="s">
        <v>104</v>
      </c>
      <c r="C338" t="s">
        <v>104</v>
      </c>
      <c r="D338" t="s">
        <v>104</v>
      </c>
      <c r="E338" t="s">
        <v>104</v>
      </c>
      <c r="F338" t="s">
        <v>104</v>
      </c>
      <c r="G338" t="s">
        <v>104</v>
      </c>
      <c r="H338" t="s">
        <v>104</v>
      </c>
      <c r="I338" t="s">
        <v>104</v>
      </c>
      <c r="J338" t="s">
        <v>104</v>
      </c>
      <c r="K338" t="s">
        <v>104</v>
      </c>
      <c r="L338" t="s">
        <v>104</v>
      </c>
      <c r="M338" t="s">
        <v>104</v>
      </c>
      <c r="N338" t="s">
        <v>104</v>
      </c>
      <c r="O338" t="s">
        <v>104</v>
      </c>
      <c r="P338" t="s">
        <v>104</v>
      </c>
      <c r="Q338" t="s">
        <v>104</v>
      </c>
      <c r="R338" t="s">
        <v>104</v>
      </c>
      <c r="S338" t="s">
        <v>104</v>
      </c>
      <c r="T338" t="s">
        <v>104</v>
      </c>
      <c r="U338" t="s">
        <v>104</v>
      </c>
      <c r="V338" t="s">
        <v>104</v>
      </c>
      <c r="W338" t="s">
        <v>104</v>
      </c>
      <c r="X338" t="s">
        <v>104</v>
      </c>
      <c r="Y338" t="s">
        <v>104</v>
      </c>
      <c r="Z338" t="s">
        <v>104</v>
      </c>
      <c r="AA338" t="s">
        <v>104</v>
      </c>
      <c r="AB338" t="s">
        <v>104</v>
      </c>
      <c r="AC338" t="s">
        <v>104</v>
      </c>
      <c r="AD338" t="s">
        <v>104</v>
      </c>
      <c r="AE338" t="s">
        <v>104</v>
      </c>
      <c r="AF338" t="s">
        <v>104</v>
      </c>
      <c r="AG338" t="s">
        <v>104</v>
      </c>
      <c r="AH338" t="s">
        <v>104</v>
      </c>
      <c r="AI338" t="s">
        <v>104</v>
      </c>
      <c r="AJ338" s="80"/>
      <c r="AK338" s="81"/>
      <c r="AL338" s="81"/>
      <c r="AM338" s="43">
        <v>322</v>
      </c>
      <c r="AN338">
        <v>81.140850767390646</v>
      </c>
      <c r="AO338">
        <v>7.3323855195391348</v>
      </c>
      <c r="AP338">
        <v>70.460754476280542</v>
      </c>
      <c r="AQ338">
        <v>59.395277647550586</v>
      </c>
      <c r="AR338">
        <v>7.0825287247963464</v>
      </c>
      <c r="AS338">
        <v>105.87980384888621</v>
      </c>
      <c r="AT338">
        <v>4.364464623670175</v>
      </c>
      <c r="AU338">
        <v>25.422554201816229</v>
      </c>
      <c r="AV338"/>
      <c r="AW338"/>
      <c r="FY338" s="210">
        <v>333</v>
      </c>
      <c r="FZ338">
        <v>23.749519402601674</v>
      </c>
      <c r="GA338">
        <v>25.801841534516125</v>
      </c>
      <c r="GB338">
        <v>2.1540507625461984</v>
      </c>
      <c r="GC338">
        <v>1.2554705568155675</v>
      </c>
      <c r="GD338">
        <v>0.57375137685264721</v>
      </c>
      <c r="GE338">
        <v>1.0748890725106868</v>
      </c>
      <c r="GF338">
        <v>5.8992418185288802</v>
      </c>
      <c r="GG338">
        <v>9.7712633667401985</v>
      </c>
      <c r="GH338">
        <v>8.523366262819069</v>
      </c>
      <c r="GI338">
        <v>6.7877397262715524</v>
      </c>
      <c r="GJ338"/>
      <c r="GK338"/>
      <c r="GL338"/>
      <c r="GM338"/>
    </row>
    <row r="339" spans="1:195" s="7" customFormat="1">
      <c r="A339" s="1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 s="80"/>
      <c r="AK339" s="81"/>
      <c r="AL339" s="81"/>
      <c r="AM339" s="43">
        <v>323</v>
      </c>
      <c r="AN339">
        <v>111.34781509008489</v>
      </c>
      <c r="AO339">
        <v>10.340273840011665</v>
      </c>
      <c r="AP339">
        <v>101.70014391548557</v>
      </c>
      <c r="AQ339">
        <v>87.00409757655315</v>
      </c>
      <c r="AR339">
        <v>9.7907270633708148</v>
      </c>
      <c r="AS339">
        <v>165.96761519513899</v>
      </c>
      <c r="AT339">
        <v>6.1302081612212538</v>
      </c>
      <c r="AU339">
        <v>15.464145327641479</v>
      </c>
      <c r="AV339"/>
      <c r="AW339"/>
      <c r="FY339" s="210">
        <v>334</v>
      </c>
      <c r="FZ339">
        <v>10.866129725133618</v>
      </c>
      <c r="GA339">
        <v>16.377191498853755</v>
      </c>
      <c r="GB339">
        <v>3.3330424653449544</v>
      </c>
      <c r="GC339">
        <v>1.2278497942401476</v>
      </c>
      <c r="GD339">
        <v>0.796694300993813</v>
      </c>
      <c r="GE339">
        <v>2.5126454594642595</v>
      </c>
      <c r="GF339">
        <v>7.1203409544940115</v>
      </c>
      <c r="GG339">
        <v>10.342163858080935</v>
      </c>
      <c r="GH339">
        <v>9.3742538608689596</v>
      </c>
      <c r="GI339">
        <v>5.6668762196563067</v>
      </c>
      <c r="GJ339"/>
      <c r="GK339"/>
      <c r="GL339"/>
      <c r="GM339"/>
    </row>
    <row r="340" spans="1:195" s="7" customFormat="1">
      <c r="A340" s="1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 s="80"/>
      <c r="AK340" s="81"/>
      <c r="AL340" s="81"/>
      <c r="AM340" s="43">
        <v>324</v>
      </c>
      <c r="AN340">
        <v>130.52809281644011</v>
      </c>
      <c r="AO340">
        <v>8.8932869680524789</v>
      </c>
      <c r="AP340">
        <v>82.119192685300689</v>
      </c>
      <c r="AQ340">
        <v>69.434807064647629</v>
      </c>
      <c r="AR340">
        <v>8.4300389664351965</v>
      </c>
      <c r="AS340">
        <v>155.50701940392315</v>
      </c>
      <c r="AT340">
        <v>5.3931719689514859</v>
      </c>
      <c r="AU340">
        <v>22.661674925784983</v>
      </c>
      <c r="AV340"/>
      <c r="AW340"/>
      <c r="FY340" s="210">
        <v>335</v>
      </c>
      <c r="FZ340">
        <v>21.505448758235985</v>
      </c>
      <c r="GA340">
        <v>25.73496273594094</v>
      </c>
      <c r="GB340">
        <v>1.6150755208410268</v>
      </c>
      <c r="GC340">
        <v>0.77462871775027131</v>
      </c>
      <c r="GD340">
        <v>1.0829119805583201</v>
      </c>
      <c r="GE340">
        <v>2.3619210332387675</v>
      </c>
      <c r="GF340">
        <v>7.0212885467832589</v>
      </c>
      <c r="GG340">
        <v>8.3474282407167486</v>
      </c>
      <c r="GH340">
        <v>6.2265019598457432</v>
      </c>
      <c r="GI340">
        <v>6.4646096004161482</v>
      </c>
      <c r="GJ340"/>
      <c r="GK340"/>
      <c r="GL340"/>
      <c r="GM340"/>
    </row>
    <row r="341" spans="1:195" s="7" customFormat="1">
      <c r="A341" s="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 s="80"/>
      <c r="AK341" s="81"/>
      <c r="AL341" s="81"/>
      <c r="AM341" s="43">
        <v>325</v>
      </c>
      <c r="AN341">
        <v>139.95989470367149</v>
      </c>
      <c r="AO341">
        <v>9.6469401490771158</v>
      </c>
      <c r="AP341">
        <v>92.537066358627499</v>
      </c>
      <c r="AQ341">
        <v>77.6560811919759</v>
      </c>
      <c r="AR341">
        <v>9.4753825359101587</v>
      </c>
      <c r="AS341">
        <v>168.37655786382132</v>
      </c>
      <c r="AT341">
        <v>5.3834232380414804</v>
      </c>
      <c r="AU341">
        <v>19.953236771407354</v>
      </c>
      <c r="AV341"/>
      <c r="AW341"/>
      <c r="FY341" s="210">
        <v>336</v>
      </c>
      <c r="FZ341">
        <v>35.894001592719498</v>
      </c>
      <c r="GA341">
        <v>39.041265390788503</v>
      </c>
      <c r="GB341">
        <v>2.5762019139268713</v>
      </c>
      <c r="GC341">
        <v>1.4464146400868052</v>
      </c>
      <c r="GD341">
        <v>0.95398260743774221</v>
      </c>
      <c r="GE341">
        <v>4.856245695504124</v>
      </c>
      <c r="GF341">
        <v>8.7749872007289902</v>
      </c>
      <c r="GG341">
        <v>5.199083291972892</v>
      </c>
      <c r="GH341">
        <v>5.8299643997173085</v>
      </c>
      <c r="GI341">
        <v>8.989261435501092</v>
      </c>
      <c r="GJ341"/>
      <c r="GK341"/>
      <c r="GL341"/>
      <c r="GM341"/>
    </row>
    <row r="342" spans="1:195" s="7" customFormat="1">
      <c r="A342" s="1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 s="80"/>
      <c r="AK342" s="81"/>
      <c r="AL342" s="81"/>
      <c r="AM342" s="43">
        <v>326</v>
      </c>
      <c r="AN342">
        <v>87.562846499480287</v>
      </c>
      <c r="AO342">
        <v>5.7976345435829266</v>
      </c>
      <c r="AP342">
        <v>52.738049288468353</v>
      </c>
      <c r="AQ342">
        <v>43.585375633719117</v>
      </c>
      <c r="AR342">
        <v>6.112298798077374</v>
      </c>
      <c r="AS342">
        <v>107.55855883061552</v>
      </c>
      <c r="AT342">
        <v>3.646787378410933</v>
      </c>
      <c r="AU342">
        <v>23.802386637417026</v>
      </c>
      <c r="AV342"/>
      <c r="AW342"/>
      <c r="FY342" s="210">
        <v>337</v>
      </c>
      <c r="FZ342">
        <v>23.286180128274239</v>
      </c>
      <c r="GA342">
        <v>27.218007064393479</v>
      </c>
      <c r="GB342">
        <v>3.1658540318141775</v>
      </c>
      <c r="GC342">
        <v>1.5327320584799267</v>
      </c>
      <c r="GD342">
        <v>1.9904100987960356</v>
      </c>
      <c r="GE342">
        <v>5.9771926070393322</v>
      </c>
      <c r="GF342">
        <v>10.237880225902988</v>
      </c>
      <c r="GG342">
        <v>13.324281591381057</v>
      </c>
      <c r="GH342">
        <v>13.442788761407359</v>
      </c>
      <c r="GI342">
        <v>9.3528285374117708</v>
      </c>
      <c r="GJ342"/>
      <c r="GK342"/>
      <c r="GL342"/>
      <c r="GM342"/>
    </row>
    <row r="343" spans="1:195" s="7" customFormat="1">
      <c r="A343" s="1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 s="80"/>
      <c r="AK343" s="81"/>
      <c r="AL343" s="81"/>
      <c r="AM343" s="43">
        <v>327</v>
      </c>
      <c r="AN343">
        <v>59.245471139901738</v>
      </c>
      <c r="AO343">
        <v>5.8360017343853992</v>
      </c>
      <c r="AP343">
        <v>58.340883412883578</v>
      </c>
      <c r="AQ343">
        <v>48.951612513728243</v>
      </c>
      <c r="AR343">
        <v>5.8270648703286705</v>
      </c>
      <c r="AS343">
        <v>77.833626511050454</v>
      </c>
      <c r="AT343">
        <v>3.6893126206208251</v>
      </c>
      <c r="AU343">
        <v>15.556431061224041</v>
      </c>
      <c r="AV343"/>
      <c r="AW343"/>
      <c r="FY343" s="210">
        <v>338</v>
      </c>
      <c r="FZ343">
        <v>24.947781678054927</v>
      </c>
      <c r="GA343">
        <v>29.460813384666697</v>
      </c>
      <c r="GB343">
        <v>2.6900851497312281</v>
      </c>
      <c r="GC343">
        <v>0.77015000931440469</v>
      </c>
      <c r="GD343">
        <v>0.63235052796432667</v>
      </c>
      <c r="GE343">
        <v>1.3629756793309666</v>
      </c>
      <c r="GF343">
        <v>7.2348752431030787</v>
      </c>
      <c r="GG343">
        <v>6.4561910795876525</v>
      </c>
      <c r="GH343">
        <v>5.385524469436179</v>
      </c>
      <c r="GI343">
        <v>6.8904001288105849</v>
      </c>
      <c r="GJ343"/>
      <c r="GK343"/>
      <c r="GL343"/>
      <c r="GM343"/>
    </row>
    <row r="344" spans="1:195" s="7" customFormat="1">
      <c r="A344" s="1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 s="80"/>
      <c r="AK344" s="81"/>
      <c r="AL344" s="81"/>
      <c r="AM344" s="43">
        <v>328</v>
      </c>
      <c r="AN344">
        <v>156.19774637318477</v>
      </c>
      <c r="AO344">
        <v>11.989666481573162</v>
      </c>
      <c r="AP344">
        <v>110.69481205384875</v>
      </c>
      <c r="AQ344">
        <v>95.198844722327976</v>
      </c>
      <c r="AR344">
        <v>11.203700703758305</v>
      </c>
      <c r="AS344">
        <v>190.71058758965441</v>
      </c>
      <c r="AT344">
        <v>7.8588442027235468</v>
      </c>
      <c r="AU344">
        <v>8.7587406019700396</v>
      </c>
      <c r="AV344"/>
      <c r="AW344"/>
      <c r="FY344" s="210">
        <v>339</v>
      </c>
      <c r="FZ344">
        <v>33.585468785912788</v>
      </c>
      <c r="GA344">
        <v>38.661249784243303</v>
      </c>
      <c r="GB344">
        <v>2.4323163186762344</v>
      </c>
      <c r="GC344">
        <v>1.5626494167303162</v>
      </c>
      <c r="GD344">
        <v>1.2577346947998027</v>
      </c>
      <c r="GE344">
        <v>2.8990180472917086</v>
      </c>
      <c r="GF344">
        <v>4.9936585817611938</v>
      </c>
      <c r="GG344">
        <v>8.1213046161160527</v>
      </c>
      <c r="GH344">
        <v>11.008252801814756</v>
      </c>
      <c r="GI344">
        <v>8.939308976326533</v>
      </c>
      <c r="GJ344"/>
      <c r="GK344"/>
      <c r="GL344"/>
      <c r="GM344"/>
    </row>
    <row r="345" spans="1:195" s="7" customFormat="1">
      <c r="A345" s="1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 s="80"/>
      <c r="AK345" s="81"/>
      <c r="AL345" s="81"/>
      <c r="AM345" s="43">
        <v>329</v>
      </c>
      <c r="AN345">
        <v>138.25669998566653</v>
      </c>
      <c r="AO345">
        <v>13.567059005762038</v>
      </c>
      <c r="AP345">
        <v>139.05367465251078</v>
      </c>
      <c r="AQ345">
        <v>120.01586586394936</v>
      </c>
      <c r="AR345">
        <v>12.872101527511919</v>
      </c>
      <c r="AS345">
        <v>219.98686389839924</v>
      </c>
      <c r="AT345">
        <v>8.0019662209504645</v>
      </c>
      <c r="AU345">
        <v>7.7543260916551535</v>
      </c>
      <c r="AV345"/>
      <c r="AW345"/>
      <c r="FY345" s="210">
        <v>340</v>
      </c>
      <c r="FZ345">
        <v>12.947726433804757</v>
      </c>
      <c r="GA345">
        <v>14.930511617338915</v>
      </c>
      <c r="GB345">
        <v>2.8748964552262835</v>
      </c>
      <c r="GC345">
        <v>1.3413448427514043</v>
      </c>
      <c r="GD345">
        <v>1.0208418535064891</v>
      </c>
      <c r="GE345">
        <v>2.448305680657092</v>
      </c>
      <c r="GF345">
        <v>6.7337401160503081</v>
      </c>
      <c r="GG345">
        <v>8.9544026131333219</v>
      </c>
      <c r="GH345">
        <v>8.4093854287699443</v>
      </c>
      <c r="GI345">
        <v>5.7686202866494014</v>
      </c>
      <c r="GJ345"/>
      <c r="GK345"/>
      <c r="GL345"/>
      <c r="GM345"/>
    </row>
    <row r="346" spans="1:195" s="7" customFormat="1">
      <c r="A346" s="1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 s="80"/>
      <c r="AK346" s="81"/>
      <c r="AL346" s="81"/>
      <c r="AM346" s="43">
        <v>330</v>
      </c>
      <c r="AN346">
        <v>84.380045465425297</v>
      </c>
      <c r="AO346">
        <v>5.2633129469112543</v>
      </c>
      <c r="AP346">
        <v>46.333340045575326</v>
      </c>
      <c r="AQ346">
        <v>38.044511124641993</v>
      </c>
      <c r="AR346">
        <v>5.5020670913957819</v>
      </c>
      <c r="AS346">
        <v>118.75340176447303</v>
      </c>
      <c r="AT346">
        <v>3.5535779115264678</v>
      </c>
      <c r="AU346">
        <v>-15.053193840816039</v>
      </c>
      <c r="AV346"/>
      <c r="AW346"/>
      <c r="FY346" s="210">
        <v>341</v>
      </c>
      <c r="FZ346">
        <v>33.530193831669308</v>
      </c>
      <c r="GA346">
        <v>41.30283410428401</v>
      </c>
      <c r="GB346">
        <v>2.7846137483417115</v>
      </c>
      <c r="GC346">
        <v>0.64641251233959385</v>
      </c>
      <c r="GD346">
        <v>0.96246193577041406</v>
      </c>
      <c r="GE346">
        <v>4.6658280401304486</v>
      </c>
      <c r="GF346">
        <v>10.856005014485451</v>
      </c>
      <c r="GG346">
        <v>10.107542478385916</v>
      </c>
      <c r="GH346">
        <v>9.6273895931208013</v>
      </c>
      <c r="GI346">
        <v>9.6985571722149917</v>
      </c>
      <c r="GJ346"/>
      <c r="GK346"/>
      <c r="GL346"/>
      <c r="GM346"/>
    </row>
    <row r="347" spans="1:195" s="7" customFormat="1">
      <c r="A347" s="1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 s="80"/>
      <c r="AK347" s="81"/>
      <c r="AL347" s="81"/>
      <c r="AM347" s="43">
        <v>331</v>
      </c>
      <c r="AN347">
        <v>115.13895096014396</v>
      </c>
      <c r="AO347">
        <v>6.022498666703763</v>
      </c>
      <c r="AP347">
        <v>54.104216650734045</v>
      </c>
      <c r="AQ347">
        <v>42.88282419061742</v>
      </c>
      <c r="AR347">
        <v>5.8905175278738016</v>
      </c>
      <c r="AS347">
        <v>135.21663643198363</v>
      </c>
      <c r="AT347">
        <v>3.449305282277042</v>
      </c>
      <c r="AU347">
        <v>27.500536358751642</v>
      </c>
      <c r="AV347"/>
      <c r="AW347"/>
      <c r="FY347" s="210">
        <v>342</v>
      </c>
      <c r="FZ347">
        <v>23.343748639150373</v>
      </c>
      <c r="GA347">
        <v>29.526832072684467</v>
      </c>
      <c r="GB347">
        <v>3.6373631394320904</v>
      </c>
      <c r="GC347">
        <v>1.0917326827733143</v>
      </c>
      <c r="GD347">
        <v>0.49597443633968286</v>
      </c>
      <c r="GE347">
        <v>3.0666496214778602</v>
      </c>
      <c r="GF347">
        <v>9.1490800275000232</v>
      </c>
      <c r="GG347">
        <v>12.022013195183744</v>
      </c>
      <c r="GH347">
        <v>13.281487205571231</v>
      </c>
      <c r="GI347">
        <v>8.3953243303748817</v>
      </c>
      <c r="GJ347"/>
      <c r="GK347"/>
      <c r="GL347"/>
      <c r="GM347"/>
    </row>
    <row r="348" spans="1:195" s="7" customFormat="1">
      <c r="A348" s="80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80"/>
      <c r="AI348" s="80"/>
      <c r="AJ348" s="80"/>
      <c r="AK348" s="81"/>
      <c r="AL348" s="81"/>
      <c r="AM348" s="43">
        <v>332</v>
      </c>
      <c r="AN348">
        <v>123.54692976583412</v>
      </c>
      <c r="AO348">
        <v>6.149465570426222</v>
      </c>
      <c r="AP348">
        <v>53.262821386504179</v>
      </c>
      <c r="AQ348">
        <v>43.235778913127675</v>
      </c>
      <c r="AR348">
        <v>5.8380916480786151</v>
      </c>
      <c r="AS348">
        <v>120.57027302002284</v>
      </c>
      <c r="AT348">
        <v>3.5598354891823596</v>
      </c>
      <c r="AU348">
        <v>7.3950905401966631</v>
      </c>
      <c r="AV348"/>
      <c r="AW348"/>
      <c r="FY348" s="210">
        <v>343</v>
      </c>
      <c r="FZ348">
        <v>1.438212845560161</v>
      </c>
      <c r="GA348">
        <v>1.3104652587711549</v>
      </c>
      <c r="GB348">
        <v>1.2950650534738826</v>
      </c>
      <c r="GC348">
        <v>1.2864544405368497</v>
      </c>
      <c r="GD348">
        <v>1.429010669945697</v>
      </c>
      <c r="GE348">
        <v>3.4616321078528687</v>
      </c>
      <c r="GF348">
        <v>4.6052431673913174</v>
      </c>
      <c r="GG348">
        <v>3.648392692611603</v>
      </c>
      <c r="GH348">
        <v>6.3268025327577355</v>
      </c>
      <c r="GI348">
        <v>3.1904231089236608</v>
      </c>
      <c r="GJ348"/>
      <c r="GK348"/>
      <c r="GL348"/>
      <c r="GM348"/>
    </row>
    <row r="349" spans="1:195" s="7" customFormat="1">
      <c r="A349" s="4"/>
      <c r="B349" s="4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4"/>
      <c r="AE349" s="4"/>
      <c r="AF349" s="81"/>
      <c r="AG349" s="81"/>
      <c r="AH349" s="81"/>
      <c r="AI349" s="81"/>
      <c r="AJ349" s="81"/>
      <c r="AK349" s="81"/>
      <c r="AL349" s="81"/>
      <c r="AM349" s="43">
        <v>333</v>
      </c>
      <c r="AN349">
        <v>107.18481454708873</v>
      </c>
      <c r="AO349">
        <v>9.7781681753167362</v>
      </c>
      <c r="AP349">
        <v>100.70606397987991</v>
      </c>
      <c r="AQ349">
        <v>85.591133880202591</v>
      </c>
      <c r="AR349">
        <v>9.4737590895798274</v>
      </c>
      <c r="AS349">
        <v>178.09103630472706</v>
      </c>
      <c r="AT349">
        <v>5.7699450897618973</v>
      </c>
      <c r="AU349">
        <v>52.998668319890811</v>
      </c>
      <c r="AV349"/>
      <c r="AW349"/>
      <c r="FY349" s="210">
        <v>344</v>
      </c>
      <c r="FZ349">
        <v>11.184402940820167</v>
      </c>
      <c r="GA349">
        <v>16.044915956582457</v>
      </c>
      <c r="GB349">
        <v>2.8461452610363485</v>
      </c>
      <c r="GC349">
        <v>1.0579158943307483</v>
      </c>
      <c r="GD349">
        <v>0.60852803638317754</v>
      </c>
      <c r="GE349">
        <v>2.5289882453147681</v>
      </c>
      <c r="GF349">
        <v>6.0471902840034835</v>
      </c>
      <c r="GG349">
        <v>9.306776300665847</v>
      </c>
      <c r="GH349">
        <v>10.924261392846196</v>
      </c>
      <c r="GI349">
        <v>5.5258969241441394</v>
      </c>
      <c r="GJ349"/>
      <c r="GK349"/>
      <c r="GL349"/>
      <c r="GM349"/>
    </row>
    <row r="350" spans="1:195" s="7" customFormat="1">
      <c r="A350" s="4"/>
      <c r="B350" s="4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4"/>
      <c r="AE350" s="4"/>
      <c r="AF350" s="81"/>
      <c r="AG350" s="81"/>
      <c r="AH350" s="81"/>
      <c r="AI350" s="81"/>
      <c r="AJ350" s="81"/>
      <c r="AK350" s="81"/>
      <c r="AL350" s="81"/>
      <c r="AM350" s="43">
        <v>334</v>
      </c>
      <c r="AN350">
        <v>102.74756494411947</v>
      </c>
      <c r="AO350">
        <v>8.3934165694544518</v>
      </c>
      <c r="AP350">
        <v>81.522809906096427</v>
      </c>
      <c r="AQ350">
        <v>67.617188137130753</v>
      </c>
      <c r="AR350">
        <v>7.785345287741567</v>
      </c>
      <c r="AS350">
        <v>141.67297921643464</v>
      </c>
      <c r="AT350">
        <v>4.9716529744066777</v>
      </c>
      <c r="AU350">
        <v>-1.794074016777905</v>
      </c>
      <c r="AV350"/>
      <c r="AW350"/>
      <c r="FY350" s="210">
        <v>345</v>
      </c>
      <c r="FZ350">
        <v>34.289968553814944</v>
      </c>
      <c r="GA350">
        <v>39.725555088201936</v>
      </c>
      <c r="GB350">
        <v>2.9484792230721748</v>
      </c>
      <c r="GC350">
        <v>1.5340957690689403</v>
      </c>
      <c r="GD350">
        <v>0.95396092686967737</v>
      </c>
      <c r="GE350">
        <v>1.6306895908383778</v>
      </c>
      <c r="GF350">
        <v>5.026730930888947</v>
      </c>
      <c r="GG350">
        <v>10.4368430062394</v>
      </c>
      <c r="GH350">
        <v>11.858675294459193</v>
      </c>
      <c r="GI350">
        <v>9.1336563181901145</v>
      </c>
      <c r="GJ350"/>
      <c r="GK350"/>
      <c r="GL350"/>
      <c r="GM350"/>
    </row>
    <row r="351" spans="1:195" s="7" customFormat="1">
      <c r="A351" s="4"/>
      <c r="B351" s="4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4"/>
      <c r="AE351" s="4"/>
      <c r="AF351" s="81"/>
      <c r="AG351" s="81"/>
      <c r="AH351" s="81"/>
      <c r="AI351" s="81"/>
      <c r="AJ351" s="81"/>
      <c r="AK351" s="81"/>
      <c r="AL351" s="81"/>
      <c r="AM351" s="43">
        <v>335</v>
      </c>
      <c r="AN351">
        <v>81.503559159752314</v>
      </c>
      <c r="AO351">
        <v>9.4247570450700486</v>
      </c>
      <c r="AP351">
        <v>94.598516710256987</v>
      </c>
      <c r="AQ351">
        <v>81.13477709432722</v>
      </c>
      <c r="AR351">
        <v>9.0207689171099563</v>
      </c>
      <c r="AS351">
        <v>141.96074048993435</v>
      </c>
      <c r="AT351">
        <v>6.1818591606765629</v>
      </c>
      <c r="AU351">
        <v>21.573435816687983</v>
      </c>
      <c r="AV351"/>
      <c r="AW351"/>
      <c r="FY351" s="210">
        <v>346</v>
      </c>
      <c r="FZ351">
        <v>34.318291938588928</v>
      </c>
      <c r="GA351">
        <v>40.881206464432672</v>
      </c>
      <c r="GB351">
        <v>2.8223516534076927</v>
      </c>
      <c r="GC351">
        <v>1.0384782895837468</v>
      </c>
      <c r="GD351">
        <v>0.89354001803006322</v>
      </c>
      <c r="GE351">
        <v>3.771968940259304</v>
      </c>
      <c r="GF351">
        <v>6.4964531117448274</v>
      </c>
      <c r="GG351">
        <v>7.8130248293860731</v>
      </c>
      <c r="GH351">
        <v>11.015935438130839</v>
      </c>
      <c r="GI351">
        <v>9.2061045592895159</v>
      </c>
      <c r="GJ351"/>
      <c r="GK351"/>
      <c r="GL351"/>
      <c r="GM351"/>
    </row>
    <row r="352" spans="1:195" s="7" customFormat="1">
      <c r="A352" s="4"/>
      <c r="B352" s="4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4"/>
      <c r="AE352" s="4"/>
      <c r="AF352" s="81"/>
      <c r="AG352" s="81"/>
      <c r="AH352" s="81"/>
      <c r="AI352" s="81"/>
      <c r="AJ352" s="81"/>
      <c r="AK352" s="81"/>
      <c r="AL352" s="81"/>
      <c r="AM352" s="43">
        <v>336</v>
      </c>
      <c r="AN352">
        <v>152.38889338288249</v>
      </c>
      <c r="AO352">
        <v>12.86344306672442</v>
      </c>
      <c r="AP352">
        <v>130.52731732552343</v>
      </c>
      <c r="AQ352">
        <v>113.56140816838382</v>
      </c>
      <c r="AR352">
        <v>12.312984703140081</v>
      </c>
      <c r="AS352">
        <v>199.43959265171893</v>
      </c>
      <c r="AT352">
        <v>7.9550479220086752</v>
      </c>
      <c r="AU352">
        <v>5.2207039402242721</v>
      </c>
      <c r="AV352"/>
      <c r="AW352"/>
      <c r="FY352" s="210">
        <v>347</v>
      </c>
      <c r="FZ352">
        <v>32.55557574203128</v>
      </c>
      <c r="GA352">
        <v>40.659316844575002</v>
      </c>
      <c r="GB352">
        <v>4.299306556406802</v>
      </c>
      <c r="GC352">
        <v>2.0337091401614082</v>
      </c>
      <c r="GD352">
        <v>0.79334525504639286</v>
      </c>
      <c r="GE352">
        <v>2.0143288589467541</v>
      </c>
      <c r="GF352">
        <v>5.3043169674600392</v>
      </c>
      <c r="GG352">
        <v>8.6175857019100484</v>
      </c>
      <c r="GH352">
        <v>10.051089198485457</v>
      </c>
      <c r="GI352">
        <v>8.8782008452968562</v>
      </c>
      <c r="GJ352"/>
      <c r="GK352"/>
      <c r="GL352"/>
      <c r="GM352"/>
    </row>
    <row r="353" spans="1:195" s="7" customFormat="1">
      <c r="A353" s="4"/>
      <c r="B353" s="4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4"/>
      <c r="AE353" s="4"/>
      <c r="AF353" s="81"/>
      <c r="AG353" s="81"/>
      <c r="AH353" s="81"/>
      <c r="AI353" s="81"/>
      <c r="AJ353" s="81"/>
      <c r="AK353" s="81"/>
      <c r="AL353" s="81"/>
      <c r="AM353" s="43">
        <v>337</v>
      </c>
      <c r="AN353">
        <v>164.18661848670277</v>
      </c>
      <c r="AO353">
        <v>13.530291316180731</v>
      </c>
      <c r="AP353">
        <v>127.25533578170543</v>
      </c>
      <c r="AQ353">
        <v>109.52815510490035</v>
      </c>
      <c r="AR353">
        <v>12.855291610557135</v>
      </c>
      <c r="AS353">
        <v>259.55102478242526</v>
      </c>
      <c r="AT353">
        <v>8.1843088159682704</v>
      </c>
      <c r="AU353">
        <v>20.887823262204634</v>
      </c>
      <c r="AV353"/>
      <c r="AW353"/>
      <c r="FY353" s="210">
        <v>348</v>
      </c>
      <c r="FZ353">
        <v>12.459251925703915</v>
      </c>
      <c r="GA353">
        <v>15.11682019133055</v>
      </c>
      <c r="GB353">
        <v>2.3064251923582315</v>
      </c>
      <c r="GC353">
        <v>1.0547980537944093</v>
      </c>
      <c r="GD353">
        <v>0.934065751334894</v>
      </c>
      <c r="GE353">
        <v>3.0473939947531723</v>
      </c>
      <c r="GF353">
        <v>9.0751210263410673</v>
      </c>
      <c r="GG353">
        <v>11.218112561307432</v>
      </c>
      <c r="GH353">
        <v>9.0473118561916195</v>
      </c>
      <c r="GI353">
        <v>6.0266335501373369</v>
      </c>
      <c r="GJ353"/>
      <c r="GK353"/>
      <c r="GL353"/>
      <c r="GM353"/>
    </row>
    <row r="354" spans="1:195" s="7" customFormat="1">
      <c r="A354" s="4"/>
      <c r="B354" s="4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4"/>
      <c r="AE354" s="4"/>
      <c r="AF354" s="81"/>
      <c r="AG354" s="81"/>
      <c r="AH354" s="81"/>
      <c r="AI354" s="81"/>
      <c r="AJ354" s="81"/>
      <c r="AK354" s="81"/>
      <c r="AL354" s="81"/>
      <c r="AM354" s="43">
        <v>338</v>
      </c>
      <c r="AN354">
        <v>84.447926773742012</v>
      </c>
      <c r="AO354">
        <v>9.6482688572739992</v>
      </c>
      <c r="AP354">
        <v>102.07418870764337</v>
      </c>
      <c r="AQ354">
        <v>85.831147350000037</v>
      </c>
      <c r="AR354">
        <v>9.6017095963320909</v>
      </c>
      <c r="AS354">
        <v>128.74147581874524</v>
      </c>
      <c r="AT354">
        <v>6.1480449548604588</v>
      </c>
      <c r="AU354">
        <v>34.382929820238303</v>
      </c>
      <c r="AV354"/>
      <c r="AW354"/>
      <c r="FY354" s="210">
        <v>349</v>
      </c>
      <c r="FZ354">
        <v>15.20691139859146</v>
      </c>
      <c r="GA354">
        <v>18.617661733347365</v>
      </c>
      <c r="GB354">
        <v>4.4891163500763192</v>
      </c>
      <c r="GC354">
        <v>1.5956696853350785</v>
      </c>
      <c r="GD354">
        <v>0.75028287666626692</v>
      </c>
      <c r="GE354">
        <v>1.3341786266255129</v>
      </c>
      <c r="GF354">
        <v>7.8315862568101045</v>
      </c>
      <c r="GG354">
        <v>8.2153208062274157</v>
      </c>
      <c r="GH354">
        <v>4.7165229258710966</v>
      </c>
      <c r="GI354">
        <v>5.9626842963855928</v>
      </c>
      <c r="GJ354"/>
      <c r="GK354"/>
      <c r="GL354"/>
      <c r="GM354"/>
    </row>
    <row r="355" spans="1:195" s="7" customFormat="1">
      <c r="A355" s="4"/>
      <c r="B355" s="4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4"/>
      <c r="AE355" s="4"/>
      <c r="AF355" s="81"/>
      <c r="AG355" s="81"/>
      <c r="AH355" s="81"/>
      <c r="AI355" s="81"/>
      <c r="AJ355" s="81"/>
      <c r="AK355" s="81"/>
      <c r="AL355" s="81"/>
      <c r="AM355" s="43">
        <v>339</v>
      </c>
      <c r="AN355">
        <v>116.18130025342627</v>
      </c>
      <c r="AO355">
        <v>12.898004757347461</v>
      </c>
      <c r="AP355">
        <v>131.2475450011479</v>
      </c>
      <c r="AQ355">
        <v>113.46096202367268</v>
      </c>
      <c r="AR355">
        <v>12.424436977628911</v>
      </c>
      <c r="AS355">
        <v>178.35504428688117</v>
      </c>
      <c r="AT355">
        <v>7.7859093725943511</v>
      </c>
      <c r="AU355">
        <v>35.116901629397361</v>
      </c>
      <c r="AV355"/>
      <c r="AW355"/>
      <c r="FY355" s="210">
        <v>350</v>
      </c>
      <c r="FZ355">
        <v>33.060216387371682</v>
      </c>
      <c r="GA355">
        <v>41.801326999432774</v>
      </c>
      <c r="GB355">
        <v>2.7282218881964444</v>
      </c>
      <c r="GC355">
        <v>0.74271685955067057</v>
      </c>
      <c r="GD355">
        <v>0.65477930324448708</v>
      </c>
      <c r="GE355">
        <v>2.0959321486344065</v>
      </c>
      <c r="GF355">
        <v>2.1541538965654046</v>
      </c>
      <c r="GG355">
        <v>5.6130064213325337</v>
      </c>
      <c r="GH355">
        <v>9.8858787466487588</v>
      </c>
      <c r="GI355">
        <v>7.9076358871113301</v>
      </c>
      <c r="GJ355"/>
      <c r="GK355"/>
      <c r="GL355"/>
      <c r="GM355"/>
    </row>
    <row r="356" spans="1:195" s="7" customFormat="1">
      <c r="A356" s="4"/>
      <c r="B356" s="4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4"/>
      <c r="AE356" s="4"/>
      <c r="AF356" s="81"/>
      <c r="AG356" s="81"/>
      <c r="AH356" s="81"/>
      <c r="AI356" s="81"/>
      <c r="AJ356" s="81"/>
      <c r="AK356" s="81"/>
      <c r="AL356" s="81"/>
      <c r="AM356" s="43">
        <v>340</v>
      </c>
      <c r="AN356">
        <v>91.983729725493149</v>
      </c>
      <c r="AO356">
        <v>8.1691604268902402</v>
      </c>
      <c r="AP356">
        <v>77.736688932854548</v>
      </c>
      <c r="AQ356">
        <v>65.429775327887924</v>
      </c>
      <c r="AR356">
        <v>7.983631772862509</v>
      </c>
      <c r="AS356">
        <v>123.96749121254118</v>
      </c>
      <c r="AT356">
        <v>4.6493879516933685</v>
      </c>
      <c r="AU356">
        <v>4.3932634258942773</v>
      </c>
      <c r="AV356"/>
      <c r="AW356"/>
      <c r="FY356" s="210">
        <v>351</v>
      </c>
      <c r="FZ356">
        <v>45.048773891393182</v>
      </c>
      <c r="GA356">
        <v>52.295915479176955</v>
      </c>
      <c r="GB356">
        <v>1.1857229629877986</v>
      </c>
      <c r="GC356">
        <v>0.68800793740507726</v>
      </c>
      <c r="GD356">
        <v>0.68253755357246426</v>
      </c>
      <c r="GE356">
        <v>2.6397447654591213</v>
      </c>
      <c r="GF356">
        <v>3.5805714773797241</v>
      </c>
      <c r="GG356">
        <v>4.7217795758132102</v>
      </c>
      <c r="GH356">
        <v>7.2543480412378969</v>
      </c>
      <c r="GI356">
        <v>9.1313491020980724</v>
      </c>
      <c r="GJ356"/>
      <c r="GK356"/>
      <c r="GL356"/>
      <c r="GM356"/>
    </row>
    <row r="357" spans="1:195" s="7" customFormat="1">
      <c r="A357" s="4"/>
      <c r="B357" s="4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  <c r="AD357" s="4"/>
      <c r="AE357" s="4"/>
      <c r="AF357" s="81"/>
      <c r="AG357" s="81"/>
      <c r="AH357" s="81"/>
      <c r="AI357" s="81"/>
      <c r="AJ357" s="81"/>
      <c r="AK357" s="81"/>
      <c r="AL357" s="81"/>
      <c r="AM357" s="43">
        <v>341</v>
      </c>
      <c r="AN357">
        <v>157.02051144052089</v>
      </c>
      <c r="AO357">
        <v>14.103970037279051</v>
      </c>
      <c r="AP357">
        <v>145.71193188328488</v>
      </c>
      <c r="AQ357">
        <v>124.18183843074264</v>
      </c>
      <c r="AR357">
        <v>13.337825258937924</v>
      </c>
      <c r="AS357">
        <v>214.44225560815929</v>
      </c>
      <c r="AT357">
        <v>8.9941427284142392</v>
      </c>
      <c r="AU357">
        <v>61.047246214435006</v>
      </c>
      <c r="AV357"/>
      <c r="AW357"/>
      <c r="FY357" s="210">
        <v>352</v>
      </c>
      <c r="FZ357">
        <v>33.954461658923826</v>
      </c>
      <c r="GA357">
        <v>40.671493409580179</v>
      </c>
      <c r="GB357">
        <v>2.65143279364549</v>
      </c>
      <c r="GC357">
        <v>1.0253514976799005</v>
      </c>
      <c r="GD357">
        <v>0.77828032812924652</v>
      </c>
      <c r="GE357">
        <v>2.2011020196488444</v>
      </c>
      <c r="GF357">
        <v>1.7372307441919865</v>
      </c>
      <c r="GG357">
        <v>9.7996851854913309</v>
      </c>
      <c r="GH357">
        <v>16.05853039646723</v>
      </c>
      <c r="GI357">
        <v>8.9791601044092246</v>
      </c>
      <c r="GJ357"/>
      <c r="GK357"/>
      <c r="GL357"/>
      <c r="GM357"/>
    </row>
    <row r="358" spans="1:195" s="7" customFormat="1">
      <c r="A358" s="4"/>
      <c r="B358" s="4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4"/>
      <c r="AE358" s="4"/>
      <c r="AF358" s="81"/>
      <c r="AG358" s="81"/>
      <c r="AH358" s="81"/>
      <c r="AI358" s="81"/>
      <c r="AJ358" s="81"/>
      <c r="AK358" s="81"/>
      <c r="AL358" s="81"/>
      <c r="AM358" s="43">
        <v>342</v>
      </c>
      <c r="AN358">
        <v>153.07814709724144</v>
      </c>
      <c r="AO358">
        <v>12.077201736501509</v>
      </c>
      <c r="AP358">
        <v>124.52123961481746</v>
      </c>
      <c r="AQ358">
        <v>104.01020535048767</v>
      </c>
      <c r="AR358">
        <v>11.534693756753207</v>
      </c>
      <c r="AS358">
        <v>195.58348742522611</v>
      </c>
      <c r="AT358">
        <v>6.8586386442739125</v>
      </c>
      <c r="AU358">
        <v>35.940091320031392</v>
      </c>
      <c r="AV358"/>
      <c r="AW358"/>
      <c r="FY358" s="210">
        <v>353</v>
      </c>
      <c r="FZ358">
        <v>0.46346468043175149</v>
      </c>
      <c r="GA358">
        <v>2.4529197372632598</v>
      </c>
      <c r="GB358">
        <v>1.9909361744301219</v>
      </c>
      <c r="GC358">
        <v>0.74796217627456574</v>
      </c>
      <c r="GD358">
        <v>0.62049658065517299</v>
      </c>
      <c r="GE358">
        <v>1.5898240286571705</v>
      </c>
      <c r="GF358">
        <v>9.2942272093973415</v>
      </c>
      <c r="GG358">
        <v>9.5466856573999266</v>
      </c>
      <c r="GH358">
        <v>6.6993998992483261</v>
      </c>
      <c r="GI358">
        <v>3.6724309968146938</v>
      </c>
      <c r="GJ358"/>
      <c r="GK358"/>
      <c r="GL358"/>
      <c r="GM358"/>
    </row>
    <row r="359" spans="1:195" s="7" customFormat="1">
      <c r="A359" s="4"/>
      <c r="B359" s="4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  <c r="AD359" s="4"/>
      <c r="AE359" s="4"/>
      <c r="AF359" s="81"/>
      <c r="AG359" s="81"/>
      <c r="AH359" s="81"/>
      <c r="AI359" s="81"/>
      <c r="AJ359" s="81"/>
      <c r="AK359" s="81"/>
      <c r="AL359" s="81"/>
      <c r="AM359" s="43">
        <v>343</v>
      </c>
      <c r="AN359">
        <v>82.57161602487318</v>
      </c>
      <c r="AO359">
        <v>4.282123215837232</v>
      </c>
      <c r="AP359">
        <v>31.774786651698665</v>
      </c>
      <c r="AQ359">
        <v>27.991701877824934</v>
      </c>
      <c r="AR359">
        <v>4.3059357213962528</v>
      </c>
      <c r="AS359">
        <v>96.148918576347697</v>
      </c>
      <c r="AT359">
        <v>2.7437154829980899</v>
      </c>
      <c r="AU359">
        <v>7.7478582670067642</v>
      </c>
      <c r="AV359"/>
      <c r="AW359"/>
      <c r="FY359" s="210">
        <v>354</v>
      </c>
      <c r="FZ359">
        <v>36.069045479993783</v>
      </c>
      <c r="GA359">
        <v>41.774250300861773</v>
      </c>
      <c r="GB359">
        <v>3.7246822347818158</v>
      </c>
      <c r="GC359">
        <v>1.5514699287086864</v>
      </c>
      <c r="GD359">
        <v>1.4554181322542847</v>
      </c>
      <c r="GE359">
        <v>3.5400150104582071</v>
      </c>
      <c r="GF359">
        <v>9.9387986670711879</v>
      </c>
      <c r="GG359">
        <v>10.890831490264732</v>
      </c>
      <c r="GH359">
        <v>8.0065300182478882</v>
      </c>
      <c r="GI359">
        <v>10.171703836847684</v>
      </c>
      <c r="GJ359"/>
      <c r="GK359"/>
      <c r="GL359"/>
      <c r="GM359"/>
    </row>
    <row r="360" spans="1:195" s="7" customFormat="1">
      <c r="A360" s="4"/>
      <c r="B360" s="4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  <c r="AD360" s="4"/>
      <c r="AE360" s="4"/>
      <c r="AF360" s="81"/>
      <c r="AG360" s="81"/>
      <c r="AH360" s="81"/>
      <c r="AI360" s="81"/>
      <c r="AJ360" s="81"/>
      <c r="AK360" s="81"/>
      <c r="AL360" s="81"/>
      <c r="AM360" s="43">
        <v>344</v>
      </c>
      <c r="AN360">
        <v>127.04064403948932</v>
      </c>
      <c r="AO360">
        <v>8.0402565325336877</v>
      </c>
      <c r="AP360">
        <v>79.364099815005389</v>
      </c>
      <c r="AQ360">
        <v>66.075021236127327</v>
      </c>
      <c r="AR360">
        <v>7.5493568195137106</v>
      </c>
      <c r="AS360">
        <v>137.66579664495916</v>
      </c>
      <c r="AT360">
        <v>4.6554165869927111</v>
      </c>
      <c r="AU360">
        <v>27.471176775410164</v>
      </c>
      <c r="AV360"/>
      <c r="AW360"/>
      <c r="FY360" s="210">
        <v>355</v>
      </c>
      <c r="FZ360">
        <v>10.972406965256521</v>
      </c>
      <c r="GA360">
        <v>14.523794823724277</v>
      </c>
      <c r="GB360">
        <v>2.1548493080693758</v>
      </c>
      <c r="GC360">
        <v>0.91530334464059537</v>
      </c>
      <c r="GD360">
        <v>0.68695340291845941</v>
      </c>
      <c r="GE360">
        <v>1.9945847523186335</v>
      </c>
      <c r="GF360">
        <v>4.1974812190812889</v>
      </c>
      <c r="GG360">
        <v>5.2647669888933422</v>
      </c>
      <c r="GH360">
        <v>5.9184868623648299</v>
      </c>
      <c r="GI360">
        <v>4.2497940037552011</v>
      </c>
      <c r="GJ360"/>
      <c r="GK360"/>
      <c r="GL360"/>
      <c r="GM360"/>
    </row>
    <row r="361" spans="1:195" s="7" customFormat="1">
      <c r="A361" s="4"/>
      <c r="B361" s="4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4"/>
      <c r="AE361" s="4"/>
      <c r="AF361" s="81"/>
      <c r="AG361" s="81"/>
      <c r="AH361" s="81"/>
      <c r="AI361" s="81"/>
      <c r="AJ361" s="81"/>
      <c r="AK361" s="81"/>
      <c r="AL361" s="81"/>
      <c r="AM361" s="43">
        <v>345</v>
      </c>
      <c r="AN361">
        <v>114.62989324587843</v>
      </c>
      <c r="AO361">
        <v>13.223717132934988</v>
      </c>
      <c r="AP361">
        <v>137.60125808544629</v>
      </c>
      <c r="AQ361">
        <v>117.53865470164371</v>
      </c>
      <c r="AR361">
        <v>12.763297671387628</v>
      </c>
      <c r="AS361">
        <v>193.26792262772508</v>
      </c>
      <c r="AT361">
        <v>7.7545605437296601</v>
      </c>
      <c r="AU361">
        <v>25.101536268993833</v>
      </c>
      <c r="AV361"/>
      <c r="AW361"/>
      <c r="FY361" s="210">
        <v>356</v>
      </c>
      <c r="FZ361">
        <v>29.959007214799076</v>
      </c>
      <c r="GA361">
        <v>28.315091573329262</v>
      </c>
      <c r="GB361">
        <v>4.3508075866609657</v>
      </c>
      <c r="GC361">
        <v>1.8365978957609772</v>
      </c>
      <c r="GD361">
        <v>1.2401600163676028</v>
      </c>
      <c r="GE361">
        <v>3.9397369644338953</v>
      </c>
      <c r="GF361">
        <v>7.4441889586759622</v>
      </c>
      <c r="GG361">
        <v>10.649431145839468</v>
      </c>
      <c r="GH361">
        <v>10.954554533870152</v>
      </c>
      <c r="GI361">
        <v>9.2963192647102382</v>
      </c>
      <c r="GJ361"/>
      <c r="GK361"/>
      <c r="GL361"/>
      <c r="GM361"/>
    </row>
    <row r="362" spans="1:195" s="7" customFormat="1">
      <c r="A362" s="4"/>
      <c r="B362" s="4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81"/>
      <c r="AG362" s="81"/>
      <c r="AH362" s="81"/>
      <c r="AI362" s="81"/>
      <c r="AJ362" s="81"/>
      <c r="AK362" s="81"/>
      <c r="AL362" s="81"/>
      <c r="AM362" s="43">
        <v>346</v>
      </c>
      <c r="AN362">
        <v>136.24802601946325</v>
      </c>
      <c r="AO362">
        <v>13.268554320070663</v>
      </c>
      <c r="AP362">
        <v>137.81457366006507</v>
      </c>
      <c r="AQ362">
        <v>118.25735524285366</v>
      </c>
      <c r="AR362">
        <v>12.712074226397426</v>
      </c>
      <c r="AS362">
        <v>220.75503289897605</v>
      </c>
      <c r="AT362">
        <v>7.4940101904673311</v>
      </c>
      <c r="AU362">
        <v>16.949515047009271</v>
      </c>
      <c r="AV362"/>
      <c r="AW362"/>
      <c r="FY362" s="210">
        <v>357</v>
      </c>
      <c r="FZ362">
        <v>11.39031458170972</v>
      </c>
      <c r="GA362">
        <v>14.910243887424848</v>
      </c>
      <c r="GB362">
        <v>1.9802722820896952</v>
      </c>
      <c r="GC362">
        <v>0.98275428263046083</v>
      </c>
      <c r="GD362">
        <v>1.4745623974826838</v>
      </c>
      <c r="GE362">
        <v>4.3632023824494572</v>
      </c>
      <c r="GF362">
        <v>10.131167918786806</v>
      </c>
      <c r="GG362">
        <v>11.058127277277036</v>
      </c>
      <c r="GH362">
        <v>10.694824532549779</v>
      </c>
      <c r="GI362">
        <v>6.5605448011981586</v>
      </c>
      <c r="GJ362"/>
      <c r="GK362"/>
      <c r="GL362"/>
      <c r="GM362"/>
    </row>
    <row r="363" spans="1:195" s="7" customForma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81"/>
      <c r="AG363" s="81"/>
      <c r="AH363" s="81"/>
      <c r="AI363" s="81"/>
      <c r="AJ363" s="81"/>
      <c r="AK363" s="81"/>
      <c r="AL363" s="81"/>
      <c r="AM363" s="43">
        <v>347</v>
      </c>
      <c r="AN363">
        <v>142.35723292849133</v>
      </c>
      <c r="AO363">
        <v>13.045398448620634</v>
      </c>
      <c r="AP363">
        <v>135.42402991802564</v>
      </c>
      <c r="AQ363">
        <v>115.20677511032004</v>
      </c>
      <c r="AR363">
        <v>12.357876702318144</v>
      </c>
      <c r="AS363">
        <v>188.55433648340127</v>
      </c>
      <c r="AT363">
        <v>7.2921459920312648</v>
      </c>
      <c r="AU363">
        <v>19.748749777375558</v>
      </c>
      <c r="AV363"/>
      <c r="AW363"/>
      <c r="FY363" s="210">
        <v>358</v>
      </c>
      <c r="FZ363">
        <v>22.158946240258725</v>
      </c>
      <c r="GA363">
        <v>27.581214768765083</v>
      </c>
      <c r="GB363">
        <v>2.0973529793309469</v>
      </c>
      <c r="GC363">
        <v>1.0290246989269269</v>
      </c>
      <c r="GD363">
        <v>0.53526428067295562</v>
      </c>
      <c r="GE363">
        <v>1.7938197276772652</v>
      </c>
      <c r="GF363">
        <v>4.5542018379965672</v>
      </c>
      <c r="GG363">
        <v>7.1913831508844286</v>
      </c>
      <c r="GH363">
        <v>9.412486697539137</v>
      </c>
      <c r="GI363">
        <v>6.4223246002643997</v>
      </c>
      <c r="GJ363"/>
      <c r="GK363"/>
      <c r="GL363"/>
      <c r="GM363"/>
    </row>
    <row r="364" spans="1:195" s="7" customForma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81"/>
      <c r="AG364" s="81"/>
      <c r="AH364" s="81"/>
      <c r="AI364" s="81"/>
      <c r="AJ364" s="81"/>
      <c r="AK364" s="81"/>
      <c r="AL364" s="81"/>
      <c r="AM364" s="43">
        <v>348</v>
      </c>
      <c r="AN364">
        <v>117.31455282744666</v>
      </c>
      <c r="AO364">
        <v>8.7289953252598984</v>
      </c>
      <c r="AP364">
        <v>83.457351767292693</v>
      </c>
      <c r="AQ364">
        <v>70.285934103252615</v>
      </c>
      <c r="AR364">
        <v>8.2784292184585642</v>
      </c>
      <c r="AS364">
        <v>139.12549283282078</v>
      </c>
      <c r="AT364">
        <v>4.8324851594362377</v>
      </c>
      <c r="AU364">
        <v>25.655695328761063</v>
      </c>
      <c r="AV364"/>
      <c r="AW364"/>
      <c r="FY364" s="210">
        <v>359</v>
      </c>
      <c r="FZ364">
        <v>27.25779473087195</v>
      </c>
      <c r="GA364">
        <v>27.153475658558676</v>
      </c>
      <c r="GB364">
        <v>2.9934090931077821</v>
      </c>
      <c r="GC364">
        <v>1.7420338220504126</v>
      </c>
      <c r="GD364">
        <v>0.85559838340411676</v>
      </c>
      <c r="GE364">
        <v>3.0475427866657667</v>
      </c>
      <c r="GF364">
        <v>3.5805714773797246</v>
      </c>
      <c r="GG364">
        <v>8.2987852690471247</v>
      </c>
      <c r="GH364">
        <v>13.635060316550028</v>
      </c>
      <c r="GI364">
        <v>8.0620740484376885</v>
      </c>
      <c r="GJ364"/>
      <c r="GK364"/>
      <c r="GL364"/>
      <c r="GM364"/>
    </row>
    <row r="365" spans="1:195" s="7" customForma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81"/>
      <c r="AG365" s="81"/>
      <c r="AH365" s="81"/>
      <c r="AI365" s="81"/>
      <c r="AJ365" s="81"/>
      <c r="AK365" s="81"/>
      <c r="AL365" s="81"/>
      <c r="AM365" s="43">
        <v>349</v>
      </c>
      <c r="AN365">
        <v>87.655899274085868</v>
      </c>
      <c r="AO365">
        <v>8.417037190551163</v>
      </c>
      <c r="AP365">
        <v>83.624024759329018</v>
      </c>
      <c r="AQ365">
        <v>68.719934955936225</v>
      </c>
      <c r="AR365">
        <v>8.2851344498260691</v>
      </c>
      <c r="AS365">
        <v>132.70619332854804</v>
      </c>
      <c r="AT365">
        <v>4.8782692189729575</v>
      </c>
      <c r="AU365">
        <v>11.447756246864493</v>
      </c>
      <c r="AV365"/>
      <c r="AW365"/>
      <c r="FY365" s="210">
        <v>360</v>
      </c>
      <c r="FZ365">
        <v>32.118455334642086</v>
      </c>
      <c r="GA365">
        <v>39.712049695304877</v>
      </c>
      <c r="GB365">
        <v>2.6565278683654401</v>
      </c>
      <c r="GC365">
        <v>1.0416419653508939</v>
      </c>
      <c r="GD365">
        <v>1.1262129793260891</v>
      </c>
      <c r="GE365">
        <v>2.2292475351186911</v>
      </c>
      <c r="GF365">
        <v>2.6410151698353559</v>
      </c>
      <c r="GG365">
        <v>3.7282676762600229</v>
      </c>
      <c r="GH365">
        <v>4.7190705284264363</v>
      </c>
      <c r="GI365">
        <v>7.2877970843766873</v>
      </c>
      <c r="GJ365"/>
      <c r="GK365"/>
      <c r="GL365"/>
      <c r="GM365"/>
    </row>
    <row r="366" spans="1:195" s="7" customForma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81"/>
      <c r="AG366" s="81"/>
      <c r="AH366" s="81"/>
      <c r="AI366" s="81"/>
      <c r="AJ366" s="81"/>
      <c r="AK366" s="81"/>
      <c r="AL366" s="81"/>
      <c r="AM366" s="43">
        <v>350</v>
      </c>
      <c r="AN366">
        <v>80.404017018079955</v>
      </c>
      <c r="AO366">
        <v>11.594560957808914</v>
      </c>
      <c r="AP366">
        <v>124.53333704291016</v>
      </c>
      <c r="AQ366">
        <v>106.64386853808847</v>
      </c>
      <c r="AR366">
        <v>11.02558993025383</v>
      </c>
      <c r="AS366">
        <v>148.13554698301451</v>
      </c>
      <c r="AT366">
        <v>6.6386087226395496</v>
      </c>
      <c r="AU366">
        <v>77.167620966827414</v>
      </c>
      <c r="AV366"/>
      <c r="AW366"/>
      <c r="FY366" s="210">
        <v>361</v>
      </c>
      <c r="FZ366">
        <v>48.105878614684215</v>
      </c>
      <c r="GA366">
        <v>52.815427688552639</v>
      </c>
      <c r="GB366">
        <v>2.8877908337301355</v>
      </c>
      <c r="GC366">
        <v>1.0002924415715522</v>
      </c>
      <c r="GD366">
        <v>0.81507656894424496</v>
      </c>
      <c r="GE366">
        <v>1.6860349915662645</v>
      </c>
      <c r="GF366">
        <v>4.8577317503410695</v>
      </c>
      <c r="GG366">
        <v>8.2561140750311353</v>
      </c>
      <c r="GH366">
        <v>8.9828676329546528</v>
      </c>
      <c r="GI366">
        <v>10.599665475266226</v>
      </c>
      <c r="GJ366"/>
      <c r="GK366"/>
      <c r="GL366"/>
      <c r="GM366"/>
    </row>
    <row r="367" spans="1:195" s="7" customForma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81"/>
      <c r="AG367" s="81"/>
      <c r="AH367" s="81"/>
      <c r="AI367" s="81"/>
      <c r="AJ367" s="81"/>
      <c r="AK367" s="81"/>
      <c r="AL367" s="81"/>
      <c r="AM367" s="43">
        <v>351</v>
      </c>
      <c r="AN367">
        <v>120.96559376808162</v>
      </c>
      <c r="AO367">
        <v>13.435700886922509</v>
      </c>
      <c r="AP367">
        <v>145.6532050827181</v>
      </c>
      <c r="AQ367">
        <v>127.22875078652349</v>
      </c>
      <c r="AR367">
        <v>12.651782967000905</v>
      </c>
      <c r="AS367">
        <v>159.10496076330574</v>
      </c>
      <c r="AT367">
        <v>7.5875424596229424</v>
      </c>
      <c r="AU367">
        <v>13.198343324514997</v>
      </c>
      <c r="AV367"/>
      <c r="AW367"/>
      <c r="FY367" s="210">
        <v>362</v>
      </c>
      <c r="FZ367">
        <v>35.675362777799599</v>
      </c>
      <c r="GA367">
        <v>40.299759610254888</v>
      </c>
      <c r="GB367">
        <v>1.1142842287559183</v>
      </c>
      <c r="GC367">
        <v>0.26072221778636218</v>
      </c>
      <c r="GD367">
        <v>0.51345235902592012</v>
      </c>
      <c r="GE367">
        <v>1.4574545913650134</v>
      </c>
      <c r="GF367">
        <v>5.7702225219020464</v>
      </c>
      <c r="GG367">
        <v>6.1150016113967531</v>
      </c>
      <c r="GH367">
        <v>5.6694354511286642</v>
      </c>
      <c r="GI367">
        <v>7.7995307522142827</v>
      </c>
      <c r="GJ367"/>
      <c r="GK367"/>
      <c r="GL367"/>
      <c r="GM367"/>
    </row>
    <row r="368" spans="1:195" s="7" customFormat="1">
      <c r="A368" s="4"/>
      <c r="B368" s="4"/>
      <c r="C368" s="4"/>
      <c r="D368" s="34"/>
      <c r="E368" s="4"/>
      <c r="F368" s="4"/>
      <c r="G368" s="4"/>
      <c r="H368" s="4" t="s">
        <v>129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81"/>
      <c r="AG368" s="81"/>
      <c r="AH368" s="81"/>
      <c r="AI368" s="81"/>
      <c r="AJ368" s="81"/>
      <c r="AK368" s="81"/>
      <c r="AL368" s="81"/>
      <c r="AM368" s="43">
        <v>352</v>
      </c>
      <c r="AN368">
        <v>125.98625749351795</v>
      </c>
      <c r="AO368">
        <v>13.049880726691978</v>
      </c>
      <c r="AP368">
        <v>137.48522474109487</v>
      </c>
      <c r="AQ368">
        <v>117.85672813816726</v>
      </c>
      <c r="AR368">
        <v>12.49260818587139</v>
      </c>
      <c r="AS368">
        <v>208.39934185523964</v>
      </c>
      <c r="AT368" t="e">
        <v>#DIV/0!</v>
      </c>
      <c r="AU368" t="e">
        <v>#DIV/0!</v>
      </c>
      <c r="AV368"/>
      <c r="AW368"/>
      <c r="FY368" s="210">
        <v>363</v>
      </c>
      <c r="FZ368">
        <v>44.885085362844762</v>
      </c>
      <c r="GA368">
        <v>52.249533942180335</v>
      </c>
      <c r="GB368">
        <v>3.0516175148199749</v>
      </c>
      <c r="GC368">
        <v>1.3517264994508493</v>
      </c>
      <c r="GD368">
        <v>0.7803497162803692</v>
      </c>
      <c r="GE368">
        <v>2.3689141480431286</v>
      </c>
      <c r="GF368">
        <v>8.3732792242756897</v>
      </c>
      <c r="GG368">
        <v>10.015397907563303</v>
      </c>
      <c r="GH368">
        <v>9.6856321931550635</v>
      </c>
      <c r="GI368">
        <v>10.880797705148732</v>
      </c>
      <c r="GJ368"/>
      <c r="GK368"/>
      <c r="GL368"/>
      <c r="GM368"/>
    </row>
    <row r="369" spans="1:195" s="7" customFormat="1">
      <c r="A369" s="36"/>
      <c r="B369" s="66"/>
      <c r="C369" s="66"/>
      <c r="D369" s="91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92"/>
      <c r="S369" s="92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93"/>
      <c r="AG369" s="93"/>
      <c r="AH369" s="93"/>
      <c r="AI369" s="93"/>
      <c r="AJ369" s="93"/>
      <c r="AK369" s="93"/>
      <c r="AL369" s="93"/>
      <c r="AM369" s="43">
        <v>353</v>
      </c>
      <c r="AN369">
        <v>78.104966747238535</v>
      </c>
      <c r="AO369">
        <v>5.0980688604768805</v>
      </c>
      <c r="AP369">
        <v>46.809006704071876</v>
      </c>
      <c r="AQ369">
        <v>37.078347140572333</v>
      </c>
      <c r="AR369">
        <v>5.0460203338526135</v>
      </c>
      <c r="AS369">
        <v>106.6556690104232</v>
      </c>
      <c r="AT369">
        <v>3.2845303002494504</v>
      </c>
      <c r="AU369">
        <v>0.86417391740084515</v>
      </c>
      <c r="AV369"/>
      <c r="AW369"/>
      <c r="FY369" s="210">
        <v>364</v>
      </c>
      <c r="FZ369">
        <v>44.466587425363116</v>
      </c>
      <c r="GA369">
        <v>51.115830241556992</v>
      </c>
      <c r="GB369">
        <v>1.3973126307508084</v>
      </c>
      <c r="GC369">
        <v>0.80317392386772302</v>
      </c>
      <c r="GD369">
        <v>0.58233481960312949</v>
      </c>
      <c r="GE369">
        <v>1.7572635732677315</v>
      </c>
      <c r="GF369">
        <v>6.7641524125277499</v>
      </c>
      <c r="GG369">
        <v>6.4863383086931474</v>
      </c>
      <c r="GH369">
        <v>5.8826458200813043</v>
      </c>
      <c r="GI369">
        <v>9.4026136842924419</v>
      </c>
      <c r="GJ369"/>
      <c r="GK369"/>
      <c r="GL369"/>
      <c r="GM369"/>
    </row>
    <row r="370" spans="1:195" s="7" customFormat="1">
      <c r="A370" s="9" t="s">
        <v>63</v>
      </c>
      <c r="B370" s="10" t="s">
        <v>64</v>
      </c>
      <c r="C370" s="10"/>
      <c r="D370" s="10"/>
      <c r="E370" s="10"/>
      <c r="F370" s="45"/>
      <c r="G370" s="45"/>
      <c r="H370" s="45"/>
      <c r="I370" s="45"/>
      <c r="J370" s="45"/>
      <c r="K370" s="45"/>
      <c r="L370" s="45"/>
      <c r="M370" s="46"/>
      <c r="N370" s="46"/>
      <c r="O370" s="47"/>
      <c r="P370" s="10"/>
      <c r="Q370" s="11"/>
      <c r="R370" s="10"/>
      <c r="S370" s="11"/>
      <c r="T370" s="11"/>
      <c r="U370" s="11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94"/>
      <c r="AG370" s="94"/>
      <c r="AH370" s="94"/>
      <c r="AI370" s="94"/>
      <c r="AJ370" s="94"/>
      <c r="AK370" s="94"/>
      <c r="AL370" s="78"/>
      <c r="AM370" s="43">
        <v>354</v>
      </c>
      <c r="AN370">
        <v>143.28480800510124</v>
      </c>
      <c r="AO370">
        <v>14.690701359685885</v>
      </c>
      <c r="AP370">
        <v>148.58504305168316</v>
      </c>
      <c r="AQ370">
        <v>127.12274509949002</v>
      </c>
      <c r="AR370">
        <v>14.134661625745723</v>
      </c>
      <c r="AS370">
        <v>242.16687776185645</v>
      </c>
      <c r="AT370">
        <v>8.8110075056472894</v>
      </c>
      <c r="AU370">
        <v>56.616446366075451</v>
      </c>
      <c r="AV370"/>
      <c r="AW370"/>
      <c r="FY370" s="210">
        <v>365</v>
      </c>
      <c r="FZ370">
        <v>43.154309131253449</v>
      </c>
      <c r="GA370">
        <v>52.837444529161928</v>
      </c>
      <c r="GB370">
        <v>1.6234092085112768</v>
      </c>
      <c r="GC370">
        <v>0.77697363547566467</v>
      </c>
      <c r="GD370">
        <v>1.1063653159335092</v>
      </c>
      <c r="GE370">
        <v>2.5577238072306301</v>
      </c>
      <c r="GF370">
        <v>1.7742040644321322</v>
      </c>
      <c r="GG370">
        <v>2.4397857067909516</v>
      </c>
      <c r="GH370">
        <v>6.574973496174108</v>
      </c>
      <c r="GI370">
        <v>8.7786713162600787</v>
      </c>
      <c r="GJ370"/>
      <c r="GK370"/>
      <c r="GL370"/>
      <c r="GM370"/>
    </row>
    <row r="371" spans="1:195" s="7" customFormat="1">
      <c r="A371" s="9" t="s">
        <v>65</v>
      </c>
      <c r="B371" s="11" t="s">
        <v>66</v>
      </c>
      <c r="C371" s="10"/>
      <c r="D371" s="10"/>
      <c r="E371" s="10"/>
      <c r="F371" s="10"/>
      <c r="G371" s="10">
        <v>0.5</v>
      </c>
      <c r="H371" s="45">
        <v>1</v>
      </c>
      <c r="I371" s="45">
        <v>2</v>
      </c>
      <c r="J371" s="45">
        <v>3</v>
      </c>
      <c r="K371" s="45">
        <v>4</v>
      </c>
      <c r="L371" s="45">
        <v>5</v>
      </c>
      <c r="M371" s="45">
        <v>6</v>
      </c>
      <c r="N371" s="45">
        <v>7</v>
      </c>
      <c r="O371" s="46">
        <v>8</v>
      </c>
      <c r="P371" s="46">
        <v>9</v>
      </c>
      <c r="Q371" s="47">
        <v>10</v>
      </c>
      <c r="R371" s="46">
        <v>11</v>
      </c>
      <c r="S371" s="47">
        <v>12</v>
      </c>
      <c r="T371" s="46">
        <v>13</v>
      </c>
      <c r="U371" s="47">
        <v>14</v>
      </c>
      <c r="V371" s="46">
        <v>15</v>
      </c>
      <c r="W371" s="47">
        <v>16</v>
      </c>
      <c r="X371" s="46">
        <v>17</v>
      </c>
      <c r="Y371" s="47">
        <v>18</v>
      </c>
      <c r="Z371" s="46">
        <v>19</v>
      </c>
      <c r="AA371" s="47">
        <v>20</v>
      </c>
      <c r="AB371" s="46">
        <v>21</v>
      </c>
      <c r="AC371" s="47">
        <v>22</v>
      </c>
      <c r="AD371" s="46">
        <v>23</v>
      </c>
      <c r="AE371" s="47">
        <v>24</v>
      </c>
      <c r="AF371" s="46">
        <v>25</v>
      </c>
      <c r="AG371" s="47">
        <v>26</v>
      </c>
      <c r="AH371" s="46">
        <v>27</v>
      </c>
      <c r="AI371" s="47">
        <v>28</v>
      </c>
      <c r="AJ371" s="46">
        <v>29</v>
      </c>
      <c r="AK371" s="47">
        <v>30</v>
      </c>
      <c r="AL371" s="78"/>
      <c r="AM371" s="43">
        <v>355</v>
      </c>
      <c r="AN371">
        <v>55.904810354490472</v>
      </c>
      <c r="AO371">
        <v>6.1650324165512806</v>
      </c>
      <c r="AP371">
        <v>60.318305178070375</v>
      </c>
      <c r="AQ371">
        <v>50.878421671022522</v>
      </c>
      <c r="AR371">
        <v>5.8727475521159871</v>
      </c>
      <c r="AS371">
        <v>91.380290867646082</v>
      </c>
      <c r="AT371">
        <v>3.733670518027266</v>
      </c>
      <c r="AU371">
        <v>5.7638916850885948</v>
      </c>
      <c r="AV371"/>
      <c r="AW371"/>
      <c r="FY371" s="210">
        <v>366</v>
      </c>
      <c r="FZ371">
        <v>22.198467761307963</v>
      </c>
      <c r="GA371">
        <v>27.499802784113548</v>
      </c>
      <c r="GB371">
        <v>1.1749726180979581</v>
      </c>
      <c r="GC371">
        <v>0.40952316522294974</v>
      </c>
      <c r="GD371">
        <v>0.6726965216982812</v>
      </c>
      <c r="GE371">
        <v>2.1082199670105304</v>
      </c>
      <c r="GF371">
        <v>2.5750150719842568</v>
      </c>
      <c r="GG371">
        <v>3.3272882221247775</v>
      </c>
      <c r="GH371">
        <v>5.4538829545047065</v>
      </c>
      <c r="GI371">
        <v>5.2914925856795012</v>
      </c>
      <c r="GJ371"/>
      <c r="GK371"/>
      <c r="GL371"/>
      <c r="GM371"/>
    </row>
    <row r="372" spans="1:195" s="7" customFormat="1">
      <c r="A372" s="95"/>
      <c r="B372" s="13"/>
      <c r="C372" s="10" t="s">
        <v>35</v>
      </c>
      <c r="D372" s="10" t="s">
        <v>67</v>
      </c>
      <c r="E372" s="10" t="s">
        <v>68</v>
      </c>
      <c r="F372" s="10" t="s">
        <v>69</v>
      </c>
      <c r="G372" s="59">
        <f>+G36</f>
        <v>5.2641520345816375E-4</v>
      </c>
      <c r="H372" s="59">
        <f t="shared" ref="H372:AK372" si="388">+H36</f>
        <v>3.6840000000000002E-3</v>
      </c>
      <c r="I372" s="59">
        <f t="shared" si="388"/>
        <v>2.5781656591304377E-2</v>
      </c>
      <c r="J372" s="59">
        <f t="shared" si="388"/>
        <v>8.0463511846897845E-2</v>
      </c>
      <c r="K372" s="59">
        <f t="shared" si="388"/>
        <v>0.18042720320085462</v>
      </c>
      <c r="L372" s="59">
        <f t="shared" si="388"/>
        <v>0.33754246971740076</v>
      </c>
      <c r="M372" s="59">
        <f t="shared" si="388"/>
        <v>0.56310603435588247</v>
      </c>
      <c r="N372" s="59">
        <f t="shared" si="388"/>
        <v>0.86798020299545053</v>
      </c>
      <c r="O372" s="59">
        <f t="shared" si="388"/>
        <v>1.2626797482773962</v>
      </c>
      <c r="P372" s="59">
        <f t="shared" si="388"/>
        <v>1.7574312537285206</v>
      </c>
      <c r="Q372" s="59">
        <f t="shared" si="388"/>
        <v>2.3622160801397363</v>
      </c>
      <c r="R372" s="59">
        <f t="shared" si="388"/>
        <v>3.0868028230485485</v>
      </c>
      <c r="S372" s="59">
        <f t="shared" si="388"/>
        <v>3.9407726390484843</v>
      </c>
      <c r="T372" s="59">
        <f t="shared" si="388"/>
        <v>4.9335395199125411</v>
      </c>
      <c r="U372" s="59">
        <f t="shared" si="388"/>
        <v>6.0743668625622593</v>
      </c>
      <c r="V372" s="59">
        <f t="shared" si="388"/>
        <v>7.372381246182746</v>
      </c>
      <c r="W372" s="59">
        <f t="shared" si="388"/>
        <v>8.8365840539854723</v>
      </c>
      <c r="X372" s="59">
        <f t="shared" si="388"/>
        <v>10.475861398526323</v>
      </c>
      <c r="Y372" s="59">
        <f t="shared" si="388"/>
        <v>12.298992689048376</v>
      </c>
      <c r="Z372" s="59">
        <f t="shared" si="388"/>
        <v>14.314658095762773</v>
      </c>
      <c r="AA372" s="59">
        <f t="shared" si="388"/>
        <v>16.53144510657431</v>
      </c>
      <c r="AB372" s="59">
        <f t="shared" si="388"/>
        <v>18.957854328609439</v>
      </c>
      <c r="AC372" s="59">
        <f t="shared" si="388"/>
        <v>21.602304654969224</v>
      </c>
      <c r="AD372" s="59">
        <f t="shared" si="388"/>
        <v>24.473137893095384</v>
      </c>
      <c r="AE372" s="59">
        <f t="shared" si="388"/>
        <v>27.578622932778597</v>
      </c>
      <c r="AF372" s="59">
        <f t="shared" si="388"/>
        <v>30.926959517622802</v>
      </c>
      <c r="AG372" s="59">
        <f t="shared" si="388"/>
        <v>34.526281672642206</v>
      </c>
      <c r="AH372" s="59">
        <f t="shared" si="388"/>
        <v>38.384660831838588</v>
      </c>
      <c r="AI372" s="59">
        <f t="shared" si="388"/>
        <v>42.510108702545942</v>
      </c>
      <c r="AJ372" s="59">
        <f t="shared" si="388"/>
        <v>46.910579897620167</v>
      </c>
      <c r="AK372" s="59">
        <f t="shared" si="388"/>
        <v>51.593974361904479</v>
      </c>
      <c r="AL372" s="78"/>
      <c r="AM372" s="43">
        <v>356</v>
      </c>
      <c r="AN372">
        <v>150.92625755454029</v>
      </c>
      <c r="AO372">
        <v>12.909870902146048</v>
      </c>
      <c r="AP372">
        <v>126.24414438570295</v>
      </c>
      <c r="AQ372">
        <v>107.98589515444759</v>
      </c>
      <c r="AR372">
        <v>12.859283645763924</v>
      </c>
      <c r="AS372">
        <v>202.64870881879926</v>
      </c>
      <c r="AT372">
        <v>7.5684026291435957</v>
      </c>
      <c r="AU372">
        <v>13.003920701534081</v>
      </c>
      <c r="AV372"/>
      <c r="AW372"/>
      <c r="FY372" s="210">
        <v>367</v>
      </c>
      <c r="FZ372">
        <v>16.073440581796561</v>
      </c>
      <c r="GA372">
        <v>15.206085310820583</v>
      </c>
      <c r="GB372">
        <v>2.1377221585329527</v>
      </c>
      <c r="GC372">
        <v>0.98980035966256363</v>
      </c>
      <c r="GD372">
        <v>0.61341661822929783</v>
      </c>
      <c r="GE372">
        <v>3.6768367362321932</v>
      </c>
      <c r="GF372">
        <v>9.174010751590437</v>
      </c>
      <c r="GG372">
        <v>8.7094007121184003</v>
      </c>
      <c r="GH372">
        <v>8.6486283935737021</v>
      </c>
      <c r="GI372">
        <v>6.2830985732048052</v>
      </c>
      <c r="GJ372"/>
      <c r="GK372"/>
      <c r="GL372"/>
      <c r="GM372"/>
    </row>
    <row r="373" spans="1:195" s="7" customFormat="1">
      <c r="A373" s="95"/>
      <c r="B373" s="71">
        <f t="shared" ref="B373:B378" si="389">+C4</f>
        <v>39646</v>
      </c>
      <c r="C373" s="18">
        <f t="shared" ref="C373:C382" si="390">+D70</f>
        <v>41.666666666666664</v>
      </c>
      <c r="D373" s="18">
        <f t="shared" ref="D373:D382" si="391">SUM(G373:AK373)</f>
        <v>4.3587381956717071</v>
      </c>
      <c r="E373" s="19">
        <f t="shared" ref="E373:E382" si="392">IF(C373&lt;1, 0.000001, D373/C373)</f>
        <v>0.10460971669612097</v>
      </c>
      <c r="F373" s="19"/>
      <c r="G373" s="18">
        <f>AVERAGE(E228:E237)*G$372</f>
        <v>0</v>
      </c>
      <c r="H373" s="18">
        <f t="shared" ref="H373:AK373" si="393">AVERAGE(F228:F237)*H$372</f>
        <v>0</v>
      </c>
      <c r="I373" s="18">
        <f t="shared" si="393"/>
        <v>0.69825319934782681</v>
      </c>
      <c r="J373" s="18">
        <f t="shared" si="393"/>
        <v>0.58671310721696346</v>
      </c>
      <c r="K373" s="18">
        <f t="shared" si="393"/>
        <v>0.37589000666844707</v>
      </c>
      <c r="L373" s="18">
        <f t="shared" si="393"/>
        <v>0.35160673928895908</v>
      </c>
      <c r="M373" s="18">
        <f t="shared" si="393"/>
        <v>2.3462751431495099</v>
      </c>
      <c r="N373" s="18">
        <f t="shared" si="393"/>
        <v>0</v>
      </c>
      <c r="O373" s="18">
        <f t="shared" si="393"/>
        <v>0</v>
      </c>
      <c r="P373" s="18">
        <f t="shared" si="393"/>
        <v>0</v>
      </c>
      <c r="Q373" s="18">
        <f t="shared" si="393"/>
        <v>0</v>
      </c>
      <c r="R373" s="18">
        <f t="shared" si="393"/>
        <v>0</v>
      </c>
      <c r="S373" s="18">
        <f t="shared" si="393"/>
        <v>0</v>
      </c>
      <c r="T373" s="18">
        <f t="shared" si="393"/>
        <v>0</v>
      </c>
      <c r="U373" s="18">
        <f t="shared" si="393"/>
        <v>0</v>
      </c>
      <c r="V373" s="18">
        <f t="shared" si="393"/>
        <v>0</v>
      </c>
      <c r="W373" s="18">
        <f t="shared" si="393"/>
        <v>0</v>
      </c>
      <c r="X373" s="18">
        <f t="shared" si="393"/>
        <v>0</v>
      </c>
      <c r="Y373" s="18">
        <f t="shared" si="393"/>
        <v>0</v>
      </c>
      <c r="Z373" s="18">
        <f t="shared" si="393"/>
        <v>0</v>
      </c>
      <c r="AA373" s="18">
        <f t="shared" si="393"/>
        <v>0</v>
      </c>
      <c r="AB373" s="18">
        <f t="shared" si="393"/>
        <v>0</v>
      </c>
      <c r="AC373" s="18">
        <f t="shared" si="393"/>
        <v>0</v>
      </c>
      <c r="AD373" s="18">
        <f t="shared" si="393"/>
        <v>0</v>
      </c>
      <c r="AE373" s="18">
        <f t="shared" si="393"/>
        <v>0</v>
      </c>
      <c r="AF373" s="18">
        <f t="shared" si="393"/>
        <v>0</v>
      </c>
      <c r="AG373" s="18">
        <f t="shared" si="393"/>
        <v>0</v>
      </c>
      <c r="AH373" s="18">
        <f t="shared" si="393"/>
        <v>0</v>
      </c>
      <c r="AI373" s="18">
        <f t="shared" si="393"/>
        <v>0</v>
      </c>
      <c r="AJ373" s="18">
        <f t="shared" si="393"/>
        <v>0</v>
      </c>
      <c r="AK373" s="18">
        <f t="shared" si="393"/>
        <v>0</v>
      </c>
      <c r="AL373" s="78"/>
      <c r="AM373" s="43">
        <v>357</v>
      </c>
      <c r="AN373">
        <v>123.6191928622593</v>
      </c>
      <c r="AO373">
        <v>9.3786985060006582</v>
      </c>
      <c r="AP373">
        <v>86.848417289000935</v>
      </c>
      <c r="AQ373">
        <v>73.546014343598657</v>
      </c>
      <c r="AR373">
        <v>8.9885804516723837</v>
      </c>
      <c r="AS373">
        <v>159.08279613150154</v>
      </c>
      <c r="AT373">
        <v>5.592913827336516</v>
      </c>
      <c r="AU373">
        <v>20.294786897713792</v>
      </c>
      <c r="AV373"/>
      <c r="AW373"/>
      <c r="FY373" s="210">
        <v>368</v>
      </c>
      <c r="FZ373">
        <v>33.189047122495701</v>
      </c>
      <c r="GA373">
        <v>39.194350083299497</v>
      </c>
      <c r="GB373">
        <v>0.70926239624056153</v>
      </c>
      <c r="GC373">
        <v>0.36835021140893798</v>
      </c>
      <c r="GD373">
        <v>0.61837281612256567</v>
      </c>
      <c r="GE373">
        <v>2.8043649750504511</v>
      </c>
      <c r="GF373">
        <v>7.502797663221612</v>
      </c>
      <c r="GG373">
        <v>6.2893943346261674</v>
      </c>
      <c r="GH373">
        <v>6.3426159766640673</v>
      </c>
      <c r="GI373">
        <v>7.8041020918755581</v>
      </c>
      <c r="GJ373"/>
      <c r="GK373"/>
      <c r="GL373"/>
      <c r="GM373"/>
    </row>
    <row r="374" spans="1:195" s="7" customFormat="1">
      <c r="A374" s="95"/>
      <c r="B374" s="71">
        <f t="shared" si="389"/>
        <v>39673</v>
      </c>
      <c r="C374" s="18">
        <f t="shared" si="390"/>
        <v>160.41666666666669</v>
      </c>
      <c r="D374" s="18">
        <f t="shared" si="391"/>
        <v>43.811090823363628</v>
      </c>
      <c r="E374" s="19">
        <f t="shared" si="392"/>
        <v>0.27310809863914987</v>
      </c>
      <c r="F374" s="19">
        <f>IF(F388&lt;0,0,F388)</f>
        <v>3.5541897828206374E-2</v>
      </c>
      <c r="G374" s="18">
        <f>AVERAGE(E238:E247)*G$372</f>
        <v>0</v>
      </c>
      <c r="H374" s="18">
        <f t="shared" ref="H374:AK374" si="394">AVERAGE(F238:F247)*H$372</f>
        <v>7.6749999999999995E-3</v>
      </c>
      <c r="I374" s="18">
        <f t="shared" si="394"/>
        <v>0.36255454581521779</v>
      </c>
      <c r="J374" s="18">
        <f t="shared" si="394"/>
        <v>2.7612767665052331</v>
      </c>
      <c r="K374" s="18">
        <f t="shared" si="394"/>
        <v>8.0085454198527479</v>
      </c>
      <c r="L374" s="18">
        <f t="shared" si="394"/>
        <v>11.27094936498497</v>
      </c>
      <c r="M374" s="18">
        <f t="shared" si="394"/>
        <v>12.057247263407206</v>
      </c>
      <c r="N374" s="18">
        <f t="shared" si="394"/>
        <v>9.3428424627982523</v>
      </c>
      <c r="O374" s="18">
        <f t="shared" si="394"/>
        <v>0</v>
      </c>
      <c r="P374" s="18">
        <f t="shared" si="394"/>
        <v>0</v>
      </c>
      <c r="Q374" s="18">
        <f t="shared" si="394"/>
        <v>0</v>
      </c>
      <c r="R374" s="18">
        <f t="shared" si="394"/>
        <v>0</v>
      </c>
      <c r="S374" s="18">
        <f t="shared" si="394"/>
        <v>0</v>
      </c>
      <c r="T374" s="18">
        <f t="shared" si="394"/>
        <v>0</v>
      </c>
      <c r="U374" s="18">
        <f t="shared" si="394"/>
        <v>0</v>
      </c>
      <c r="V374" s="18">
        <f t="shared" si="394"/>
        <v>0</v>
      </c>
      <c r="W374" s="18">
        <f t="shared" si="394"/>
        <v>0</v>
      </c>
      <c r="X374" s="18">
        <f t="shared" si="394"/>
        <v>0</v>
      </c>
      <c r="Y374" s="18">
        <f t="shared" si="394"/>
        <v>0</v>
      </c>
      <c r="Z374" s="18">
        <f t="shared" si="394"/>
        <v>0</v>
      </c>
      <c r="AA374" s="18">
        <f t="shared" si="394"/>
        <v>0</v>
      </c>
      <c r="AB374" s="18">
        <f t="shared" si="394"/>
        <v>0</v>
      </c>
      <c r="AC374" s="18">
        <f t="shared" si="394"/>
        <v>0</v>
      </c>
      <c r="AD374" s="18">
        <f t="shared" si="394"/>
        <v>0</v>
      </c>
      <c r="AE374" s="18">
        <f t="shared" si="394"/>
        <v>0</v>
      </c>
      <c r="AF374" s="18">
        <f t="shared" si="394"/>
        <v>0</v>
      </c>
      <c r="AG374" s="18">
        <f t="shared" si="394"/>
        <v>0</v>
      </c>
      <c r="AH374" s="18">
        <f t="shared" si="394"/>
        <v>0</v>
      </c>
      <c r="AI374" s="18">
        <f t="shared" si="394"/>
        <v>0</v>
      </c>
      <c r="AJ374" s="18">
        <f t="shared" si="394"/>
        <v>0</v>
      </c>
      <c r="AK374" s="18">
        <f t="shared" si="394"/>
        <v>0</v>
      </c>
      <c r="AL374" s="78"/>
      <c r="AM374" s="43">
        <v>358</v>
      </c>
      <c r="AN374">
        <v>83.255682115039633</v>
      </c>
      <c r="AO374">
        <v>9.3648380069476449</v>
      </c>
      <c r="AP374">
        <v>97.599736651851899</v>
      </c>
      <c r="AQ374">
        <v>82.776018982316444</v>
      </c>
      <c r="AR374">
        <v>8.8903021170119008</v>
      </c>
      <c r="AS374">
        <v>126.60870912014792</v>
      </c>
      <c r="AT374">
        <v>5.2313632899016316</v>
      </c>
      <c r="AU374">
        <v>14.949888102132247</v>
      </c>
      <c r="AV374"/>
      <c r="AW374"/>
      <c r="FY374" s="210">
        <v>369</v>
      </c>
      <c r="FZ374">
        <v>25.012882953269173</v>
      </c>
      <c r="GA374">
        <v>27.995377501154238</v>
      </c>
      <c r="GB374">
        <v>3.7088298366935231</v>
      </c>
      <c r="GC374">
        <v>1.657095871770021</v>
      </c>
      <c r="GD374">
        <v>0.96022866933789253</v>
      </c>
      <c r="GE374">
        <v>2.557735877452886</v>
      </c>
      <c r="GF374">
        <v>8.6258581985997242</v>
      </c>
      <c r="GG374">
        <v>16.228943936999126</v>
      </c>
      <c r="GH374">
        <v>16.809245437632008</v>
      </c>
      <c r="GI374">
        <v>9.3882744603358503</v>
      </c>
      <c r="GJ374"/>
      <c r="GK374"/>
      <c r="GL374"/>
      <c r="GM374"/>
    </row>
    <row r="375" spans="1:195" s="7" customFormat="1">
      <c r="A375" s="95"/>
      <c r="B375" s="71">
        <f t="shared" si="389"/>
        <v>39714</v>
      </c>
      <c r="C375" s="18">
        <f t="shared" si="390"/>
        <v>6.25</v>
      </c>
      <c r="D375" s="18">
        <f t="shared" si="391"/>
        <v>4.2371824452244971</v>
      </c>
      <c r="E375" s="19">
        <f t="shared" si="392"/>
        <v>0.67794919123591957</v>
      </c>
      <c r="F375" s="19">
        <f>IF(F389&lt;0,0,F389)</f>
        <v>2.2175723498289217E-2</v>
      </c>
      <c r="G375" s="18">
        <f>AVERAGE(E248:E257)*G$372</f>
        <v>0</v>
      </c>
      <c r="H375" s="18">
        <f t="shared" ref="H375:AK375" si="395">AVERAGE(F248:F257)*H$372</f>
        <v>0</v>
      </c>
      <c r="I375" s="18">
        <f t="shared" si="395"/>
        <v>0</v>
      </c>
      <c r="J375" s="18">
        <f t="shared" si="395"/>
        <v>0</v>
      </c>
      <c r="K375" s="18">
        <f t="shared" si="395"/>
        <v>0</v>
      </c>
      <c r="L375" s="18">
        <f t="shared" si="395"/>
        <v>0.35160673928895908</v>
      </c>
      <c r="M375" s="18">
        <f t="shared" si="395"/>
        <v>1.173137571574755</v>
      </c>
      <c r="N375" s="18">
        <f t="shared" si="395"/>
        <v>2.7124381343607831</v>
      </c>
      <c r="O375" s="18">
        <f t="shared" si="395"/>
        <v>0</v>
      </c>
      <c r="P375" s="18">
        <f t="shared" si="395"/>
        <v>0</v>
      </c>
      <c r="Q375" s="18">
        <f t="shared" si="395"/>
        <v>0</v>
      </c>
      <c r="R375" s="18">
        <f t="shared" si="395"/>
        <v>0</v>
      </c>
      <c r="S375" s="18">
        <f t="shared" si="395"/>
        <v>0</v>
      </c>
      <c r="T375" s="18">
        <f t="shared" si="395"/>
        <v>0</v>
      </c>
      <c r="U375" s="18">
        <f t="shared" si="395"/>
        <v>0</v>
      </c>
      <c r="V375" s="18">
        <f t="shared" si="395"/>
        <v>0</v>
      </c>
      <c r="W375" s="18">
        <f t="shared" si="395"/>
        <v>0</v>
      </c>
      <c r="X375" s="18">
        <f t="shared" si="395"/>
        <v>0</v>
      </c>
      <c r="Y375" s="18">
        <f t="shared" si="395"/>
        <v>0</v>
      </c>
      <c r="Z375" s="18">
        <f t="shared" si="395"/>
        <v>0</v>
      </c>
      <c r="AA375" s="18">
        <f t="shared" si="395"/>
        <v>0</v>
      </c>
      <c r="AB375" s="18">
        <f t="shared" si="395"/>
        <v>0</v>
      </c>
      <c r="AC375" s="18">
        <f t="shared" si="395"/>
        <v>0</v>
      </c>
      <c r="AD375" s="18">
        <f t="shared" si="395"/>
        <v>0</v>
      </c>
      <c r="AE375" s="18">
        <f t="shared" si="395"/>
        <v>0</v>
      </c>
      <c r="AF375" s="18">
        <f t="shared" si="395"/>
        <v>0</v>
      </c>
      <c r="AG375" s="18">
        <f t="shared" si="395"/>
        <v>0</v>
      </c>
      <c r="AH375" s="18">
        <f t="shared" si="395"/>
        <v>0</v>
      </c>
      <c r="AI375" s="18">
        <f t="shared" si="395"/>
        <v>0</v>
      </c>
      <c r="AJ375" s="18">
        <f t="shared" si="395"/>
        <v>0</v>
      </c>
      <c r="AK375" s="18">
        <f t="shared" si="395"/>
        <v>0</v>
      </c>
      <c r="AL375" s="78"/>
      <c r="AM375" s="43">
        <v>359</v>
      </c>
      <c r="AN375">
        <v>131.24549607523818</v>
      </c>
      <c r="AO375">
        <v>11.268242393155825</v>
      </c>
      <c r="AP375">
        <v>112.31372520922608</v>
      </c>
      <c r="AQ375">
        <v>96.626345586073271</v>
      </c>
      <c r="AR375">
        <v>11.121771722232147</v>
      </c>
      <c r="AS375">
        <v>199.47739106442978</v>
      </c>
      <c r="AT375">
        <v>6.8866615349357305</v>
      </c>
      <c r="AU375">
        <v>22.418002234525233</v>
      </c>
      <c r="AV375"/>
      <c r="AW375"/>
      <c r="FY375" s="210">
        <v>370</v>
      </c>
      <c r="FZ375">
        <v>23.457433237507079</v>
      </c>
      <c r="GA375">
        <v>26.7487231725116</v>
      </c>
      <c r="GB375">
        <v>2.5412529806400932</v>
      </c>
      <c r="GC375">
        <v>1.4200688956560832</v>
      </c>
      <c r="GD375">
        <v>0.46399179090673626</v>
      </c>
      <c r="GE375">
        <v>1.8508814432703233</v>
      </c>
      <c r="GF375">
        <v>3.1868781385982299</v>
      </c>
      <c r="GG375">
        <v>3.5603831799269807</v>
      </c>
      <c r="GH375">
        <v>6.6032038113908031</v>
      </c>
      <c r="GI375">
        <v>5.9778676441618064</v>
      </c>
      <c r="GJ375"/>
      <c r="GK375"/>
      <c r="GL375"/>
      <c r="GM375"/>
    </row>
    <row r="376" spans="1:195" s="7" customFormat="1">
      <c r="A376" s="95"/>
      <c r="B376" s="71">
        <f t="shared" si="389"/>
        <v>39747</v>
      </c>
      <c r="C376" s="18">
        <f t="shared" si="390"/>
        <v>115.84051724137929</v>
      </c>
      <c r="D376" s="18">
        <f t="shared" si="391"/>
        <v>5.6876258079158148</v>
      </c>
      <c r="E376" s="19">
        <f t="shared" si="392"/>
        <v>4.9098760462752349E-2</v>
      </c>
      <c r="F376" s="19">
        <f>IF(F390&lt;0,0,F390)</f>
        <v>0</v>
      </c>
      <c r="G376" s="18">
        <f>AVERAGE(E258:E267)*G$372</f>
        <v>0</v>
      </c>
      <c r="H376" s="18">
        <f t="shared" ref="H376:AK376" si="396">AVERAGE(F258:F267)*H$372</f>
        <v>0</v>
      </c>
      <c r="I376" s="18">
        <f t="shared" si="396"/>
        <v>2.326738943450152</v>
      </c>
      <c r="J376" s="18">
        <f t="shared" si="396"/>
        <v>1.011574322787868</v>
      </c>
      <c r="K376" s="18">
        <f t="shared" si="396"/>
        <v>2.3493125416777945</v>
      </c>
      <c r="L376" s="18">
        <f t="shared" si="396"/>
        <v>0</v>
      </c>
      <c r="M376" s="18">
        <f t="shared" si="396"/>
        <v>0</v>
      </c>
      <c r="N376" s="18">
        <f t="shared" si="396"/>
        <v>0</v>
      </c>
      <c r="O376" s="18">
        <f t="shared" si="396"/>
        <v>0</v>
      </c>
      <c r="P376" s="18">
        <f t="shared" si="396"/>
        <v>0</v>
      </c>
      <c r="Q376" s="18">
        <f t="shared" si="396"/>
        <v>0</v>
      </c>
      <c r="R376" s="18">
        <f t="shared" si="396"/>
        <v>0</v>
      </c>
      <c r="S376" s="18">
        <f t="shared" si="396"/>
        <v>0</v>
      </c>
      <c r="T376" s="18">
        <f t="shared" si="396"/>
        <v>0</v>
      </c>
      <c r="U376" s="18">
        <f t="shared" si="396"/>
        <v>0</v>
      </c>
      <c r="V376" s="18">
        <f t="shared" si="396"/>
        <v>0</v>
      </c>
      <c r="W376" s="18">
        <f t="shared" si="396"/>
        <v>0</v>
      </c>
      <c r="X376" s="18">
        <f t="shared" si="396"/>
        <v>0</v>
      </c>
      <c r="Y376" s="18">
        <f t="shared" si="396"/>
        <v>0</v>
      </c>
      <c r="Z376" s="18">
        <f t="shared" si="396"/>
        <v>0</v>
      </c>
      <c r="AA376" s="18">
        <f t="shared" si="396"/>
        <v>0</v>
      </c>
      <c r="AB376" s="18">
        <f t="shared" si="396"/>
        <v>0</v>
      </c>
      <c r="AC376" s="18">
        <f t="shared" si="396"/>
        <v>0</v>
      </c>
      <c r="AD376" s="18">
        <f t="shared" si="396"/>
        <v>0</v>
      </c>
      <c r="AE376" s="18">
        <f t="shared" si="396"/>
        <v>0</v>
      </c>
      <c r="AF376" s="18">
        <f t="shared" si="396"/>
        <v>0</v>
      </c>
      <c r="AG376" s="18">
        <f t="shared" si="396"/>
        <v>0</v>
      </c>
      <c r="AH376" s="18">
        <f t="shared" si="396"/>
        <v>0</v>
      </c>
      <c r="AI376" s="18">
        <f t="shared" si="396"/>
        <v>0</v>
      </c>
      <c r="AJ376" s="18">
        <f t="shared" si="396"/>
        <v>0</v>
      </c>
      <c r="AK376" s="18">
        <f t="shared" si="396"/>
        <v>0</v>
      </c>
      <c r="AL376" s="78"/>
      <c r="AM376" s="43">
        <v>360</v>
      </c>
      <c r="AN376">
        <v>73.045094207494785</v>
      </c>
      <c r="AO376">
        <v>10.746643999576245</v>
      </c>
      <c r="AP376">
        <v>112.15532387363469</v>
      </c>
      <c r="AQ376">
        <v>97.260285837006577</v>
      </c>
      <c r="AR376">
        <v>10.217625847771577</v>
      </c>
      <c r="AS376">
        <v>122.39442439885723</v>
      </c>
      <c r="AT376">
        <v>6.2598830972949306</v>
      </c>
      <c r="AU376">
        <v>9.3746978109099111</v>
      </c>
      <c r="AV376"/>
      <c r="AW376"/>
      <c r="FY376" s="210">
        <v>371</v>
      </c>
      <c r="FZ376">
        <v>14.941169506539424</v>
      </c>
      <c r="GA376">
        <v>14.028624385364857</v>
      </c>
      <c r="GB376">
        <v>1.4810991017009996</v>
      </c>
      <c r="GC376">
        <v>0.86117287989782898</v>
      </c>
      <c r="GD376">
        <v>0.33779861648011911</v>
      </c>
      <c r="GE376">
        <v>1.1463281113885984</v>
      </c>
      <c r="GF376">
        <v>8.3924626039344279</v>
      </c>
      <c r="GG376">
        <v>10.816265435244306</v>
      </c>
      <c r="GH376">
        <v>10.752416157201109</v>
      </c>
      <c r="GI376">
        <v>5.9895639381817123</v>
      </c>
      <c r="GJ376"/>
      <c r="GK376"/>
      <c r="GL376"/>
      <c r="GM376"/>
    </row>
    <row r="377" spans="1:195" s="7" customFormat="1">
      <c r="A377" s="95"/>
      <c r="B377" s="71">
        <f t="shared" si="389"/>
        <v>39775</v>
      </c>
      <c r="C377" s="18">
        <f t="shared" si="390"/>
        <v>45.494528619528616</v>
      </c>
      <c r="D377" s="18">
        <f t="shared" si="391"/>
        <v>1.7327293430546373</v>
      </c>
      <c r="E377" s="19">
        <f t="shared" si="392"/>
        <v>3.8086543495053596E-2</v>
      </c>
      <c r="F377" s="19">
        <f>IF(F391&lt;0,0,F391)</f>
        <v>0</v>
      </c>
      <c r="G377" s="18">
        <f>AVERAGE(E268:E277)*G$372</f>
        <v>0</v>
      </c>
      <c r="H377" s="18">
        <f t="shared" ref="H377:AK377" si="397">AVERAGE(F268:F277)*H$372</f>
        <v>1.5349999999999999E-2</v>
      </c>
      <c r="I377" s="18">
        <f t="shared" si="397"/>
        <v>0.75814997728722078</v>
      </c>
      <c r="J377" s="18">
        <f t="shared" si="397"/>
        <v>0.95922936576741658</v>
      </c>
      <c r="K377" s="18">
        <f t="shared" si="397"/>
        <v>0</v>
      </c>
      <c r="L377" s="18">
        <f t="shared" si="397"/>
        <v>0</v>
      </c>
      <c r="M377" s="18">
        <f t="shared" si="397"/>
        <v>0</v>
      </c>
      <c r="N377" s="18">
        <f t="shared" si="397"/>
        <v>0</v>
      </c>
      <c r="O377" s="18">
        <f t="shared" si="397"/>
        <v>0</v>
      </c>
      <c r="P377" s="18">
        <f t="shared" si="397"/>
        <v>0</v>
      </c>
      <c r="Q377" s="18">
        <f t="shared" si="397"/>
        <v>0</v>
      </c>
      <c r="R377" s="18">
        <f t="shared" si="397"/>
        <v>0</v>
      </c>
      <c r="S377" s="18">
        <f t="shared" si="397"/>
        <v>0</v>
      </c>
      <c r="T377" s="18">
        <f t="shared" si="397"/>
        <v>0</v>
      </c>
      <c r="U377" s="18">
        <f t="shared" si="397"/>
        <v>0</v>
      </c>
      <c r="V377" s="18">
        <f t="shared" si="397"/>
        <v>0</v>
      </c>
      <c r="W377" s="18">
        <f t="shared" si="397"/>
        <v>0</v>
      </c>
      <c r="X377" s="18">
        <f t="shared" si="397"/>
        <v>0</v>
      </c>
      <c r="Y377" s="18">
        <f t="shared" si="397"/>
        <v>0</v>
      </c>
      <c r="Z377" s="18">
        <f t="shared" si="397"/>
        <v>0</v>
      </c>
      <c r="AA377" s="18">
        <f t="shared" si="397"/>
        <v>0</v>
      </c>
      <c r="AB377" s="18">
        <f t="shared" si="397"/>
        <v>0</v>
      </c>
      <c r="AC377" s="18">
        <f t="shared" si="397"/>
        <v>0</v>
      </c>
      <c r="AD377" s="18">
        <f t="shared" si="397"/>
        <v>0</v>
      </c>
      <c r="AE377" s="18">
        <f t="shared" si="397"/>
        <v>0</v>
      </c>
      <c r="AF377" s="18">
        <f t="shared" si="397"/>
        <v>0</v>
      </c>
      <c r="AG377" s="18">
        <f t="shared" si="397"/>
        <v>0</v>
      </c>
      <c r="AH377" s="18">
        <f t="shared" si="397"/>
        <v>0</v>
      </c>
      <c r="AI377" s="18">
        <f t="shared" si="397"/>
        <v>0</v>
      </c>
      <c r="AJ377" s="18">
        <f t="shared" si="397"/>
        <v>0</v>
      </c>
      <c r="AK377" s="18">
        <f t="shared" si="397"/>
        <v>0</v>
      </c>
      <c r="AL377" s="78"/>
      <c r="AM377" s="43">
        <v>361</v>
      </c>
      <c r="AN377">
        <v>114.21871790094954</v>
      </c>
      <c r="AO377">
        <v>15.128844633574284</v>
      </c>
      <c r="AP377">
        <v>162.70150481493698</v>
      </c>
      <c r="AQ377">
        <v>140.00688007264213</v>
      </c>
      <c r="AR377">
        <v>14.849806972310152</v>
      </c>
      <c r="AS377">
        <v>214.60482127689647</v>
      </c>
      <c r="AT377">
        <v>9.5722338463836945</v>
      </c>
      <c r="AU377">
        <v>30.407483978319487</v>
      </c>
      <c r="AV377"/>
      <c r="AW377"/>
      <c r="FY377" s="210">
        <v>372</v>
      </c>
      <c r="FZ377">
        <v>15.076534650313862</v>
      </c>
      <c r="GA377">
        <v>17.153174094081905</v>
      </c>
      <c r="GB377">
        <v>4.2765549161263046</v>
      </c>
      <c r="GC377">
        <v>1.5686825918835925</v>
      </c>
      <c r="GD377">
        <v>0.69103481929130295</v>
      </c>
      <c r="GE377">
        <v>2.3829110791781121</v>
      </c>
      <c r="GF377">
        <v>2.0312468120167249</v>
      </c>
      <c r="GG377">
        <v>6.3638442383170242</v>
      </c>
      <c r="GH377">
        <v>10.648422200241772</v>
      </c>
      <c r="GI377">
        <v>5.7437305629291107</v>
      </c>
      <c r="GJ377"/>
      <c r="GK377"/>
      <c r="GL377"/>
      <c r="GM377"/>
    </row>
    <row r="378" spans="1:195" s="7" customFormat="1">
      <c r="A378" s="95"/>
      <c r="B378" s="71">
        <f t="shared" si="389"/>
        <v>39799</v>
      </c>
      <c r="C378" s="18">
        <f t="shared" si="390"/>
        <v>82.716874628639317</v>
      </c>
      <c r="D378" s="18">
        <f t="shared" si="391"/>
        <v>6.6007829870462293</v>
      </c>
      <c r="E378" s="19">
        <f t="shared" si="392"/>
        <v>7.9799714588839415E-2</v>
      </c>
      <c r="F378" s="19">
        <f t="shared" ref="F378:F382" si="398">IF(F392&lt;0,0,F392)</f>
        <v>3.0819120717829964E-2</v>
      </c>
      <c r="G378" s="18">
        <f>AVERAGE(E278:E287)*G$372</f>
        <v>0</v>
      </c>
      <c r="H378" s="18">
        <f t="shared" ref="H378:AK378" si="399">AVERAGE(F278:F287)*H$372</f>
        <v>0.10773729946524065</v>
      </c>
      <c r="I378" s="18">
        <f t="shared" si="399"/>
        <v>0.21484713826086979</v>
      </c>
      <c r="J378" s="18">
        <f t="shared" si="399"/>
        <v>3.2967688881715089</v>
      </c>
      <c r="K378" s="18">
        <f t="shared" si="399"/>
        <v>0</v>
      </c>
      <c r="L378" s="18">
        <f t="shared" si="399"/>
        <v>0</v>
      </c>
      <c r="M378" s="18">
        <f t="shared" si="399"/>
        <v>1.173137571574755</v>
      </c>
      <c r="N378" s="18">
        <f t="shared" si="399"/>
        <v>1.808292089573855</v>
      </c>
      <c r="O378" s="18">
        <f t="shared" si="399"/>
        <v>0</v>
      </c>
      <c r="P378" s="18">
        <f t="shared" si="399"/>
        <v>0</v>
      </c>
      <c r="Q378" s="18">
        <f t="shared" si="399"/>
        <v>0</v>
      </c>
      <c r="R378" s="18">
        <f t="shared" si="399"/>
        <v>0</v>
      </c>
      <c r="S378" s="18">
        <f t="shared" si="399"/>
        <v>0</v>
      </c>
      <c r="T378" s="18">
        <f t="shared" si="399"/>
        <v>0</v>
      </c>
      <c r="U378" s="18">
        <f t="shared" si="399"/>
        <v>0</v>
      </c>
      <c r="V378" s="18">
        <f t="shared" si="399"/>
        <v>0</v>
      </c>
      <c r="W378" s="18">
        <f t="shared" si="399"/>
        <v>0</v>
      </c>
      <c r="X378" s="18">
        <f t="shared" si="399"/>
        <v>0</v>
      </c>
      <c r="Y378" s="18">
        <f t="shared" si="399"/>
        <v>0</v>
      </c>
      <c r="Z378" s="18">
        <f t="shared" si="399"/>
        <v>0</v>
      </c>
      <c r="AA378" s="18">
        <f t="shared" si="399"/>
        <v>0</v>
      </c>
      <c r="AB378" s="18">
        <f t="shared" si="399"/>
        <v>0</v>
      </c>
      <c r="AC378" s="18">
        <f t="shared" si="399"/>
        <v>0</v>
      </c>
      <c r="AD378" s="18">
        <f t="shared" si="399"/>
        <v>0</v>
      </c>
      <c r="AE378" s="18">
        <f t="shared" si="399"/>
        <v>0</v>
      </c>
      <c r="AF378" s="18">
        <f t="shared" si="399"/>
        <v>0</v>
      </c>
      <c r="AG378" s="18">
        <f t="shared" si="399"/>
        <v>0</v>
      </c>
      <c r="AH378" s="18">
        <f t="shared" si="399"/>
        <v>0</v>
      </c>
      <c r="AI378" s="18">
        <f t="shared" si="399"/>
        <v>0</v>
      </c>
      <c r="AJ378" s="18">
        <f t="shared" si="399"/>
        <v>0</v>
      </c>
      <c r="AK378" s="18">
        <f t="shared" si="399"/>
        <v>0</v>
      </c>
      <c r="AL378" s="78"/>
      <c r="AM378" s="43">
        <v>362</v>
      </c>
      <c r="AN378">
        <v>63.401553973849708</v>
      </c>
      <c r="AO378">
        <v>11.179060597833669</v>
      </c>
      <c r="AP378">
        <v>122.02490870661408</v>
      </c>
      <c r="AQ378">
        <v>104.67522612162944</v>
      </c>
      <c r="AR378">
        <v>10.897707099437731</v>
      </c>
      <c r="AS378">
        <v>142.52762229076819</v>
      </c>
      <c r="AT378" t="e">
        <v>#DIV/0!</v>
      </c>
      <c r="AU378" t="e">
        <v>#DIV/0!</v>
      </c>
      <c r="AV378"/>
      <c r="AW378"/>
      <c r="FY378" s="210">
        <v>373</v>
      </c>
      <c r="FZ378">
        <v>24.806971312379623</v>
      </c>
      <c r="GA378">
        <v>30.475150997829711</v>
      </c>
      <c r="GB378">
        <v>4.6390982243981913</v>
      </c>
      <c r="GC378">
        <v>1.7903854584543892</v>
      </c>
      <c r="GD378">
        <v>1.2558042927614663</v>
      </c>
      <c r="GE378">
        <v>3.0947616485309357</v>
      </c>
      <c r="GF378">
        <v>9.3972771674961386</v>
      </c>
      <c r="GG378">
        <v>10.132519759867039</v>
      </c>
      <c r="GH378">
        <v>10.314789416139053</v>
      </c>
      <c r="GI378">
        <v>8.8836118223039087</v>
      </c>
      <c r="GJ378"/>
      <c r="GK378"/>
      <c r="GL378"/>
      <c r="GM378"/>
    </row>
    <row r="379" spans="1:195" s="7" customFormat="1">
      <c r="A379" s="77" t="s">
        <v>61</v>
      </c>
      <c r="B379" s="71">
        <f t="shared" ref="B379:B382" si="400">+C10</f>
        <v>39847</v>
      </c>
      <c r="C379" s="18">
        <f t="shared" si="390"/>
        <v>146.728515625</v>
      </c>
      <c r="D379" s="18">
        <f t="shared" si="391"/>
        <v>5.3943812555898418</v>
      </c>
      <c r="E379" s="19">
        <f t="shared" si="392"/>
        <v>3.6764368756898487E-2</v>
      </c>
      <c r="F379" s="19">
        <f t="shared" si="398"/>
        <v>0</v>
      </c>
      <c r="G379" s="18">
        <f>AVERAGE(E288:E297)*G$372</f>
        <v>0</v>
      </c>
      <c r="H379" s="18">
        <f t="shared" ref="H379:AK379" si="401">AVERAGE(F288:F297)*H$372</f>
        <v>0.19217480468750003</v>
      </c>
      <c r="I379" s="18">
        <f t="shared" si="401"/>
        <v>1.8694218768597168</v>
      </c>
      <c r="J379" s="18">
        <f t="shared" si="401"/>
        <v>1.2506942352504467</v>
      </c>
      <c r="K379" s="18">
        <f t="shared" si="401"/>
        <v>0.46986250833555887</v>
      </c>
      <c r="L379" s="18">
        <f t="shared" si="401"/>
        <v>0.87901684822239778</v>
      </c>
      <c r="M379" s="18">
        <f t="shared" si="401"/>
        <v>0.73321098223422188</v>
      </c>
      <c r="N379" s="18">
        <f t="shared" si="401"/>
        <v>0</v>
      </c>
      <c r="O379" s="18">
        <f t="shared" si="401"/>
        <v>0</v>
      </c>
      <c r="P379" s="18">
        <f t="shared" si="401"/>
        <v>0</v>
      </c>
      <c r="Q379" s="18">
        <f t="shared" si="401"/>
        <v>0</v>
      </c>
      <c r="R379" s="18">
        <f t="shared" si="401"/>
        <v>0</v>
      </c>
      <c r="S379" s="18">
        <f t="shared" si="401"/>
        <v>0</v>
      </c>
      <c r="T379" s="18">
        <f t="shared" si="401"/>
        <v>0</v>
      </c>
      <c r="U379" s="18">
        <f t="shared" si="401"/>
        <v>0</v>
      </c>
      <c r="V379" s="18">
        <f t="shared" si="401"/>
        <v>0</v>
      </c>
      <c r="W379" s="18">
        <f t="shared" si="401"/>
        <v>0</v>
      </c>
      <c r="X379" s="18">
        <f t="shared" si="401"/>
        <v>0</v>
      </c>
      <c r="Y379" s="18">
        <f t="shared" si="401"/>
        <v>0</v>
      </c>
      <c r="Z379" s="18">
        <f t="shared" si="401"/>
        <v>0</v>
      </c>
      <c r="AA379" s="18">
        <f t="shared" si="401"/>
        <v>0</v>
      </c>
      <c r="AB379" s="18">
        <f t="shared" si="401"/>
        <v>0</v>
      </c>
      <c r="AC379" s="18">
        <f t="shared" si="401"/>
        <v>0</v>
      </c>
      <c r="AD379" s="18">
        <f t="shared" si="401"/>
        <v>0</v>
      </c>
      <c r="AE379" s="18">
        <f t="shared" si="401"/>
        <v>0</v>
      </c>
      <c r="AF379" s="18">
        <f t="shared" si="401"/>
        <v>0</v>
      </c>
      <c r="AG379" s="18">
        <f t="shared" si="401"/>
        <v>0</v>
      </c>
      <c r="AH379" s="18">
        <f t="shared" si="401"/>
        <v>0</v>
      </c>
      <c r="AI379" s="18">
        <f t="shared" si="401"/>
        <v>0</v>
      </c>
      <c r="AJ379" s="18">
        <f t="shared" si="401"/>
        <v>0</v>
      </c>
      <c r="AK379" s="18">
        <f t="shared" si="401"/>
        <v>0</v>
      </c>
      <c r="AL379" s="78"/>
      <c r="AM379" s="43">
        <v>363</v>
      </c>
      <c r="AN379">
        <v>128.45506132571296</v>
      </c>
      <c r="AO379">
        <v>15.772543239311895</v>
      </c>
      <c r="AP379">
        <v>167.9631009995779</v>
      </c>
      <c r="AQ379">
        <v>143.64233421376221</v>
      </c>
      <c r="AR379">
        <v>15.146079869734049</v>
      </c>
      <c r="AS379">
        <v>222.18459793839477</v>
      </c>
      <c r="AT379">
        <v>9.7366290579027037</v>
      </c>
      <c r="AU379">
        <v>57.266684025646818</v>
      </c>
      <c r="AV379"/>
      <c r="AW379"/>
      <c r="FY379" s="210">
        <v>374</v>
      </c>
      <c r="FZ379">
        <v>34.685148477417933</v>
      </c>
      <c r="GA379">
        <v>39.967148549401735</v>
      </c>
      <c r="GB379">
        <v>2.6709143490567246</v>
      </c>
      <c r="GC379">
        <v>1.6318892448795586</v>
      </c>
      <c r="GD379">
        <v>0.98759792377445521</v>
      </c>
      <c r="GE379">
        <v>2.5445539046697259</v>
      </c>
      <c r="GF379">
        <v>8.6584111697885966</v>
      </c>
      <c r="GG379">
        <v>7.7221422218314473</v>
      </c>
      <c r="GH379">
        <v>7.6956519376324106</v>
      </c>
      <c r="GI379">
        <v>9.1450206297968926</v>
      </c>
      <c r="GJ379"/>
      <c r="GK379"/>
      <c r="GL379"/>
      <c r="GM379"/>
    </row>
    <row r="380" spans="1:195" s="7" customFormat="1">
      <c r="A380" s="77" t="s">
        <v>62</v>
      </c>
      <c r="B380" s="71">
        <f t="shared" si="400"/>
        <v>39910</v>
      </c>
      <c r="C380" s="18">
        <f t="shared" si="390"/>
        <v>401.04166666666663</v>
      </c>
      <c r="D380" s="18">
        <f t="shared" si="391"/>
        <v>21.529245441568907</v>
      </c>
      <c r="E380" s="19">
        <f t="shared" si="392"/>
        <v>5.3683313308847153E-2</v>
      </c>
      <c r="F380" s="19">
        <f t="shared" si="398"/>
        <v>6.0090964805082168E-3</v>
      </c>
      <c r="G380" s="18">
        <f>AVERAGE(E298:E307)*G$372</f>
        <v>0</v>
      </c>
      <c r="H380" s="18">
        <f t="shared" ref="H380:AK380" si="402">AVERAGE(F298:F307)*H$372</f>
        <v>0</v>
      </c>
      <c r="I380" s="18">
        <f t="shared" si="402"/>
        <v>7.9821679839975914</v>
      </c>
      <c r="J380" s="18">
        <f t="shared" si="402"/>
        <v>2.374791148259138</v>
      </c>
      <c r="K380" s="18">
        <f t="shared" si="402"/>
        <v>11.172286309312177</v>
      </c>
      <c r="L380" s="18">
        <f t="shared" si="402"/>
        <v>0</v>
      </c>
      <c r="M380" s="18">
        <f t="shared" si="402"/>
        <v>0</v>
      </c>
      <c r="N380" s="18">
        <f t="shared" si="402"/>
        <v>0</v>
      </c>
      <c r="O380" s="18">
        <f t="shared" si="402"/>
        <v>0</v>
      </c>
      <c r="P380" s="18">
        <f t="shared" si="402"/>
        <v>0</v>
      </c>
      <c r="Q380" s="18">
        <f t="shared" si="402"/>
        <v>0</v>
      </c>
      <c r="R380" s="18">
        <f t="shared" si="402"/>
        <v>0</v>
      </c>
      <c r="S380" s="18">
        <f t="shared" si="402"/>
        <v>0</v>
      </c>
      <c r="T380" s="18">
        <f t="shared" si="402"/>
        <v>0</v>
      </c>
      <c r="U380" s="18">
        <f t="shared" si="402"/>
        <v>0</v>
      </c>
      <c r="V380" s="18">
        <f t="shared" si="402"/>
        <v>0</v>
      </c>
      <c r="W380" s="18">
        <f t="shared" si="402"/>
        <v>0</v>
      </c>
      <c r="X380" s="18">
        <f t="shared" si="402"/>
        <v>0</v>
      </c>
      <c r="Y380" s="18">
        <f t="shared" si="402"/>
        <v>0</v>
      </c>
      <c r="Z380" s="18">
        <f t="shared" si="402"/>
        <v>0</v>
      </c>
      <c r="AA380" s="18">
        <f t="shared" si="402"/>
        <v>0</v>
      </c>
      <c r="AB380" s="18">
        <f t="shared" si="402"/>
        <v>0</v>
      </c>
      <c r="AC380" s="18">
        <f t="shared" si="402"/>
        <v>0</v>
      </c>
      <c r="AD380" s="18">
        <f t="shared" si="402"/>
        <v>0</v>
      </c>
      <c r="AE380" s="18">
        <f t="shared" si="402"/>
        <v>0</v>
      </c>
      <c r="AF380" s="18">
        <f t="shared" si="402"/>
        <v>0</v>
      </c>
      <c r="AG380" s="18">
        <f t="shared" si="402"/>
        <v>0</v>
      </c>
      <c r="AH380" s="18">
        <f t="shared" si="402"/>
        <v>0</v>
      </c>
      <c r="AI380" s="18">
        <f t="shared" si="402"/>
        <v>0</v>
      </c>
      <c r="AJ380" s="18">
        <f t="shared" si="402"/>
        <v>0</v>
      </c>
      <c r="AK380" s="18">
        <f t="shared" si="402"/>
        <v>0</v>
      </c>
      <c r="AL380" s="78"/>
      <c r="AM380" s="43">
        <v>364</v>
      </c>
      <c r="AN380">
        <v>99.936857332680347</v>
      </c>
      <c r="AO380">
        <v>13.68336787519868</v>
      </c>
      <c r="AP380">
        <v>149.02539791425701</v>
      </c>
      <c r="AQ380">
        <v>128.65825284000414</v>
      </c>
      <c r="AR380">
        <v>13.097184239705738</v>
      </c>
      <c r="AS380">
        <v>195.22864693599806</v>
      </c>
      <c r="AT380">
        <v>8.7315504983381746</v>
      </c>
      <c r="AU380">
        <v>46.633176723429017</v>
      </c>
      <c r="AV380"/>
      <c r="AW380"/>
      <c r="FY380" s="210">
        <v>375</v>
      </c>
      <c r="FZ380">
        <v>11.330201701992308</v>
      </c>
      <c r="GA380">
        <v>14.411008173256388</v>
      </c>
      <c r="GB380">
        <v>1.9603738195065454</v>
      </c>
      <c r="GC380">
        <v>1.2042809403309835</v>
      </c>
      <c r="GD380">
        <v>1.1628518242882624</v>
      </c>
      <c r="GE380">
        <v>4.0135855030224059</v>
      </c>
      <c r="GF380">
        <v>9.1161525408191348</v>
      </c>
      <c r="GG380">
        <v>11.317236456436987</v>
      </c>
      <c r="GH380">
        <v>12.180527269217437</v>
      </c>
      <c r="GI380">
        <v>6.4077042282443175</v>
      </c>
      <c r="GJ380"/>
      <c r="GK380"/>
      <c r="GL380"/>
      <c r="GM380"/>
    </row>
    <row r="381" spans="1:195" s="7" customFormat="1">
      <c r="A381" s="1"/>
      <c r="B381" s="71">
        <f t="shared" si="400"/>
        <v>39949</v>
      </c>
      <c r="C381" s="18">
        <f t="shared" si="390"/>
        <v>380.99091571766519</v>
      </c>
      <c r="D381" s="18">
        <f t="shared" si="391"/>
        <v>19.787986563178734</v>
      </c>
      <c r="E381" s="19">
        <f t="shared" si="392"/>
        <v>5.1938210983074197E-2</v>
      </c>
      <c r="F381" s="19">
        <f t="shared" si="398"/>
        <v>0</v>
      </c>
      <c r="G381" s="18">
        <f>AVERAGE(E308:E317)*G$372</f>
        <v>0</v>
      </c>
      <c r="H381" s="18">
        <f t="shared" ref="H381:AK381" si="403">AVERAGE(F308:F317)*H$372</f>
        <v>0.36575989345509896</v>
      </c>
      <c r="I381" s="18">
        <f t="shared" si="403"/>
        <v>5.3325333736968554</v>
      </c>
      <c r="J381" s="18">
        <f t="shared" si="403"/>
        <v>2.7752461262008752</v>
      </c>
      <c r="K381" s="18">
        <f t="shared" si="403"/>
        <v>4.2789670622120486</v>
      </c>
      <c r="L381" s="18">
        <f t="shared" si="403"/>
        <v>3.5160673928895916</v>
      </c>
      <c r="M381" s="18">
        <f t="shared" si="403"/>
        <v>3.5194127147242655</v>
      </c>
      <c r="N381" s="18">
        <f t="shared" si="403"/>
        <v>0</v>
      </c>
      <c r="O381" s="18">
        <f t="shared" si="403"/>
        <v>0</v>
      </c>
      <c r="P381" s="18">
        <f t="shared" si="403"/>
        <v>0</v>
      </c>
      <c r="Q381" s="18">
        <f t="shared" si="403"/>
        <v>0</v>
      </c>
      <c r="R381" s="18">
        <f t="shared" si="403"/>
        <v>0</v>
      </c>
      <c r="S381" s="18">
        <f t="shared" si="403"/>
        <v>0</v>
      </c>
      <c r="T381" s="18">
        <f t="shared" si="403"/>
        <v>0</v>
      </c>
      <c r="U381" s="18">
        <f t="shared" si="403"/>
        <v>0</v>
      </c>
      <c r="V381" s="18">
        <f t="shared" si="403"/>
        <v>0</v>
      </c>
      <c r="W381" s="18">
        <f t="shared" si="403"/>
        <v>0</v>
      </c>
      <c r="X381" s="18">
        <f t="shared" si="403"/>
        <v>0</v>
      </c>
      <c r="Y381" s="18">
        <f t="shared" si="403"/>
        <v>0</v>
      </c>
      <c r="Z381" s="18">
        <f t="shared" si="403"/>
        <v>0</v>
      </c>
      <c r="AA381" s="18">
        <f t="shared" si="403"/>
        <v>0</v>
      </c>
      <c r="AB381" s="18">
        <f t="shared" si="403"/>
        <v>0</v>
      </c>
      <c r="AC381" s="18">
        <f t="shared" si="403"/>
        <v>0</v>
      </c>
      <c r="AD381" s="18">
        <f t="shared" si="403"/>
        <v>0</v>
      </c>
      <c r="AE381" s="18">
        <f t="shared" si="403"/>
        <v>0</v>
      </c>
      <c r="AF381" s="18">
        <f t="shared" si="403"/>
        <v>0</v>
      </c>
      <c r="AG381" s="18">
        <f t="shared" si="403"/>
        <v>0</v>
      </c>
      <c r="AH381" s="18">
        <f t="shared" si="403"/>
        <v>0</v>
      </c>
      <c r="AI381" s="18">
        <f t="shared" si="403"/>
        <v>0</v>
      </c>
      <c r="AJ381" s="18">
        <f t="shared" si="403"/>
        <v>0</v>
      </c>
      <c r="AK381" s="18">
        <f t="shared" si="403"/>
        <v>0</v>
      </c>
      <c r="AL381" s="78"/>
      <c r="AM381" s="43">
        <v>365</v>
      </c>
      <c r="AN381">
        <v>85.445806925765822</v>
      </c>
      <c r="AO381">
        <v>12.910805549788716</v>
      </c>
      <c r="AP381">
        <v>139.05841297556537</v>
      </c>
      <c r="AQ381">
        <v>121.62386021122374</v>
      </c>
      <c r="AR381">
        <v>12.252954991907755</v>
      </c>
      <c r="AS381">
        <v>164.80622600883882</v>
      </c>
      <c r="AT381">
        <v>7.5681735816987823</v>
      </c>
      <c r="AU381">
        <v>16.891956799480916</v>
      </c>
      <c r="AV381"/>
      <c r="AW381"/>
      <c r="FY381" s="210">
        <v>376</v>
      </c>
      <c r="FZ381">
        <v>33.600457700229491</v>
      </c>
      <c r="GA381">
        <v>42.149984331159359</v>
      </c>
      <c r="GB381">
        <v>5.2957603078691831</v>
      </c>
      <c r="GC381">
        <v>2.0120032412402198</v>
      </c>
      <c r="GD381">
        <v>0.2962851464005537</v>
      </c>
      <c r="GE381">
        <v>2.0227394978864415</v>
      </c>
      <c r="GF381">
        <v>11.942467607531819</v>
      </c>
      <c r="GG381">
        <v>12.74202950229548</v>
      </c>
      <c r="GH381">
        <v>10.111878908246785</v>
      </c>
      <c r="GI381">
        <v>10.202790275421972</v>
      </c>
      <c r="GJ381"/>
      <c r="GK381"/>
      <c r="GL381"/>
      <c r="GM381"/>
    </row>
    <row r="382" spans="1:195" s="7" customFormat="1">
      <c r="A382" s="1"/>
      <c r="B382" s="71">
        <f t="shared" si="400"/>
        <v>39987</v>
      </c>
      <c r="C382" s="18">
        <f t="shared" si="390"/>
        <v>43.478997289972895</v>
      </c>
      <c r="D382" s="18">
        <f t="shared" si="391"/>
        <v>9.5561723369119491</v>
      </c>
      <c r="E382" s="19">
        <f t="shared" si="392"/>
        <v>0.2197882410484151</v>
      </c>
      <c r="F382" s="19">
        <f t="shared" si="398"/>
        <v>3.7963415273600185E-2</v>
      </c>
      <c r="G382" s="18">
        <f>AVERAGE(E318:E327)*G$372</f>
        <v>0</v>
      </c>
      <c r="H382" s="18">
        <f t="shared" ref="H382:AK382" si="404">AVERAGE(F318:F327)*H$372</f>
        <v>0</v>
      </c>
      <c r="I382" s="18">
        <f t="shared" si="404"/>
        <v>0.3133187432971018</v>
      </c>
      <c r="J382" s="18">
        <f t="shared" si="404"/>
        <v>0</v>
      </c>
      <c r="K382" s="18">
        <f t="shared" si="404"/>
        <v>4.3364871501018412</v>
      </c>
      <c r="L382" s="18">
        <f t="shared" si="404"/>
        <v>0.70321347857791816</v>
      </c>
      <c r="M382" s="18">
        <f t="shared" si="404"/>
        <v>0.58656878578737748</v>
      </c>
      <c r="N382" s="18">
        <f t="shared" si="404"/>
        <v>3.61658417914771</v>
      </c>
      <c r="O382" s="18">
        <f t="shared" si="404"/>
        <v>0</v>
      </c>
      <c r="P382" s="18">
        <f t="shared" si="404"/>
        <v>0</v>
      </c>
      <c r="Q382" s="18">
        <f t="shared" si="404"/>
        <v>0</v>
      </c>
      <c r="R382" s="18">
        <f t="shared" si="404"/>
        <v>0</v>
      </c>
      <c r="S382" s="18">
        <f t="shared" si="404"/>
        <v>0</v>
      </c>
      <c r="T382" s="18">
        <f t="shared" si="404"/>
        <v>0</v>
      </c>
      <c r="U382" s="18">
        <f t="shared" si="404"/>
        <v>0</v>
      </c>
      <c r="V382" s="18">
        <f t="shared" si="404"/>
        <v>0</v>
      </c>
      <c r="W382" s="18">
        <f t="shared" si="404"/>
        <v>0</v>
      </c>
      <c r="X382" s="18">
        <f t="shared" si="404"/>
        <v>0</v>
      </c>
      <c r="Y382" s="18">
        <f t="shared" si="404"/>
        <v>0</v>
      </c>
      <c r="Z382" s="18">
        <f t="shared" si="404"/>
        <v>0</v>
      </c>
      <c r="AA382" s="18">
        <f t="shared" si="404"/>
        <v>0</v>
      </c>
      <c r="AB382" s="18">
        <f t="shared" si="404"/>
        <v>0</v>
      </c>
      <c r="AC382" s="18">
        <f t="shared" si="404"/>
        <v>0</v>
      </c>
      <c r="AD382" s="18">
        <f t="shared" si="404"/>
        <v>0</v>
      </c>
      <c r="AE382" s="18">
        <f t="shared" si="404"/>
        <v>0</v>
      </c>
      <c r="AF382" s="18">
        <f t="shared" si="404"/>
        <v>0</v>
      </c>
      <c r="AG382" s="18">
        <f t="shared" si="404"/>
        <v>0</v>
      </c>
      <c r="AH382" s="18">
        <f t="shared" si="404"/>
        <v>0</v>
      </c>
      <c r="AI382" s="18">
        <f t="shared" si="404"/>
        <v>0</v>
      </c>
      <c r="AJ382" s="18">
        <f t="shared" si="404"/>
        <v>0</v>
      </c>
      <c r="AK382" s="18">
        <f t="shared" si="404"/>
        <v>0</v>
      </c>
      <c r="AL382" s="78"/>
      <c r="AM382" s="43">
        <v>366</v>
      </c>
      <c r="AN382">
        <v>71.067642890215524</v>
      </c>
      <c r="AO382">
        <v>7.7407015695387527</v>
      </c>
      <c r="AP382">
        <v>81.338244235109116</v>
      </c>
      <c r="AQ382">
        <v>70.711361651744468</v>
      </c>
      <c r="AR382">
        <v>7.3341636323271429</v>
      </c>
      <c r="AS382">
        <v>119.36861990586976</v>
      </c>
      <c r="AT382">
        <v>4.3738272932534699</v>
      </c>
      <c r="AU382">
        <v>46.698728272520349</v>
      </c>
      <c r="AV382"/>
      <c r="AW382"/>
      <c r="FY382" s="210">
        <v>377</v>
      </c>
      <c r="FZ382">
        <v>23.78525014560946</v>
      </c>
      <c r="GA382">
        <v>28.136444284232191</v>
      </c>
      <c r="GB382">
        <v>3.7783648980009064</v>
      </c>
      <c r="GC382">
        <v>1.5572580472014748</v>
      </c>
      <c r="GD382">
        <v>0.96498222388312604</v>
      </c>
      <c r="GE382">
        <v>2.7226195277006839</v>
      </c>
      <c r="GF382">
        <v>9.9576880073802361</v>
      </c>
      <c r="GG382">
        <v>15.989828620232396</v>
      </c>
      <c r="GH382">
        <v>14.908833400705117</v>
      </c>
      <c r="GI382">
        <v>9.1744666162180106</v>
      </c>
      <c r="GJ382"/>
      <c r="GK382"/>
      <c r="GL382"/>
      <c r="GM382"/>
    </row>
    <row r="383" spans="1:195" s="7" customFormat="1">
      <c r="A383" s="1"/>
      <c r="B383" s="71"/>
      <c r="C383" s="18"/>
      <c r="D383" s="18"/>
      <c r="E383" s="19"/>
      <c r="F383" s="19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78"/>
      <c r="AM383" s="43">
        <v>367</v>
      </c>
      <c r="AN383">
        <v>123.1649087496246</v>
      </c>
      <c r="AO383">
        <v>8.6929172741412604</v>
      </c>
      <c r="AP383">
        <v>84.440862009553143</v>
      </c>
      <c r="AQ383">
        <v>71.512440195761499</v>
      </c>
      <c r="AR383">
        <v>8.5261426740790043</v>
      </c>
      <c r="AS383">
        <v>136.61175522067921</v>
      </c>
      <c r="AT383">
        <v>5.0676651979026381</v>
      </c>
      <c r="AU383">
        <v>3.9372639990800287</v>
      </c>
      <c r="AV383"/>
      <c r="AW383"/>
      <c r="FY383" s="210">
        <v>378</v>
      </c>
      <c r="FZ383">
        <v>22.318362100443078</v>
      </c>
      <c r="GA383">
        <v>29.295602527086224</v>
      </c>
      <c r="GB383">
        <v>2.7264840097033289</v>
      </c>
      <c r="GC383">
        <v>1.1826493726692147</v>
      </c>
      <c r="GD383">
        <v>1.1956293242616134</v>
      </c>
      <c r="GE383">
        <v>3.5469378691933722</v>
      </c>
      <c r="GF383">
        <v>5.6841438951466472</v>
      </c>
      <c r="GG383">
        <v>8.6069962006383758</v>
      </c>
      <c r="GH383">
        <v>11.350264615584459</v>
      </c>
      <c r="GI383">
        <v>7.4857686230343798</v>
      </c>
      <c r="GJ383"/>
      <c r="GK383"/>
      <c r="GL383"/>
      <c r="GM383"/>
    </row>
    <row r="384" spans="1:195" s="7" customFormat="1">
      <c r="A384" s="1"/>
      <c r="B384" s="71"/>
      <c r="C384" s="18"/>
      <c r="D384" s="18"/>
      <c r="E384" s="19"/>
      <c r="F384" s="19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78"/>
      <c r="AM384" s="43">
        <v>368</v>
      </c>
      <c r="AN384">
        <v>100.30274128991874</v>
      </c>
      <c r="AO384">
        <v>11.375384349640468</v>
      </c>
      <c r="AP384">
        <v>121.38287698020073</v>
      </c>
      <c r="AQ384">
        <v>104.82265767100512</v>
      </c>
      <c r="AR384">
        <v>10.780971000480037</v>
      </c>
      <c r="AS384">
        <v>147.89866415705922</v>
      </c>
      <c r="AT384">
        <v>6.8790859333749728</v>
      </c>
      <c r="AU384">
        <v>12.389463836077947</v>
      </c>
      <c r="AV384"/>
      <c r="AW384"/>
      <c r="FY384" s="210">
        <v>379</v>
      </c>
      <c r="FZ384">
        <v>4.0773015216921582</v>
      </c>
      <c r="GA384">
        <v>1.6745666896292961</v>
      </c>
      <c r="GB384">
        <v>1.5812538330992072</v>
      </c>
      <c r="GC384">
        <v>1.0218112335836715</v>
      </c>
      <c r="GD384">
        <v>0.71651543936994622</v>
      </c>
      <c r="GE384">
        <v>3.2197079383747877</v>
      </c>
      <c r="GF384">
        <v>8.535521905254436</v>
      </c>
      <c r="GG384">
        <v>9.9852046568753288</v>
      </c>
      <c r="GH384">
        <v>11.95257888250369</v>
      </c>
      <c r="GI384">
        <v>4.838280443115309</v>
      </c>
      <c r="GJ384"/>
      <c r="GK384"/>
      <c r="GL384"/>
      <c r="GM384"/>
    </row>
    <row r="385" spans="1:195" s="7" customFormat="1">
      <c r="A385" s="1"/>
      <c r="B385" s="71"/>
      <c r="C385" s="14"/>
      <c r="D385" s="14"/>
      <c r="E385" s="13"/>
      <c r="F385" s="13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94"/>
      <c r="AG385" s="94"/>
      <c r="AH385" s="94"/>
      <c r="AI385" s="94"/>
      <c r="AJ385" s="94"/>
      <c r="AK385" s="94"/>
      <c r="AL385" s="78"/>
      <c r="AM385" s="43">
        <v>369</v>
      </c>
      <c r="AN385">
        <v>162.05272046514489</v>
      </c>
      <c r="AO385">
        <v>13.422005064467465</v>
      </c>
      <c r="AP385">
        <v>134.41922217703254</v>
      </c>
      <c r="AQ385">
        <v>112.94447274324443</v>
      </c>
      <c r="AR385">
        <v>13.023993044143456</v>
      </c>
      <c r="AS385">
        <v>197.62880001033952</v>
      </c>
      <c r="AT385">
        <v>7.710998874516565</v>
      </c>
      <c r="AU385">
        <v>18.28672072318944</v>
      </c>
      <c r="AV385"/>
      <c r="AW385"/>
      <c r="FY385" s="210">
        <v>380</v>
      </c>
      <c r="FZ385">
        <v>2.3931782932566552</v>
      </c>
      <c r="GA385">
        <v>4.0063016588325695</v>
      </c>
      <c r="GB385">
        <v>2.2054785931332326</v>
      </c>
      <c r="GC385">
        <v>0.62198518098064715</v>
      </c>
      <c r="GD385">
        <v>0.73631466184176875</v>
      </c>
      <c r="GE385">
        <v>3.6919081439403145</v>
      </c>
      <c r="GF385">
        <v>11.133897542001034</v>
      </c>
      <c r="GG385">
        <v>10.887874657578617</v>
      </c>
      <c r="GH385">
        <v>8.1754115334920137</v>
      </c>
      <c r="GI385">
        <v>4.6335077792460959</v>
      </c>
      <c r="GJ385"/>
      <c r="GK385"/>
      <c r="GL385"/>
      <c r="GM385"/>
    </row>
    <row r="386" spans="1:195" s="7" customFormat="1">
      <c r="A386" s="1"/>
      <c r="B386" s="13"/>
      <c r="C386" s="13"/>
      <c r="D386" s="96"/>
      <c r="E386" s="1"/>
      <c r="F386" s="1"/>
      <c r="G386" s="1"/>
      <c r="H386" s="1"/>
      <c r="I386" s="1"/>
      <c r="J386" s="14"/>
      <c r="K386" s="14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94"/>
      <c r="AG386" s="94"/>
      <c r="AH386" s="94"/>
      <c r="AI386" s="94"/>
      <c r="AJ386" s="94"/>
      <c r="AK386" s="94"/>
      <c r="AL386" s="78"/>
      <c r="AM386" s="43">
        <v>370</v>
      </c>
      <c r="AN386">
        <v>81.97179633814153</v>
      </c>
      <c r="AO386">
        <v>8.5193082282252242</v>
      </c>
      <c r="AP386">
        <v>88.318596978888948</v>
      </c>
      <c r="AQ386">
        <v>75.810684294569739</v>
      </c>
      <c r="AR386">
        <v>8.2582230512994919</v>
      </c>
      <c r="AS386">
        <v>117.5442167139871</v>
      </c>
      <c r="AT386">
        <v>5.1035487048627495</v>
      </c>
      <c r="AU386">
        <v>-0.74160970744302013</v>
      </c>
      <c r="AV386"/>
      <c r="AW386"/>
      <c r="FY386" s="210">
        <v>381</v>
      </c>
      <c r="FZ386">
        <v>12.934391963347473</v>
      </c>
      <c r="GA386">
        <v>13.378477492349155</v>
      </c>
      <c r="GB386">
        <v>1.3237916664957523</v>
      </c>
      <c r="GC386">
        <v>1.2273121745538329</v>
      </c>
      <c r="GD386">
        <v>1.908388934649798</v>
      </c>
      <c r="GE386">
        <v>3.9483621673872062</v>
      </c>
      <c r="GF386">
        <v>4.0347182977472755</v>
      </c>
      <c r="GG386">
        <v>3.8287892479551737</v>
      </c>
      <c r="GH386">
        <v>6.1900171803487805</v>
      </c>
      <c r="GI386">
        <v>5.0646136267957829</v>
      </c>
      <c r="GJ386"/>
      <c r="GK386"/>
      <c r="GL386"/>
      <c r="GM386"/>
    </row>
    <row r="387" spans="1:195" s="7" customFormat="1">
      <c r="A387" s="1"/>
      <c r="B387" s="13"/>
      <c r="C387" s="21"/>
      <c r="D387" s="96"/>
      <c r="E387" s="3"/>
      <c r="F387" s="10" t="s">
        <v>70</v>
      </c>
      <c r="G387" s="13"/>
      <c r="H387" s="10" t="s">
        <v>71</v>
      </c>
      <c r="I387" s="1"/>
      <c r="J387" s="14"/>
      <c r="K387" s="14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94"/>
      <c r="AG387" s="94"/>
      <c r="AH387" s="94"/>
      <c r="AI387" s="94"/>
      <c r="AJ387" s="94"/>
      <c r="AK387" s="94"/>
      <c r="AL387" s="78"/>
      <c r="AM387" s="43">
        <v>371</v>
      </c>
      <c r="AN387">
        <v>99.42803013482731</v>
      </c>
      <c r="AO387">
        <v>8.1352938555099144</v>
      </c>
      <c r="AP387">
        <v>82.839633304757839</v>
      </c>
      <c r="AQ387">
        <v>68.74690073593338</v>
      </c>
      <c r="AR387">
        <v>8.2817386739590173</v>
      </c>
      <c r="AS387">
        <v>110.38707221770356</v>
      </c>
      <c r="AT387">
        <v>5.1754721085741116</v>
      </c>
      <c r="AU387">
        <v>22.847956630005541</v>
      </c>
      <c r="AV387"/>
      <c r="AW387"/>
      <c r="FY387" s="210">
        <v>382</v>
      </c>
      <c r="FZ387">
        <v>32.832798398913496</v>
      </c>
      <c r="GA387">
        <v>39.294422286425828</v>
      </c>
      <c r="GB387">
        <v>2.5810927438179756</v>
      </c>
      <c r="GC387">
        <v>1.4279011154097041</v>
      </c>
      <c r="GD387">
        <v>1.4100913738461731</v>
      </c>
      <c r="GE387">
        <v>3.426080079580025</v>
      </c>
      <c r="GF387">
        <v>6.4301663706699648</v>
      </c>
      <c r="GG387">
        <v>5.7786272270643391</v>
      </c>
      <c r="GH387">
        <v>5.3072771773183138</v>
      </c>
      <c r="GI387">
        <v>8.3167606061437436</v>
      </c>
      <c r="GJ387"/>
      <c r="GK387"/>
      <c r="GL387"/>
      <c r="GM387"/>
    </row>
    <row r="388" spans="1:195" s="7" customFormat="1">
      <c r="A388" s="1"/>
      <c r="B388" s="13"/>
      <c r="C388" s="21"/>
      <c r="D388" s="96"/>
      <c r="E388" s="3"/>
      <c r="F388" s="19">
        <f t="shared" ref="F388:F398" si="405">IF(C374&lt;1,0,LN(E374/E373)/E21)</f>
        <v>3.5541897828206374E-2</v>
      </c>
      <c r="G388" s="13"/>
      <c r="H388" s="19">
        <f>IF(G406&lt;0,0,G406)</f>
        <v>9.338375315197267E-3</v>
      </c>
      <c r="I388" s="1"/>
      <c r="J388" s="14"/>
      <c r="K388" s="14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94"/>
      <c r="AG388" s="94"/>
      <c r="AH388" s="94"/>
      <c r="AI388" s="94"/>
      <c r="AJ388" s="94"/>
      <c r="AK388" s="94"/>
      <c r="AL388" s="78"/>
      <c r="AM388" s="43">
        <v>372</v>
      </c>
      <c r="AN388">
        <v>97.966544754534368</v>
      </c>
      <c r="AO388">
        <v>8.0462322818071783</v>
      </c>
      <c r="AP388">
        <v>78.421854260736481</v>
      </c>
      <c r="AQ388">
        <v>65.936135964379716</v>
      </c>
      <c r="AR388">
        <v>7.931772227886464</v>
      </c>
      <c r="AS388">
        <v>159.33664984640254</v>
      </c>
      <c r="AT388">
        <v>4.3940334050492202</v>
      </c>
      <c r="AU388">
        <v>17.959593574946808</v>
      </c>
      <c r="AV388"/>
      <c r="AW388"/>
      <c r="FY388" s="210">
        <v>383</v>
      </c>
      <c r="FZ388">
        <v>33.64239818401569</v>
      </c>
      <c r="GA388">
        <v>38.379909896399376</v>
      </c>
      <c r="GB388">
        <v>1.5376952066751131</v>
      </c>
      <c r="GC388">
        <v>1.2058054888678029</v>
      </c>
      <c r="GD388">
        <v>1.1810321182508821</v>
      </c>
      <c r="GE388">
        <v>2.1414972265714165</v>
      </c>
      <c r="GF388">
        <v>2.4552673236898626</v>
      </c>
      <c r="GG388">
        <v>6.89874387410533</v>
      </c>
      <c r="GH388">
        <v>10.884713415546107</v>
      </c>
      <c r="GI388">
        <v>8.2049833905253848</v>
      </c>
      <c r="GJ388"/>
      <c r="GK388"/>
      <c r="GL388"/>
      <c r="GM388"/>
    </row>
    <row r="389" spans="1:195" s="7" customFormat="1">
      <c r="A389" s="1"/>
      <c r="B389" s="13"/>
      <c r="C389" s="21"/>
      <c r="D389" s="96"/>
      <c r="E389" s="3"/>
      <c r="F389" s="19">
        <f t="shared" si="405"/>
        <v>2.2175723498289217E-2</v>
      </c>
      <c r="G389" s="13"/>
      <c r="H389" s="19">
        <f t="shared" ref="H389:H398" si="406">IF(G407&lt;0,0,G407)</f>
        <v>0</v>
      </c>
      <c r="I389" s="1"/>
      <c r="J389" s="14"/>
      <c r="K389" s="14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94"/>
      <c r="AG389" s="94"/>
      <c r="AH389" s="94"/>
      <c r="AI389" s="94"/>
      <c r="AJ389" s="94"/>
      <c r="AK389" s="94"/>
      <c r="AL389" s="78"/>
      <c r="AM389" s="43">
        <v>373</v>
      </c>
      <c r="AN389">
        <v>119.66182693823711</v>
      </c>
      <c r="AO389">
        <v>12.528550910186082</v>
      </c>
      <c r="AP389">
        <v>124.98927452009026</v>
      </c>
      <c r="AQ389">
        <v>104.79037010016044</v>
      </c>
      <c r="AR389">
        <v>12.309662452085416</v>
      </c>
      <c r="AS389">
        <v>168.9462893692538</v>
      </c>
      <c r="AT389">
        <v>7.6654839081197759</v>
      </c>
      <c r="AU389">
        <v>13.543816313612385</v>
      </c>
      <c r="AV389"/>
      <c r="AW389"/>
      <c r="FY389" s="210">
        <v>384</v>
      </c>
      <c r="FZ389">
        <v>23.595981862896025</v>
      </c>
      <c r="GA389">
        <v>25.760676789409899</v>
      </c>
      <c r="GB389">
        <v>1.7564412590286294</v>
      </c>
      <c r="GC389">
        <v>1.3701552841097799</v>
      </c>
      <c r="GD389">
        <v>0.69989064444749571</v>
      </c>
      <c r="GE389">
        <v>2.5291277570572266</v>
      </c>
      <c r="GF389">
        <v>9.0180697775705525</v>
      </c>
      <c r="GG389">
        <v>12.622235762448479</v>
      </c>
      <c r="GH389">
        <v>13.198792007191411</v>
      </c>
      <c r="GI389">
        <v>8.0381440267358659</v>
      </c>
      <c r="GJ389"/>
      <c r="GK389"/>
      <c r="GL389"/>
      <c r="GM389"/>
    </row>
    <row r="390" spans="1:195" s="7" customFormat="1">
      <c r="A390" s="1"/>
      <c r="B390" s="13"/>
      <c r="C390" s="21"/>
      <c r="D390" s="96"/>
      <c r="E390" s="3"/>
      <c r="F390" s="19">
        <f t="shared" si="405"/>
        <v>-7.9552683534189039E-2</v>
      </c>
      <c r="G390" s="13"/>
      <c r="H390" s="19">
        <f t="shared" si="406"/>
        <v>0</v>
      </c>
      <c r="I390" s="1"/>
      <c r="J390" s="14"/>
      <c r="K390" s="14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94"/>
      <c r="AG390" s="94"/>
      <c r="AH390" s="94"/>
      <c r="AI390" s="94"/>
      <c r="AJ390" s="94"/>
      <c r="AK390" s="94"/>
      <c r="AL390" s="78"/>
      <c r="AM390" s="43">
        <v>374</v>
      </c>
      <c r="AN390">
        <v>124.26653716685962</v>
      </c>
      <c r="AO390">
        <v>13.06323804317133</v>
      </c>
      <c r="AP390">
        <v>135.13539589015866</v>
      </c>
      <c r="AQ390">
        <v>115.70847840824948</v>
      </c>
      <c r="AR390">
        <v>12.691793186729637</v>
      </c>
      <c r="AS390">
        <v>180.40300214230962</v>
      </c>
      <c r="AT390">
        <v>7.6711152534372538</v>
      </c>
      <c r="AU390">
        <v>48.089152483187057</v>
      </c>
      <c r="AV390"/>
      <c r="AW390"/>
      <c r="FY390" s="210">
        <v>385</v>
      </c>
      <c r="FZ390">
        <v>55.170882327575413</v>
      </c>
      <c r="GA390">
        <v>64.20203772461474</v>
      </c>
      <c r="GB390">
        <v>1.4978739650238555</v>
      </c>
      <c r="GC390">
        <v>0.78816496438071715</v>
      </c>
      <c r="GD390">
        <v>0.36193125481783234</v>
      </c>
      <c r="GE390">
        <v>1.3377969533209046</v>
      </c>
      <c r="GF390">
        <v>6.5597327751381957</v>
      </c>
      <c r="GG390">
        <v>8.4483144481446022</v>
      </c>
      <c r="GH390">
        <v>8.6109400212622891</v>
      </c>
      <c r="GI390">
        <v>11.275014015057069</v>
      </c>
      <c r="GJ390"/>
      <c r="GK390"/>
      <c r="GL390"/>
      <c r="GM390"/>
    </row>
    <row r="391" spans="1:195" s="7" customFormat="1">
      <c r="A391" s="1"/>
      <c r="B391" s="13"/>
      <c r="C391" s="21"/>
      <c r="D391" s="96"/>
      <c r="E391" s="3"/>
      <c r="F391" s="19">
        <f t="shared" si="405"/>
        <v>-9.0704556672688876E-3</v>
      </c>
      <c r="G391" s="13"/>
      <c r="H391" s="19">
        <f t="shared" si="406"/>
        <v>0</v>
      </c>
      <c r="I391" s="1"/>
      <c r="J391" s="14"/>
      <c r="K391" s="14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94"/>
      <c r="AG391" s="94"/>
      <c r="AH391" s="94"/>
      <c r="AI391" s="94"/>
      <c r="AJ391" s="94"/>
      <c r="AK391" s="94"/>
      <c r="AL391" s="78"/>
      <c r="AM391" s="43">
        <v>375</v>
      </c>
      <c r="AN391">
        <v>134.33310298403336</v>
      </c>
      <c r="AO391">
        <v>9.2218541484650967</v>
      </c>
      <c r="AP391">
        <v>86.228177338135623</v>
      </c>
      <c r="AQ391">
        <v>73.103922457114763</v>
      </c>
      <c r="AR391">
        <v>8.7317602046261751</v>
      </c>
      <c r="AS391">
        <v>160.38239247477662</v>
      </c>
      <c r="AT391">
        <v>5.2146248824534043</v>
      </c>
      <c r="AU391">
        <v>30.487051142571172</v>
      </c>
      <c r="AV391"/>
      <c r="AW391"/>
      <c r="FY391" s="210">
        <v>386</v>
      </c>
      <c r="FZ391">
        <v>2.5691121055128061</v>
      </c>
      <c r="GA391">
        <v>4.5219349921443506</v>
      </c>
      <c r="GB391">
        <v>3.125078317527846</v>
      </c>
      <c r="GC391">
        <v>1.3502481560806587</v>
      </c>
      <c r="GD391">
        <v>1.1292042280505021</v>
      </c>
      <c r="GE391">
        <v>1.8228978187056688</v>
      </c>
      <c r="GF391">
        <v>2.8194273570393462</v>
      </c>
      <c r="GG391">
        <v>6.2369974840319529</v>
      </c>
      <c r="GH391">
        <v>7.847691633062464</v>
      </c>
      <c r="GI391">
        <v>3.5646623048704118</v>
      </c>
      <c r="GJ391"/>
      <c r="GK391"/>
      <c r="GL391"/>
      <c r="GM391"/>
    </row>
    <row r="392" spans="1:195" s="7" customFormat="1">
      <c r="A392" s="1"/>
      <c r="B392" s="13"/>
      <c r="C392" s="21"/>
      <c r="D392" s="96"/>
      <c r="E392" s="3"/>
      <c r="F392" s="19">
        <f t="shared" si="405"/>
        <v>3.0819120717829964E-2</v>
      </c>
      <c r="G392" s="13"/>
      <c r="H392" s="19">
        <f t="shared" si="406"/>
        <v>0</v>
      </c>
      <c r="I392" s="1"/>
      <c r="J392" s="14"/>
      <c r="K392" s="14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94"/>
      <c r="AG392" s="94"/>
      <c r="AH392" s="94"/>
      <c r="AI392" s="94"/>
      <c r="AJ392" s="94"/>
      <c r="AK392" s="94"/>
      <c r="AL392" s="78"/>
      <c r="AM392" s="43">
        <v>376</v>
      </c>
      <c r="AN392">
        <v>155.71235900391753</v>
      </c>
      <c r="AO392">
        <v>14.831784767622164</v>
      </c>
      <c r="AP392">
        <v>156.43070058663187</v>
      </c>
      <c r="AQ392">
        <v>130.3763965182813</v>
      </c>
      <c r="AR392">
        <v>14.106968988550181</v>
      </c>
      <c r="AS392">
        <v>267.97479120102503</v>
      </c>
      <c r="AT392">
        <v>9.2162158647222583</v>
      </c>
      <c r="AU392">
        <v>17.939857166224044</v>
      </c>
      <c r="AV392"/>
      <c r="AW392"/>
      <c r="FY392" s="210">
        <v>387</v>
      </c>
      <c r="FZ392">
        <v>64.336978168628661</v>
      </c>
      <c r="GA392">
        <v>77.294119792604491</v>
      </c>
      <c r="GB392">
        <v>2.6395196228315716</v>
      </c>
      <c r="GC392">
        <v>1.3259713135885809</v>
      </c>
      <c r="GD392">
        <v>0.88729802694534299</v>
      </c>
      <c r="GE392">
        <v>2.6691472198013275</v>
      </c>
      <c r="GF392">
        <v>8.7880839219803359</v>
      </c>
      <c r="GG392">
        <v>12.606849251374801</v>
      </c>
      <c r="GH392">
        <v>11.80175805622239</v>
      </c>
      <c r="GI392">
        <v>14.129443115080589</v>
      </c>
      <c r="GJ392"/>
      <c r="GK392"/>
      <c r="GL392"/>
      <c r="GM392"/>
    </row>
    <row r="393" spans="1:195" s="7" customFormat="1">
      <c r="A393" s="1"/>
      <c r="B393" s="13"/>
      <c r="C393" s="21"/>
      <c r="D393" s="96"/>
      <c r="E393" s="3"/>
      <c r="F393" s="19">
        <f t="shared" si="405"/>
        <v>-1.6145641500888045E-2</v>
      </c>
      <c r="G393" s="13"/>
      <c r="H393" s="19">
        <f t="shared" si="406"/>
        <v>1.5947183961385183E-2</v>
      </c>
      <c r="I393" s="1"/>
      <c r="J393" s="14"/>
      <c r="K393" s="14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94"/>
      <c r="AG393" s="94"/>
      <c r="AH393" s="94"/>
      <c r="AI393" s="94"/>
      <c r="AJ393" s="94"/>
      <c r="AK393" s="94"/>
      <c r="AL393" s="78"/>
      <c r="AM393" s="43">
        <v>377</v>
      </c>
      <c r="AN393">
        <v>152.75988750299169</v>
      </c>
      <c r="AO393">
        <v>13.219699066690239</v>
      </c>
      <c r="AP393">
        <v>132.27489734087055</v>
      </c>
      <c r="AQ393">
        <v>110.97573577116361</v>
      </c>
      <c r="AR393">
        <v>12.734961540394593</v>
      </c>
      <c r="AS393">
        <v>226.9085802035365</v>
      </c>
      <c r="AT393">
        <v>7.5053588161033993</v>
      </c>
      <c r="AU393">
        <v>27.201744482208497</v>
      </c>
      <c r="AV393"/>
      <c r="AW393"/>
      <c r="FY393" s="210">
        <v>388</v>
      </c>
      <c r="FZ393">
        <v>22.477219455945278</v>
      </c>
      <c r="GA393">
        <v>28.960444557060683</v>
      </c>
      <c r="GB393">
        <v>4.3438179797373326</v>
      </c>
      <c r="GC393">
        <v>1.7608629070338757</v>
      </c>
      <c r="GD393">
        <v>0.92997107762858422</v>
      </c>
      <c r="GE393">
        <v>2.7831643313650805</v>
      </c>
      <c r="GF393">
        <v>10.261726851174251</v>
      </c>
      <c r="GG393">
        <v>9.0006974650023057</v>
      </c>
      <c r="GH393">
        <v>6.1590010423648085</v>
      </c>
      <c r="GI393">
        <v>7.7638612331372272</v>
      </c>
      <c r="GJ393"/>
      <c r="GK393"/>
      <c r="GL393"/>
      <c r="GM393"/>
    </row>
    <row r="394" spans="1:195" s="7" customFormat="1">
      <c r="A394" s="1"/>
      <c r="B394" s="13"/>
      <c r="C394" s="21"/>
      <c r="D394" s="96"/>
      <c r="E394" s="3"/>
      <c r="F394" s="19">
        <f t="shared" si="405"/>
        <v>6.0090964805082168E-3</v>
      </c>
      <c r="G394" s="13"/>
      <c r="H394" s="19">
        <f t="shared" si="406"/>
        <v>1.5968761758344698E-2</v>
      </c>
      <c r="I394" s="1"/>
      <c r="J394" s="14"/>
      <c r="K394" s="14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94"/>
      <c r="AG394" s="94"/>
      <c r="AH394" s="94"/>
      <c r="AI394" s="94"/>
      <c r="AJ394" s="94"/>
      <c r="AK394" s="94"/>
      <c r="AL394" s="78"/>
      <c r="AM394" s="43">
        <v>378</v>
      </c>
      <c r="AN394">
        <v>136.46105846643053</v>
      </c>
      <c r="AO394">
        <v>10.939795503170455</v>
      </c>
      <c r="AP394">
        <v>109.01378223372174</v>
      </c>
      <c r="AQ394">
        <v>93.392838537760696</v>
      </c>
      <c r="AR394">
        <v>10.290958370634609</v>
      </c>
      <c r="AS394">
        <v>180.39487424757792</v>
      </c>
      <c r="AT394">
        <v>6.3679034054264116</v>
      </c>
      <c r="AU394">
        <v>24.865391764970902</v>
      </c>
      <c r="AV394"/>
      <c r="AW394"/>
      <c r="FY394" s="210">
        <v>389</v>
      </c>
      <c r="FZ394">
        <v>46.530776256980573</v>
      </c>
      <c r="GA394">
        <v>52.247203534727575</v>
      </c>
      <c r="GB394">
        <v>1.9756148344096038</v>
      </c>
      <c r="GC394">
        <v>0.90995539180799501</v>
      </c>
      <c r="GD394">
        <v>1.3861794469530682</v>
      </c>
      <c r="GE394">
        <v>3.6763824731812158</v>
      </c>
      <c r="GF394">
        <v>4.2617158131537103</v>
      </c>
      <c r="GG394">
        <v>3.720007658568306</v>
      </c>
      <c r="GH394">
        <v>6.0347684901356864</v>
      </c>
      <c r="GI394">
        <v>9.8970277149198225</v>
      </c>
      <c r="GJ394"/>
      <c r="GK394"/>
      <c r="GL394"/>
      <c r="GM394"/>
    </row>
    <row r="395" spans="1:195" s="7" customFormat="1">
      <c r="A395" s="1"/>
      <c r="B395" s="13"/>
      <c r="C395" s="21"/>
      <c r="D395" s="96"/>
      <c r="E395" s="3"/>
      <c r="F395" s="19">
        <f t="shared" si="405"/>
        <v>-8.4737057361615963E-4</v>
      </c>
      <c r="G395" s="13"/>
      <c r="H395" s="19">
        <f t="shared" si="406"/>
        <v>4.4461167686303489E-2</v>
      </c>
      <c r="I395" s="1"/>
      <c r="J395" s="14"/>
      <c r="K395" s="14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94"/>
      <c r="AG395" s="94"/>
      <c r="AH395" s="94"/>
      <c r="AI395" s="94"/>
      <c r="AJ395" s="94"/>
      <c r="AK395" s="94"/>
      <c r="AL395" s="78"/>
      <c r="AM395" s="43">
        <v>379</v>
      </c>
      <c r="AN395">
        <v>119.13196473682247</v>
      </c>
      <c r="AO395">
        <v>6.4258074883160035</v>
      </c>
      <c r="AP395">
        <v>57.442818866426066</v>
      </c>
      <c r="AQ395">
        <v>47.602742543497833</v>
      </c>
      <c r="AR395">
        <v>6.5388902636220738</v>
      </c>
      <c r="AS395">
        <v>157.31854625030965</v>
      </c>
      <c r="AT395">
        <v>3.9980578903860535</v>
      </c>
      <c r="AU395">
        <v>21.019922108402813</v>
      </c>
      <c r="AV395"/>
      <c r="AW395"/>
      <c r="FY395" s="210">
        <v>390</v>
      </c>
      <c r="FZ395">
        <v>54.681517894492707</v>
      </c>
      <c r="GA395">
        <v>67.608308309723085</v>
      </c>
      <c r="GB395">
        <v>3.4770083857130496</v>
      </c>
      <c r="GC395">
        <v>1.4563572318238194</v>
      </c>
      <c r="GD395">
        <v>1.6746609647941559</v>
      </c>
      <c r="GE395">
        <v>2.6403969446826263</v>
      </c>
      <c r="GF395">
        <v>5.4436534828884362</v>
      </c>
      <c r="GG395">
        <v>14.017814000391013</v>
      </c>
      <c r="GH395">
        <v>15.257263652296254</v>
      </c>
      <c r="GI395">
        <v>13.316376575956754</v>
      </c>
      <c r="GJ395"/>
      <c r="GK395"/>
      <c r="GL395"/>
      <c r="GM395"/>
    </row>
    <row r="396" spans="1:195" s="7" customFormat="1">
      <c r="A396" s="1"/>
      <c r="B396" s="13"/>
      <c r="C396" s="21"/>
      <c r="D396" s="96"/>
      <c r="E396" s="3"/>
      <c r="F396" s="19">
        <f t="shared" si="405"/>
        <v>3.7963415273600185E-2</v>
      </c>
      <c r="G396" s="13"/>
      <c r="H396" s="19">
        <f t="shared" si="406"/>
        <v>2.2846318112146081E-2</v>
      </c>
      <c r="I396" s="1"/>
      <c r="J396" s="14"/>
      <c r="K396" s="14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94"/>
      <c r="AG396" s="94"/>
      <c r="AH396" s="94"/>
      <c r="AI396" s="94"/>
      <c r="AJ396" s="94"/>
      <c r="AK396" s="94"/>
      <c r="AL396" s="78"/>
      <c r="AM396" s="43">
        <v>380</v>
      </c>
      <c r="AN396">
        <v>123.04596677873849</v>
      </c>
      <c r="AO396">
        <v>6.5542919634714618</v>
      </c>
      <c r="AP396">
        <v>59.42824762566714</v>
      </c>
      <c r="AQ396">
        <v>48.485858044302951</v>
      </c>
      <c r="AR396">
        <v>6.2141925916549905</v>
      </c>
      <c r="AS396">
        <v>117.43191606490115</v>
      </c>
      <c r="AT396">
        <v>3.6630913858558496</v>
      </c>
      <c r="AU396">
        <v>27.440811172466276</v>
      </c>
      <c r="AV396"/>
      <c r="AW396"/>
      <c r="FY396" s="210">
        <v>391</v>
      </c>
      <c r="FZ396">
        <v>36.927082787601584</v>
      </c>
      <c r="GA396">
        <v>40.41784274469137</v>
      </c>
      <c r="GB396">
        <v>2.2759640827047329</v>
      </c>
      <c r="GC396">
        <v>1.0274139852895958</v>
      </c>
      <c r="GD396">
        <v>0.54663886671068307</v>
      </c>
      <c r="GE396">
        <v>3.2761126468557848</v>
      </c>
      <c r="GF396">
        <v>4.5365657209603025</v>
      </c>
      <c r="GG396">
        <v>8.314810118603134</v>
      </c>
      <c r="GH396">
        <v>12.79120927767784</v>
      </c>
      <c r="GI396">
        <v>9.177197084866263</v>
      </c>
      <c r="GJ396"/>
      <c r="GK396"/>
      <c r="GL396"/>
      <c r="GM396"/>
    </row>
    <row r="397" spans="1:195" s="7" customFormat="1">
      <c r="A397" s="1"/>
      <c r="B397" s="13"/>
      <c r="C397" s="21"/>
      <c r="D397" s="96"/>
      <c r="E397" s="3"/>
      <c r="F397" s="19">
        <f t="shared" si="405"/>
        <v>0</v>
      </c>
      <c r="G397" s="13"/>
      <c r="H397" s="19">
        <f t="shared" si="406"/>
        <v>0</v>
      </c>
      <c r="I397" s="1"/>
      <c r="J397" s="14"/>
      <c r="K397" s="14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94"/>
      <c r="AG397" s="94"/>
      <c r="AH397" s="94"/>
      <c r="AI397" s="94"/>
      <c r="AJ397" s="94"/>
      <c r="AK397" s="94"/>
      <c r="AL397" s="78"/>
      <c r="AM397" s="43">
        <v>381</v>
      </c>
      <c r="AN397">
        <v>81.779811755862994</v>
      </c>
      <c r="AO397">
        <v>7.0067444953274345</v>
      </c>
      <c r="AP397">
        <v>60.271063590042282</v>
      </c>
      <c r="AQ397">
        <v>53.838862751630231</v>
      </c>
      <c r="AR397">
        <v>6.9919876021944338</v>
      </c>
      <c r="AS397">
        <v>101.11126710216789</v>
      </c>
      <c r="AT397">
        <v>4.4228113682886612</v>
      </c>
      <c r="AU397">
        <v>9.495866846589724</v>
      </c>
      <c r="AV397"/>
      <c r="AW397"/>
      <c r="FY397" s="210">
        <v>392</v>
      </c>
      <c r="FZ397">
        <v>0.78838073547455467</v>
      </c>
      <c r="GA397">
        <v>2.13414958788902</v>
      </c>
      <c r="GB397">
        <v>2.2396253842798184</v>
      </c>
      <c r="GC397">
        <v>1.2128129183876373</v>
      </c>
      <c r="GD397">
        <v>0.45206966530428905</v>
      </c>
      <c r="GE397">
        <v>0.9548620068483975</v>
      </c>
      <c r="GF397">
        <v>7.1996452616657605</v>
      </c>
      <c r="GG397">
        <v>10.047229190555889</v>
      </c>
      <c r="GH397">
        <v>9.7187988583978235</v>
      </c>
      <c r="GI397">
        <v>3.773701935548492</v>
      </c>
      <c r="GJ397"/>
      <c r="GK397"/>
      <c r="GL397"/>
      <c r="GM397"/>
    </row>
    <row r="398" spans="1:195" s="7" customFormat="1">
      <c r="A398" s="1"/>
      <c r="B398" s="13"/>
      <c r="C398" s="21"/>
      <c r="D398" s="96"/>
      <c r="E398" s="3"/>
      <c r="F398" s="19">
        <f t="shared" si="405"/>
        <v>0</v>
      </c>
      <c r="G398" s="13"/>
      <c r="H398" s="19">
        <f t="shared" si="406"/>
        <v>0</v>
      </c>
      <c r="I398" s="1"/>
      <c r="J398" s="14"/>
      <c r="K398" s="14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94"/>
      <c r="AG398" s="94"/>
      <c r="AH398" s="94"/>
      <c r="AI398" s="94"/>
      <c r="AJ398" s="94"/>
      <c r="AK398" s="94"/>
      <c r="AL398" s="78"/>
      <c r="AM398" s="43">
        <v>382</v>
      </c>
      <c r="AN398">
        <v>113.18281092361872</v>
      </c>
      <c r="AO398">
        <v>12.175417591721224</v>
      </c>
      <c r="AP398">
        <v>122.94925128442198</v>
      </c>
      <c r="AQ398">
        <v>106.80521737918956</v>
      </c>
      <c r="AR398">
        <v>11.556978434573907</v>
      </c>
      <c r="AS398">
        <v>175.61980061836658</v>
      </c>
      <c r="AT398">
        <v>7.5442236037282759</v>
      </c>
      <c r="AU398">
        <v>10.710548740629511</v>
      </c>
      <c r="AV398"/>
      <c r="AW398"/>
      <c r="FY398" s="210">
        <v>393</v>
      </c>
      <c r="FZ398">
        <v>23.571292033712879</v>
      </c>
      <c r="GA398">
        <v>28.212048058062027</v>
      </c>
      <c r="GB398">
        <v>3.3814442627513617</v>
      </c>
      <c r="GC398">
        <v>1.5382246607486656</v>
      </c>
      <c r="GD398">
        <v>0.66991057311647251</v>
      </c>
      <c r="GE398">
        <v>3.4817308108767127</v>
      </c>
      <c r="GF398">
        <v>9.613893486623029</v>
      </c>
      <c r="GG398">
        <v>14.68958360238798</v>
      </c>
      <c r="GH398">
        <v>17.494329074603794</v>
      </c>
      <c r="GI398">
        <v>9.2131450660545102</v>
      </c>
      <c r="GJ398"/>
      <c r="GK398"/>
      <c r="GL398"/>
      <c r="GM398"/>
    </row>
    <row r="399" spans="1:195" s="7" customFormat="1">
      <c r="A399" s="1"/>
      <c r="B399" s="1"/>
      <c r="C399" s="3"/>
      <c r="D399" s="3"/>
      <c r="E399" s="1"/>
      <c r="F399" s="1"/>
      <c r="G399" s="2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78"/>
      <c r="AG399" s="78"/>
      <c r="AH399" s="78"/>
      <c r="AI399" s="78"/>
      <c r="AJ399" s="78"/>
      <c r="AK399" s="78"/>
      <c r="AL399" s="78"/>
      <c r="AM399" s="43">
        <v>383</v>
      </c>
      <c r="AN399">
        <v>95.436383884225961</v>
      </c>
      <c r="AO399">
        <v>11.857385036284063</v>
      </c>
      <c r="AP399">
        <v>122.47889134790154</v>
      </c>
      <c r="AQ399">
        <v>106.53204612464695</v>
      </c>
      <c r="AR399">
        <v>11.449511721329479</v>
      </c>
      <c r="AS399">
        <v>148.09146305072278</v>
      </c>
      <c r="AT399">
        <v>7.1220606210735964</v>
      </c>
      <c r="AU399">
        <v>13.977360141840446</v>
      </c>
      <c r="AV399"/>
      <c r="AW399"/>
      <c r="FY399" s="210">
        <v>394</v>
      </c>
      <c r="FZ399">
        <v>27.086898105857415</v>
      </c>
      <c r="GA399">
        <v>28.415867964197346</v>
      </c>
      <c r="GB399">
        <v>3.0881895954559027</v>
      </c>
      <c r="GC399">
        <v>1.4115837588907088</v>
      </c>
      <c r="GD399">
        <v>0.95909057419369126</v>
      </c>
      <c r="GE399">
        <v>3.2670873855029239</v>
      </c>
      <c r="GF399">
        <v>8.4524310262604665</v>
      </c>
      <c r="GG399">
        <v>6.7786356526007596</v>
      </c>
      <c r="GH399">
        <v>4.2330374995228803</v>
      </c>
      <c r="GI399">
        <v>7.5249807707909993</v>
      </c>
      <c r="GJ399"/>
      <c r="GK399"/>
      <c r="GL399"/>
      <c r="GM399"/>
    </row>
    <row r="400" spans="1:195" s="7" customFormat="1">
      <c r="A400" s="1"/>
      <c r="B400" s="1"/>
      <c r="C400" s="3"/>
      <c r="D400" s="3"/>
      <c r="E400" s="1"/>
      <c r="F400" s="1"/>
      <c r="G400" s="2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78"/>
      <c r="AG400" s="78"/>
      <c r="AH400" s="78"/>
      <c r="AI400" s="78"/>
      <c r="AJ400" s="78"/>
      <c r="AK400" s="78"/>
      <c r="AL400" s="78"/>
      <c r="AM400" s="43">
        <v>384</v>
      </c>
      <c r="AN400">
        <v>144.58413790132846</v>
      </c>
      <c r="AO400">
        <v>11.506781877653275</v>
      </c>
      <c r="AP400">
        <v>116.18792717735481</v>
      </c>
      <c r="AQ400">
        <v>98.589515170895368</v>
      </c>
      <c r="AR400">
        <v>11.067127499416323</v>
      </c>
      <c r="AS400">
        <v>181.64829875887455</v>
      </c>
      <c r="AT400">
        <v>6.6494537672235756</v>
      </c>
      <c r="AU400">
        <v>22.634700934253406</v>
      </c>
      <c r="AV400"/>
      <c r="AW400"/>
      <c r="FY400" s="210">
        <v>395</v>
      </c>
      <c r="FZ400">
        <v>31.968833979082213</v>
      </c>
      <c r="GA400">
        <v>41.402951431581286</v>
      </c>
      <c r="GB400">
        <v>2.657393553914305</v>
      </c>
      <c r="GC400">
        <v>0.58004663705099335</v>
      </c>
      <c r="GD400">
        <v>0.30719576951614647</v>
      </c>
      <c r="GE400">
        <v>1.2701941108074704</v>
      </c>
      <c r="GF400">
        <v>8.329327202613996</v>
      </c>
      <c r="GG400">
        <v>10.459693303797428</v>
      </c>
      <c r="GH400">
        <v>8.7623050210865756</v>
      </c>
      <c r="GI400">
        <v>8.4512942974422316</v>
      </c>
      <c r="GJ400"/>
      <c r="GK400"/>
      <c r="GL400"/>
      <c r="GM400"/>
    </row>
    <row r="401" spans="1:195" s="7" customFormat="1">
      <c r="A401" s="4"/>
      <c r="B401" s="4"/>
      <c r="C401" s="83"/>
      <c r="D401" s="83"/>
      <c r="E401" s="4"/>
      <c r="F401" s="4"/>
      <c r="G401" s="28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81"/>
      <c r="AG401" s="81"/>
      <c r="AH401" s="81"/>
      <c r="AI401" s="81"/>
      <c r="AJ401" s="81"/>
      <c r="AK401" s="81"/>
      <c r="AL401" s="81"/>
      <c r="AM401" s="43">
        <v>385</v>
      </c>
      <c r="AN401">
        <v>133.03954527334761</v>
      </c>
      <c r="AO401">
        <v>16.556735778131916</v>
      </c>
      <c r="AP401">
        <v>183.68934575934514</v>
      </c>
      <c r="AQ401">
        <v>158.25268844933561</v>
      </c>
      <c r="AR401">
        <v>15.723996368197888</v>
      </c>
      <c r="AS401">
        <v>224.42698591489201</v>
      </c>
      <c r="AT401">
        <v>9.9184771611437892</v>
      </c>
      <c r="AU401">
        <v>24.524177100328764</v>
      </c>
      <c r="AV401"/>
      <c r="AW401"/>
      <c r="FY401" s="210">
        <v>396</v>
      </c>
      <c r="FZ401">
        <v>10.92305912323652</v>
      </c>
      <c r="GA401">
        <v>14.249026723039556</v>
      </c>
      <c r="GB401">
        <v>2.3740555496590194</v>
      </c>
      <c r="GC401">
        <v>1.3128109892981703</v>
      </c>
      <c r="GD401">
        <v>0.7454602042007763</v>
      </c>
      <c r="GE401">
        <v>2.6485012331855473</v>
      </c>
      <c r="GF401">
        <v>6.7307351486482885</v>
      </c>
      <c r="GG401">
        <v>4.9636230146158606</v>
      </c>
      <c r="GH401">
        <v>6.3519585323454208</v>
      </c>
      <c r="GI401">
        <v>4.8532702239105143</v>
      </c>
      <c r="GJ401"/>
      <c r="GK401"/>
      <c r="GL401"/>
      <c r="GM401"/>
    </row>
    <row r="402" spans="1:195" s="7" customFormat="1">
      <c r="A402" s="4"/>
      <c r="B402" s="4"/>
      <c r="C402" s="83"/>
      <c r="D402" s="83"/>
      <c r="E402" s="4"/>
      <c r="F402" s="4"/>
      <c r="G402" s="28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81"/>
      <c r="AG402" s="81"/>
      <c r="AH402" s="81"/>
      <c r="AI402" s="81"/>
      <c r="AJ402" s="81"/>
      <c r="AK402" s="81"/>
      <c r="AL402" s="81"/>
      <c r="AM402" s="43">
        <v>386</v>
      </c>
      <c r="AN402">
        <v>76.606363619104542</v>
      </c>
      <c r="AO402">
        <v>4.9619434689185029</v>
      </c>
      <c r="AP402">
        <v>42.43459670307638</v>
      </c>
      <c r="AQ402">
        <v>34.987254397026007</v>
      </c>
      <c r="AR402">
        <v>4.9254175221783125</v>
      </c>
      <c r="AS402">
        <v>94.354077870758303</v>
      </c>
      <c r="AT402">
        <v>3.0183268179394673</v>
      </c>
      <c r="AU402">
        <v>9.1825517679853164</v>
      </c>
      <c r="AV402"/>
      <c r="AW402"/>
      <c r="FY402" s="210">
        <v>397</v>
      </c>
      <c r="FZ402">
        <v>32.720901739040634</v>
      </c>
      <c r="GA402">
        <v>42.528315466943582</v>
      </c>
      <c r="GB402">
        <v>3.5021410384355862</v>
      </c>
      <c r="GC402">
        <v>0.9447857473519059</v>
      </c>
      <c r="GD402">
        <v>0.56896487944057261</v>
      </c>
      <c r="GE402">
        <v>2.0620242342226969</v>
      </c>
      <c r="GF402">
        <v>1.8299299141011227</v>
      </c>
      <c r="GG402">
        <v>6.9626089459159317</v>
      </c>
      <c r="GH402">
        <v>10.863959340130599</v>
      </c>
      <c r="GI402">
        <v>8.0848869225555191</v>
      </c>
      <c r="GJ402"/>
      <c r="GK402"/>
      <c r="GL402"/>
      <c r="GM402"/>
    </row>
    <row r="403" spans="1:195" s="7" customFormat="1">
      <c r="A403" s="96"/>
      <c r="B403" s="13" t="s">
        <v>21</v>
      </c>
      <c r="C403" s="21" t="s">
        <v>72</v>
      </c>
      <c r="D403" s="21" t="s">
        <v>73</v>
      </c>
      <c r="E403" s="21" t="s">
        <v>74</v>
      </c>
      <c r="F403" s="10" t="s">
        <v>70</v>
      </c>
      <c r="G403" s="10" t="s">
        <v>71</v>
      </c>
      <c r="H403" s="10" t="s">
        <v>133</v>
      </c>
      <c r="I403" s="13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3">
        <v>387</v>
      </c>
      <c r="AN403">
        <v>153.64040898477867</v>
      </c>
      <c r="AO403">
        <v>21.05148420842005</v>
      </c>
      <c r="AP403">
        <v>228.03640600949896</v>
      </c>
      <c r="AQ403">
        <v>196.47916848905805</v>
      </c>
      <c r="AR403">
        <v>19.700246742780713</v>
      </c>
      <c r="AS403">
        <v>240.19514675479607</v>
      </c>
      <c r="AT403">
        <v>12.271161592481898</v>
      </c>
      <c r="AU403">
        <v>47.30172635822818</v>
      </c>
      <c r="AV403"/>
      <c r="AW403"/>
      <c r="FY403" s="210">
        <v>398</v>
      </c>
      <c r="FZ403">
        <v>33.072943561402035</v>
      </c>
      <c r="GA403">
        <v>40.572705315077286</v>
      </c>
      <c r="GB403">
        <v>1.792597080531261</v>
      </c>
      <c r="GC403">
        <v>0.55954262799964227</v>
      </c>
      <c r="GD403">
        <v>0.80252851539190229</v>
      </c>
      <c r="GE403">
        <v>4.0868302645967098</v>
      </c>
      <c r="GF403">
        <v>6.4546840645450052</v>
      </c>
      <c r="GG403">
        <v>2.9238356874945719</v>
      </c>
      <c r="GH403">
        <v>5.3745698629489276</v>
      </c>
      <c r="GI403">
        <v>7.8222170001727154</v>
      </c>
      <c r="GJ403"/>
      <c r="GK403"/>
      <c r="GL403"/>
      <c r="GM403"/>
    </row>
    <row r="404" spans="1:195" s="7" customFormat="1">
      <c r="A404" s="9" t="s">
        <v>75</v>
      </c>
      <c r="B404" s="13"/>
      <c r="C404" s="21"/>
      <c r="D404" s="21"/>
      <c r="E404" s="21"/>
      <c r="F404" s="10"/>
      <c r="G404" s="10"/>
      <c r="H404" s="10" t="s">
        <v>132</v>
      </c>
      <c r="I404" s="13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3">
        <v>388</v>
      </c>
      <c r="AN404">
        <v>133.61435472383002</v>
      </c>
      <c r="AO404">
        <v>11.217310365870933</v>
      </c>
      <c r="AP404">
        <v>112.61754642243</v>
      </c>
      <c r="AQ404">
        <v>94.440766900449404</v>
      </c>
      <c r="AR404">
        <v>10.734150195998925</v>
      </c>
      <c r="AS404">
        <v>164.91753021402235</v>
      </c>
      <c r="AT404">
        <v>6.5415475624262642</v>
      </c>
      <c r="AU404">
        <v>7.3561852751456698</v>
      </c>
      <c r="AV404"/>
      <c r="AW404"/>
      <c r="FY404" s="210">
        <v>399</v>
      </c>
      <c r="FZ404">
        <v>35.320468894123394</v>
      </c>
      <c r="GA404">
        <v>39.815068764838635</v>
      </c>
      <c r="GB404">
        <v>3.1231385287426807</v>
      </c>
      <c r="GC404">
        <v>1.5297074158621184</v>
      </c>
      <c r="GD404">
        <v>0.51022228399730896</v>
      </c>
      <c r="GE404">
        <v>1.4339022268091908</v>
      </c>
      <c r="GF404">
        <v>8.3181405855457342</v>
      </c>
      <c r="GG404">
        <v>10.596796521877943</v>
      </c>
      <c r="GH404">
        <v>9.4275067451481629</v>
      </c>
      <c r="GI404">
        <v>9.2705119698948497</v>
      </c>
      <c r="GJ404"/>
      <c r="GK404"/>
      <c r="GL404"/>
      <c r="GM404"/>
    </row>
    <row r="405" spans="1:195" s="7" customFormat="1">
      <c r="A405" s="189">
        <v>13.69</v>
      </c>
      <c r="B405" s="71">
        <f t="shared" ref="B405:B414" si="407">+C4</f>
        <v>39646</v>
      </c>
      <c r="C405" s="61">
        <v>0</v>
      </c>
      <c r="D405" s="61">
        <f t="shared" ref="D405:D414" si="408">IF(C373&lt;0.0001, 0, (G70*0.5)+(H70*1)+(I70*2)+(J70*3)+(K70*4)+(L70*5)+(M70*6)+(N70*7)+(O70*8)+(P70*9)+(Q70*10)+(R70*11)+(S70*12)+(T70*13)+(U70*14)+(V70*15)+(W70*16)+(X70*17)+(Y70*18)+(Z70*19)+(AA70*20)+(AB70*21)+(AC70*22)+(AD70*23)+(AE70*24)+(AF70*25)+(AG70*26)+(AH70*27)+(AI70*28)+(AJ70*29)+(AK70*30))/(SUM(G70:AI70))</f>
        <v>2.7499999999999996</v>
      </c>
      <c r="E405" s="108">
        <f t="shared" ref="E405:E414" si="409">IF(D405=0,0.00000001,(1-$A$43/100)*($A$39*(D405^($A$41))))</f>
        <v>6.302697929342499E-2</v>
      </c>
      <c r="F405" s="19"/>
      <c r="G405" s="19"/>
      <c r="H405" s="19"/>
      <c r="I405" s="13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3">
        <v>389</v>
      </c>
      <c r="AN405">
        <v>96.342067086970474</v>
      </c>
      <c r="AO405">
        <v>14.208279400389637</v>
      </c>
      <c r="AP405">
        <v>148.92120400993426</v>
      </c>
      <c r="AQ405">
        <v>130.63963161483755</v>
      </c>
      <c r="AR405">
        <v>13.789344838857154</v>
      </c>
      <c r="AS405">
        <v>212.02906244507471</v>
      </c>
      <c r="AT405">
        <v>8.5071286403085811</v>
      </c>
      <c r="AU405">
        <v>-18.957032828115892</v>
      </c>
      <c r="AV405"/>
      <c r="AW405"/>
      <c r="FY405" s="210">
        <v>400</v>
      </c>
      <c r="FZ405">
        <v>25.469530596495577</v>
      </c>
      <c r="GA405">
        <v>27.89635254883536</v>
      </c>
      <c r="GB405">
        <v>2.2651499796506922</v>
      </c>
      <c r="GC405">
        <v>0.68904394263786983</v>
      </c>
      <c r="GD405">
        <v>0.38694716526259415</v>
      </c>
      <c r="GE405">
        <v>2.570484780833151</v>
      </c>
      <c r="GF405">
        <v>9.5592667746392195</v>
      </c>
      <c r="GG405">
        <v>13.849697040768802</v>
      </c>
      <c r="GH405">
        <v>12.441317178877341</v>
      </c>
      <c r="GI405">
        <v>8.2464689697271876</v>
      </c>
      <c r="GJ405"/>
      <c r="GK405"/>
      <c r="GL405"/>
      <c r="GM405"/>
    </row>
    <row r="406" spans="1:195" s="7" customFormat="1">
      <c r="A406" s="189">
        <v>9.4499999999999993</v>
      </c>
      <c r="B406" s="71">
        <f t="shared" si="407"/>
        <v>39673</v>
      </c>
      <c r="C406" s="61">
        <f>B406-B405</f>
        <v>27</v>
      </c>
      <c r="D406" s="61">
        <f t="shared" si="408"/>
        <v>4.2481962481962476</v>
      </c>
      <c r="E406" s="108">
        <f t="shared" si="409"/>
        <v>0.21364358280081183</v>
      </c>
      <c r="F406" s="19">
        <f t="shared" ref="F406:F414" si="410">IF(C374&lt;1,0,LN(E406/E405)/E21)</f>
        <v>4.5212824004738417E-2</v>
      </c>
      <c r="G406" s="19">
        <f t="shared" ref="G406:G414" si="411">IF(D406=0, 0, 0.051-(0.068*LN(D406))+(0.006*A406))</f>
        <v>9.338375315197267E-3</v>
      </c>
      <c r="H406" s="19">
        <f t="shared" ref="H406:H414" si="412">+IF((G406&gt;0),G406,0)</f>
        <v>9.338375315197267E-3</v>
      </c>
      <c r="I406" s="13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3">
        <v>390</v>
      </c>
      <c r="AN406">
        <v>159.67751475966605</v>
      </c>
      <c r="AO406">
        <v>19.783832214558146</v>
      </c>
      <c r="AP406">
        <v>208.58059639097797</v>
      </c>
      <c r="AQ406">
        <v>179.57335744276187</v>
      </c>
      <c r="AR406">
        <v>18.642154642108462</v>
      </c>
      <c r="AS406">
        <v>256.20827176838401</v>
      </c>
      <c r="AT406">
        <v>11.24824946898474</v>
      </c>
      <c r="AU406">
        <v>82.914788304305731</v>
      </c>
      <c r="AV406"/>
      <c r="AW406"/>
      <c r="FY406" s="210">
        <v>401</v>
      </c>
      <c r="FZ406">
        <v>21.715915696044537</v>
      </c>
      <c r="GA406">
        <v>28.591632074843101</v>
      </c>
      <c r="GB406">
        <v>3.6634478624623918</v>
      </c>
      <c r="GC406">
        <v>1.4043099895843687</v>
      </c>
      <c r="GD406">
        <v>0.7222358908098746</v>
      </c>
      <c r="GE406">
        <v>2.5779125570902499</v>
      </c>
      <c r="GF406">
        <v>7.8151483207738934</v>
      </c>
      <c r="GG406">
        <v>15.150122208643982</v>
      </c>
      <c r="GH406">
        <v>16.8043459574479</v>
      </c>
      <c r="GI406">
        <v>8.6042572655314444</v>
      </c>
      <c r="GJ406"/>
      <c r="GK406"/>
      <c r="GL406"/>
      <c r="GM406"/>
    </row>
    <row r="407" spans="1:195" s="7" customFormat="1">
      <c r="A407" s="189">
        <v>4.03</v>
      </c>
      <c r="B407" s="71">
        <f t="shared" si="407"/>
        <v>39714</v>
      </c>
      <c r="C407" s="61">
        <f>B407-$B$405</f>
        <v>68</v>
      </c>
      <c r="D407" s="61">
        <f t="shared" si="408"/>
        <v>6.3333333333333321</v>
      </c>
      <c r="E407" s="108">
        <f t="shared" si="409"/>
        <v>0.65539272664524129</v>
      </c>
      <c r="F407" s="19">
        <f t="shared" si="410"/>
        <v>2.7339646659009367E-2</v>
      </c>
      <c r="G407" s="19">
        <f t="shared" si="411"/>
        <v>-5.0336214953886488E-2</v>
      </c>
      <c r="H407" s="19">
        <f t="shared" si="412"/>
        <v>0</v>
      </c>
      <c r="I407" s="13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3">
        <v>391</v>
      </c>
      <c r="AN407">
        <v>149.01742927117328</v>
      </c>
      <c r="AO407">
        <v>13.169878953918532</v>
      </c>
      <c r="AP407">
        <v>138.28893376227899</v>
      </c>
      <c r="AQ407">
        <v>119.29083731596128</v>
      </c>
      <c r="AR407">
        <v>12.646769924918466</v>
      </c>
      <c r="AS407">
        <v>197.26200880616494</v>
      </c>
      <c r="AT407">
        <v>7.4543803580457739</v>
      </c>
      <c r="AU407">
        <v>84.022875290483938</v>
      </c>
      <c r="AV407"/>
      <c r="AW407"/>
      <c r="FY407" s="210">
        <v>402</v>
      </c>
      <c r="FZ407">
        <v>11.613177273248912</v>
      </c>
      <c r="GA407">
        <v>17.093253548259103</v>
      </c>
      <c r="GB407">
        <v>2.2390668986640399</v>
      </c>
      <c r="GC407">
        <v>0.60597139153233326</v>
      </c>
      <c r="GD407">
        <v>1.3120409117329654</v>
      </c>
      <c r="GE407">
        <v>3.0689356689260854</v>
      </c>
      <c r="GF407">
        <v>6.6641000257050482</v>
      </c>
      <c r="GG407">
        <v>9.9225274369419552</v>
      </c>
      <c r="GH407">
        <v>9.9725000177535499</v>
      </c>
      <c r="GI407">
        <v>5.8232687131946381</v>
      </c>
      <c r="GJ407"/>
      <c r="GK407"/>
      <c r="GL407"/>
      <c r="GM407"/>
    </row>
    <row r="408" spans="1:195" s="7" customFormat="1">
      <c r="A408" s="189">
        <v>0.78</v>
      </c>
      <c r="B408" s="71">
        <f t="shared" si="407"/>
        <v>39747</v>
      </c>
      <c r="C408" s="61">
        <f t="shared" ref="C408:C414" si="413">B408-$B$405</f>
        <v>101</v>
      </c>
      <c r="D408" s="61">
        <f t="shared" si="408"/>
        <v>2.3333333333333335</v>
      </c>
      <c r="E408" s="108">
        <f t="shared" si="409"/>
        <v>3.9740237462162438E-2</v>
      </c>
      <c r="F408" s="19">
        <f t="shared" si="410"/>
        <v>-8.4935467458240405E-2</v>
      </c>
      <c r="G408" s="19">
        <f t="shared" si="411"/>
        <v>-1.9362545063298549E-3</v>
      </c>
      <c r="H408" s="19">
        <f t="shared" si="412"/>
        <v>0</v>
      </c>
      <c r="I408" s="13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3">
        <v>392</v>
      </c>
      <c r="AN408">
        <v>90.012145635146453</v>
      </c>
      <c r="AO408">
        <v>5.235532651771746</v>
      </c>
      <c r="AP408">
        <v>48.601201667393696</v>
      </c>
      <c r="AQ408">
        <v>38.521275544351688</v>
      </c>
      <c r="AR408">
        <v>5.1852691148849406</v>
      </c>
      <c r="AS408">
        <v>100.88262524988664</v>
      </c>
      <c r="AT408">
        <v>3.0908607951031262</v>
      </c>
      <c r="AU408">
        <v>-9.654263469799039</v>
      </c>
      <c r="AV408"/>
      <c r="AW408"/>
      <c r="FY408" s="210">
        <v>403</v>
      </c>
      <c r="FZ408">
        <v>33.349992020435153</v>
      </c>
      <c r="GA408">
        <v>39.220594570552642</v>
      </c>
      <c r="GB408">
        <v>1.3144310867440492</v>
      </c>
      <c r="GC408">
        <v>0.72468278114547646</v>
      </c>
      <c r="GD408">
        <v>1.4374154681933389</v>
      </c>
      <c r="GE408">
        <v>3.766933470247726</v>
      </c>
      <c r="GF408">
        <v>6.448706204651792</v>
      </c>
      <c r="GG408">
        <v>5.4438061752618383</v>
      </c>
      <c r="GH408">
        <v>6.6221348186133309</v>
      </c>
      <c r="GI408">
        <v>8.3010074360567518</v>
      </c>
      <c r="GJ408"/>
      <c r="GK408"/>
      <c r="GL408"/>
      <c r="GM408"/>
    </row>
    <row r="409" spans="1:195" s="7" customFormat="1">
      <c r="A409" s="189">
        <v>0.14000000000000001</v>
      </c>
      <c r="B409" s="71">
        <f t="shared" si="407"/>
        <v>39775</v>
      </c>
      <c r="C409" s="61">
        <f t="shared" si="413"/>
        <v>129</v>
      </c>
      <c r="D409" s="61">
        <f t="shared" si="408"/>
        <v>2.1704519172949719</v>
      </c>
      <c r="E409" s="108">
        <f t="shared" si="409"/>
        <v>3.2435152674270121E-2</v>
      </c>
      <c r="F409" s="19">
        <f t="shared" si="410"/>
        <v>-7.2543363843565216E-3</v>
      </c>
      <c r="G409" s="19">
        <f t="shared" si="411"/>
        <v>-8.5560738277630532E-4</v>
      </c>
      <c r="H409" s="19">
        <f t="shared" si="412"/>
        <v>0</v>
      </c>
      <c r="I409" s="13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3">
        <v>393</v>
      </c>
      <c r="AN409">
        <v>171.22344042579596</v>
      </c>
      <c r="AO409">
        <v>13.213063850931315</v>
      </c>
      <c r="AP409">
        <v>133.2264971341788</v>
      </c>
      <c r="AQ409">
        <v>111.86560162893744</v>
      </c>
      <c r="AR409">
        <v>12.653963212479511</v>
      </c>
      <c r="AS409">
        <v>199.4087102251921</v>
      </c>
      <c r="AT409">
        <v>7.7596119846817144</v>
      </c>
      <c r="AU409">
        <v>10.647508911292039</v>
      </c>
      <c r="AV409"/>
      <c r="AW409"/>
      <c r="FY409" s="210">
        <v>404</v>
      </c>
      <c r="FZ409">
        <v>13.224184571809424</v>
      </c>
      <c r="GA409">
        <v>15.726535438648034</v>
      </c>
      <c r="GB409">
        <v>2.2250964623505234</v>
      </c>
      <c r="GC409">
        <v>0.78584816527610168</v>
      </c>
      <c r="GD409">
        <v>0.93661318684629991</v>
      </c>
      <c r="GE409">
        <v>2.8562134447092751</v>
      </c>
      <c r="GF409">
        <v>10.977427421594408</v>
      </c>
      <c r="GG409">
        <v>8.8061667343468226</v>
      </c>
      <c r="GH409">
        <v>5.3607734958991937</v>
      </c>
      <c r="GI409">
        <v>5.8854820380716069</v>
      </c>
      <c r="GJ409"/>
      <c r="GK409"/>
      <c r="GL409"/>
      <c r="GM409"/>
    </row>
    <row r="410" spans="1:195" s="7" customFormat="1">
      <c r="A410" s="189">
        <v>0.21</v>
      </c>
      <c r="B410" s="71">
        <f t="shared" si="407"/>
        <v>39799</v>
      </c>
      <c r="C410" s="61">
        <f t="shared" si="413"/>
        <v>153</v>
      </c>
      <c r="D410" s="61">
        <f t="shared" si="408"/>
        <v>2.3684564963634736</v>
      </c>
      <c r="E410" s="108">
        <f t="shared" si="409"/>
        <v>4.1442317452420462E-2</v>
      </c>
      <c r="F410" s="19">
        <f t="shared" si="410"/>
        <v>1.0210821905386519E-2</v>
      </c>
      <c r="G410" s="19">
        <f t="shared" si="411"/>
        <v>-6.3722163423740224E-3</v>
      </c>
      <c r="H410" s="19">
        <f t="shared" si="412"/>
        <v>0</v>
      </c>
      <c r="I410" s="13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3">
        <v>394</v>
      </c>
      <c r="AN410">
        <v>101.14874291326024</v>
      </c>
      <c r="AO410">
        <v>10.660533345577619</v>
      </c>
      <c r="AP410">
        <v>106.32317551770819</v>
      </c>
      <c r="AQ410">
        <v>91.217802333273085</v>
      </c>
      <c r="AR410">
        <v>10.37500660095677</v>
      </c>
      <c r="AS410">
        <v>163.80586669927956</v>
      </c>
      <c r="AT410">
        <v>6.2583614983154803</v>
      </c>
      <c r="AU410">
        <v>-2.7462646843611767</v>
      </c>
      <c r="AV410"/>
      <c r="AW410"/>
      <c r="FY410" s="210">
        <v>405</v>
      </c>
      <c r="FZ410">
        <v>0.49344250906515208</v>
      </c>
      <c r="GA410">
        <v>6.8992007592635289</v>
      </c>
      <c r="GB410">
        <v>4.0126169896884587</v>
      </c>
      <c r="GC410">
        <v>0.64544296341840601</v>
      </c>
      <c r="GD410">
        <v>1.5455109444604327</v>
      </c>
      <c r="GE410">
        <v>4.5831601051790534</v>
      </c>
      <c r="GF410">
        <v>4.945116677768036</v>
      </c>
      <c r="GG410">
        <v>5.7060641389142024</v>
      </c>
      <c r="GH410">
        <v>8.6825657137161514</v>
      </c>
      <c r="GI410">
        <v>4.2612219088463368</v>
      </c>
      <c r="GJ410"/>
      <c r="GK410"/>
      <c r="GL410"/>
      <c r="GM410"/>
    </row>
    <row r="411" spans="1:195" s="7" customFormat="1">
      <c r="A411" s="189">
        <v>1.28</v>
      </c>
      <c r="B411" s="71">
        <f>+C10</f>
        <v>39847</v>
      </c>
      <c r="C411" s="61">
        <f t="shared" si="413"/>
        <v>201</v>
      </c>
      <c r="D411" s="61">
        <f t="shared" si="408"/>
        <v>1.8746533555185803</v>
      </c>
      <c r="E411" s="108">
        <f t="shared" si="409"/>
        <v>2.1498531436388923E-2</v>
      </c>
      <c r="F411" s="19">
        <f t="shared" si="410"/>
        <v>-1.3673289415640959E-2</v>
      </c>
      <c r="G411" s="19">
        <f t="shared" si="411"/>
        <v>1.5947183961385183E-2</v>
      </c>
      <c r="H411" s="19">
        <f t="shared" si="412"/>
        <v>1.5947183961385183E-2</v>
      </c>
      <c r="I411" s="13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3">
        <v>395</v>
      </c>
      <c r="AN411">
        <v>102.67702909798254</v>
      </c>
      <c r="AO411">
        <v>12.453007957872449</v>
      </c>
      <c r="AP411">
        <v>135.83445553968556</v>
      </c>
      <c r="AQ411">
        <v>114.18923530689264</v>
      </c>
      <c r="AR411">
        <v>11.762844923802621</v>
      </c>
      <c r="AS411">
        <v>179.58499310021315</v>
      </c>
      <c r="AT411">
        <v>8.1754598925007169</v>
      </c>
      <c r="AU411">
        <v>48.151005555321184</v>
      </c>
      <c r="AV411"/>
      <c r="AW411"/>
      <c r="FY411" s="210">
        <v>406</v>
      </c>
      <c r="FZ411">
        <v>22.225419330777463</v>
      </c>
      <c r="GA411">
        <v>28.737814389242814</v>
      </c>
      <c r="GB411">
        <v>3.2857778027403768</v>
      </c>
      <c r="GC411">
        <v>1.2911726142071211</v>
      </c>
      <c r="GD411">
        <v>0.77953675771949404</v>
      </c>
      <c r="GE411">
        <v>3.1276939488008524</v>
      </c>
      <c r="GF411">
        <v>5.7627750559011783</v>
      </c>
      <c r="GG411">
        <v>4.10238518072837</v>
      </c>
      <c r="GH411">
        <v>3.767950179971292</v>
      </c>
      <c r="GI411">
        <v>6.195691966532979</v>
      </c>
      <c r="GJ411"/>
      <c r="GK411"/>
      <c r="GL411"/>
      <c r="GM411"/>
    </row>
    <row r="412" spans="1:195" s="7" customFormat="1">
      <c r="A412" s="189">
        <v>4</v>
      </c>
      <c r="B412" s="71">
        <f t="shared" si="407"/>
        <v>39910</v>
      </c>
      <c r="C412" s="61">
        <f t="shared" si="413"/>
        <v>264</v>
      </c>
      <c r="D412" s="61">
        <f t="shared" si="408"/>
        <v>2.3823953823953827</v>
      </c>
      <c r="E412" s="108">
        <f t="shared" si="409"/>
        <v>4.2130582778204306E-2</v>
      </c>
      <c r="F412" s="19">
        <f t="shared" si="410"/>
        <v>1.0679194940227506E-2</v>
      </c>
      <c r="G412" s="19">
        <f t="shared" si="411"/>
        <v>1.5968761758344698E-2</v>
      </c>
      <c r="H412" s="19">
        <f t="shared" si="412"/>
        <v>1.5968761758344698E-2</v>
      </c>
      <c r="I412" s="13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3">
        <v>396</v>
      </c>
      <c r="AN412">
        <v>94.013125898485825</v>
      </c>
      <c r="AO412">
        <v>6.8200122458432872</v>
      </c>
      <c r="AP412">
        <v>65.474328700099051</v>
      </c>
      <c r="AQ412">
        <v>55.152500742139672</v>
      </c>
      <c r="AR412">
        <v>6.6332157763436204</v>
      </c>
      <c r="AS412">
        <v>118.40492023341544</v>
      </c>
      <c r="AT412">
        <v>4.6130318501823107</v>
      </c>
      <c r="AU412">
        <v>-4.871609657317415</v>
      </c>
      <c r="AV412"/>
      <c r="AW412"/>
      <c r="FY412" s="210">
        <v>407</v>
      </c>
      <c r="FZ412">
        <v>32.239721489081688</v>
      </c>
      <c r="GA412">
        <v>39.813520296227509</v>
      </c>
      <c r="GB412">
        <v>1.5405276645045178</v>
      </c>
      <c r="GC412">
        <v>0.43267403386744807</v>
      </c>
      <c r="GD412">
        <v>0.77079226868829886</v>
      </c>
      <c r="GE412">
        <v>2.0459905277304196</v>
      </c>
      <c r="GF412">
        <v>7.3388671157615279</v>
      </c>
      <c r="GG412">
        <v>15.627192515320502</v>
      </c>
      <c r="GH412">
        <v>17.058657007185385</v>
      </c>
      <c r="GI412">
        <v>9.61277748403581</v>
      </c>
      <c r="GJ412"/>
      <c r="GK412"/>
      <c r="GL412"/>
      <c r="GM412"/>
    </row>
    <row r="413" spans="1:195" s="7" customFormat="1">
      <c r="A413" s="190">
        <v>7.33</v>
      </c>
      <c r="B413" s="71">
        <f t="shared" si="407"/>
        <v>39949</v>
      </c>
      <c r="C413" s="61">
        <f t="shared" si="413"/>
        <v>303</v>
      </c>
      <c r="D413" s="61">
        <f t="shared" si="408"/>
        <v>2.1020730082648682</v>
      </c>
      <c r="E413" s="108">
        <f t="shared" si="409"/>
        <v>2.9647766665206767E-2</v>
      </c>
      <c r="F413" s="19">
        <f t="shared" si="410"/>
        <v>-9.0099258822701044E-3</v>
      </c>
      <c r="G413" s="19">
        <f t="shared" si="411"/>
        <v>4.4461167686303489E-2</v>
      </c>
      <c r="H413" s="19">
        <f t="shared" si="412"/>
        <v>4.4461167686303489E-2</v>
      </c>
      <c r="I413" s="13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3">
        <v>397</v>
      </c>
      <c r="AN413">
        <v>107.15611831902231</v>
      </c>
      <c r="AO413">
        <v>12.026353239920496</v>
      </c>
      <c r="AP413">
        <v>128.89898345621418</v>
      </c>
      <c r="AQ413">
        <v>110.06851822813815</v>
      </c>
      <c r="AR413">
        <v>11.243215558656264</v>
      </c>
      <c r="AS413">
        <v>166.93799082765443</v>
      </c>
      <c r="AT413" t="e">
        <v>#DIV/0!</v>
      </c>
      <c r="AU413" t="e">
        <v>#DIV/0!</v>
      </c>
      <c r="AV413"/>
      <c r="AW413"/>
      <c r="FY413" s="210">
        <v>408</v>
      </c>
      <c r="FZ413">
        <v>22.009963997472074</v>
      </c>
      <c r="GA413">
        <v>26.326864788601682</v>
      </c>
      <c r="GB413">
        <v>3.9091778783750337</v>
      </c>
      <c r="GC413">
        <v>2.3027110546055098</v>
      </c>
      <c r="GD413">
        <v>0.95615753654812141</v>
      </c>
      <c r="GE413">
        <v>2.4360414640514829</v>
      </c>
      <c r="GF413">
        <v>7.1942950461670376</v>
      </c>
      <c r="GG413">
        <v>6.7598702468810465</v>
      </c>
      <c r="GH413">
        <v>6.7793511294996538</v>
      </c>
      <c r="GI413">
        <v>7.1353471237286774</v>
      </c>
      <c r="GJ413"/>
      <c r="GK413"/>
      <c r="GL413"/>
      <c r="GM413"/>
    </row>
    <row r="414" spans="1:195" s="7" customFormat="1">
      <c r="A414" s="189">
        <v>10.51</v>
      </c>
      <c r="B414" s="71">
        <f t="shared" si="407"/>
        <v>39987</v>
      </c>
      <c r="C414" s="61">
        <f t="shared" si="413"/>
        <v>341</v>
      </c>
      <c r="D414" s="61">
        <f t="shared" si="408"/>
        <v>3.8243085313595637</v>
      </c>
      <c r="E414" s="108">
        <f t="shared" si="409"/>
        <v>0.15905439515641973</v>
      </c>
      <c r="F414" s="19">
        <f t="shared" si="410"/>
        <v>4.4206827691431826E-2</v>
      </c>
      <c r="G414" s="19">
        <f t="shared" si="411"/>
        <v>2.2846318112146081E-2</v>
      </c>
      <c r="H414" s="19">
        <f t="shared" si="412"/>
        <v>2.2846318112146081E-2</v>
      </c>
      <c r="I414" s="13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3">
        <v>398</v>
      </c>
      <c r="AN414">
        <v>112.47330773804893</v>
      </c>
      <c r="AO414">
        <v>11.33864333285109</v>
      </c>
      <c r="AP414">
        <v>119.26174569037954</v>
      </c>
      <c r="AQ414">
        <v>103.46245398016008</v>
      </c>
      <c r="AR414">
        <v>10.747467557225924</v>
      </c>
      <c r="AS414">
        <v>177.9632145368102</v>
      </c>
      <c r="AT414">
        <v>6.6125096327476074</v>
      </c>
      <c r="AU414">
        <v>23.525152173712947</v>
      </c>
      <c r="AV414"/>
      <c r="AW414"/>
      <c r="FY414" s="210">
        <v>409</v>
      </c>
      <c r="FZ414">
        <v>25.337673602207655</v>
      </c>
      <c r="GA414">
        <v>27.032808313705509</v>
      </c>
      <c r="GB414">
        <v>3.3763773658164919</v>
      </c>
      <c r="GC414">
        <v>1.9467100180587418</v>
      </c>
      <c r="GD414">
        <v>0.66730463314304922</v>
      </c>
      <c r="GE414">
        <v>1.0354016878568444</v>
      </c>
      <c r="GF414">
        <v>3.0737496701662077</v>
      </c>
      <c r="GG414">
        <v>4.0772763556381708</v>
      </c>
      <c r="GH414">
        <v>6.3995716473334259</v>
      </c>
      <c r="GI414">
        <v>6.5315797901641988</v>
      </c>
      <c r="GJ414"/>
      <c r="GK414"/>
      <c r="GL414"/>
      <c r="GM414"/>
    </row>
    <row r="415" spans="1:195" s="7" customFormat="1">
      <c r="A415" s="189"/>
      <c r="B415" s="71"/>
      <c r="C415" s="61"/>
      <c r="D415" s="61"/>
      <c r="E415" s="108"/>
      <c r="F415" s="19"/>
      <c r="G415" s="19"/>
      <c r="H415" s="19"/>
      <c r="I415" s="13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3">
        <v>399</v>
      </c>
      <c r="AN415">
        <v>134.56706161456094</v>
      </c>
      <c r="AO415">
        <v>13.29829675392897</v>
      </c>
      <c r="AP415">
        <v>140.6881352264821</v>
      </c>
      <c r="AQ415">
        <v>119.34546393684003</v>
      </c>
      <c r="AR415">
        <v>12.888627736165637</v>
      </c>
      <c r="AS415">
        <v>179.22911718755694</v>
      </c>
      <c r="AT415">
        <v>8.2268978697148558</v>
      </c>
      <c r="AU415">
        <v>9.101223722528843</v>
      </c>
      <c r="AV415"/>
      <c r="AW415"/>
      <c r="FY415" s="210">
        <v>410</v>
      </c>
      <c r="FZ415">
        <v>34.69545668871131</v>
      </c>
      <c r="GA415">
        <v>40.237303693449014</v>
      </c>
      <c r="GB415">
        <v>1.8470491518913636</v>
      </c>
      <c r="GC415">
        <v>1.1845403156697722</v>
      </c>
      <c r="GD415">
        <v>0.79531302353299105</v>
      </c>
      <c r="GE415">
        <v>1.9057486259021532</v>
      </c>
      <c r="GF415">
        <v>4.6785320174296912</v>
      </c>
      <c r="GG415">
        <v>4.0098373838093471</v>
      </c>
      <c r="GH415">
        <v>5.5990721493172826</v>
      </c>
      <c r="GI415">
        <v>7.7776256893828339</v>
      </c>
      <c r="GJ415"/>
      <c r="GK415"/>
      <c r="GL415"/>
      <c r="GM415"/>
    </row>
    <row r="416" spans="1:195" s="7" customFormat="1">
      <c r="A416" s="189"/>
      <c r="B416" s="71"/>
      <c r="C416" s="61"/>
      <c r="D416" s="61"/>
      <c r="E416" s="108"/>
      <c r="F416" s="19"/>
      <c r="G416" s="19"/>
      <c r="H416" s="19"/>
      <c r="I416" s="13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3">
        <v>400</v>
      </c>
      <c r="AN416">
        <v>153.66597256877108</v>
      </c>
      <c r="AO416">
        <v>11.848884627811609</v>
      </c>
      <c r="AP416">
        <v>122.7357974446859</v>
      </c>
      <c r="AQ416">
        <v>103.37425897772781</v>
      </c>
      <c r="AR416">
        <v>11.369657228896751</v>
      </c>
      <c r="AS416">
        <v>188.89581532113235</v>
      </c>
      <c r="AT416">
        <v>6.836959115584623</v>
      </c>
      <c r="AU416">
        <v>71.905179236866289</v>
      </c>
      <c r="AV416"/>
      <c r="AW416"/>
      <c r="FY416" s="210">
        <v>411</v>
      </c>
      <c r="FZ416">
        <v>12.840684674804306</v>
      </c>
      <c r="GA416">
        <v>15.251104363856523</v>
      </c>
      <c r="GB416">
        <v>2.330589159973135</v>
      </c>
      <c r="GC416">
        <v>0.95259926163265884</v>
      </c>
      <c r="GD416">
        <v>1.0780888508716726</v>
      </c>
      <c r="GE416">
        <v>3.1169735733145703</v>
      </c>
      <c r="GF416">
        <v>6.8077850526874464</v>
      </c>
      <c r="GG416">
        <v>9.064684224913659</v>
      </c>
      <c r="GH416">
        <v>9.3584766305256668</v>
      </c>
      <c r="GI416">
        <v>5.8180470112870042</v>
      </c>
      <c r="GJ416"/>
      <c r="GK416"/>
      <c r="GL416"/>
      <c r="GM416"/>
    </row>
    <row r="417" spans="1:195" s="7" customForma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3">
        <v>401</v>
      </c>
      <c r="AN417">
        <v>151.84565807363757</v>
      </c>
      <c r="AO417">
        <v>12.614569752503353</v>
      </c>
      <c r="AP417">
        <v>128.19004317075766</v>
      </c>
      <c r="AQ417">
        <v>107.04932782323174</v>
      </c>
      <c r="AR417">
        <v>11.889924300325641</v>
      </c>
      <c r="AS417">
        <v>188.9172138348444</v>
      </c>
      <c r="AT417">
        <v>7.5316021773689306</v>
      </c>
      <c r="AU417">
        <v>26.281192382544873</v>
      </c>
      <c r="AV417"/>
      <c r="AW417"/>
      <c r="FY417" s="210">
        <v>412</v>
      </c>
      <c r="FZ417">
        <v>35.469451136910045</v>
      </c>
      <c r="GA417">
        <v>38.847574161075968</v>
      </c>
      <c r="GB417">
        <v>1.4638790566182089</v>
      </c>
      <c r="GC417">
        <v>0.8429031259581925</v>
      </c>
      <c r="GD417">
        <v>1.1891131403059234</v>
      </c>
      <c r="GE417">
        <v>2.1493537180635904</v>
      </c>
      <c r="GF417">
        <v>4.9828295225868136</v>
      </c>
      <c r="GG417">
        <v>11.083576009471239</v>
      </c>
      <c r="GH417">
        <v>14.619146766209449</v>
      </c>
      <c r="GI417">
        <v>9.5123014678308433</v>
      </c>
      <c r="GJ417"/>
      <c r="GK417"/>
      <c r="GL417"/>
      <c r="GM417"/>
    </row>
    <row r="418" spans="1:195" s="7" customFormat="1">
      <c r="A418" s="4"/>
      <c r="B418" s="128" t="s">
        <v>141</v>
      </c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3">
        <v>402</v>
      </c>
      <c r="AN418">
        <v>93.170288276287721</v>
      </c>
      <c r="AO418">
        <v>8.4489353124235453</v>
      </c>
      <c r="AP418">
        <v>81.079440456590731</v>
      </c>
      <c r="AQ418">
        <v>68.314841885958629</v>
      </c>
      <c r="AR418">
        <v>8.0498509804434981</v>
      </c>
      <c r="AS418">
        <v>131.25908607485721</v>
      </c>
      <c r="AT418">
        <v>4.9049559022901148</v>
      </c>
      <c r="AU418">
        <v>44.810937947343469</v>
      </c>
      <c r="AV418"/>
      <c r="AW418"/>
      <c r="FY418" s="210">
        <v>413</v>
      </c>
      <c r="FZ418">
        <v>3.1179867912720551</v>
      </c>
      <c r="GA418">
        <v>1.6632850067102365</v>
      </c>
      <c r="GB418">
        <v>1.3510031673799769</v>
      </c>
      <c r="GC418">
        <v>0.72507149528805681</v>
      </c>
      <c r="GD418">
        <v>0.72270362732194027</v>
      </c>
      <c r="GE418">
        <v>1.8976411782946161</v>
      </c>
      <c r="GF418">
        <v>1.4690022419555175</v>
      </c>
      <c r="GG418">
        <v>0.92229743016175791</v>
      </c>
      <c r="GH418">
        <v>3.9481267632194692</v>
      </c>
      <c r="GI418">
        <v>2.1096070327911356</v>
      </c>
      <c r="GJ418"/>
      <c r="GK418"/>
      <c r="GL418"/>
      <c r="GM418"/>
    </row>
    <row r="419" spans="1:195" s="7" customFormat="1">
      <c r="A419" s="4"/>
      <c r="B419" s="10" t="s">
        <v>76</v>
      </c>
      <c r="C419" s="21"/>
      <c r="D419" s="13"/>
      <c r="E419" s="21"/>
      <c r="F419" s="13"/>
      <c r="G419" s="13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4"/>
      <c r="AM419" s="43">
        <v>403</v>
      </c>
      <c r="AN419">
        <v>104.6641262943252</v>
      </c>
      <c r="AO419">
        <v>11.949576196535338</v>
      </c>
      <c r="AP419">
        <v>122.06708035425589</v>
      </c>
      <c r="AQ419">
        <v>106.62970403190211</v>
      </c>
      <c r="AR419">
        <v>11.520094288144701</v>
      </c>
      <c r="AS419">
        <v>177.77403524151345</v>
      </c>
      <c r="AT419">
        <v>7.6859583556394186</v>
      </c>
      <c r="AU419">
        <v>40.773050357178747</v>
      </c>
      <c r="AV419"/>
      <c r="AW419"/>
      <c r="FY419" s="210">
        <v>414</v>
      </c>
      <c r="FZ419">
        <v>24.105893532288196</v>
      </c>
      <c r="GA419">
        <v>26.253073612142146</v>
      </c>
      <c r="GB419">
        <v>0.97431791196490924</v>
      </c>
      <c r="GC419">
        <v>0.89228796641583363</v>
      </c>
      <c r="GD419">
        <v>1.3077660018560213</v>
      </c>
      <c r="GE419">
        <v>2.7017557043338165</v>
      </c>
      <c r="GF419">
        <v>3.9422881580230329</v>
      </c>
      <c r="GG419">
        <v>7.3895065359688097</v>
      </c>
      <c r="GH419">
        <v>9.5306951819505503</v>
      </c>
      <c r="GI419">
        <v>6.7765378812564796</v>
      </c>
      <c r="GJ419"/>
      <c r="GK419"/>
      <c r="GL419"/>
      <c r="GM419"/>
    </row>
    <row r="420" spans="1:195" s="7" customFormat="1">
      <c r="A420" s="4"/>
      <c r="B420" s="13"/>
      <c r="C420" s="13"/>
      <c r="D420" s="13"/>
      <c r="E420" s="13"/>
      <c r="F420" s="13"/>
      <c r="G420" s="13"/>
      <c r="H420" s="14"/>
      <c r="I420" s="175"/>
      <c r="J420" s="21"/>
      <c r="K420" s="94"/>
      <c r="L420" s="94"/>
      <c r="M420" s="94"/>
      <c r="N420" s="94"/>
      <c r="O420" s="94"/>
      <c r="P420" s="94"/>
      <c r="Q420" s="94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4"/>
      <c r="AM420" s="43">
        <v>404</v>
      </c>
      <c r="AN420">
        <v>92.230330712464337</v>
      </c>
      <c r="AO420">
        <v>8.2228736908633735</v>
      </c>
      <c r="AP420">
        <v>80.072305756956936</v>
      </c>
      <c r="AQ420">
        <v>66.784340959551685</v>
      </c>
      <c r="AR420">
        <v>8.1007194414531121</v>
      </c>
      <c r="AS420">
        <v>117.70836671970375</v>
      </c>
      <c r="AT420">
        <v>5.2820635515217491</v>
      </c>
      <c r="AU420">
        <v>26.249594614038905</v>
      </c>
      <c r="AV420"/>
      <c r="AW420"/>
      <c r="FY420" s="210">
        <v>415</v>
      </c>
      <c r="FZ420">
        <v>22.449377961493905</v>
      </c>
      <c r="GA420">
        <v>30.811235540605587</v>
      </c>
      <c r="GB420">
        <v>4.6990508667909818</v>
      </c>
      <c r="GC420">
        <v>1.7526854439215842</v>
      </c>
      <c r="GD420">
        <v>1.3871909407135723</v>
      </c>
      <c r="GE420">
        <v>4.400837295740974</v>
      </c>
      <c r="GF420">
        <v>8.548395526387651</v>
      </c>
      <c r="GG420">
        <v>5.5758462557920092</v>
      </c>
      <c r="GH420">
        <v>5.9258167640939989</v>
      </c>
      <c r="GI420">
        <v>7.7738203281285427</v>
      </c>
      <c r="GJ420"/>
      <c r="GK420"/>
      <c r="GL420"/>
      <c r="GM420"/>
    </row>
    <row r="421" spans="1:195" s="7" customFormat="1">
      <c r="A421" s="4"/>
      <c r="B421" s="10" t="s">
        <v>51</v>
      </c>
      <c r="C421" s="13"/>
      <c r="D421" s="13"/>
      <c r="E421" s="13"/>
      <c r="F421" s="134"/>
      <c r="G421" s="11" t="s">
        <v>33</v>
      </c>
      <c r="H421" s="13"/>
      <c r="I421" s="14"/>
      <c r="J421" s="13"/>
      <c r="K421" s="21"/>
      <c r="L421" s="13"/>
      <c r="M421" s="14"/>
      <c r="N421" s="13"/>
      <c r="O421" s="13"/>
      <c r="P421" s="13"/>
      <c r="Q421" s="14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4"/>
      <c r="AM421" s="43">
        <v>405</v>
      </c>
      <c r="AN421">
        <v>75.84463498070788</v>
      </c>
      <c r="AO421">
        <v>6.0190845577203476</v>
      </c>
      <c r="AP421">
        <v>50.891262911772813</v>
      </c>
      <c r="AQ421">
        <v>41.774342710319758</v>
      </c>
      <c r="AR421">
        <v>5.8146758437889785</v>
      </c>
      <c r="AS421">
        <v>115.19698914326443</v>
      </c>
      <c r="AT421">
        <v>3.5286243016460062</v>
      </c>
      <c r="AU421">
        <v>4.8551753883119488</v>
      </c>
      <c r="AV421"/>
      <c r="AW421"/>
      <c r="FY421" s="210">
        <v>416</v>
      </c>
      <c r="FZ421">
        <v>24.071251976029963</v>
      </c>
      <c r="GA421">
        <v>27.194272541996568</v>
      </c>
      <c r="GB421">
        <v>1.9514478056592339</v>
      </c>
      <c r="GC421">
        <v>1.0031477198881413</v>
      </c>
      <c r="GD421">
        <v>0.27430157159145924</v>
      </c>
      <c r="GE421">
        <v>2.4062388064691</v>
      </c>
      <c r="GF421">
        <v>10.420558393305987</v>
      </c>
      <c r="GG421">
        <v>11.264560581205277</v>
      </c>
      <c r="GH421">
        <v>10.743807868408865</v>
      </c>
      <c r="GI421">
        <v>7.783975017972093</v>
      </c>
      <c r="GJ421"/>
      <c r="GK421"/>
      <c r="GL421"/>
      <c r="GM421"/>
    </row>
    <row r="422" spans="1:195" s="7" customFormat="1">
      <c r="A422" s="4"/>
      <c r="B422" s="12" t="s">
        <v>34</v>
      </c>
      <c r="C422" s="10"/>
      <c r="D422" s="10" t="s">
        <v>115</v>
      </c>
      <c r="E422" s="13"/>
      <c r="F422" s="134"/>
      <c r="G422" s="44">
        <f>G372</f>
        <v>5.2641520345816375E-4</v>
      </c>
      <c r="H422" s="44">
        <f t="shared" ref="H422:AK422" si="414">H372</f>
        <v>3.6840000000000002E-3</v>
      </c>
      <c r="I422" s="44">
        <f t="shared" si="414"/>
        <v>2.5781656591304377E-2</v>
      </c>
      <c r="J422" s="44">
        <f t="shared" si="414"/>
        <v>8.0463511846897845E-2</v>
      </c>
      <c r="K422" s="44">
        <f t="shared" si="414"/>
        <v>0.18042720320085462</v>
      </c>
      <c r="L422" s="44">
        <f t="shared" si="414"/>
        <v>0.33754246971740076</v>
      </c>
      <c r="M422" s="44">
        <f t="shared" si="414"/>
        <v>0.56310603435588247</v>
      </c>
      <c r="N422" s="44">
        <f t="shared" si="414"/>
        <v>0.86798020299545053</v>
      </c>
      <c r="O422" s="44">
        <f t="shared" si="414"/>
        <v>1.2626797482773962</v>
      </c>
      <c r="P422" s="44">
        <f t="shared" si="414"/>
        <v>1.7574312537285206</v>
      </c>
      <c r="Q422" s="44">
        <f t="shared" si="414"/>
        <v>2.3622160801397363</v>
      </c>
      <c r="R422" s="44">
        <f t="shared" si="414"/>
        <v>3.0868028230485485</v>
      </c>
      <c r="S422" s="44">
        <f t="shared" si="414"/>
        <v>3.9407726390484843</v>
      </c>
      <c r="T422" s="44">
        <f t="shared" si="414"/>
        <v>4.9335395199125411</v>
      </c>
      <c r="U422" s="44">
        <f t="shared" si="414"/>
        <v>6.0743668625622593</v>
      </c>
      <c r="V422" s="44">
        <f t="shared" si="414"/>
        <v>7.372381246182746</v>
      </c>
      <c r="W422" s="44">
        <f t="shared" si="414"/>
        <v>8.8365840539854723</v>
      </c>
      <c r="X422" s="44">
        <f t="shared" si="414"/>
        <v>10.475861398526323</v>
      </c>
      <c r="Y422" s="44">
        <f t="shared" si="414"/>
        <v>12.298992689048376</v>
      </c>
      <c r="Z422" s="44">
        <f t="shared" si="414"/>
        <v>14.314658095762773</v>
      </c>
      <c r="AA422" s="44">
        <f t="shared" si="414"/>
        <v>16.53144510657431</v>
      </c>
      <c r="AB422" s="44">
        <f t="shared" si="414"/>
        <v>18.957854328609439</v>
      </c>
      <c r="AC422" s="44">
        <f t="shared" si="414"/>
        <v>21.602304654969224</v>
      </c>
      <c r="AD422" s="44">
        <f t="shared" si="414"/>
        <v>24.473137893095384</v>
      </c>
      <c r="AE422" s="44">
        <f t="shared" si="414"/>
        <v>27.578622932778597</v>
      </c>
      <c r="AF422" s="44">
        <f t="shared" si="414"/>
        <v>30.926959517622802</v>
      </c>
      <c r="AG422" s="44">
        <f t="shared" si="414"/>
        <v>34.526281672642206</v>
      </c>
      <c r="AH422" s="44">
        <f t="shared" si="414"/>
        <v>38.384660831838588</v>
      </c>
      <c r="AI422" s="44">
        <f t="shared" si="414"/>
        <v>42.510108702545942</v>
      </c>
      <c r="AJ422" s="44">
        <f t="shared" si="414"/>
        <v>46.910579897620167</v>
      </c>
      <c r="AK422" s="44">
        <f t="shared" si="414"/>
        <v>51.593974361904479</v>
      </c>
      <c r="AL422" s="4"/>
      <c r="AM422" s="43">
        <v>406</v>
      </c>
      <c r="AN422">
        <v>84.864146790674653</v>
      </c>
      <c r="AO422">
        <v>9.163591058631102</v>
      </c>
      <c r="AP422">
        <v>92.582146918644</v>
      </c>
      <c r="AQ422">
        <v>79.276217226621938</v>
      </c>
      <c r="AR422">
        <v>8.5221988294250188</v>
      </c>
      <c r="AS422">
        <v>132.55504162980449</v>
      </c>
      <c r="AT422">
        <v>5.3181834578222196</v>
      </c>
      <c r="AU422">
        <v>35.155323140793243</v>
      </c>
      <c r="AV422"/>
      <c r="AW422"/>
      <c r="FY422" s="210">
        <v>417</v>
      </c>
      <c r="FZ422">
        <v>66.10804044014678</v>
      </c>
      <c r="GA422">
        <v>76.141849280620292</v>
      </c>
      <c r="GB422">
        <v>2.6635501466587632</v>
      </c>
      <c r="GC422">
        <v>1.5964424995024289</v>
      </c>
      <c r="GD422">
        <v>0.91355049501438601</v>
      </c>
      <c r="GE422">
        <v>3.184277446297854</v>
      </c>
      <c r="GF422">
        <v>6.8491149360482568</v>
      </c>
      <c r="GG422">
        <v>8.6927507772290884</v>
      </c>
      <c r="GH422">
        <v>11.155754553078117</v>
      </c>
      <c r="GI422">
        <v>13.948808678247495</v>
      </c>
      <c r="GJ422"/>
      <c r="GK422"/>
      <c r="GL422"/>
      <c r="GM422"/>
    </row>
    <row r="423" spans="1:195" s="7" customFormat="1">
      <c r="A423" s="4"/>
      <c r="B423" s="48" t="s">
        <v>38</v>
      </c>
      <c r="C423" s="107">
        <f t="shared" ref="C423:C432" si="415">SUM(G423:AK423)</f>
        <v>23.642477643601225</v>
      </c>
      <c r="D423" s="191">
        <f>$A$405</f>
        <v>13.69</v>
      </c>
      <c r="E423" s="8"/>
      <c r="F423" s="124"/>
      <c r="G423" s="107">
        <f>(($A$453+$A$455*(G$422)+($A$457*$D423))*($E21*G37))</f>
        <v>0</v>
      </c>
      <c r="H423" s="107">
        <f t="shared" ref="H423:AK431" si="416">(($A$453+$A$455*(H$422)+($A$457*$D423))*($E21*H37))</f>
        <v>3.8554972614129146E-3</v>
      </c>
      <c r="I423" s="107">
        <f t="shared" si="416"/>
        <v>0.53229349702262296</v>
      </c>
      <c r="J423" s="107">
        <f t="shared" si="416"/>
        <v>1.6752893245709972</v>
      </c>
      <c r="K423" s="107">
        <f t="shared" si="416"/>
        <v>4.1740820741865727</v>
      </c>
      <c r="L423" s="107">
        <f t="shared" si="416"/>
        <v>5.7395631171424517</v>
      </c>
      <c r="M423" s="107">
        <f t="shared" si="416"/>
        <v>7.0300215728020774</v>
      </c>
      <c r="N423" s="107">
        <f t="shared" si="416"/>
        <v>4.48737256061509</v>
      </c>
      <c r="O423" s="107">
        <f t="shared" si="416"/>
        <v>0</v>
      </c>
      <c r="P423" s="107">
        <f t="shared" si="416"/>
        <v>0</v>
      </c>
      <c r="Q423" s="107">
        <f t="shared" si="416"/>
        <v>0</v>
      </c>
      <c r="R423" s="107">
        <f t="shared" si="416"/>
        <v>0</v>
      </c>
      <c r="S423" s="107">
        <f t="shared" si="416"/>
        <v>0</v>
      </c>
      <c r="T423" s="107">
        <f t="shared" si="416"/>
        <v>0</v>
      </c>
      <c r="U423" s="107">
        <f t="shared" si="416"/>
        <v>0</v>
      </c>
      <c r="V423" s="107">
        <f t="shared" si="416"/>
        <v>0</v>
      </c>
      <c r="W423" s="107">
        <f t="shared" si="416"/>
        <v>0</v>
      </c>
      <c r="X423" s="107">
        <f t="shared" si="416"/>
        <v>0</v>
      </c>
      <c r="Y423" s="107">
        <f t="shared" si="416"/>
        <v>0</v>
      </c>
      <c r="Z423" s="107">
        <f t="shared" si="416"/>
        <v>0</v>
      </c>
      <c r="AA423" s="107">
        <f t="shared" si="416"/>
        <v>0</v>
      </c>
      <c r="AB423" s="107">
        <f t="shared" si="416"/>
        <v>0</v>
      </c>
      <c r="AC423" s="107">
        <f t="shared" si="416"/>
        <v>0</v>
      </c>
      <c r="AD423" s="107">
        <f t="shared" si="416"/>
        <v>0</v>
      </c>
      <c r="AE423" s="107">
        <f t="shared" si="416"/>
        <v>0</v>
      </c>
      <c r="AF423" s="107">
        <f t="shared" si="416"/>
        <v>0</v>
      </c>
      <c r="AG423" s="107">
        <f t="shared" si="416"/>
        <v>0</v>
      </c>
      <c r="AH423" s="107">
        <f t="shared" si="416"/>
        <v>0</v>
      </c>
      <c r="AI423" s="107">
        <f t="shared" si="416"/>
        <v>0</v>
      </c>
      <c r="AJ423" s="107">
        <f t="shared" si="416"/>
        <v>0</v>
      </c>
      <c r="AK423" s="107">
        <f t="shared" si="416"/>
        <v>0</v>
      </c>
      <c r="AL423" s="4"/>
      <c r="AM423" s="43">
        <v>407</v>
      </c>
      <c r="AN423">
        <v>144.57105834603379</v>
      </c>
      <c r="AO423">
        <v>14.093298524079808</v>
      </c>
      <c r="AP423">
        <v>149.08081162461593</v>
      </c>
      <c r="AQ423">
        <v>126.48072040240311</v>
      </c>
      <c r="AR423">
        <v>13.381478961359983</v>
      </c>
      <c r="AS423">
        <v>229.46192263239664</v>
      </c>
      <c r="AT423">
        <v>8.1515959204273969</v>
      </c>
      <c r="AU423">
        <v>54.675463337261036</v>
      </c>
      <c r="AV423"/>
      <c r="AW423"/>
      <c r="FY423" s="210">
        <v>418</v>
      </c>
      <c r="FZ423">
        <v>14.248155172853517</v>
      </c>
      <c r="GA423">
        <v>14.621176108006896</v>
      </c>
      <c r="GB423">
        <v>1.035258205044586</v>
      </c>
      <c r="GC423">
        <v>0.87834891398153592</v>
      </c>
      <c r="GD423">
        <v>0.78751778736384481</v>
      </c>
      <c r="GE423">
        <v>3.4445714240902752</v>
      </c>
      <c r="GF423">
        <v>10.807640695339146</v>
      </c>
      <c r="GG423">
        <v>7.2163564220450205</v>
      </c>
      <c r="GH423">
        <v>4.7137411542164962</v>
      </c>
      <c r="GI423">
        <v>5.522568204690752</v>
      </c>
      <c r="GJ423"/>
      <c r="GK423"/>
      <c r="GL423"/>
      <c r="GM423"/>
    </row>
    <row r="424" spans="1:195" s="7" customFormat="1">
      <c r="A424" s="4"/>
      <c r="B424" s="48" t="s">
        <v>39</v>
      </c>
      <c r="C424" s="107">
        <f t="shared" si="415"/>
        <v>27.665013440412974</v>
      </c>
      <c r="D424" s="191">
        <f>$A$406</f>
        <v>9.4499999999999993</v>
      </c>
      <c r="E424" s="8"/>
      <c r="F424" s="124"/>
      <c r="G424" s="107">
        <f t="shared" ref="G424:V432" si="417">(($A$453+$A$455*(G$422)+($A$457*$D424))*($E22*G38))</f>
        <v>0</v>
      </c>
      <c r="H424" s="107">
        <f t="shared" si="417"/>
        <v>4.5634506490529443E-3</v>
      </c>
      <c r="I424" s="107">
        <f t="shared" si="417"/>
        <v>0.21525970887024221</v>
      </c>
      <c r="J424" s="107">
        <f t="shared" si="417"/>
        <v>1.6336063574005046</v>
      </c>
      <c r="K424" s="107">
        <f t="shared" si="417"/>
        <v>4.7069506909590428</v>
      </c>
      <c r="L424" s="107">
        <f t="shared" si="417"/>
        <v>6.7603277296093394</v>
      </c>
      <c r="M424" s="107">
        <f t="shared" si="417"/>
        <v>7.5799471152268385</v>
      </c>
      <c r="N424" s="107">
        <f t="shared" si="417"/>
        <v>6.7643583876979525</v>
      </c>
      <c r="O424" s="107">
        <f t="shared" si="417"/>
        <v>0</v>
      </c>
      <c r="P424" s="107">
        <f t="shared" si="417"/>
        <v>0</v>
      </c>
      <c r="Q424" s="107">
        <f t="shared" si="417"/>
        <v>0</v>
      </c>
      <c r="R424" s="107">
        <f t="shared" si="417"/>
        <v>0</v>
      </c>
      <c r="S424" s="107">
        <f t="shared" si="417"/>
        <v>0</v>
      </c>
      <c r="T424" s="107">
        <f t="shared" si="417"/>
        <v>0</v>
      </c>
      <c r="U424" s="107">
        <f t="shared" si="417"/>
        <v>0</v>
      </c>
      <c r="V424" s="107">
        <f t="shared" si="417"/>
        <v>0</v>
      </c>
      <c r="W424" s="107">
        <f t="shared" si="416"/>
        <v>0</v>
      </c>
      <c r="X424" s="107">
        <f t="shared" si="416"/>
        <v>0</v>
      </c>
      <c r="Y424" s="107">
        <f t="shared" si="416"/>
        <v>0</v>
      </c>
      <c r="Z424" s="107">
        <f t="shared" si="416"/>
        <v>0</v>
      </c>
      <c r="AA424" s="107">
        <f t="shared" si="416"/>
        <v>0</v>
      </c>
      <c r="AB424" s="107">
        <f t="shared" si="416"/>
        <v>0</v>
      </c>
      <c r="AC424" s="107">
        <f t="shared" si="416"/>
        <v>0</v>
      </c>
      <c r="AD424" s="107">
        <f t="shared" si="416"/>
        <v>0</v>
      </c>
      <c r="AE424" s="107">
        <f t="shared" si="416"/>
        <v>0</v>
      </c>
      <c r="AF424" s="107">
        <f t="shared" si="416"/>
        <v>0</v>
      </c>
      <c r="AG424" s="107">
        <f t="shared" si="416"/>
        <v>0</v>
      </c>
      <c r="AH424" s="107">
        <f t="shared" si="416"/>
        <v>0</v>
      </c>
      <c r="AI424" s="107">
        <f t="shared" si="416"/>
        <v>0</v>
      </c>
      <c r="AJ424" s="107">
        <f t="shared" si="416"/>
        <v>0</v>
      </c>
      <c r="AK424" s="107">
        <f t="shared" si="416"/>
        <v>0</v>
      </c>
      <c r="AL424" s="4"/>
      <c r="AM424" s="43">
        <v>408</v>
      </c>
      <c r="AN424">
        <v>112.21933596905949</v>
      </c>
      <c r="AO424">
        <v>10.243762172069896</v>
      </c>
      <c r="AP424">
        <v>101.01204954330068</v>
      </c>
      <c r="AQ424">
        <v>85.809780265930328</v>
      </c>
      <c r="AR424">
        <v>9.8799975248131808</v>
      </c>
      <c r="AS424">
        <v>169.01438487472015</v>
      </c>
      <c r="AT424">
        <v>6.1087103488431653</v>
      </c>
      <c r="AU424">
        <v>-9.6366868878706828</v>
      </c>
      <c r="AV424"/>
      <c r="AW424"/>
      <c r="FY424" s="210">
        <v>419</v>
      </c>
      <c r="FZ424">
        <v>34.380492360743595</v>
      </c>
      <c r="GA424">
        <v>38.771765393768327</v>
      </c>
      <c r="GB424">
        <v>0.49451573270860427</v>
      </c>
      <c r="GC424">
        <v>0.7270348289740709</v>
      </c>
      <c r="GD424">
        <v>1.1028004381995331</v>
      </c>
      <c r="GE424">
        <v>2.6591420606658547</v>
      </c>
      <c r="GF424">
        <v>7.2175668211779316</v>
      </c>
      <c r="GG424">
        <v>9.9401167788184459</v>
      </c>
      <c r="GH424">
        <v>10.287797787025273</v>
      </c>
      <c r="GI424">
        <v>8.7617842964673454</v>
      </c>
      <c r="GJ424"/>
      <c r="GK424"/>
      <c r="GL424"/>
      <c r="GM424"/>
    </row>
    <row r="425" spans="1:195" s="7" customFormat="1">
      <c r="A425" s="4"/>
      <c r="B425" s="48" t="s">
        <v>40</v>
      </c>
      <c r="C425" s="107">
        <f t="shared" si="415"/>
        <v>2.9176410956799481</v>
      </c>
      <c r="D425" s="191">
        <f>A$407</f>
        <v>4.03</v>
      </c>
      <c r="E425" s="8"/>
      <c r="F425" s="124"/>
      <c r="G425" s="107">
        <f t="shared" si="417"/>
        <v>0</v>
      </c>
      <c r="H425" s="107">
        <f t="shared" si="416"/>
        <v>0</v>
      </c>
      <c r="I425" s="107">
        <f t="shared" si="416"/>
        <v>0.70916424810772694</v>
      </c>
      <c r="J425" s="107">
        <f t="shared" si="416"/>
        <v>0.30659229272476696</v>
      </c>
      <c r="K425" s="107">
        <f t="shared" si="416"/>
        <v>0.70471878208477678</v>
      </c>
      <c r="L425" s="107">
        <f t="shared" si="416"/>
        <v>0.10374869169754163</v>
      </c>
      <c r="M425" s="107">
        <f t="shared" si="416"/>
        <v>0.33790897961794319</v>
      </c>
      <c r="N425" s="107">
        <f t="shared" si="416"/>
        <v>0.75550810144719249</v>
      </c>
      <c r="O425" s="107">
        <f t="shared" si="416"/>
        <v>0</v>
      </c>
      <c r="P425" s="107">
        <f t="shared" si="416"/>
        <v>0</v>
      </c>
      <c r="Q425" s="107">
        <f t="shared" si="416"/>
        <v>0</v>
      </c>
      <c r="R425" s="107">
        <f t="shared" si="416"/>
        <v>0</v>
      </c>
      <c r="S425" s="107">
        <f t="shared" si="416"/>
        <v>0</v>
      </c>
      <c r="T425" s="107">
        <f t="shared" si="416"/>
        <v>0</v>
      </c>
      <c r="U425" s="107">
        <f t="shared" si="416"/>
        <v>0</v>
      </c>
      <c r="V425" s="107">
        <f t="shared" si="416"/>
        <v>0</v>
      </c>
      <c r="W425" s="107">
        <f t="shared" si="416"/>
        <v>0</v>
      </c>
      <c r="X425" s="107">
        <f t="shared" si="416"/>
        <v>0</v>
      </c>
      <c r="Y425" s="107">
        <f t="shared" si="416"/>
        <v>0</v>
      </c>
      <c r="Z425" s="107">
        <f t="shared" si="416"/>
        <v>0</v>
      </c>
      <c r="AA425" s="107">
        <f t="shared" si="416"/>
        <v>0</v>
      </c>
      <c r="AB425" s="107">
        <f t="shared" si="416"/>
        <v>0</v>
      </c>
      <c r="AC425" s="107">
        <f t="shared" si="416"/>
        <v>0</v>
      </c>
      <c r="AD425" s="107">
        <f t="shared" si="416"/>
        <v>0</v>
      </c>
      <c r="AE425" s="107">
        <f t="shared" si="416"/>
        <v>0</v>
      </c>
      <c r="AF425" s="107">
        <f t="shared" si="416"/>
        <v>0</v>
      </c>
      <c r="AG425" s="107">
        <f t="shared" si="416"/>
        <v>0</v>
      </c>
      <c r="AH425" s="107">
        <f t="shared" si="416"/>
        <v>0</v>
      </c>
      <c r="AI425" s="107">
        <f t="shared" si="416"/>
        <v>0</v>
      </c>
      <c r="AJ425" s="107">
        <f t="shared" si="416"/>
        <v>0</v>
      </c>
      <c r="AK425" s="107">
        <f t="shared" si="416"/>
        <v>0</v>
      </c>
      <c r="AL425" s="4"/>
      <c r="AM425" s="43">
        <v>409</v>
      </c>
      <c r="AN425">
        <v>91.872825111082079</v>
      </c>
      <c r="AO425">
        <v>9.0802943480553857</v>
      </c>
      <c r="AP425">
        <v>93.006963893229056</v>
      </c>
      <c r="AQ425">
        <v>79.478453084090305</v>
      </c>
      <c r="AR425">
        <v>9.1187588418045493</v>
      </c>
      <c r="AS425">
        <v>168.07231459207293</v>
      </c>
      <c r="AT425">
        <v>5.2648099318681423</v>
      </c>
      <c r="AU425">
        <v>-1.6508727230141034</v>
      </c>
      <c r="AV425"/>
      <c r="AW425"/>
      <c r="FY425" s="210">
        <v>420</v>
      </c>
      <c r="FZ425">
        <v>32.635058635135294</v>
      </c>
      <c r="GA425">
        <v>39.431653325359235</v>
      </c>
      <c r="GB425">
        <v>4.6132809062498961</v>
      </c>
      <c r="GC425">
        <v>2.3286053431238498</v>
      </c>
      <c r="GD425">
        <v>0.42834027015137177</v>
      </c>
      <c r="GE425">
        <v>1.8359428953242323</v>
      </c>
      <c r="GF425">
        <v>8.6119439579234527</v>
      </c>
      <c r="GG425">
        <v>7.9882752122045906</v>
      </c>
      <c r="GH425">
        <v>5.2445031264730915</v>
      </c>
      <c r="GI425">
        <v>8.5889362055455969</v>
      </c>
      <c r="GJ425"/>
      <c r="GK425"/>
      <c r="GL425"/>
      <c r="GM425"/>
    </row>
    <row r="426" spans="1:195" s="7" customFormat="1">
      <c r="A426" s="128" t="s">
        <v>92</v>
      </c>
      <c r="B426" s="48" t="s">
        <v>41</v>
      </c>
      <c r="C426" s="107">
        <f t="shared" si="415"/>
        <v>1.2530424280707566</v>
      </c>
      <c r="D426" s="191">
        <f>A$408</f>
        <v>0.78</v>
      </c>
      <c r="E426" s="8"/>
      <c r="F426" s="124"/>
      <c r="G426" s="107">
        <f t="shared" si="417"/>
        <v>0</v>
      </c>
      <c r="H426" s="107">
        <f t="shared" si="416"/>
        <v>2.6268150680601194E-3</v>
      </c>
      <c r="I426" s="107">
        <f t="shared" si="416"/>
        <v>0.52610784628320517</v>
      </c>
      <c r="J426" s="107">
        <f t="shared" si="416"/>
        <v>0.33325735398885276</v>
      </c>
      <c r="K426" s="107">
        <f t="shared" si="416"/>
        <v>0.3910504127306384</v>
      </c>
      <c r="L426" s="107">
        <f t="shared" si="416"/>
        <v>0</v>
      </c>
      <c r="M426" s="107">
        <f t="shared" si="416"/>
        <v>0</v>
      </c>
      <c r="N426" s="107">
        <f t="shared" si="416"/>
        <v>0</v>
      </c>
      <c r="O426" s="107">
        <f t="shared" si="416"/>
        <v>0</v>
      </c>
      <c r="P426" s="107">
        <f t="shared" si="416"/>
        <v>0</v>
      </c>
      <c r="Q426" s="107">
        <f t="shared" si="416"/>
        <v>0</v>
      </c>
      <c r="R426" s="107">
        <f t="shared" si="416"/>
        <v>0</v>
      </c>
      <c r="S426" s="107">
        <f t="shared" si="416"/>
        <v>0</v>
      </c>
      <c r="T426" s="107">
        <f t="shared" si="416"/>
        <v>0</v>
      </c>
      <c r="U426" s="107">
        <f t="shared" si="416"/>
        <v>0</v>
      </c>
      <c r="V426" s="107">
        <f t="shared" si="416"/>
        <v>0</v>
      </c>
      <c r="W426" s="107">
        <f t="shared" si="416"/>
        <v>0</v>
      </c>
      <c r="X426" s="107">
        <f t="shared" si="416"/>
        <v>0</v>
      </c>
      <c r="Y426" s="107">
        <f t="shared" si="416"/>
        <v>0</v>
      </c>
      <c r="Z426" s="107">
        <f t="shared" si="416"/>
        <v>0</v>
      </c>
      <c r="AA426" s="107">
        <f t="shared" si="416"/>
        <v>0</v>
      </c>
      <c r="AB426" s="107">
        <f t="shared" si="416"/>
        <v>0</v>
      </c>
      <c r="AC426" s="107">
        <f t="shared" si="416"/>
        <v>0</v>
      </c>
      <c r="AD426" s="107">
        <f t="shared" si="416"/>
        <v>0</v>
      </c>
      <c r="AE426" s="107">
        <f t="shared" si="416"/>
        <v>0</v>
      </c>
      <c r="AF426" s="107">
        <f t="shared" si="416"/>
        <v>0</v>
      </c>
      <c r="AG426" s="107">
        <f t="shared" si="416"/>
        <v>0</v>
      </c>
      <c r="AH426" s="107">
        <f t="shared" si="416"/>
        <v>0</v>
      </c>
      <c r="AI426" s="107">
        <f t="shared" si="416"/>
        <v>0</v>
      </c>
      <c r="AJ426" s="107">
        <f t="shared" si="416"/>
        <v>0</v>
      </c>
      <c r="AK426" s="107">
        <f t="shared" si="416"/>
        <v>0</v>
      </c>
      <c r="AL426" s="4"/>
      <c r="AM426" s="43">
        <v>410</v>
      </c>
      <c r="AN426">
        <v>100.35103395845141</v>
      </c>
      <c r="AO426">
        <v>11.185766957844079</v>
      </c>
      <c r="AP426">
        <v>118.60846668752806</v>
      </c>
      <c r="AQ426">
        <v>102.73047873909576</v>
      </c>
      <c r="AR426">
        <v>10.806658142331722</v>
      </c>
      <c r="AS426">
        <v>161.64806570701046</v>
      </c>
      <c r="AT426">
        <v>6.3179079712008468</v>
      </c>
      <c r="AU426">
        <v>-4.2037676689376582</v>
      </c>
      <c r="AV426"/>
      <c r="AW426"/>
      <c r="FY426" s="210">
        <v>421</v>
      </c>
      <c r="FZ426">
        <v>33.093680720707056</v>
      </c>
      <c r="GA426">
        <v>38.583563902031834</v>
      </c>
      <c r="GB426">
        <v>3.50139621146264</v>
      </c>
      <c r="GC426">
        <v>1.756384446095105</v>
      </c>
      <c r="GD426">
        <v>0.55707566024757127</v>
      </c>
      <c r="GE426">
        <v>3.1458774126633133</v>
      </c>
      <c r="GF426">
        <v>9.8671896319474914</v>
      </c>
      <c r="GG426">
        <v>8.0907358494500468</v>
      </c>
      <c r="GH426">
        <v>6.2680025446515053</v>
      </c>
      <c r="GI426">
        <v>8.845410101893636</v>
      </c>
      <c r="GJ426"/>
      <c r="GK426"/>
      <c r="GL426"/>
      <c r="GM426"/>
    </row>
    <row r="427" spans="1:195" s="7" customFormat="1">
      <c r="A427" s="128" t="s">
        <v>93</v>
      </c>
      <c r="B427" s="48" t="s">
        <v>42</v>
      </c>
      <c r="C427" s="107">
        <f t="shared" si="415"/>
        <v>1.0402862996927793</v>
      </c>
      <c r="D427" s="191">
        <f>A$409</f>
        <v>0.14000000000000001</v>
      </c>
      <c r="E427" s="8"/>
      <c r="F427" s="124"/>
      <c r="G427" s="107">
        <f t="shared" si="417"/>
        <v>0</v>
      </c>
      <c r="H427" s="107">
        <f t="shared" si="416"/>
        <v>1.6224939204064856E-2</v>
      </c>
      <c r="I427" s="107">
        <f t="shared" si="416"/>
        <v>0.12776963054904794</v>
      </c>
      <c r="J427" s="107">
        <f t="shared" si="416"/>
        <v>0.5536023923408222</v>
      </c>
      <c r="K427" s="107">
        <f t="shared" si="416"/>
        <v>0</v>
      </c>
      <c r="L427" s="107">
        <f t="shared" si="416"/>
        <v>0</v>
      </c>
      <c r="M427" s="107">
        <f t="shared" si="416"/>
        <v>0.1397600144832184</v>
      </c>
      <c r="N427" s="107">
        <f t="shared" si="416"/>
        <v>0.20292932311562584</v>
      </c>
      <c r="O427" s="107">
        <f t="shared" si="416"/>
        <v>0</v>
      </c>
      <c r="P427" s="107">
        <f t="shared" si="416"/>
        <v>0</v>
      </c>
      <c r="Q427" s="107">
        <f t="shared" si="416"/>
        <v>0</v>
      </c>
      <c r="R427" s="107">
        <f t="shared" si="416"/>
        <v>0</v>
      </c>
      <c r="S427" s="107">
        <f t="shared" si="416"/>
        <v>0</v>
      </c>
      <c r="T427" s="107">
        <f t="shared" si="416"/>
        <v>0</v>
      </c>
      <c r="U427" s="107">
        <f t="shared" si="416"/>
        <v>0</v>
      </c>
      <c r="V427" s="107">
        <f t="shared" si="416"/>
        <v>0</v>
      </c>
      <c r="W427" s="107">
        <f t="shared" si="416"/>
        <v>0</v>
      </c>
      <c r="X427" s="107">
        <f t="shared" si="416"/>
        <v>0</v>
      </c>
      <c r="Y427" s="107">
        <f t="shared" si="416"/>
        <v>0</v>
      </c>
      <c r="Z427" s="107">
        <f t="shared" si="416"/>
        <v>0</v>
      </c>
      <c r="AA427" s="107">
        <f t="shared" si="416"/>
        <v>0</v>
      </c>
      <c r="AB427" s="107">
        <f t="shared" si="416"/>
        <v>0</v>
      </c>
      <c r="AC427" s="107">
        <f t="shared" si="416"/>
        <v>0</v>
      </c>
      <c r="AD427" s="107">
        <f t="shared" si="416"/>
        <v>0</v>
      </c>
      <c r="AE427" s="107">
        <f t="shared" si="416"/>
        <v>0</v>
      </c>
      <c r="AF427" s="107">
        <f t="shared" si="416"/>
        <v>0</v>
      </c>
      <c r="AG427" s="107">
        <f t="shared" si="416"/>
        <v>0</v>
      </c>
      <c r="AH427" s="107">
        <f t="shared" si="416"/>
        <v>0</v>
      </c>
      <c r="AI427" s="107">
        <f t="shared" si="416"/>
        <v>0</v>
      </c>
      <c r="AJ427" s="107">
        <f t="shared" si="416"/>
        <v>0</v>
      </c>
      <c r="AK427" s="107">
        <f t="shared" si="416"/>
        <v>0</v>
      </c>
      <c r="AL427" s="4"/>
      <c r="AM427" s="43">
        <v>411</v>
      </c>
      <c r="AN427">
        <v>102.58154252291975</v>
      </c>
      <c r="AO427">
        <v>8.2756092165331037</v>
      </c>
      <c r="AP427">
        <v>78.796190504162354</v>
      </c>
      <c r="AQ427">
        <v>66.619032803866631</v>
      </c>
      <c r="AR427">
        <v>8.0202627526384784</v>
      </c>
      <c r="AS427">
        <v>134.17604104269699</v>
      </c>
      <c r="AT427">
        <v>4.6994594626036488</v>
      </c>
      <c r="AU427">
        <v>43.272066272133841</v>
      </c>
      <c r="AV427"/>
      <c r="AW427"/>
      <c r="FY427" s="210">
        <v>422</v>
      </c>
      <c r="FZ427">
        <v>33.555616363383706</v>
      </c>
      <c r="GA427">
        <v>40.141670567883494</v>
      </c>
      <c r="GB427">
        <v>3.4405066384272218</v>
      </c>
      <c r="GC427">
        <v>1.5721114765803841</v>
      </c>
      <c r="GD427">
        <v>0.75945724055405961</v>
      </c>
      <c r="GE427">
        <v>2.0522946499019938</v>
      </c>
      <c r="GF427">
        <v>6.9974973938334841</v>
      </c>
      <c r="GG427">
        <v>11.256912608184688</v>
      </c>
      <c r="GH427">
        <v>10.69309376003776</v>
      </c>
      <c r="GI427">
        <v>9.2045576194580558</v>
      </c>
      <c r="GJ427"/>
      <c r="GK427"/>
      <c r="GL427"/>
      <c r="GM427"/>
    </row>
    <row r="428" spans="1:195" s="7" customFormat="1">
      <c r="A428" s="138" t="s">
        <v>95</v>
      </c>
      <c r="B428" s="48" t="s">
        <v>118</v>
      </c>
      <c r="C428" s="107">
        <f t="shared" si="415"/>
        <v>3.0471098917371289</v>
      </c>
      <c r="D428" s="191">
        <f>A$410</f>
        <v>0.21</v>
      </c>
      <c r="E428" s="8"/>
      <c r="F428" s="124"/>
      <c r="G428" s="107">
        <f t="shared" si="417"/>
        <v>0</v>
      </c>
      <c r="H428" s="107">
        <f t="shared" si="416"/>
        <v>8.0041944640673116E-2</v>
      </c>
      <c r="I428" s="107">
        <f t="shared" si="416"/>
        <v>0.55417106740740774</v>
      </c>
      <c r="J428" s="107">
        <f t="shared" si="416"/>
        <v>1.1978165518201724</v>
      </c>
      <c r="K428" s="107">
        <f t="shared" si="416"/>
        <v>0.12163357687672723</v>
      </c>
      <c r="L428" s="107">
        <f t="shared" si="416"/>
        <v>0.22128938358878783</v>
      </c>
      <c r="M428" s="107">
        <f t="shared" si="416"/>
        <v>0.46041880628196719</v>
      </c>
      <c r="N428" s="107">
        <f t="shared" si="416"/>
        <v>0.41173856112139356</v>
      </c>
      <c r="O428" s="107">
        <f t="shared" si="416"/>
        <v>0</v>
      </c>
      <c r="P428" s="107">
        <f t="shared" si="416"/>
        <v>0</v>
      </c>
      <c r="Q428" s="107">
        <f t="shared" si="416"/>
        <v>0</v>
      </c>
      <c r="R428" s="107">
        <f t="shared" si="416"/>
        <v>0</v>
      </c>
      <c r="S428" s="107">
        <f t="shared" si="416"/>
        <v>0</v>
      </c>
      <c r="T428" s="107">
        <f t="shared" si="416"/>
        <v>0</v>
      </c>
      <c r="U428" s="107">
        <f t="shared" si="416"/>
        <v>0</v>
      </c>
      <c r="V428" s="107">
        <f t="shared" si="416"/>
        <v>0</v>
      </c>
      <c r="W428" s="107">
        <f t="shared" si="416"/>
        <v>0</v>
      </c>
      <c r="X428" s="107">
        <f t="shared" si="416"/>
        <v>0</v>
      </c>
      <c r="Y428" s="107">
        <f t="shared" si="416"/>
        <v>0</v>
      </c>
      <c r="Z428" s="107">
        <f t="shared" si="416"/>
        <v>0</v>
      </c>
      <c r="AA428" s="107">
        <f t="shared" si="416"/>
        <v>0</v>
      </c>
      <c r="AB428" s="107">
        <f t="shared" si="416"/>
        <v>0</v>
      </c>
      <c r="AC428" s="107">
        <f t="shared" si="416"/>
        <v>0</v>
      </c>
      <c r="AD428" s="107">
        <f t="shared" si="416"/>
        <v>0</v>
      </c>
      <c r="AE428" s="107">
        <f t="shared" si="416"/>
        <v>0</v>
      </c>
      <c r="AF428" s="107">
        <f t="shared" si="416"/>
        <v>0</v>
      </c>
      <c r="AG428" s="107">
        <f t="shared" si="416"/>
        <v>0</v>
      </c>
      <c r="AH428" s="107">
        <f t="shared" si="416"/>
        <v>0</v>
      </c>
      <c r="AI428" s="107">
        <f t="shared" si="416"/>
        <v>0</v>
      </c>
      <c r="AJ428" s="107">
        <f t="shared" si="416"/>
        <v>0</v>
      </c>
      <c r="AK428" s="107">
        <f t="shared" si="416"/>
        <v>0</v>
      </c>
      <c r="AL428" s="4"/>
      <c r="AM428" s="43">
        <v>412</v>
      </c>
      <c r="AN428">
        <v>113.01001282732493</v>
      </c>
      <c r="AO428">
        <v>13.456676112791115</v>
      </c>
      <c r="AP428">
        <v>139.78871440315174</v>
      </c>
      <c r="AQ428">
        <v>120.16012810503028</v>
      </c>
      <c r="AR428">
        <v>13.31732769092813</v>
      </c>
      <c r="AS428">
        <v>181.1451034363084</v>
      </c>
      <c r="AT428">
        <v>7.9016934034110236</v>
      </c>
      <c r="AU428">
        <v>1.8878673022851076</v>
      </c>
      <c r="AV428"/>
      <c r="AW428"/>
      <c r="FY428" s="210">
        <v>423</v>
      </c>
      <c r="FZ428">
        <v>11.386523803668272</v>
      </c>
      <c r="GA428">
        <v>14.776546689983254</v>
      </c>
      <c r="GB428">
        <v>1.6576083617457689</v>
      </c>
      <c r="GC428">
        <v>0.49764840478082895</v>
      </c>
      <c r="GD428">
        <v>1.0186375275890498</v>
      </c>
      <c r="GE428">
        <v>2.3412661325662749</v>
      </c>
      <c r="GF428">
        <v>6.9612486957865034</v>
      </c>
      <c r="GG428">
        <v>6.9337500161342591</v>
      </c>
      <c r="GH428">
        <v>5.245312972577878</v>
      </c>
      <c r="GI428">
        <v>4.7843832827971813</v>
      </c>
      <c r="GJ428"/>
      <c r="GK428"/>
      <c r="GL428"/>
      <c r="GM428"/>
    </row>
    <row r="429" spans="1:195" s="7" customFormat="1">
      <c r="A429" s="138" t="s">
        <v>94</v>
      </c>
      <c r="B429" s="48" t="s">
        <v>119</v>
      </c>
      <c r="C429" s="107">
        <f t="shared" si="415"/>
        <v>10.993507799736735</v>
      </c>
      <c r="D429" s="191">
        <f>A$411</f>
        <v>1.28</v>
      </c>
      <c r="E429" s="8"/>
      <c r="F429" s="124"/>
      <c r="G429" s="107">
        <f t="shared" si="417"/>
        <v>0</v>
      </c>
      <c r="H429" s="107">
        <f t="shared" si="416"/>
        <v>7.9852890766180837E-2</v>
      </c>
      <c r="I429" s="107">
        <f t="shared" si="416"/>
        <v>4.0805981470731254</v>
      </c>
      <c r="J429" s="107">
        <f t="shared" si="416"/>
        <v>1.4899033299865569</v>
      </c>
      <c r="K429" s="107">
        <f t="shared" si="416"/>
        <v>4.7151128217723937</v>
      </c>
      <c r="L429" s="107">
        <f t="shared" si="416"/>
        <v>0.34778588324388371</v>
      </c>
      <c r="M429" s="107">
        <f t="shared" si="416"/>
        <v>0.28025472689459602</v>
      </c>
      <c r="N429" s="107">
        <f t="shared" si="416"/>
        <v>0</v>
      </c>
      <c r="O429" s="107">
        <f t="shared" si="416"/>
        <v>0</v>
      </c>
      <c r="P429" s="107">
        <f t="shared" si="416"/>
        <v>0</v>
      </c>
      <c r="Q429" s="107">
        <f t="shared" si="416"/>
        <v>0</v>
      </c>
      <c r="R429" s="107">
        <f t="shared" si="416"/>
        <v>0</v>
      </c>
      <c r="S429" s="107">
        <f t="shared" si="416"/>
        <v>0</v>
      </c>
      <c r="T429" s="107">
        <f t="shared" si="416"/>
        <v>0</v>
      </c>
      <c r="U429" s="107">
        <f t="shared" si="416"/>
        <v>0</v>
      </c>
      <c r="V429" s="107">
        <f t="shared" si="416"/>
        <v>0</v>
      </c>
      <c r="W429" s="107">
        <f t="shared" si="416"/>
        <v>0</v>
      </c>
      <c r="X429" s="107">
        <f t="shared" si="416"/>
        <v>0</v>
      </c>
      <c r="Y429" s="107">
        <f t="shared" si="416"/>
        <v>0</v>
      </c>
      <c r="Z429" s="107">
        <f t="shared" si="416"/>
        <v>0</v>
      </c>
      <c r="AA429" s="107">
        <f t="shared" si="416"/>
        <v>0</v>
      </c>
      <c r="AB429" s="107">
        <f t="shared" si="416"/>
        <v>0</v>
      </c>
      <c r="AC429" s="107">
        <f t="shared" si="416"/>
        <v>0</v>
      </c>
      <c r="AD429" s="107">
        <f t="shared" si="416"/>
        <v>0</v>
      </c>
      <c r="AE429" s="107">
        <f t="shared" si="416"/>
        <v>0</v>
      </c>
      <c r="AF429" s="107">
        <f t="shared" si="416"/>
        <v>0</v>
      </c>
      <c r="AG429" s="107">
        <f t="shared" si="416"/>
        <v>0</v>
      </c>
      <c r="AH429" s="107">
        <f t="shared" si="416"/>
        <v>0</v>
      </c>
      <c r="AI429" s="107">
        <f t="shared" si="416"/>
        <v>0</v>
      </c>
      <c r="AJ429" s="107">
        <f t="shared" si="416"/>
        <v>0</v>
      </c>
      <c r="AK429" s="107">
        <f t="shared" si="416"/>
        <v>0</v>
      </c>
      <c r="AL429" s="4"/>
      <c r="AM429" s="43">
        <v>413</v>
      </c>
      <c r="AN429">
        <v>33.46489558965397</v>
      </c>
      <c r="AO429">
        <v>2.5917996576906246</v>
      </c>
      <c r="AP429">
        <v>20.589773413353555</v>
      </c>
      <c r="AQ429">
        <v>17.92672473439476</v>
      </c>
      <c r="AR429">
        <v>2.8669025690675713</v>
      </c>
      <c r="AS429">
        <v>50.471049364229302</v>
      </c>
      <c r="AT429">
        <v>1.7452022546539923</v>
      </c>
      <c r="AU429">
        <v>7.8855525457692552</v>
      </c>
      <c r="AV429"/>
      <c r="AW429"/>
      <c r="FY429" s="210">
        <v>424</v>
      </c>
      <c r="FZ429">
        <v>22.074300753808778</v>
      </c>
      <c r="GA429">
        <v>29.914841905016146</v>
      </c>
      <c r="GB429">
        <v>3.8661622364223476</v>
      </c>
      <c r="GC429">
        <v>1.3356614843542693</v>
      </c>
      <c r="GD429">
        <v>0.4376106047183192</v>
      </c>
      <c r="GE429">
        <v>0.55601095273274603</v>
      </c>
      <c r="GF429">
        <v>2.6038291541481926</v>
      </c>
      <c r="GG429">
        <v>6.2870238241435974</v>
      </c>
      <c r="GH429">
        <v>7.8719274096005156</v>
      </c>
      <c r="GI429">
        <v>6.1890042507711875</v>
      </c>
      <c r="GJ429"/>
      <c r="GK429"/>
      <c r="GL429"/>
      <c r="GM429"/>
    </row>
    <row r="430" spans="1:195" s="7" customFormat="1">
      <c r="A430" s="128" t="s">
        <v>18</v>
      </c>
      <c r="B430" s="48" t="s">
        <v>120</v>
      </c>
      <c r="C430" s="107">
        <f t="shared" si="415"/>
        <v>14.627732610529153</v>
      </c>
      <c r="D430" s="191">
        <f>A$412</f>
        <v>4</v>
      </c>
      <c r="E430" s="8"/>
      <c r="F430" s="124"/>
      <c r="G430" s="107">
        <f t="shared" si="417"/>
        <v>0</v>
      </c>
      <c r="H430" s="107">
        <f t="shared" si="416"/>
        <v>0.13163220388030664</v>
      </c>
      <c r="I430" s="107">
        <f t="shared" si="416"/>
        <v>4.780947350196973</v>
      </c>
      <c r="J430" s="107">
        <f t="shared" si="416"/>
        <v>1.8388633769828127</v>
      </c>
      <c r="K430" s="107">
        <f t="shared" si="416"/>
        <v>5.4600938953254268</v>
      </c>
      <c r="L430" s="107">
        <f t="shared" si="416"/>
        <v>1.2221397730432588</v>
      </c>
      <c r="M430" s="107">
        <f t="shared" si="416"/>
        <v>1.1940560111003751</v>
      </c>
      <c r="N430" s="107">
        <f t="shared" si="416"/>
        <v>0</v>
      </c>
      <c r="O430" s="107">
        <f t="shared" si="416"/>
        <v>0</v>
      </c>
      <c r="P430" s="107">
        <f t="shared" si="416"/>
        <v>0</v>
      </c>
      <c r="Q430" s="107">
        <f t="shared" si="416"/>
        <v>0</v>
      </c>
      <c r="R430" s="107">
        <f t="shared" si="416"/>
        <v>0</v>
      </c>
      <c r="S430" s="107">
        <f t="shared" si="416"/>
        <v>0</v>
      </c>
      <c r="T430" s="107">
        <f t="shared" si="416"/>
        <v>0</v>
      </c>
      <c r="U430" s="107">
        <f t="shared" si="416"/>
        <v>0</v>
      </c>
      <c r="V430" s="107">
        <f t="shared" si="416"/>
        <v>0</v>
      </c>
      <c r="W430" s="107">
        <f t="shared" si="416"/>
        <v>0</v>
      </c>
      <c r="X430" s="107">
        <f t="shared" si="416"/>
        <v>0</v>
      </c>
      <c r="Y430" s="107">
        <f t="shared" si="416"/>
        <v>0</v>
      </c>
      <c r="Z430" s="107">
        <f t="shared" si="416"/>
        <v>0</v>
      </c>
      <c r="AA430" s="107">
        <f t="shared" si="416"/>
        <v>0</v>
      </c>
      <c r="AB430" s="107">
        <f t="shared" si="416"/>
        <v>0</v>
      </c>
      <c r="AC430" s="107">
        <f t="shared" si="416"/>
        <v>0</v>
      </c>
      <c r="AD430" s="107">
        <f t="shared" si="416"/>
        <v>0</v>
      </c>
      <c r="AE430" s="107">
        <f t="shared" si="416"/>
        <v>0</v>
      </c>
      <c r="AF430" s="107">
        <f t="shared" si="416"/>
        <v>0</v>
      </c>
      <c r="AG430" s="107">
        <f t="shared" si="416"/>
        <v>0</v>
      </c>
      <c r="AH430" s="107">
        <f t="shared" si="416"/>
        <v>0</v>
      </c>
      <c r="AI430" s="107">
        <f t="shared" si="416"/>
        <v>0</v>
      </c>
      <c r="AJ430" s="107">
        <f t="shared" si="416"/>
        <v>0</v>
      </c>
      <c r="AK430" s="107">
        <f t="shared" si="416"/>
        <v>0</v>
      </c>
      <c r="AL430" s="4"/>
      <c r="AM430" s="43">
        <v>414</v>
      </c>
      <c r="AN430">
        <v>95.3349754426403</v>
      </c>
      <c r="AO430">
        <v>9.6829255351593204</v>
      </c>
      <c r="AP430">
        <v>96.089059420202318</v>
      </c>
      <c r="AQ430">
        <v>83.874122486199781</v>
      </c>
      <c r="AR430">
        <v>9.4067946461932639</v>
      </c>
      <c r="AS430">
        <v>127.41299437721132</v>
      </c>
      <c r="AT430">
        <v>6.0116423894795084</v>
      </c>
      <c r="AU430">
        <v>16.611844689206396</v>
      </c>
      <c r="AV430"/>
      <c r="AW430"/>
      <c r="FY430" s="210">
        <v>425</v>
      </c>
      <c r="FZ430">
        <v>35.999388907860535</v>
      </c>
      <c r="GA430">
        <v>40.6803432231968</v>
      </c>
      <c r="GB430">
        <v>3.3435724661437249</v>
      </c>
      <c r="GC430">
        <v>1.6284402209556168</v>
      </c>
      <c r="GD430">
        <v>1.1382750008620819</v>
      </c>
      <c r="GE430">
        <v>2.0191122600734102</v>
      </c>
      <c r="GF430">
        <v>9.0732318238424678</v>
      </c>
      <c r="GG430">
        <v>14.35286613850641</v>
      </c>
      <c r="GH430">
        <v>12.37844109297971</v>
      </c>
      <c r="GI430">
        <v>10.403821258776254</v>
      </c>
      <c r="GJ430"/>
      <c r="GK430"/>
      <c r="GL430"/>
      <c r="GM430"/>
    </row>
    <row r="431" spans="1:195" s="7" customFormat="1">
      <c r="A431" s="128" t="s">
        <v>17</v>
      </c>
      <c r="B431" s="48" t="s">
        <v>121</v>
      </c>
      <c r="C431" s="107">
        <f t="shared" si="415"/>
        <v>13.571240372570003</v>
      </c>
      <c r="D431" s="191">
        <f>A$413</f>
        <v>7.33</v>
      </c>
      <c r="E431" s="8"/>
      <c r="F431" s="124"/>
      <c r="G431" s="107">
        <f t="shared" si="417"/>
        <v>0</v>
      </c>
      <c r="H431" s="107">
        <f t="shared" si="416"/>
        <v>0.1730476410476359</v>
      </c>
      <c r="I431" s="107">
        <f t="shared" si="416"/>
        <v>2.6666765851725449</v>
      </c>
      <c r="J431" s="107">
        <f t="shared" si="416"/>
        <v>1.3053703474253111</v>
      </c>
      <c r="K431" s="107">
        <f t="shared" si="416"/>
        <v>4.021466955801837</v>
      </c>
      <c r="L431" s="107">
        <f t="shared" si="416"/>
        <v>1.9456527018208007</v>
      </c>
      <c r="M431" s="107">
        <f t="shared" si="416"/>
        <v>1.860160459599667</v>
      </c>
      <c r="N431" s="107">
        <f t="shared" si="416"/>
        <v>1.5988656817022067</v>
      </c>
      <c r="O431" s="107">
        <f t="shared" si="416"/>
        <v>0</v>
      </c>
      <c r="P431" s="107">
        <f t="shared" si="416"/>
        <v>0</v>
      </c>
      <c r="Q431" s="107">
        <f t="shared" si="416"/>
        <v>0</v>
      </c>
      <c r="R431" s="107">
        <f t="shared" si="416"/>
        <v>0</v>
      </c>
      <c r="S431" s="107">
        <f t="shared" si="416"/>
        <v>0</v>
      </c>
      <c r="T431" s="107">
        <f t="shared" si="416"/>
        <v>0</v>
      </c>
      <c r="U431" s="107">
        <f t="shared" si="416"/>
        <v>0</v>
      </c>
      <c r="V431" s="107">
        <f t="shared" si="416"/>
        <v>0</v>
      </c>
      <c r="W431" s="107">
        <f t="shared" si="416"/>
        <v>0</v>
      </c>
      <c r="X431" s="107">
        <f t="shared" si="416"/>
        <v>0</v>
      </c>
      <c r="Y431" s="107">
        <f t="shared" si="416"/>
        <v>0</v>
      </c>
      <c r="Z431" s="107">
        <f t="shared" si="416"/>
        <v>0</v>
      </c>
      <c r="AA431" s="107">
        <f t="shared" si="416"/>
        <v>0</v>
      </c>
      <c r="AB431" s="107">
        <f t="shared" si="416"/>
        <v>0</v>
      </c>
      <c r="AC431" s="107">
        <f t="shared" si="416"/>
        <v>0</v>
      </c>
      <c r="AD431" s="107">
        <f t="shared" si="416"/>
        <v>0</v>
      </c>
      <c r="AE431" s="107">
        <f t="shared" si="416"/>
        <v>0</v>
      </c>
      <c r="AF431" s="107">
        <f t="shared" si="416"/>
        <v>0</v>
      </c>
      <c r="AG431" s="107">
        <f t="shared" si="416"/>
        <v>0</v>
      </c>
      <c r="AH431" s="107">
        <f t="shared" si="416"/>
        <v>0</v>
      </c>
      <c r="AI431" s="107">
        <f t="shared" si="416"/>
        <v>0</v>
      </c>
      <c r="AJ431" s="107">
        <f t="shared" si="416"/>
        <v>0</v>
      </c>
      <c r="AK431" s="107">
        <f t="shared" si="416"/>
        <v>0</v>
      </c>
      <c r="AL431" s="4"/>
      <c r="AM431" s="43">
        <v>415</v>
      </c>
      <c r="AN431">
        <v>139.04441736199323</v>
      </c>
      <c r="AO431">
        <v>11.221599067019225</v>
      </c>
      <c r="AP431">
        <v>109.83937390885035</v>
      </c>
      <c r="AQ431">
        <v>93.324256923668798</v>
      </c>
      <c r="AR431">
        <v>10.676998338437917</v>
      </c>
      <c r="AS431">
        <v>171.14847066932069</v>
      </c>
      <c r="AT431">
        <v>6.47763552795048</v>
      </c>
      <c r="AU431">
        <v>3.5334049312057507</v>
      </c>
      <c r="AV431"/>
      <c r="AW431"/>
      <c r="FY431" s="210">
        <v>426</v>
      </c>
      <c r="FZ431">
        <v>11.072805884900719</v>
      </c>
      <c r="GA431">
        <v>15.077421352819785</v>
      </c>
      <c r="GB431">
        <v>2.1860064792249267</v>
      </c>
      <c r="GC431">
        <v>0.55463654604296209</v>
      </c>
      <c r="GD431">
        <v>0.87140059164569239</v>
      </c>
      <c r="GE431">
        <v>4.1018432462083325</v>
      </c>
      <c r="GF431">
        <v>7.6081830300241986</v>
      </c>
      <c r="GG431">
        <v>7.5171693946114484</v>
      </c>
      <c r="GH431">
        <v>8.1246859933934896</v>
      </c>
      <c r="GI431">
        <v>5.3446098183140158</v>
      </c>
      <c r="GJ431"/>
      <c r="GK431"/>
      <c r="GL431"/>
      <c r="GM431"/>
    </row>
    <row r="432" spans="1:195" s="7" customFormat="1">
      <c r="A432" s="4"/>
      <c r="B432" s="48" t="s">
        <v>122</v>
      </c>
      <c r="C432" s="107">
        <f t="shared" si="415"/>
        <v>8.9638559781173548</v>
      </c>
      <c r="D432" s="191">
        <f>A$414</f>
        <v>10.51</v>
      </c>
      <c r="E432" s="8"/>
      <c r="F432" s="124"/>
      <c r="G432" s="107">
        <f t="shared" si="417"/>
        <v>0</v>
      </c>
      <c r="H432" s="107">
        <f t="shared" ref="H432:AK432" si="418">(($A$453+$A$455*(H$422)+($A$457*$D432))*($E30*H46))</f>
        <v>5.1331361003718108E-2</v>
      </c>
      <c r="I432" s="107">
        <f t="shared" si="418"/>
        <v>1.4781059322583603</v>
      </c>
      <c r="J432" s="107">
        <f t="shared" si="418"/>
        <v>1.1139970521839513</v>
      </c>
      <c r="K432" s="107">
        <f t="shared" si="418"/>
        <v>2.2850734235005938</v>
      </c>
      <c r="L432" s="107">
        <f t="shared" si="418"/>
        <v>1.2466345945747466</v>
      </c>
      <c r="M432" s="107">
        <f t="shared" si="418"/>
        <v>1.5543517780427347</v>
      </c>
      <c r="N432" s="107">
        <f t="shared" si="418"/>
        <v>1.2343618365532492</v>
      </c>
      <c r="O432" s="107">
        <f t="shared" si="418"/>
        <v>0</v>
      </c>
      <c r="P432" s="107">
        <f t="shared" si="418"/>
        <v>0</v>
      </c>
      <c r="Q432" s="107">
        <f t="shared" si="418"/>
        <v>0</v>
      </c>
      <c r="R432" s="107">
        <f t="shared" si="418"/>
        <v>0</v>
      </c>
      <c r="S432" s="107">
        <f t="shared" si="418"/>
        <v>0</v>
      </c>
      <c r="T432" s="107">
        <f t="shared" si="418"/>
        <v>0</v>
      </c>
      <c r="U432" s="107">
        <f t="shared" si="418"/>
        <v>0</v>
      </c>
      <c r="V432" s="107">
        <f t="shared" si="418"/>
        <v>0</v>
      </c>
      <c r="W432" s="107">
        <f t="shared" si="418"/>
        <v>0</v>
      </c>
      <c r="X432" s="107">
        <f t="shared" si="418"/>
        <v>0</v>
      </c>
      <c r="Y432" s="107">
        <f t="shared" si="418"/>
        <v>0</v>
      </c>
      <c r="Z432" s="107">
        <f t="shared" si="418"/>
        <v>0</v>
      </c>
      <c r="AA432" s="107">
        <f t="shared" si="418"/>
        <v>0</v>
      </c>
      <c r="AB432" s="107">
        <f t="shared" si="418"/>
        <v>0</v>
      </c>
      <c r="AC432" s="107">
        <f t="shared" si="418"/>
        <v>0</v>
      </c>
      <c r="AD432" s="107">
        <f t="shared" si="418"/>
        <v>0</v>
      </c>
      <c r="AE432" s="107">
        <f t="shared" si="418"/>
        <v>0</v>
      </c>
      <c r="AF432" s="107">
        <f t="shared" si="418"/>
        <v>0</v>
      </c>
      <c r="AG432" s="107">
        <f t="shared" si="418"/>
        <v>0</v>
      </c>
      <c r="AH432" s="107">
        <f t="shared" si="418"/>
        <v>0</v>
      </c>
      <c r="AI432" s="107">
        <f t="shared" si="418"/>
        <v>0</v>
      </c>
      <c r="AJ432" s="107">
        <f t="shared" si="418"/>
        <v>0</v>
      </c>
      <c r="AK432" s="107">
        <f t="shared" si="418"/>
        <v>0</v>
      </c>
      <c r="AL432" s="4"/>
      <c r="AM432" s="43">
        <v>416</v>
      </c>
      <c r="AN432">
        <v>124.36147581760102</v>
      </c>
      <c r="AO432">
        <v>11.097931183799151</v>
      </c>
      <c r="AP432">
        <v>115.48304968073288</v>
      </c>
      <c r="AQ432">
        <v>97.113562282526686</v>
      </c>
      <c r="AR432">
        <v>10.703834949531473</v>
      </c>
      <c r="AS432">
        <v>207.42849015945953</v>
      </c>
      <c r="AT432">
        <v>6.3174057940531609</v>
      </c>
      <c r="AU432">
        <v>13.416601338502176</v>
      </c>
      <c r="AV432"/>
      <c r="AW432"/>
      <c r="FY432" s="210">
        <v>427</v>
      </c>
      <c r="FZ432">
        <v>35.168585798277157</v>
      </c>
      <c r="GA432">
        <v>40.235198132393094</v>
      </c>
      <c r="GB432">
        <v>4.3237676643969181</v>
      </c>
      <c r="GC432">
        <v>1.7882032130501484</v>
      </c>
      <c r="GD432">
        <v>1.4467373055569288</v>
      </c>
      <c r="GE432">
        <v>4.4297689128937403</v>
      </c>
      <c r="GF432">
        <v>5.2549515447429407</v>
      </c>
      <c r="GG432">
        <v>3.6217053221218825</v>
      </c>
      <c r="GH432">
        <v>4.5226057439026111</v>
      </c>
      <c r="GI432">
        <v>8.7767311440578233</v>
      </c>
      <c r="GJ432"/>
      <c r="GK432"/>
      <c r="GL432"/>
      <c r="GM432"/>
    </row>
    <row r="433" spans="1:195" s="7" customFormat="1">
      <c r="A433" s="4"/>
      <c r="B433" s="48"/>
      <c r="C433" s="107"/>
      <c r="D433" s="19"/>
      <c r="E433" s="8"/>
      <c r="F433" s="124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4"/>
      <c r="AM433" s="43">
        <v>417</v>
      </c>
      <c r="AN433">
        <v>180.56509581238163</v>
      </c>
      <c r="AO433">
        <v>20.416827457934154</v>
      </c>
      <c r="AP433">
        <v>220.46611238109932</v>
      </c>
      <c r="AQ433">
        <v>191.25413925284346</v>
      </c>
      <c r="AR433">
        <v>19.416066085285117</v>
      </c>
      <c r="AS433">
        <v>294.45086936208082</v>
      </c>
      <c r="AT433">
        <v>12.059108525673599</v>
      </c>
      <c r="AU433">
        <v>113.77762171834438</v>
      </c>
      <c r="AV433"/>
      <c r="AW433"/>
      <c r="FY433" s="210">
        <v>428</v>
      </c>
      <c r="FZ433">
        <v>34.800362113529737</v>
      </c>
      <c r="GA433">
        <v>40.492240968489199</v>
      </c>
      <c r="GB433">
        <v>1.8924361500276312</v>
      </c>
      <c r="GC433">
        <v>0.81848099290164567</v>
      </c>
      <c r="GD433">
        <v>1.0637663709411567</v>
      </c>
      <c r="GE433">
        <v>2.9988426791665783</v>
      </c>
      <c r="GF433">
        <v>6.6267513275564989</v>
      </c>
      <c r="GG433">
        <v>4.7655076397253966</v>
      </c>
      <c r="GH433">
        <v>4.0436901683537911</v>
      </c>
      <c r="GI433">
        <v>8.0653618321375351</v>
      </c>
      <c r="GJ433"/>
      <c r="GK433"/>
      <c r="GL433"/>
      <c r="GM433"/>
    </row>
    <row r="434" spans="1:195" s="7" customFormat="1">
      <c r="A434" s="4"/>
      <c r="B434" s="48"/>
      <c r="C434" s="107"/>
      <c r="D434" s="18"/>
      <c r="E434" s="8"/>
      <c r="F434" s="174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4"/>
      <c r="AM434" s="43">
        <v>418</v>
      </c>
      <c r="AN434">
        <v>110.24864165024835</v>
      </c>
      <c r="AO434">
        <v>7.7310486020375944</v>
      </c>
      <c r="AP434">
        <v>74.087401636042202</v>
      </c>
      <c r="AQ434">
        <v>63.275334087632068</v>
      </c>
      <c r="AR434">
        <v>7.4842392605446166</v>
      </c>
      <c r="AS434">
        <v>131.50868397356459</v>
      </c>
      <c r="AT434">
        <v>4.7169787808740749</v>
      </c>
      <c r="AU434">
        <v>5.4197232182498318</v>
      </c>
      <c r="AV434"/>
      <c r="AW434"/>
      <c r="FY434" s="210">
        <v>429</v>
      </c>
      <c r="FZ434">
        <v>0.9815652023337591</v>
      </c>
      <c r="GA434">
        <v>4.1176315040469857</v>
      </c>
      <c r="GB434">
        <v>3.2591952233325179</v>
      </c>
      <c r="GC434">
        <v>1.1353996570442035</v>
      </c>
      <c r="GD434">
        <v>0.70485798224716412</v>
      </c>
      <c r="GE434">
        <v>2.9202739349262861</v>
      </c>
      <c r="GF434">
        <v>9.4408869872392511</v>
      </c>
      <c r="GG434">
        <v>10.233497180454114</v>
      </c>
      <c r="GH434">
        <v>7.9575381857712948</v>
      </c>
      <c r="GI434">
        <v>4.3281632715393368</v>
      </c>
      <c r="GJ434"/>
      <c r="GK434"/>
      <c r="GL434"/>
      <c r="GM434"/>
    </row>
    <row r="435" spans="1:195" s="7" customFormat="1">
      <c r="A435" s="4"/>
      <c r="B435" s="52" t="s">
        <v>53</v>
      </c>
      <c r="C435" s="53">
        <f>SUM(C423:C434)</f>
        <v>107.72190756014805</v>
      </c>
      <c r="D435" s="13"/>
      <c r="E435" s="13"/>
      <c r="F435" s="96"/>
      <c r="G435" s="13"/>
      <c r="H435" s="13"/>
      <c r="I435" s="14"/>
      <c r="J435" s="13"/>
      <c r="K435" s="21"/>
      <c r="L435" s="13"/>
      <c r="M435" s="14"/>
      <c r="N435" s="13"/>
      <c r="O435" s="13"/>
      <c r="P435" s="13"/>
      <c r="Q435" s="14"/>
      <c r="R435" s="14"/>
      <c r="S435" s="14"/>
      <c r="T435" s="14"/>
      <c r="U435" s="14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94"/>
      <c r="AH435" s="94"/>
      <c r="AI435" s="94"/>
      <c r="AJ435" s="94"/>
      <c r="AK435" s="94"/>
      <c r="AL435" s="4"/>
      <c r="AM435" s="43">
        <v>419</v>
      </c>
      <c r="AN435">
        <v>130.33332239167652</v>
      </c>
      <c r="AO435">
        <v>12.693481674728938</v>
      </c>
      <c r="AP435">
        <v>131.93054925607333</v>
      </c>
      <c r="AQ435">
        <v>114.34301649854898</v>
      </c>
      <c r="AR435">
        <v>12.14955669274368</v>
      </c>
      <c r="AS435">
        <v>209.79004479412359</v>
      </c>
      <c r="AT435">
        <v>7.5138962025111375</v>
      </c>
      <c r="AU435">
        <v>13.234866462178287</v>
      </c>
      <c r="AV435"/>
      <c r="AW435"/>
      <c r="FY435" s="210">
        <v>430</v>
      </c>
      <c r="FZ435">
        <v>34.331909037601143</v>
      </c>
      <c r="GA435">
        <v>40.524081099414992</v>
      </c>
      <c r="GB435">
        <v>4.3981006600490389</v>
      </c>
      <c r="GC435">
        <v>2.0594382850720994</v>
      </c>
      <c r="GD435">
        <v>0.62339807839301653</v>
      </c>
      <c r="GE435">
        <v>2.4966835026298768</v>
      </c>
      <c r="GF435">
        <v>7.4142506745952419</v>
      </c>
      <c r="GG435">
        <v>6.3597105504818607</v>
      </c>
      <c r="GH435">
        <v>7.3206124454803829</v>
      </c>
      <c r="GI435">
        <v>9.0181868395210625</v>
      </c>
      <c r="GJ435"/>
      <c r="GK435"/>
      <c r="GL435"/>
      <c r="GM435"/>
    </row>
    <row r="436" spans="1:195" s="7" customFormat="1">
      <c r="A436" s="4"/>
      <c r="B436" s="4"/>
      <c r="C436" s="4"/>
      <c r="D436" s="4"/>
      <c r="E436" s="4"/>
      <c r="F436" s="4"/>
      <c r="G436" s="4"/>
      <c r="H436" s="4"/>
      <c r="I436" s="83"/>
      <c r="J436" s="4"/>
      <c r="K436" s="4"/>
      <c r="L436" s="28"/>
      <c r="M436" s="4"/>
      <c r="N436" s="4"/>
      <c r="O436" s="4"/>
      <c r="P436" s="28"/>
      <c r="Q436" s="4"/>
      <c r="R436" s="28"/>
      <c r="S436" s="28"/>
      <c r="T436" s="28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81"/>
      <c r="AG436" s="81"/>
      <c r="AH436" s="81"/>
      <c r="AI436" s="81"/>
      <c r="AJ436" s="81"/>
      <c r="AK436" s="81"/>
      <c r="AL436" s="81"/>
      <c r="AM436" s="43">
        <v>420</v>
      </c>
      <c r="AN436">
        <v>131.52653022233213</v>
      </c>
      <c r="AO436">
        <v>12.649179168843968</v>
      </c>
      <c r="AP436">
        <v>131.89834288309561</v>
      </c>
      <c r="AQ436">
        <v>111.70653987749061</v>
      </c>
      <c r="AR436">
        <v>11.901893040708586</v>
      </c>
      <c r="AS436">
        <v>220.32801944328656</v>
      </c>
      <c r="AT436">
        <v>7.5913803796625308</v>
      </c>
      <c r="AU436">
        <v>14.329239263237758</v>
      </c>
      <c r="AV436"/>
      <c r="AW436"/>
      <c r="FY436" s="210">
        <v>431</v>
      </c>
      <c r="FZ436">
        <v>24.10062250823643</v>
      </c>
      <c r="GA436">
        <v>27.780667871393653</v>
      </c>
      <c r="GB436">
        <v>2.3397163575138253</v>
      </c>
      <c r="GC436">
        <v>1.1045734460387491</v>
      </c>
      <c r="GD436">
        <v>1.2452374567356275</v>
      </c>
      <c r="GE436">
        <v>2.4118426963308779</v>
      </c>
      <c r="GF436">
        <v>7.2481797144661844</v>
      </c>
      <c r="GG436">
        <v>10.848604218579299</v>
      </c>
      <c r="GH436">
        <v>9.7610219929754294</v>
      </c>
      <c r="GI436">
        <v>7.7283798869401856</v>
      </c>
      <c r="GJ436"/>
      <c r="GK436"/>
      <c r="GL436"/>
      <c r="GM436"/>
    </row>
    <row r="437" spans="1:195" s="7" customFormat="1">
      <c r="A437" s="13" t="s">
        <v>77</v>
      </c>
      <c r="B437" s="10" t="s">
        <v>76</v>
      </c>
      <c r="C437" s="21"/>
      <c r="D437" s="13"/>
      <c r="E437" s="21"/>
      <c r="F437" s="13"/>
      <c r="G437" s="13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81"/>
      <c r="AM437" s="43">
        <v>421</v>
      </c>
      <c r="AN437">
        <v>133.82863505531506</v>
      </c>
      <c r="AO437">
        <v>12.893333461279909</v>
      </c>
      <c r="AP437">
        <v>133.49524583430559</v>
      </c>
      <c r="AQ437">
        <v>113.70931648115021</v>
      </c>
      <c r="AR437">
        <v>12.187275593177475</v>
      </c>
      <c r="AS437">
        <v>189.97233231203572</v>
      </c>
      <c r="AT437">
        <v>8.2745644545327526</v>
      </c>
      <c r="AU437">
        <v>4.6638307032302748</v>
      </c>
      <c r="AV437"/>
      <c r="AW437"/>
      <c r="FY437" s="210">
        <v>432</v>
      </c>
      <c r="FZ437">
        <v>23.250931275589075</v>
      </c>
      <c r="GA437">
        <v>28.242050944602994</v>
      </c>
      <c r="GB437">
        <v>2.4393727648434407</v>
      </c>
      <c r="GC437">
        <v>1.0870940500029698</v>
      </c>
      <c r="GD437">
        <v>0.81249608012149588</v>
      </c>
      <c r="GE437">
        <v>2.8110502092070222</v>
      </c>
      <c r="GF437">
        <v>8.0693562346105843</v>
      </c>
      <c r="GG437">
        <v>11.513936205548722</v>
      </c>
      <c r="GH437">
        <v>13.110489821815491</v>
      </c>
      <c r="GI437">
        <v>8.036399981440038</v>
      </c>
      <c r="GJ437"/>
      <c r="GK437"/>
      <c r="GL437"/>
      <c r="GM437"/>
    </row>
    <row r="438" spans="1:195" s="7" customFormat="1">
      <c r="A438" s="1">
        <f>SUM(E4:E15)</f>
        <v>98</v>
      </c>
      <c r="B438" s="13"/>
      <c r="C438" s="13"/>
      <c r="D438" s="13"/>
      <c r="E438" s="13"/>
      <c r="F438" s="13"/>
      <c r="G438" s="13"/>
      <c r="H438" s="14"/>
      <c r="I438" s="13"/>
      <c r="J438" s="21"/>
      <c r="K438" s="94"/>
      <c r="L438" s="94"/>
      <c r="M438" s="94"/>
      <c r="N438" s="94"/>
      <c r="O438" s="94"/>
      <c r="P438" s="94"/>
      <c r="Q438" s="94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81"/>
      <c r="AM438" s="43">
        <v>422</v>
      </c>
      <c r="AN438">
        <v>137.71313270195327</v>
      </c>
      <c r="AO438">
        <v>13.524543921348831</v>
      </c>
      <c r="AP438">
        <v>140.82758652660885</v>
      </c>
      <c r="AQ438">
        <v>119.67371831824485</v>
      </c>
      <c r="AR438">
        <v>12.79970176527249</v>
      </c>
      <c r="AS438">
        <v>185.79170719959927</v>
      </c>
      <c r="AT438">
        <v>8.4060038431492945</v>
      </c>
      <c r="AU438">
        <v>118.02103092905729</v>
      </c>
      <c r="AV438"/>
      <c r="AW438"/>
      <c r="FY438" s="210">
        <v>433</v>
      </c>
      <c r="FZ438">
        <v>33.131835095837864</v>
      </c>
      <c r="GA438">
        <v>43.573491631471505</v>
      </c>
      <c r="GB438">
        <v>3.5371191091045304</v>
      </c>
      <c r="GC438">
        <v>0.8747285018110651</v>
      </c>
      <c r="GD438">
        <v>0.78603718888093366</v>
      </c>
      <c r="GE438">
        <v>2.5965852857430041</v>
      </c>
      <c r="GF438">
        <v>11.183164668561284</v>
      </c>
      <c r="GG438">
        <v>10.833636141990022</v>
      </c>
      <c r="GH438">
        <v>5.8954834819690216</v>
      </c>
      <c r="GI438">
        <v>9.192265897971609</v>
      </c>
      <c r="GJ438"/>
      <c r="GK438"/>
      <c r="GL438"/>
      <c r="GM438"/>
    </row>
    <row r="439" spans="1:195" s="7" customFormat="1">
      <c r="A439" s="13" t="s">
        <v>78</v>
      </c>
      <c r="B439" s="10" t="s">
        <v>51</v>
      </c>
      <c r="C439" s="13"/>
      <c r="D439" s="13"/>
      <c r="E439" s="13"/>
      <c r="F439" s="134"/>
      <c r="G439" s="11" t="s">
        <v>33</v>
      </c>
      <c r="H439" s="13"/>
      <c r="I439" s="14"/>
      <c r="J439" s="13"/>
      <c r="K439" s="21"/>
      <c r="L439" s="13"/>
      <c r="M439" s="14"/>
      <c r="N439" s="13"/>
      <c r="O439" s="13"/>
      <c r="P439" s="13"/>
      <c r="Q439" s="14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4"/>
      <c r="AM439" s="43">
        <v>423</v>
      </c>
      <c r="AN439">
        <v>68.20318164608085</v>
      </c>
      <c r="AO439">
        <v>6.8044549918038069</v>
      </c>
      <c r="AP439">
        <v>65.851909232878285</v>
      </c>
      <c r="AQ439">
        <v>55.602925887629269</v>
      </c>
      <c r="AR439">
        <v>6.6464750542867526</v>
      </c>
      <c r="AS439">
        <v>99.752495148829695</v>
      </c>
      <c r="AT439">
        <v>4.3141723424504477</v>
      </c>
      <c r="AU439">
        <v>4.7574769580227025</v>
      </c>
      <c r="AV439"/>
      <c r="AW439"/>
      <c r="FY439" s="210">
        <v>434</v>
      </c>
      <c r="FZ439">
        <v>32.518141763419301</v>
      </c>
      <c r="GA439">
        <v>39.983016850220771</v>
      </c>
      <c r="GB439">
        <v>2.1669667237121404</v>
      </c>
      <c r="GC439">
        <v>0.91762674819622614</v>
      </c>
      <c r="GD439">
        <v>1.1771186956737405</v>
      </c>
      <c r="GE439">
        <v>2.4014587964890914</v>
      </c>
      <c r="GF439">
        <v>6.601851066622781</v>
      </c>
      <c r="GG439">
        <v>10.645993898154796</v>
      </c>
      <c r="GH439">
        <v>10.443369450980672</v>
      </c>
      <c r="GI439">
        <v>8.8844931501622071</v>
      </c>
      <c r="GJ439"/>
      <c r="GK439"/>
      <c r="GL439"/>
      <c r="GM439"/>
    </row>
    <row r="440" spans="1:195" s="7" customFormat="1">
      <c r="A440" s="1">
        <v>7</v>
      </c>
      <c r="B440" s="12" t="s">
        <v>34</v>
      </c>
      <c r="C440" s="10"/>
      <c r="D440" s="10" t="s">
        <v>115</v>
      </c>
      <c r="E440" s="13"/>
      <c r="F440" s="134"/>
      <c r="G440" s="44">
        <v>0.5</v>
      </c>
      <c r="H440" s="45">
        <v>1</v>
      </c>
      <c r="I440" s="45">
        <v>2</v>
      </c>
      <c r="J440" s="45">
        <v>3</v>
      </c>
      <c r="K440" s="45">
        <v>4</v>
      </c>
      <c r="L440" s="45">
        <v>5</v>
      </c>
      <c r="M440" s="45">
        <v>6</v>
      </c>
      <c r="N440" s="45">
        <v>7</v>
      </c>
      <c r="O440" s="46">
        <v>8</v>
      </c>
      <c r="P440" s="46">
        <v>9</v>
      </c>
      <c r="Q440" s="47">
        <v>10</v>
      </c>
      <c r="R440" s="46">
        <v>11</v>
      </c>
      <c r="S440" s="47">
        <v>12</v>
      </c>
      <c r="T440" s="46">
        <v>13</v>
      </c>
      <c r="U440" s="47">
        <v>14</v>
      </c>
      <c r="V440" s="46">
        <v>15</v>
      </c>
      <c r="W440" s="47">
        <v>16</v>
      </c>
      <c r="X440" s="46">
        <v>17</v>
      </c>
      <c r="Y440" s="47">
        <v>18</v>
      </c>
      <c r="Z440" s="46">
        <v>19</v>
      </c>
      <c r="AA440" s="47">
        <v>20</v>
      </c>
      <c r="AB440" s="46">
        <v>21</v>
      </c>
      <c r="AC440" s="47">
        <v>22</v>
      </c>
      <c r="AD440" s="46">
        <v>23</v>
      </c>
      <c r="AE440" s="47">
        <v>24</v>
      </c>
      <c r="AF440" s="46">
        <v>25</v>
      </c>
      <c r="AG440" s="47">
        <v>26</v>
      </c>
      <c r="AH440" s="46">
        <v>27</v>
      </c>
      <c r="AI440" s="47">
        <v>28</v>
      </c>
      <c r="AJ440" s="46">
        <v>29</v>
      </c>
      <c r="AK440" s="47">
        <v>30</v>
      </c>
      <c r="AL440" s="4"/>
      <c r="AM440" s="43">
        <v>424</v>
      </c>
      <c r="AN440">
        <v>78.531925085628444</v>
      </c>
      <c r="AO440">
        <v>9.0926474513258935</v>
      </c>
      <c r="AP440">
        <v>96.862277773823081</v>
      </c>
      <c r="AQ440">
        <v>81.136372575716109</v>
      </c>
      <c r="AR440">
        <v>8.6499824049902525</v>
      </c>
      <c r="AS440">
        <v>128.76665240166525</v>
      </c>
      <c r="AT440">
        <v>5.4239663606267685</v>
      </c>
      <c r="AU440">
        <v>21.944875252026399</v>
      </c>
      <c r="AV440"/>
      <c r="AW440"/>
      <c r="FY440" s="210">
        <v>435</v>
      </c>
      <c r="FZ440">
        <v>3.5891788284235515</v>
      </c>
      <c r="GA440">
        <v>4.643748751748161</v>
      </c>
      <c r="GB440">
        <v>2.995622368292675</v>
      </c>
      <c r="GC440">
        <v>0.8035519068635395</v>
      </c>
      <c r="GD440">
        <v>0.49526813915484991</v>
      </c>
      <c r="GE440">
        <v>2.1305733828628779</v>
      </c>
      <c r="GF440">
        <v>9.1933389936960381</v>
      </c>
      <c r="GG440">
        <v>10.539602566119605</v>
      </c>
      <c r="GH440">
        <v>7.9096604888683038</v>
      </c>
      <c r="GI440">
        <v>4.4809847106688139</v>
      </c>
      <c r="GJ440"/>
      <c r="GK440"/>
      <c r="GL440"/>
      <c r="GM440"/>
    </row>
    <row r="441" spans="1:195" s="7" customFormat="1">
      <c r="A441" s="21" t="s">
        <v>97</v>
      </c>
      <c r="B441" s="48" t="s">
        <v>38</v>
      </c>
      <c r="C441" s="107">
        <f t="shared" ref="C441:C450" si="419">SUM(G441:AK441)</f>
        <v>23.642477643601225</v>
      </c>
      <c r="D441" s="191">
        <f>$A$405</f>
        <v>13.69</v>
      </c>
      <c r="E441" s="8"/>
      <c r="F441" s="124"/>
      <c r="G441" s="107" t="str">
        <f t="shared" ref="G441:G450" si="420">IF(G423&lt;=0, "0.000", G423)</f>
        <v>0.000</v>
      </c>
      <c r="H441" s="107">
        <f t="shared" ref="H441:AK441" si="421">IF(H423&lt;=0, "0.000", H423)</f>
        <v>3.8554972614129146E-3</v>
      </c>
      <c r="I441" s="107">
        <f t="shared" si="421"/>
        <v>0.53229349702262296</v>
      </c>
      <c r="J441" s="107">
        <f t="shared" si="421"/>
        <v>1.6752893245709972</v>
      </c>
      <c r="K441" s="107">
        <f t="shared" si="421"/>
        <v>4.1740820741865727</v>
      </c>
      <c r="L441" s="107">
        <f t="shared" si="421"/>
        <v>5.7395631171424517</v>
      </c>
      <c r="M441" s="107">
        <f t="shared" si="421"/>
        <v>7.0300215728020774</v>
      </c>
      <c r="N441" s="107">
        <f t="shared" si="421"/>
        <v>4.48737256061509</v>
      </c>
      <c r="O441" s="107" t="str">
        <f t="shared" si="421"/>
        <v>0.000</v>
      </c>
      <c r="P441" s="107" t="str">
        <f t="shared" si="421"/>
        <v>0.000</v>
      </c>
      <c r="Q441" s="107" t="str">
        <f t="shared" si="421"/>
        <v>0.000</v>
      </c>
      <c r="R441" s="107" t="str">
        <f t="shared" si="421"/>
        <v>0.000</v>
      </c>
      <c r="S441" s="107" t="str">
        <f t="shared" si="421"/>
        <v>0.000</v>
      </c>
      <c r="T441" s="107" t="str">
        <f t="shared" si="421"/>
        <v>0.000</v>
      </c>
      <c r="U441" s="107" t="str">
        <f t="shared" si="421"/>
        <v>0.000</v>
      </c>
      <c r="V441" s="107" t="str">
        <f t="shared" si="421"/>
        <v>0.000</v>
      </c>
      <c r="W441" s="107" t="str">
        <f t="shared" si="421"/>
        <v>0.000</v>
      </c>
      <c r="X441" s="107" t="str">
        <f t="shared" si="421"/>
        <v>0.000</v>
      </c>
      <c r="Y441" s="107" t="str">
        <f t="shared" si="421"/>
        <v>0.000</v>
      </c>
      <c r="Z441" s="107" t="str">
        <f t="shared" si="421"/>
        <v>0.000</v>
      </c>
      <c r="AA441" s="107" t="str">
        <f t="shared" si="421"/>
        <v>0.000</v>
      </c>
      <c r="AB441" s="107" t="str">
        <f t="shared" si="421"/>
        <v>0.000</v>
      </c>
      <c r="AC441" s="107" t="str">
        <f t="shared" si="421"/>
        <v>0.000</v>
      </c>
      <c r="AD441" s="107" t="str">
        <f t="shared" si="421"/>
        <v>0.000</v>
      </c>
      <c r="AE441" s="107" t="str">
        <f t="shared" si="421"/>
        <v>0.000</v>
      </c>
      <c r="AF441" s="107" t="str">
        <f t="shared" si="421"/>
        <v>0.000</v>
      </c>
      <c r="AG441" s="107" t="str">
        <f t="shared" si="421"/>
        <v>0.000</v>
      </c>
      <c r="AH441" s="107" t="str">
        <f t="shared" si="421"/>
        <v>0.000</v>
      </c>
      <c r="AI441" s="107" t="str">
        <f t="shared" si="421"/>
        <v>0.000</v>
      </c>
      <c r="AJ441" s="107" t="str">
        <f t="shared" si="421"/>
        <v>0.000</v>
      </c>
      <c r="AK441" s="107" t="str">
        <f t="shared" si="421"/>
        <v>0.000</v>
      </c>
      <c r="AL441" s="4"/>
      <c r="AM441" s="43">
        <v>425</v>
      </c>
      <c r="AN441">
        <v>141.80684561443451</v>
      </c>
      <c r="AO441">
        <v>14.981700517937705</v>
      </c>
      <c r="AP441">
        <v>154.10379010729679</v>
      </c>
      <c r="AQ441">
        <v>131.01749239319702</v>
      </c>
      <c r="AR441">
        <v>14.511181709053737</v>
      </c>
      <c r="AS441">
        <v>208.63798376821541</v>
      </c>
      <c r="AT441">
        <v>8.9677371990421886</v>
      </c>
      <c r="AU441">
        <v>45.46145644509263</v>
      </c>
      <c r="AV441"/>
      <c r="AW441"/>
      <c r="FY441" s="210">
        <v>436</v>
      </c>
      <c r="FZ441">
        <v>45.769634388916522</v>
      </c>
      <c r="GA441">
        <v>52.397566627843915</v>
      </c>
      <c r="GB441">
        <v>1.1224052540830984</v>
      </c>
      <c r="GC441">
        <v>1.000147057566128</v>
      </c>
      <c r="GD441">
        <v>0.89152090084605184</v>
      </c>
      <c r="GE441">
        <v>2.1260799930156304</v>
      </c>
      <c r="GF441">
        <v>9.3648860163522656</v>
      </c>
      <c r="GG441">
        <v>13.652955703634056</v>
      </c>
      <c r="GH441">
        <v>11.707991349440858</v>
      </c>
      <c r="GI441">
        <v>11.101018941466915</v>
      </c>
      <c r="GJ441"/>
      <c r="GK441"/>
      <c r="GL441"/>
      <c r="GM441"/>
    </row>
    <row r="442" spans="1:195" s="7" customFormat="1">
      <c r="A442" s="1">
        <v>140</v>
      </c>
      <c r="B442" s="48" t="s">
        <v>39</v>
      </c>
      <c r="C442" s="107">
        <f t="shared" si="419"/>
        <v>27.665013440412974</v>
      </c>
      <c r="D442" s="191">
        <f>$A$406</f>
        <v>9.4499999999999993</v>
      </c>
      <c r="E442" s="8"/>
      <c r="F442" s="124"/>
      <c r="G442" s="173" t="str">
        <f t="shared" si="420"/>
        <v>0.000</v>
      </c>
      <c r="H442" s="173">
        <f t="shared" ref="H442:V442" si="422">IF(H424&lt;=0, "0.000", H424)</f>
        <v>4.5634506490529443E-3</v>
      </c>
      <c r="I442" s="173">
        <f t="shared" si="422"/>
        <v>0.21525970887024221</v>
      </c>
      <c r="J442" s="173">
        <f t="shared" si="422"/>
        <v>1.6336063574005046</v>
      </c>
      <c r="K442" s="173">
        <f t="shared" si="422"/>
        <v>4.7069506909590428</v>
      </c>
      <c r="L442" s="173">
        <f t="shared" si="422"/>
        <v>6.7603277296093394</v>
      </c>
      <c r="M442" s="173">
        <f t="shared" si="422"/>
        <v>7.5799471152268385</v>
      </c>
      <c r="N442" s="173">
        <f t="shared" si="422"/>
        <v>6.7643583876979525</v>
      </c>
      <c r="O442" s="173" t="str">
        <f t="shared" si="422"/>
        <v>0.000</v>
      </c>
      <c r="P442" s="173" t="str">
        <f t="shared" si="422"/>
        <v>0.000</v>
      </c>
      <c r="Q442" s="173" t="str">
        <f t="shared" si="422"/>
        <v>0.000</v>
      </c>
      <c r="R442" s="173" t="str">
        <f t="shared" si="422"/>
        <v>0.000</v>
      </c>
      <c r="S442" s="173" t="str">
        <f t="shared" si="422"/>
        <v>0.000</v>
      </c>
      <c r="T442" s="173" t="str">
        <f t="shared" si="422"/>
        <v>0.000</v>
      </c>
      <c r="U442" s="173" t="str">
        <f t="shared" si="422"/>
        <v>0.000</v>
      </c>
      <c r="V442" s="173" t="str">
        <f t="shared" si="422"/>
        <v>0.000</v>
      </c>
      <c r="W442" s="173" t="str">
        <f t="shared" ref="W442:AK442" si="423">IF(W424&lt;=0, "0.000", W424)</f>
        <v>0.000</v>
      </c>
      <c r="X442" s="173" t="str">
        <f t="shared" si="423"/>
        <v>0.000</v>
      </c>
      <c r="Y442" s="173" t="str">
        <f t="shared" si="423"/>
        <v>0.000</v>
      </c>
      <c r="Z442" s="173" t="str">
        <f t="shared" si="423"/>
        <v>0.000</v>
      </c>
      <c r="AA442" s="173" t="str">
        <f t="shared" si="423"/>
        <v>0.000</v>
      </c>
      <c r="AB442" s="173" t="str">
        <f t="shared" si="423"/>
        <v>0.000</v>
      </c>
      <c r="AC442" s="173" t="str">
        <f t="shared" si="423"/>
        <v>0.000</v>
      </c>
      <c r="AD442" s="173" t="str">
        <f t="shared" si="423"/>
        <v>0.000</v>
      </c>
      <c r="AE442" s="173" t="str">
        <f t="shared" si="423"/>
        <v>0.000</v>
      </c>
      <c r="AF442" s="173" t="str">
        <f t="shared" si="423"/>
        <v>0.000</v>
      </c>
      <c r="AG442" s="173" t="str">
        <f t="shared" si="423"/>
        <v>0.000</v>
      </c>
      <c r="AH442" s="173" t="str">
        <f t="shared" si="423"/>
        <v>0.000</v>
      </c>
      <c r="AI442" s="173" t="str">
        <f t="shared" si="423"/>
        <v>0.000</v>
      </c>
      <c r="AJ442" s="173" t="str">
        <f t="shared" si="423"/>
        <v>0.000</v>
      </c>
      <c r="AK442" s="173" t="str">
        <f t="shared" si="423"/>
        <v>0.000</v>
      </c>
      <c r="AL442" s="4"/>
      <c r="AM442" s="43">
        <v>426</v>
      </c>
      <c r="AN442">
        <v>110.54669878886327</v>
      </c>
      <c r="AO442">
        <v>7.7106167891097783</v>
      </c>
      <c r="AP442">
        <v>73.781782619120122</v>
      </c>
      <c r="AQ442">
        <v>62.458762337185576</v>
      </c>
      <c r="AR442">
        <v>7.2656113822694843</v>
      </c>
      <c r="AS442">
        <v>125.95642874811249</v>
      </c>
      <c r="AT442">
        <v>4.6942585188712753</v>
      </c>
      <c r="AU442">
        <v>16.133782742231528</v>
      </c>
      <c r="AV442"/>
      <c r="AW442"/>
      <c r="FY442" s="210">
        <v>437</v>
      </c>
      <c r="FZ442">
        <v>3.9328745758245041</v>
      </c>
      <c r="GA442">
        <v>3.8461709847821082</v>
      </c>
      <c r="GB442">
        <v>2.5304931942473252</v>
      </c>
      <c r="GC442">
        <v>0.83973669800144735</v>
      </c>
      <c r="GD442">
        <v>0.73470342507308417</v>
      </c>
      <c r="GE442">
        <v>1.6640965510566779</v>
      </c>
      <c r="GF442">
        <v>7.5242657176222592</v>
      </c>
      <c r="GG442">
        <v>9.7191819058727251</v>
      </c>
      <c r="GH442">
        <v>8.0767509438805511</v>
      </c>
      <c r="GI442">
        <v>4.2833004897789619</v>
      </c>
      <c r="GJ442"/>
      <c r="GK442"/>
      <c r="GL442"/>
      <c r="GM442"/>
    </row>
    <row r="443" spans="1:195" s="7" customFormat="1">
      <c r="A443" s="103" t="s">
        <v>98</v>
      </c>
      <c r="B443" s="48" t="s">
        <v>40</v>
      </c>
      <c r="C443" s="107">
        <f t="shared" si="419"/>
        <v>2.9176410956799481</v>
      </c>
      <c r="D443" s="191">
        <f>A$407</f>
        <v>4.03</v>
      </c>
      <c r="E443" s="8"/>
      <c r="F443" s="124"/>
      <c r="G443" s="173" t="str">
        <f t="shared" si="420"/>
        <v>0.000</v>
      </c>
      <c r="H443" s="173" t="str">
        <f t="shared" ref="H443:V443" si="424">IF(H425&lt;=0, "0.000", H425)</f>
        <v>0.000</v>
      </c>
      <c r="I443" s="173">
        <f t="shared" si="424"/>
        <v>0.70916424810772694</v>
      </c>
      <c r="J443" s="173">
        <f t="shared" si="424"/>
        <v>0.30659229272476696</v>
      </c>
      <c r="K443" s="173">
        <f t="shared" si="424"/>
        <v>0.70471878208477678</v>
      </c>
      <c r="L443" s="173">
        <f t="shared" si="424"/>
        <v>0.10374869169754163</v>
      </c>
      <c r="M443" s="173">
        <f t="shared" si="424"/>
        <v>0.33790897961794319</v>
      </c>
      <c r="N443" s="173">
        <f t="shared" si="424"/>
        <v>0.75550810144719249</v>
      </c>
      <c r="O443" s="173" t="str">
        <f t="shared" si="424"/>
        <v>0.000</v>
      </c>
      <c r="P443" s="173" t="str">
        <f t="shared" si="424"/>
        <v>0.000</v>
      </c>
      <c r="Q443" s="173" t="str">
        <f t="shared" si="424"/>
        <v>0.000</v>
      </c>
      <c r="R443" s="173" t="str">
        <f t="shared" si="424"/>
        <v>0.000</v>
      </c>
      <c r="S443" s="173" t="str">
        <f t="shared" si="424"/>
        <v>0.000</v>
      </c>
      <c r="T443" s="173" t="str">
        <f t="shared" si="424"/>
        <v>0.000</v>
      </c>
      <c r="U443" s="173" t="str">
        <f t="shared" si="424"/>
        <v>0.000</v>
      </c>
      <c r="V443" s="173" t="str">
        <f t="shared" si="424"/>
        <v>0.000</v>
      </c>
      <c r="W443" s="173" t="str">
        <f t="shared" ref="W443:AK443" si="425">IF(W425&lt;=0, "0.000", W425)</f>
        <v>0.000</v>
      </c>
      <c r="X443" s="173" t="str">
        <f t="shared" si="425"/>
        <v>0.000</v>
      </c>
      <c r="Y443" s="173" t="str">
        <f t="shared" si="425"/>
        <v>0.000</v>
      </c>
      <c r="Z443" s="173" t="str">
        <f t="shared" si="425"/>
        <v>0.000</v>
      </c>
      <c r="AA443" s="173" t="str">
        <f t="shared" si="425"/>
        <v>0.000</v>
      </c>
      <c r="AB443" s="173" t="str">
        <f t="shared" si="425"/>
        <v>0.000</v>
      </c>
      <c r="AC443" s="173" t="str">
        <f t="shared" si="425"/>
        <v>0.000</v>
      </c>
      <c r="AD443" s="173" t="str">
        <f t="shared" si="425"/>
        <v>0.000</v>
      </c>
      <c r="AE443" s="173" t="str">
        <f t="shared" si="425"/>
        <v>0.000</v>
      </c>
      <c r="AF443" s="173" t="str">
        <f t="shared" si="425"/>
        <v>0.000</v>
      </c>
      <c r="AG443" s="173" t="str">
        <f t="shared" si="425"/>
        <v>0.000</v>
      </c>
      <c r="AH443" s="173" t="str">
        <f t="shared" si="425"/>
        <v>0.000</v>
      </c>
      <c r="AI443" s="173" t="str">
        <f t="shared" si="425"/>
        <v>0.000</v>
      </c>
      <c r="AJ443" s="173" t="str">
        <f t="shared" si="425"/>
        <v>0.000</v>
      </c>
      <c r="AK443" s="173" t="str">
        <f t="shared" si="425"/>
        <v>0.000</v>
      </c>
      <c r="AL443" s="4"/>
      <c r="AM443" s="43">
        <v>427</v>
      </c>
      <c r="AN443">
        <v>104.91054194373832</v>
      </c>
      <c r="AO443">
        <v>12.645017814259068</v>
      </c>
      <c r="AP443">
        <v>126.10158845494463</v>
      </c>
      <c r="AQ443">
        <v>109.56825478139322</v>
      </c>
      <c r="AR443">
        <v>12.179023583603458</v>
      </c>
      <c r="AS443">
        <v>177.77243084370028</v>
      </c>
      <c r="AT443">
        <v>8.6040453995261661</v>
      </c>
      <c r="AU443">
        <v>-8.8964334027101835</v>
      </c>
      <c r="AV443"/>
      <c r="AW443"/>
      <c r="FY443" s="210">
        <v>438</v>
      </c>
      <c r="FZ443">
        <v>45.159606428435083</v>
      </c>
      <c r="GA443">
        <v>52.213959528959684</v>
      </c>
      <c r="GB443">
        <v>3.1279786385895267</v>
      </c>
      <c r="GC443">
        <v>1.5458212187597731</v>
      </c>
      <c r="GD443">
        <v>1.0520734704432306</v>
      </c>
      <c r="GE443">
        <v>4.968805307479581</v>
      </c>
      <c r="GF443">
        <v>6.3546012145656112</v>
      </c>
      <c r="GG443">
        <v>3.3787180156274532</v>
      </c>
      <c r="GH443">
        <v>5.6746839426870412</v>
      </c>
      <c r="GI443">
        <v>10.105561722098987</v>
      </c>
      <c r="GJ443"/>
      <c r="GK443"/>
      <c r="GL443"/>
      <c r="GM443"/>
    </row>
    <row r="444" spans="1:195" s="7" customFormat="1">
      <c r="A444" s="1">
        <v>100</v>
      </c>
      <c r="B444" s="48" t="s">
        <v>41</v>
      </c>
      <c r="C444" s="107">
        <f t="shared" si="419"/>
        <v>1.2530424280707566</v>
      </c>
      <c r="D444" s="191">
        <f>A$408</f>
        <v>0.78</v>
      </c>
      <c r="E444" s="8"/>
      <c r="F444" s="124"/>
      <c r="G444" s="173" t="str">
        <f t="shared" si="420"/>
        <v>0.000</v>
      </c>
      <c r="H444" s="173">
        <f t="shared" ref="H444:V444" si="426">IF(H426&lt;=0, "0.000", H426)</f>
        <v>2.6268150680601194E-3</v>
      </c>
      <c r="I444" s="173">
        <f t="shared" si="426"/>
        <v>0.52610784628320517</v>
      </c>
      <c r="J444" s="173">
        <f t="shared" si="426"/>
        <v>0.33325735398885276</v>
      </c>
      <c r="K444" s="173">
        <f t="shared" si="426"/>
        <v>0.3910504127306384</v>
      </c>
      <c r="L444" s="173" t="str">
        <f t="shared" si="426"/>
        <v>0.000</v>
      </c>
      <c r="M444" s="173" t="str">
        <f t="shared" si="426"/>
        <v>0.000</v>
      </c>
      <c r="N444" s="173" t="str">
        <f t="shared" si="426"/>
        <v>0.000</v>
      </c>
      <c r="O444" s="173" t="str">
        <f t="shared" si="426"/>
        <v>0.000</v>
      </c>
      <c r="P444" s="173" t="str">
        <f t="shared" si="426"/>
        <v>0.000</v>
      </c>
      <c r="Q444" s="173" t="str">
        <f t="shared" si="426"/>
        <v>0.000</v>
      </c>
      <c r="R444" s="173" t="str">
        <f t="shared" si="426"/>
        <v>0.000</v>
      </c>
      <c r="S444" s="173" t="str">
        <f t="shared" si="426"/>
        <v>0.000</v>
      </c>
      <c r="T444" s="173" t="str">
        <f t="shared" si="426"/>
        <v>0.000</v>
      </c>
      <c r="U444" s="173" t="str">
        <f t="shared" si="426"/>
        <v>0.000</v>
      </c>
      <c r="V444" s="173" t="str">
        <f t="shared" si="426"/>
        <v>0.000</v>
      </c>
      <c r="W444" s="173" t="str">
        <f t="shared" ref="W444:AK444" si="427">IF(W426&lt;=0, "0.000", W426)</f>
        <v>0.000</v>
      </c>
      <c r="X444" s="173" t="str">
        <f t="shared" si="427"/>
        <v>0.000</v>
      </c>
      <c r="Y444" s="173" t="str">
        <f t="shared" si="427"/>
        <v>0.000</v>
      </c>
      <c r="Z444" s="173" t="str">
        <f t="shared" si="427"/>
        <v>0.000</v>
      </c>
      <c r="AA444" s="173" t="str">
        <f t="shared" si="427"/>
        <v>0.000</v>
      </c>
      <c r="AB444" s="173" t="str">
        <f t="shared" si="427"/>
        <v>0.000</v>
      </c>
      <c r="AC444" s="173" t="str">
        <f t="shared" si="427"/>
        <v>0.000</v>
      </c>
      <c r="AD444" s="173" t="str">
        <f t="shared" si="427"/>
        <v>0.000</v>
      </c>
      <c r="AE444" s="173" t="str">
        <f t="shared" si="427"/>
        <v>0.000</v>
      </c>
      <c r="AF444" s="173" t="str">
        <f t="shared" si="427"/>
        <v>0.000</v>
      </c>
      <c r="AG444" s="173" t="str">
        <f t="shared" si="427"/>
        <v>0.000</v>
      </c>
      <c r="AH444" s="173" t="str">
        <f t="shared" si="427"/>
        <v>0.000</v>
      </c>
      <c r="AI444" s="173" t="str">
        <f t="shared" si="427"/>
        <v>0.000</v>
      </c>
      <c r="AJ444" s="173" t="str">
        <f t="shared" si="427"/>
        <v>0.000</v>
      </c>
      <c r="AK444" s="173" t="str">
        <f t="shared" si="427"/>
        <v>0.000</v>
      </c>
      <c r="AL444" s="4"/>
      <c r="AM444" s="43">
        <v>428</v>
      </c>
      <c r="AN444">
        <v>99.073446712881307</v>
      </c>
      <c r="AO444">
        <v>11.646594669868151</v>
      </c>
      <c r="AP444">
        <v>121.61933108028812</v>
      </c>
      <c r="AQ444">
        <v>105.56744024282916</v>
      </c>
      <c r="AR444">
        <v>11.194978922167966</v>
      </c>
      <c r="AS444">
        <v>163.94687014826792</v>
      </c>
      <c r="AT444">
        <v>7.0741816638102017</v>
      </c>
      <c r="AU444">
        <v>69.396566738285358</v>
      </c>
      <c r="AV444"/>
      <c r="AW444"/>
      <c r="FY444" s="210">
        <v>439</v>
      </c>
      <c r="FZ444">
        <v>23.857932976906611</v>
      </c>
      <c r="GA444">
        <v>30.518235279201726</v>
      </c>
      <c r="GB444">
        <v>4.8693472480737725</v>
      </c>
      <c r="GC444">
        <v>1.5933705628592501</v>
      </c>
      <c r="GD444">
        <v>0.64590432455652591</v>
      </c>
      <c r="GE444">
        <v>2.0547048705634077</v>
      </c>
      <c r="GF444">
        <v>7.7088916056659844</v>
      </c>
      <c r="GG444">
        <v>9.9833611005861602</v>
      </c>
      <c r="GH444">
        <v>9.0619410117740902</v>
      </c>
      <c r="GI444">
        <v>7.9332085183444319</v>
      </c>
      <c r="GJ444"/>
      <c r="GK444"/>
      <c r="GL444"/>
      <c r="GM444"/>
    </row>
    <row r="445" spans="1:195" s="7" customFormat="1">
      <c r="A445" s="4"/>
      <c r="B445" s="48" t="s">
        <v>42</v>
      </c>
      <c r="C445" s="107">
        <f t="shared" si="419"/>
        <v>1.0402862996927793</v>
      </c>
      <c r="D445" s="191">
        <f>A$409</f>
        <v>0.14000000000000001</v>
      </c>
      <c r="E445" s="8"/>
      <c r="F445" s="124"/>
      <c r="G445" s="173" t="str">
        <f t="shared" si="420"/>
        <v>0.000</v>
      </c>
      <c r="H445" s="173">
        <f t="shared" ref="H445:V445" si="428">IF(H427&lt;=0, "0.000", H427)</f>
        <v>1.6224939204064856E-2</v>
      </c>
      <c r="I445" s="173">
        <f t="shared" si="428"/>
        <v>0.12776963054904794</v>
      </c>
      <c r="J445" s="173">
        <f t="shared" si="428"/>
        <v>0.5536023923408222</v>
      </c>
      <c r="K445" s="173" t="str">
        <f t="shared" si="428"/>
        <v>0.000</v>
      </c>
      <c r="L445" s="173" t="str">
        <f t="shared" si="428"/>
        <v>0.000</v>
      </c>
      <c r="M445" s="173">
        <f t="shared" si="428"/>
        <v>0.1397600144832184</v>
      </c>
      <c r="N445" s="173">
        <f t="shared" si="428"/>
        <v>0.20292932311562584</v>
      </c>
      <c r="O445" s="173" t="str">
        <f t="shared" si="428"/>
        <v>0.000</v>
      </c>
      <c r="P445" s="173" t="str">
        <f t="shared" si="428"/>
        <v>0.000</v>
      </c>
      <c r="Q445" s="173" t="str">
        <f t="shared" si="428"/>
        <v>0.000</v>
      </c>
      <c r="R445" s="173" t="str">
        <f t="shared" si="428"/>
        <v>0.000</v>
      </c>
      <c r="S445" s="173" t="str">
        <f t="shared" si="428"/>
        <v>0.000</v>
      </c>
      <c r="T445" s="173" t="str">
        <f t="shared" si="428"/>
        <v>0.000</v>
      </c>
      <c r="U445" s="173" t="str">
        <f t="shared" si="428"/>
        <v>0.000</v>
      </c>
      <c r="V445" s="173" t="str">
        <f t="shared" si="428"/>
        <v>0.000</v>
      </c>
      <c r="W445" s="173" t="str">
        <f t="shared" ref="W445:AK445" si="429">IF(W427&lt;=0, "0.000", W427)</f>
        <v>0.000</v>
      </c>
      <c r="X445" s="173" t="str">
        <f t="shared" si="429"/>
        <v>0.000</v>
      </c>
      <c r="Y445" s="173" t="str">
        <f t="shared" si="429"/>
        <v>0.000</v>
      </c>
      <c r="Z445" s="173" t="str">
        <f t="shared" si="429"/>
        <v>0.000</v>
      </c>
      <c r="AA445" s="173" t="str">
        <f t="shared" si="429"/>
        <v>0.000</v>
      </c>
      <c r="AB445" s="173" t="str">
        <f t="shared" si="429"/>
        <v>0.000</v>
      </c>
      <c r="AC445" s="173" t="str">
        <f t="shared" si="429"/>
        <v>0.000</v>
      </c>
      <c r="AD445" s="173" t="str">
        <f t="shared" si="429"/>
        <v>0.000</v>
      </c>
      <c r="AE445" s="173" t="str">
        <f t="shared" si="429"/>
        <v>0.000</v>
      </c>
      <c r="AF445" s="173" t="str">
        <f t="shared" si="429"/>
        <v>0.000</v>
      </c>
      <c r="AG445" s="173" t="str">
        <f t="shared" si="429"/>
        <v>0.000</v>
      </c>
      <c r="AH445" s="173" t="str">
        <f t="shared" si="429"/>
        <v>0.000</v>
      </c>
      <c r="AI445" s="173" t="str">
        <f t="shared" si="429"/>
        <v>0.000</v>
      </c>
      <c r="AJ445" s="173" t="str">
        <f t="shared" si="429"/>
        <v>0.000</v>
      </c>
      <c r="AK445" s="173" t="str">
        <f t="shared" si="429"/>
        <v>0.000</v>
      </c>
      <c r="AL445" s="4"/>
      <c r="AM445" s="43">
        <v>429</v>
      </c>
      <c r="AN445">
        <v>127.86207393287421</v>
      </c>
      <c r="AO445">
        <v>6.2314758264851475</v>
      </c>
      <c r="AP445">
        <v>56.010482052086303</v>
      </c>
      <c r="AQ445">
        <v>45.079009128934914</v>
      </c>
      <c r="AR445">
        <v>5.867329493039656</v>
      </c>
      <c r="AS445">
        <v>132.81514832124336</v>
      </c>
      <c r="AT445">
        <v>3.6831487372854728</v>
      </c>
      <c r="AU445">
        <v>4.4764314339291893</v>
      </c>
      <c r="AV445"/>
      <c r="AW445"/>
      <c r="FY445" s="210">
        <v>440</v>
      </c>
      <c r="FZ445">
        <v>2.3258152777560515</v>
      </c>
      <c r="GA445">
        <v>0.56676850417116098</v>
      </c>
      <c r="GB445">
        <v>1.8943844007815469</v>
      </c>
      <c r="GC445">
        <v>1.4630624295478016</v>
      </c>
      <c r="GD445">
        <v>1.0063745237851496</v>
      </c>
      <c r="GE445">
        <v>2.3421040260952122</v>
      </c>
      <c r="GF445">
        <v>5.0470313233141928</v>
      </c>
      <c r="GG445">
        <v>7.8659924975714137</v>
      </c>
      <c r="GH445">
        <v>9.2442993905534756</v>
      </c>
      <c r="GI445">
        <v>3.7716518151325786</v>
      </c>
      <c r="GJ445"/>
      <c r="GK445"/>
      <c r="GL445"/>
      <c r="GM445"/>
    </row>
    <row r="446" spans="1:195" s="7" customFormat="1">
      <c r="A446" s="4"/>
      <c r="B446" s="48" t="s">
        <v>118</v>
      </c>
      <c r="C446" s="107">
        <f t="shared" si="419"/>
        <v>3.0471098917371289</v>
      </c>
      <c r="D446" s="191">
        <f>A$410</f>
        <v>0.21</v>
      </c>
      <c r="E446" s="8"/>
      <c r="F446" s="124"/>
      <c r="G446" s="173" t="str">
        <f t="shared" si="420"/>
        <v>0.000</v>
      </c>
      <c r="H446" s="173">
        <f t="shared" ref="H446:V446" si="430">IF(H428&lt;=0, "0.000", H428)</f>
        <v>8.0041944640673116E-2</v>
      </c>
      <c r="I446" s="173">
        <f t="shared" si="430"/>
        <v>0.55417106740740774</v>
      </c>
      <c r="J446" s="173">
        <f t="shared" si="430"/>
        <v>1.1978165518201724</v>
      </c>
      <c r="K446" s="173">
        <f t="shared" si="430"/>
        <v>0.12163357687672723</v>
      </c>
      <c r="L446" s="173">
        <f t="shared" si="430"/>
        <v>0.22128938358878783</v>
      </c>
      <c r="M446" s="173">
        <f t="shared" si="430"/>
        <v>0.46041880628196719</v>
      </c>
      <c r="N446" s="173">
        <f t="shared" si="430"/>
        <v>0.41173856112139356</v>
      </c>
      <c r="O446" s="173" t="str">
        <f t="shared" si="430"/>
        <v>0.000</v>
      </c>
      <c r="P446" s="173" t="str">
        <f t="shared" si="430"/>
        <v>0.000</v>
      </c>
      <c r="Q446" s="173" t="str">
        <f t="shared" si="430"/>
        <v>0.000</v>
      </c>
      <c r="R446" s="173" t="str">
        <f t="shared" si="430"/>
        <v>0.000</v>
      </c>
      <c r="S446" s="173" t="str">
        <f t="shared" si="430"/>
        <v>0.000</v>
      </c>
      <c r="T446" s="173" t="str">
        <f t="shared" si="430"/>
        <v>0.000</v>
      </c>
      <c r="U446" s="173" t="str">
        <f t="shared" si="430"/>
        <v>0.000</v>
      </c>
      <c r="V446" s="173" t="str">
        <f t="shared" si="430"/>
        <v>0.000</v>
      </c>
      <c r="W446" s="173" t="str">
        <f t="shared" ref="W446:AK446" si="431">IF(W428&lt;=0, "0.000", W428)</f>
        <v>0.000</v>
      </c>
      <c r="X446" s="173" t="str">
        <f t="shared" si="431"/>
        <v>0.000</v>
      </c>
      <c r="Y446" s="173" t="str">
        <f t="shared" si="431"/>
        <v>0.000</v>
      </c>
      <c r="Z446" s="173" t="str">
        <f t="shared" si="431"/>
        <v>0.000</v>
      </c>
      <c r="AA446" s="173" t="str">
        <f t="shared" si="431"/>
        <v>0.000</v>
      </c>
      <c r="AB446" s="173" t="str">
        <f t="shared" si="431"/>
        <v>0.000</v>
      </c>
      <c r="AC446" s="173" t="str">
        <f t="shared" si="431"/>
        <v>0.000</v>
      </c>
      <c r="AD446" s="173" t="str">
        <f t="shared" si="431"/>
        <v>0.000</v>
      </c>
      <c r="AE446" s="173" t="str">
        <f t="shared" si="431"/>
        <v>0.000</v>
      </c>
      <c r="AF446" s="173" t="str">
        <f t="shared" si="431"/>
        <v>0.000</v>
      </c>
      <c r="AG446" s="173" t="str">
        <f t="shared" si="431"/>
        <v>0.000</v>
      </c>
      <c r="AH446" s="173" t="str">
        <f t="shared" si="431"/>
        <v>0.000</v>
      </c>
      <c r="AI446" s="173" t="str">
        <f t="shared" si="431"/>
        <v>0.000</v>
      </c>
      <c r="AJ446" s="173" t="str">
        <f t="shared" si="431"/>
        <v>0.000</v>
      </c>
      <c r="AK446" s="173" t="str">
        <f t="shared" si="431"/>
        <v>0.000</v>
      </c>
      <c r="AL446" s="4"/>
      <c r="AM446" s="43">
        <v>430</v>
      </c>
      <c r="AN446">
        <v>120.84802262802796</v>
      </c>
      <c r="AO446">
        <v>12.934008070649941</v>
      </c>
      <c r="AP446">
        <v>134.85812246691904</v>
      </c>
      <c r="AQ446">
        <v>114.54637117323873</v>
      </c>
      <c r="AR446">
        <v>12.485328327345707</v>
      </c>
      <c r="AS446">
        <v>184.70157803576609</v>
      </c>
      <c r="AT446">
        <v>7.9672374985106131</v>
      </c>
      <c r="AU446">
        <v>14.026008823487505</v>
      </c>
      <c r="AV446"/>
      <c r="AW446"/>
      <c r="FY446" s="210">
        <v>441</v>
      </c>
      <c r="FZ446">
        <v>23.652911260998927</v>
      </c>
      <c r="GA446">
        <v>26.082618893009144</v>
      </c>
      <c r="GB446">
        <v>2.6243994665044332</v>
      </c>
      <c r="GC446">
        <v>1.672914316946579</v>
      </c>
      <c r="GD446">
        <v>1.0828327266415771</v>
      </c>
      <c r="GE446">
        <v>3.8180169256080103</v>
      </c>
      <c r="GF446">
        <v>6.1674977886254085</v>
      </c>
      <c r="GG446">
        <v>7.7675950942758707</v>
      </c>
      <c r="GH446">
        <v>11.351207510369482</v>
      </c>
      <c r="GI446">
        <v>7.6821845738046877</v>
      </c>
      <c r="GJ446"/>
      <c r="GK446"/>
      <c r="GL446"/>
      <c r="GM446"/>
    </row>
    <row r="447" spans="1:195" s="7" customFormat="1">
      <c r="A447" s="4"/>
      <c r="B447" s="48" t="s">
        <v>119</v>
      </c>
      <c r="C447" s="107">
        <f t="shared" si="419"/>
        <v>10.993507799736735</v>
      </c>
      <c r="D447" s="191">
        <f>A$411</f>
        <v>1.28</v>
      </c>
      <c r="E447" s="8"/>
      <c r="F447" s="124"/>
      <c r="G447" s="173" t="str">
        <f t="shared" si="420"/>
        <v>0.000</v>
      </c>
      <c r="H447" s="173">
        <f t="shared" ref="H447:V447" si="432">IF(H429&lt;=0, "0.000", H429)</f>
        <v>7.9852890766180837E-2</v>
      </c>
      <c r="I447" s="173">
        <f t="shared" si="432"/>
        <v>4.0805981470731254</v>
      </c>
      <c r="J447" s="173">
        <f t="shared" si="432"/>
        <v>1.4899033299865569</v>
      </c>
      <c r="K447" s="173">
        <f t="shared" si="432"/>
        <v>4.7151128217723937</v>
      </c>
      <c r="L447" s="173">
        <f t="shared" si="432"/>
        <v>0.34778588324388371</v>
      </c>
      <c r="M447" s="173">
        <f t="shared" si="432"/>
        <v>0.28025472689459602</v>
      </c>
      <c r="N447" s="173" t="str">
        <f t="shared" si="432"/>
        <v>0.000</v>
      </c>
      <c r="O447" s="173" t="str">
        <f t="shared" si="432"/>
        <v>0.000</v>
      </c>
      <c r="P447" s="173" t="str">
        <f t="shared" si="432"/>
        <v>0.000</v>
      </c>
      <c r="Q447" s="173" t="str">
        <f t="shared" si="432"/>
        <v>0.000</v>
      </c>
      <c r="R447" s="173" t="str">
        <f t="shared" si="432"/>
        <v>0.000</v>
      </c>
      <c r="S447" s="173" t="str">
        <f t="shared" si="432"/>
        <v>0.000</v>
      </c>
      <c r="T447" s="173" t="str">
        <f t="shared" si="432"/>
        <v>0.000</v>
      </c>
      <c r="U447" s="173" t="str">
        <f t="shared" si="432"/>
        <v>0.000</v>
      </c>
      <c r="V447" s="173" t="str">
        <f t="shared" si="432"/>
        <v>0.000</v>
      </c>
      <c r="W447" s="173" t="str">
        <f t="shared" ref="W447:AK447" si="433">IF(W429&lt;=0, "0.000", W429)</f>
        <v>0.000</v>
      </c>
      <c r="X447" s="173" t="str">
        <f t="shared" si="433"/>
        <v>0.000</v>
      </c>
      <c r="Y447" s="173" t="str">
        <f t="shared" si="433"/>
        <v>0.000</v>
      </c>
      <c r="Z447" s="173" t="str">
        <f t="shared" si="433"/>
        <v>0.000</v>
      </c>
      <c r="AA447" s="173" t="str">
        <f t="shared" si="433"/>
        <v>0.000</v>
      </c>
      <c r="AB447" s="173" t="str">
        <f t="shared" si="433"/>
        <v>0.000</v>
      </c>
      <c r="AC447" s="173" t="str">
        <f t="shared" si="433"/>
        <v>0.000</v>
      </c>
      <c r="AD447" s="173" t="str">
        <f t="shared" si="433"/>
        <v>0.000</v>
      </c>
      <c r="AE447" s="173" t="str">
        <f t="shared" si="433"/>
        <v>0.000</v>
      </c>
      <c r="AF447" s="173" t="str">
        <f t="shared" si="433"/>
        <v>0.000</v>
      </c>
      <c r="AG447" s="173" t="str">
        <f t="shared" si="433"/>
        <v>0.000</v>
      </c>
      <c r="AH447" s="173" t="str">
        <f t="shared" si="433"/>
        <v>0.000</v>
      </c>
      <c r="AI447" s="173" t="str">
        <f t="shared" si="433"/>
        <v>0.000</v>
      </c>
      <c r="AJ447" s="173" t="str">
        <f t="shared" si="433"/>
        <v>0.000</v>
      </c>
      <c r="AK447" s="173" t="str">
        <f t="shared" si="433"/>
        <v>0.000</v>
      </c>
      <c r="AL447" s="4"/>
      <c r="AM447" s="43">
        <v>431</v>
      </c>
      <c r="AN447">
        <v>110.26940126303914</v>
      </c>
      <c r="AO447">
        <v>11.111387111657102</v>
      </c>
      <c r="AP447">
        <v>110.96111467477479</v>
      </c>
      <c r="AQ447">
        <v>94.568846149210273</v>
      </c>
      <c r="AR447">
        <v>10.77330001216564</v>
      </c>
      <c r="AS447">
        <v>166.30073185253084</v>
      </c>
      <c r="AT447">
        <v>6.4353596569328237</v>
      </c>
      <c r="AU447">
        <v>42.599735937047846</v>
      </c>
      <c r="AV447"/>
      <c r="AW447"/>
      <c r="FY447" s="210">
        <v>442</v>
      </c>
      <c r="FZ447">
        <v>23.607179999171276</v>
      </c>
      <c r="GA447">
        <v>30.789241122190042</v>
      </c>
      <c r="GB447">
        <v>4.1660749642397201</v>
      </c>
      <c r="GC447">
        <v>1.1538972025128986</v>
      </c>
      <c r="GD447">
        <v>0.54733202631167932</v>
      </c>
      <c r="GE447">
        <v>1.898416742905376</v>
      </c>
      <c r="GF447">
        <v>4.2802556471355375</v>
      </c>
      <c r="GG447">
        <v>9.0391055436507681</v>
      </c>
      <c r="GH447">
        <v>12.067089703436546</v>
      </c>
      <c r="GI447">
        <v>7.5294740157955431</v>
      </c>
      <c r="GJ447"/>
      <c r="GK447"/>
      <c r="GL447"/>
      <c r="GM447"/>
    </row>
    <row r="448" spans="1:195" s="7" customFormat="1">
      <c r="A448" s="4"/>
      <c r="B448" s="48" t="s">
        <v>120</v>
      </c>
      <c r="C448" s="107">
        <f t="shared" si="419"/>
        <v>14.627732610529153</v>
      </c>
      <c r="D448" s="191">
        <f>A$412</f>
        <v>4</v>
      </c>
      <c r="E448" s="8"/>
      <c r="F448" s="124"/>
      <c r="G448" s="173" t="str">
        <f t="shared" si="420"/>
        <v>0.000</v>
      </c>
      <c r="H448" s="173">
        <f t="shared" ref="H448:V448" si="434">IF(H430&lt;=0, "0.000", H430)</f>
        <v>0.13163220388030664</v>
      </c>
      <c r="I448" s="173">
        <f t="shared" si="434"/>
        <v>4.780947350196973</v>
      </c>
      <c r="J448" s="173">
        <f t="shared" si="434"/>
        <v>1.8388633769828127</v>
      </c>
      <c r="K448" s="173">
        <f t="shared" si="434"/>
        <v>5.4600938953254268</v>
      </c>
      <c r="L448" s="173">
        <f t="shared" si="434"/>
        <v>1.2221397730432588</v>
      </c>
      <c r="M448" s="173">
        <f t="shared" si="434"/>
        <v>1.1940560111003751</v>
      </c>
      <c r="N448" s="173" t="str">
        <f t="shared" si="434"/>
        <v>0.000</v>
      </c>
      <c r="O448" s="173" t="str">
        <f t="shared" si="434"/>
        <v>0.000</v>
      </c>
      <c r="P448" s="173" t="str">
        <f t="shared" si="434"/>
        <v>0.000</v>
      </c>
      <c r="Q448" s="173" t="str">
        <f t="shared" si="434"/>
        <v>0.000</v>
      </c>
      <c r="R448" s="173" t="str">
        <f t="shared" si="434"/>
        <v>0.000</v>
      </c>
      <c r="S448" s="173" t="str">
        <f t="shared" si="434"/>
        <v>0.000</v>
      </c>
      <c r="T448" s="173" t="str">
        <f t="shared" si="434"/>
        <v>0.000</v>
      </c>
      <c r="U448" s="173" t="str">
        <f t="shared" si="434"/>
        <v>0.000</v>
      </c>
      <c r="V448" s="173" t="str">
        <f t="shared" si="434"/>
        <v>0.000</v>
      </c>
      <c r="W448" s="173" t="str">
        <f t="shared" ref="W448:AK448" si="435">IF(W430&lt;=0, "0.000", W430)</f>
        <v>0.000</v>
      </c>
      <c r="X448" s="173" t="str">
        <f t="shared" si="435"/>
        <v>0.000</v>
      </c>
      <c r="Y448" s="173" t="str">
        <f t="shared" si="435"/>
        <v>0.000</v>
      </c>
      <c r="Z448" s="173" t="str">
        <f t="shared" si="435"/>
        <v>0.000</v>
      </c>
      <c r="AA448" s="173" t="str">
        <f t="shared" si="435"/>
        <v>0.000</v>
      </c>
      <c r="AB448" s="173" t="str">
        <f t="shared" si="435"/>
        <v>0.000</v>
      </c>
      <c r="AC448" s="173" t="str">
        <f t="shared" si="435"/>
        <v>0.000</v>
      </c>
      <c r="AD448" s="173" t="str">
        <f t="shared" si="435"/>
        <v>0.000</v>
      </c>
      <c r="AE448" s="173" t="str">
        <f t="shared" si="435"/>
        <v>0.000</v>
      </c>
      <c r="AF448" s="173" t="str">
        <f t="shared" si="435"/>
        <v>0.000</v>
      </c>
      <c r="AG448" s="173" t="str">
        <f t="shared" si="435"/>
        <v>0.000</v>
      </c>
      <c r="AH448" s="173" t="str">
        <f t="shared" si="435"/>
        <v>0.000</v>
      </c>
      <c r="AI448" s="173" t="str">
        <f t="shared" si="435"/>
        <v>0.000</v>
      </c>
      <c r="AJ448" s="173" t="str">
        <f t="shared" si="435"/>
        <v>0.000</v>
      </c>
      <c r="AK448" s="173" t="str">
        <f t="shared" si="435"/>
        <v>0.000</v>
      </c>
      <c r="AL448" s="4"/>
      <c r="AM448" s="43">
        <v>432</v>
      </c>
      <c r="AN448">
        <v>162.07387586057177</v>
      </c>
      <c r="AO448">
        <v>11.540634592214825</v>
      </c>
      <c r="AP448">
        <v>117.59061444550562</v>
      </c>
      <c r="AQ448">
        <v>99.373177567781838</v>
      </c>
      <c r="AR448">
        <v>11.068318100175361</v>
      </c>
      <c r="AS448">
        <v>187.03543590105144</v>
      </c>
      <c r="AT448">
        <v>6.6210991497184919</v>
      </c>
      <c r="AU448">
        <v>31.976261364304193</v>
      </c>
      <c r="AV448"/>
      <c r="AW448"/>
      <c r="FY448" s="210">
        <v>443</v>
      </c>
      <c r="FZ448">
        <v>23.636393308927129</v>
      </c>
      <c r="GA448">
        <v>27.527441810754411</v>
      </c>
      <c r="GB448">
        <v>1.3053842143208183</v>
      </c>
      <c r="GC448">
        <v>0.70197855256087083</v>
      </c>
      <c r="GD448">
        <v>1.2974280809334759</v>
      </c>
      <c r="GE448">
        <v>3.3174798887235468</v>
      </c>
      <c r="GF448">
        <v>8.4479677065897381</v>
      </c>
      <c r="GG448">
        <v>10.721140038575729</v>
      </c>
      <c r="GH448">
        <v>10.321991172718278</v>
      </c>
      <c r="GI448">
        <v>7.7324159537749573</v>
      </c>
      <c r="GJ448"/>
      <c r="GK448"/>
      <c r="GL448"/>
      <c r="GM448"/>
    </row>
    <row r="449" spans="1:195" s="7" customFormat="1">
      <c r="A449" s="4"/>
      <c r="B449" s="48" t="s">
        <v>121</v>
      </c>
      <c r="C449" s="107">
        <f t="shared" si="419"/>
        <v>13.571240372570003</v>
      </c>
      <c r="D449" s="191">
        <f>A$413</f>
        <v>7.33</v>
      </c>
      <c r="E449" s="8"/>
      <c r="F449" s="124"/>
      <c r="G449" s="173" t="str">
        <f t="shared" si="420"/>
        <v>0.000</v>
      </c>
      <c r="H449" s="173">
        <f t="shared" ref="H449:V449" si="436">IF(H431&lt;=0, "0.000", H431)</f>
        <v>0.1730476410476359</v>
      </c>
      <c r="I449" s="173">
        <f t="shared" si="436"/>
        <v>2.6666765851725449</v>
      </c>
      <c r="J449" s="173">
        <f t="shared" si="436"/>
        <v>1.3053703474253111</v>
      </c>
      <c r="K449" s="173">
        <f t="shared" si="436"/>
        <v>4.021466955801837</v>
      </c>
      <c r="L449" s="173">
        <f t="shared" si="436"/>
        <v>1.9456527018208007</v>
      </c>
      <c r="M449" s="173">
        <f t="shared" si="436"/>
        <v>1.860160459599667</v>
      </c>
      <c r="N449" s="173">
        <f t="shared" si="436"/>
        <v>1.5988656817022067</v>
      </c>
      <c r="O449" s="173" t="str">
        <f t="shared" si="436"/>
        <v>0.000</v>
      </c>
      <c r="P449" s="173" t="str">
        <f t="shared" si="436"/>
        <v>0.000</v>
      </c>
      <c r="Q449" s="173" t="str">
        <f t="shared" si="436"/>
        <v>0.000</v>
      </c>
      <c r="R449" s="173" t="str">
        <f t="shared" si="436"/>
        <v>0.000</v>
      </c>
      <c r="S449" s="173" t="str">
        <f t="shared" si="436"/>
        <v>0.000</v>
      </c>
      <c r="T449" s="173" t="str">
        <f t="shared" si="436"/>
        <v>0.000</v>
      </c>
      <c r="U449" s="173" t="str">
        <f t="shared" si="436"/>
        <v>0.000</v>
      </c>
      <c r="V449" s="173" t="str">
        <f t="shared" si="436"/>
        <v>0.000</v>
      </c>
      <c r="W449" s="173" t="str">
        <f t="shared" ref="W449:AK449" si="437">IF(W431&lt;=0, "0.000", W431)</f>
        <v>0.000</v>
      </c>
      <c r="X449" s="173" t="str">
        <f t="shared" si="437"/>
        <v>0.000</v>
      </c>
      <c r="Y449" s="173" t="str">
        <f t="shared" si="437"/>
        <v>0.000</v>
      </c>
      <c r="Z449" s="173" t="str">
        <f t="shared" si="437"/>
        <v>0.000</v>
      </c>
      <c r="AA449" s="173" t="str">
        <f t="shared" si="437"/>
        <v>0.000</v>
      </c>
      <c r="AB449" s="173" t="str">
        <f t="shared" si="437"/>
        <v>0.000</v>
      </c>
      <c r="AC449" s="173" t="str">
        <f t="shared" si="437"/>
        <v>0.000</v>
      </c>
      <c r="AD449" s="173" t="str">
        <f t="shared" si="437"/>
        <v>0.000</v>
      </c>
      <c r="AE449" s="173" t="str">
        <f t="shared" si="437"/>
        <v>0.000</v>
      </c>
      <c r="AF449" s="173" t="str">
        <f t="shared" si="437"/>
        <v>0.000</v>
      </c>
      <c r="AG449" s="173" t="str">
        <f t="shared" si="437"/>
        <v>0.000</v>
      </c>
      <c r="AH449" s="173" t="str">
        <f t="shared" si="437"/>
        <v>0.000</v>
      </c>
      <c r="AI449" s="173" t="str">
        <f t="shared" si="437"/>
        <v>0.000</v>
      </c>
      <c r="AJ449" s="173" t="str">
        <f t="shared" si="437"/>
        <v>0.000</v>
      </c>
      <c r="AK449" s="173" t="str">
        <f t="shared" si="437"/>
        <v>0.000</v>
      </c>
      <c r="AL449" s="4"/>
      <c r="AM449" s="43">
        <v>433</v>
      </c>
      <c r="AN449">
        <v>123.88908713957453</v>
      </c>
      <c r="AO449">
        <v>13.630136406770267</v>
      </c>
      <c r="AP449">
        <v>143.987631376509</v>
      </c>
      <c r="AQ449">
        <v>121.60434700334086</v>
      </c>
      <c r="AR449">
        <v>12.752458079022441</v>
      </c>
      <c r="AS449">
        <v>209.1553719200929</v>
      </c>
      <c r="AT449">
        <v>7.7198000068322692</v>
      </c>
      <c r="AU449">
        <v>39.806858424255779</v>
      </c>
      <c r="AV449"/>
      <c r="AW449"/>
      <c r="FY449" s="210">
        <v>444</v>
      </c>
      <c r="FZ449">
        <v>43.939680582962581</v>
      </c>
      <c r="GA449">
        <v>54.351015585433913</v>
      </c>
      <c r="GB449">
        <v>2.8604604288433557</v>
      </c>
      <c r="GC449">
        <v>1.2734049254914481</v>
      </c>
      <c r="GD449">
        <v>1.2556869850879866</v>
      </c>
      <c r="GE449">
        <v>3.8506089274744872</v>
      </c>
      <c r="GF449">
        <v>10.69598375174688</v>
      </c>
      <c r="GG449">
        <v>11.16406009690817</v>
      </c>
      <c r="GH449">
        <v>9.0271095041447289</v>
      </c>
      <c r="GI449">
        <v>11.288043715587094</v>
      </c>
      <c r="GJ449"/>
      <c r="GK449"/>
      <c r="GL449"/>
      <c r="GM449"/>
    </row>
    <row r="450" spans="1:195" s="7" customFormat="1">
      <c r="A450" s="13" t="s">
        <v>12</v>
      </c>
      <c r="B450" s="48" t="s">
        <v>122</v>
      </c>
      <c r="C450" s="107">
        <f t="shared" si="419"/>
        <v>8.9638559781173548</v>
      </c>
      <c r="D450" s="191">
        <f>A$414</f>
        <v>10.51</v>
      </c>
      <c r="E450" s="8"/>
      <c r="F450" s="124"/>
      <c r="G450" s="173" t="str">
        <f t="shared" si="420"/>
        <v>0.000</v>
      </c>
      <c r="H450" s="173">
        <f t="shared" ref="H450:V450" si="438">IF(H432&lt;=0, "0.000", H432)</f>
        <v>5.1331361003718108E-2</v>
      </c>
      <c r="I450" s="173">
        <f t="shared" si="438"/>
        <v>1.4781059322583603</v>
      </c>
      <c r="J450" s="173">
        <f t="shared" si="438"/>
        <v>1.1139970521839513</v>
      </c>
      <c r="K450" s="173">
        <f t="shared" si="438"/>
        <v>2.2850734235005938</v>
      </c>
      <c r="L450" s="173">
        <f t="shared" si="438"/>
        <v>1.2466345945747466</v>
      </c>
      <c r="M450" s="173">
        <f t="shared" si="438"/>
        <v>1.5543517780427347</v>
      </c>
      <c r="N450" s="173">
        <f t="shared" si="438"/>
        <v>1.2343618365532492</v>
      </c>
      <c r="O450" s="173" t="str">
        <f t="shared" si="438"/>
        <v>0.000</v>
      </c>
      <c r="P450" s="173" t="str">
        <f t="shared" si="438"/>
        <v>0.000</v>
      </c>
      <c r="Q450" s="173" t="str">
        <f t="shared" si="438"/>
        <v>0.000</v>
      </c>
      <c r="R450" s="173" t="str">
        <f t="shared" si="438"/>
        <v>0.000</v>
      </c>
      <c r="S450" s="173" t="str">
        <f t="shared" si="438"/>
        <v>0.000</v>
      </c>
      <c r="T450" s="173" t="str">
        <f t="shared" si="438"/>
        <v>0.000</v>
      </c>
      <c r="U450" s="173" t="str">
        <f t="shared" si="438"/>
        <v>0.000</v>
      </c>
      <c r="V450" s="173" t="str">
        <f t="shared" si="438"/>
        <v>0.000</v>
      </c>
      <c r="W450" s="173" t="str">
        <f t="shared" ref="W450:AK450" si="439">IF(W432&lt;=0, "0.000", W432)</f>
        <v>0.000</v>
      </c>
      <c r="X450" s="173" t="str">
        <f t="shared" si="439"/>
        <v>0.000</v>
      </c>
      <c r="Y450" s="173" t="str">
        <f t="shared" si="439"/>
        <v>0.000</v>
      </c>
      <c r="Z450" s="173" t="str">
        <f t="shared" si="439"/>
        <v>0.000</v>
      </c>
      <c r="AA450" s="173" t="str">
        <f t="shared" si="439"/>
        <v>0.000</v>
      </c>
      <c r="AB450" s="173" t="str">
        <f t="shared" si="439"/>
        <v>0.000</v>
      </c>
      <c r="AC450" s="173" t="str">
        <f t="shared" si="439"/>
        <v>0.000</v>
      </c>
      <c r="AD450" s="173" t="str">
        <f t="shared" si="439"/>
        <v>0.000</v>
      </c>
      <c r="AE450" s="173" t="str">
        <f t="shared" si="439"/>
        <v>0.000</v>
      </c>
      <c r="AF450" s="173" t="str">
        <f t="shared" si="439"/>
        <v>0.000</v>
      </c>
      <c r="AG450" s="173" t="str">
        <f t="shared" si="439"/>
        <v>0.000</v>
      </c>
      <c r="AH450" s="173" t="str">
        <f t="shared" si="439"/>
        <v>0.000</v>
      </c>
      <c r="AI450" s="173" t="str">
        <f t="shared" si="439"/>
        <v>0.000</v>
      </c>
      <c r="AJ450" s="173" t="str">
        <f t="shared" si="439"/>
        <v>0.000</v>
      </c>
      <c r="AK450" s="173" t="str">
        <f t="shared" si="439"/>
        <v>0.000</v>
      </c>
      <c r="AL450" s="4"/>
      <c r="AM450" s="43">
        <v>434</v>
      </c>
      <c r="AN450">
        <v>108.01606403780086</v>
      </c>
      <c r="AO450">
        <v>13.053002594059882</v>
      </c>
      <c r="AP450">
        <v>135.12370512353448</v>
      </c>
      <c r="AQ450">
        <v>115.74003714363172</v>
      </c>
      <c r="AR450">
        <v>12.422175560119294</v>
      </c>
      <c r="AS450">
        <v>188.77654338749468</v>
      </c>
      <c r="AT450">
        <v>7.7288071539675292</v>
      </c>
      <c r="AU450">
        <v>20.999313038591652</v>
      </c>
      <c r="AV450"/>
      <c r="AW450"/>
      <c r="FY450" s="210">
        <v>445</v>
      </c>
      <c r="FZ450">
        <v>11.30566909525977</v>
      </c>
      <c r="GA450">
        <v>14.440489921327876</v>
      </c>
      <c r="GB450">
        <v>2.1060264306324639</v>
      </c>
      <c r="GC450">
        <v>1.2501163487081814</v>
      </c>
      <c r="GD450">
        <v>0.97463387107067745</v>
      </c>
      <c r="GE450">
        <v>2.3272352195599404</v>
      </c>
      <c r="GF450">
        <v>6.2752111993123814</v>
      </c>
      <c r="GG450">
        <v>6.4042557196893881</v>
      </c>
      <c r="GH450">
        <v>7.3965699588069436</v>
      </c>
      <c r="GI450">
        <v>5.0669892585962231</v>
      </c>
      <c r="GJ450"/>
      <c r="GK450"/>
      <c r="GL450"/>
      <c r="GM450"/>
    </row>
    <row r="451" spans="1:195" s="7" customFormat="1">
      <c r="A451" s="135"/>
      <c r="B451" s="48"/>
      <c r="C451" s="107"/>
      <c r="D451" s="19"/>
      <c r="E451" s="8"/>
      <c r="F451" s="124"/>
      <c r="G451" s="173"/>
      <c r="H451" s="173"/>
      <c r="I451" s="173"/>
      <c r="J451" s="173"/>
      <c r="K451" s="173"/>
      <c r="L451" s="173"/>
      <c r="M451" s="173"/>
      <c r="N451" s="173"/>
      <c r="O451" s="173"/>
      <c r="P451" s="173"/>
      <c r="Q451" s="173"/>
      <c r="R451" s="173"/>
      <c r="S451" s="173"/>
      <c r="T451" s="173"/>
      <c r="U451" s="173"/>
      <c r="V451" s="173"/>
      <c r="W451" s="173"/>
      <c r="X451" s="173"/>
      <c r="Y451" s="173"/>
      <c r="Z451" s="173"/>
      <c r="AA451" s="173"/>
      <c r="AB451" s="173"/>
      <c r="AC451" s="173"/>
      <c r="AD451" s="173"/>
      <c r="AE451" s="173"/>
      <c r="AF451" s="173"/>
      <c r="AG451" s="173"/>
      <c r="AH451" s="173"/>
      <c r="AI451" s="173"/>
      <c r="AJ451" s="173"/>
      <c r="AK451" s="173"/>
      <c r="AL451" s="4"/>
      <c r="AM451" s="43">
        <v>435</v>
      </c>
      <c r="AN451">
        <v>94.42424300186093</v>
      </c>
      <c r="AO451">
        <v>6.2136875888843104</v>
      </c>
      <c r="AP451">
        <v>58.617745711542902</v>
      </c>
      <c r="AQ451">
        <v>46.781530136698414</v>
      </c>
      <c r="AR451">
        <v>6.1069320472344009</v>
      </c>
      <c r="AS451">
        <v>99.313716030592261</v>
      </c>
      <c r="AT451">
        <v>3.4417592794325338</v>
      </c>
      <c r="AU451">
        <v>30.412721729302334</v>
      </c>
      <c r="AV451"/>
      <c r="AW451"/>
      <c r="FY451" s="210">
        <v>446</v>
      </c>
      <c r="FZ451">
        <v>42.788342517406321</v>
      </c>
      <c r="GA451">
        <v>50.689174799170978</v>
      </c>
      <c r="GB451">
        <v>0.99373153635335365</v>
      </c>
      <c r="GC451">
        <v>0.91644644200288417</v>
      </c>
      <c r="GD451">
        <v>1.1600562835133341</v>
      </c>
      <c r="GE451">
        <v>3.1690341709304435</v>
      </c>
      <c r="GF451">
        <v>8.9411345348640232</v>
      </c>
      <c r="GG451">
        <v>9.7379428525101108</v>
      </c>
      <c r="GH451">
        <v>7.1660346005958164</v>
      </c>
      <c r="GI451">
        <v>9.9899797600258697</v>
      </c>
      <c r="GJ451"/>
      <c r="GK451"/>
      <c r="GL451"/>
      <c r="GM451"/>
    </row>
    <row r="452" spans="1:195" s="7" customFormat="1">
      <c r="A452" s="13" t="s">
        <v>47</v>
      </c>
      <c r="B452" s="48"/>
      <c r="C452" s="107"/>
      <c r="D452" s="18"/>
      <c r="E452" s="8"/>
      <c r="F452" s="124"/>
      <c r="G452" s="173"/>
      <c r="H452" s="173"/>
      <c r="I452" s="173"/>
      <c r="J452" s="173"/>
      <c r="K452" s="173"/>
      <c r="L452" s="173"/>
      <c r="M452" s="173"/>
      <c r="N452" s="173"/>
      <c r="O452" s="173"/>
      <c r="P452" s="173"/>
      <c r="Q452" s="173"/>
      <c r="R452" s="173"/>
      <c r="S452" s="173"/>
      <c r="T452" s="173"/>
      <c r="U452" s="173"/>
      <c r="V452" s="173"/>
      <c r="W452" s="173"/>
      <c r="X452" s="173"/>
      <c r="Y452" s="173"/>
      <c r="Z452" s="173"/>
      <c r="AA452" s="173"/>
      <c r="AB452" s="173"/>
      <c r="AC452" s="173"/>
      <c r="AD452" s="173"/>
      <c r="AE452" s="173"/>
      <c r="AF452" s="173"/>
      <c r="AG452" s="173"/>
      <c r="AH452" s="173"/>
      <c r="AI452" s="173"/>
      <c r="AJ452" s="173"/>
      <c r="AK452" s="173"/>
      <c r="AL452" s="4"/>
      <c r="AM452" s="43">
        <v>436</v>
      </c>
      <c r="AN452">
        <v>172.70648563081812</v>
      </c>
      <c r="AO452">
        <v>16.302258456725898</v>
      </c>
      <c r="AP452">
        <v>173.15826306010905</v>
      </c>
      <c r="AQ452">
        <v>149.13420623316543</v>
      </c>
      <c r="AR452">
        <v>15.428055875625935</v>
      </c>
      <c r="AS452">
        <v>229.04905920883888</v>
      </c>
      <c r="AT452">
        <v>9.0524302423491143</v>
      </c>
      <c r="AU452">
        <v>36.673114148312109</v>
      </c>
      <c r="AV452"/>
      <c r="AW452"/>
      <c r="FY452" s="210">
        <v>447</v>
      </c>
      <c r="FZ452">
        <v>32.658219426563342</v>
      </c>
      <c r="GA452">
        <v>37.984070911925031</v>
      </c>
      <c r="GB452">
        <v>1.9463199969401024</v>
      </c>
      <c r="GC452">
        <v>1.3196393965622284</v>
      </c>
      <c r="GD452">
        <v>0.77020014627735756</v>
      </c>
      <c r="GE452">
        <v>2.527063298307433</v>
      </c>
      <c r="GF452">
        <v>4.8966454105242923</v>
      </c>
      <c r="GG452">
        <v>9.0099927753322859</v>
      </c>
      <c r="GH452">
        <v>12.016704776893091</v>
      </c>
      <c r="GI452">
        <v>8.5301140573607359</v>
      </c>
      <c r="GJ452"/>
      <c r="GK452"/>
      <c r="GL452"/>
      <c r="GM452"/>
    </row>
    <row r="453" spans="1:195" s="7" customFormat="1">
      <c r="A453" s="1">
        <v>1.07207E-2</v>
      </c>
      <c r="B453" s="52" t="s">
        <v>53</v>
      </c>
      <c r="C453" s="53">
        <f>SUM(C441:C452)</f>
        <v>107.72190756014805</v>
      </c>
      <c r="D453" s="13"/>
      <c r="E453" s="13"/>
      <c r="F453" s="96"/>
      <c r="G453" s="13"/>
      <c r="H453" s="13"/>
      <c r="I453" s="14"/>
      <c r="J453" s="13"/>
      <c r="K453" s="21"/>
      <c r="L453" s="13"/>
      <c r="M453" s="14"/>
      <c r="N453" s="13"/>
      <c r="O453" s="13"/>
      <c r="P453" s="13"/>
      <c r="Q453" s="14"/>
      <c r="R453" s="14"/>
      <c r="S453" s="14"/>
      <c r="T453" s="14"/>
      <c r="U453" s="14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94"/>
      <c r="AH453" s="94"/>
      <c r="AI453" s="94"/>
      <c r="AJ453" s="94"/>
      <c r="AK453" s="94"/>
      <c r="AL453" s="4"/>
      <c r="AM453" s="43">
        <v>437</v>
      </c>
      <c r="AN453">
        <v>81.981508313868815</v>
      </c>
      <c r="AO453">
        <v>5.7974214386648439</v>
      </c>
      <c r="AP453">
        <v>53.499404348640248</v>
      </c>
      <c r="AQ453">
        <v>43.151574486139644</v>
      </c>
      <c r="AR453">
        <v>5.9049230698740356</v>
      </c>
      <c r="AS453">
        <v>102.88157725658188</v>
      </c>
      <c r="AT453">
        <v>3.171289123499315</v>
      </c>
      <c r="AU453">
        <v>10.356382172960352</v>
      </c>
      <c r="AV453"/>
      <c r="AW453"/>
      <c r="FY453" s="210">
        <v>448</v>
      </c>
      <c r="FZ453">
        <v>1.2391182418759585</v>
      </c>
      <c r="GA453">
        <v>4.5740184072507359</v>
      </c>
      <c r="GB453">
        <v>3.6415995070816769</v>
      </c>
      <c r="GC453">
        <v>1.3700557427360873</v>
      </c>
      <c r="GD453">
        <v>0.83958092311343946</v>
      </c>
      <c r="GE453">
        <v>2.5199348514541757</v>
      </c>
      <c r="GF453">
        <v>9.0753337217880841</v>
      </c>
      <c r="GG453">
        <v>10.505967117153673</v>
      </c>
      <c r="GH453">
        <v>7.4516080268537319</v>
      </c>
      <c r="GI453">
        <v>4.3913789745310181</v>
      </c>
      <c r="GJ453"/>
      <c r="GK453"/>
      <c r="GL453"/>
      <c r="GM453"/>
    </row>
    <row r="454" spans="1:195" s="7" customFormat="1">
      <c r="A454" s="13" t="s">
        <v>48</v>
      </c>
      <c r="B454" s="4"/>
      <c r="C454" s="83"/>
      <c r="F454" s="28"/>
      <c r="G454" s="28"/>
      <c r="H454" s="83"/>
      <c r="I454" s="4"/>
      <c r="J454" s="98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3">
        <v>438</v>
      </c>
      <c r="AN454">
        <v>136.20414646877512</v>
      </c>
      <c r="AO454">
        <v>14.74995687517316</v>
      </c>
      <c r="AP454">
        <v>152.89933059800197</v>
      </c>
      <c r="AQ454">
        <v>133.58180948764596</v>
      </c>
      <c r="AR454">
        <v>13.918563975067416</v>
      </c>
      <c r="AS454">
        <v>201.87433930050341</v>
      </c>
      <c r="AT454">
        <v>8.6758818350146854</v>
      </c>
      <c r="AU454">
        <v>-0.2833890701353452</v>
      </c>
      <c r="AV454"/>
      <c r="AW454"/>
      <c r="FY454" s="210">
        <v>449</v>
      </c>
      <c r="FZ454">
        <v>37.671581297489531</v>
      </c>
      <c r="GA454">
        <v>39.529621179823728</v>
      </c>
      <c r="GB454">
        <v>2.1759498379711708</v>
      </c>
      <c r="GC454">
        <v>1.1283572551991152</v>
      </c>
      <c r="GD454">
        <v>0.79824059475302378</v>
      </c>
      <c r="GE454">
        <v>1.4712402610996436</v>
      </c>
      <c r="GF454">
        <v>3.0554225316313977</v>
      </c>
      <c r="GG454">
        <v>9.61470662178127</v>
      </c>
      <c r="GH454">
        <v>14.136278430253872</v>
      </c>
      <c r="GI454">
        <v>9.3566803218780343</v>
      </c>
      <c r="GJ454"/>
      <c r="GK454"/>
      <c r="GL454"/>
      <c r="GM454"/>
    </row>
    <row r="455" spans="1:195" s="7" customFormat="1" ht="15.75">
      <c r="A455" s="1">
        <v>-1.8893E-3</v>
      </c>
      <c r="B455" s="4"/>
      <c r="C455" s="125" t="s">
        <v>137</v>
      </c>
      <c r="D455" s="126"/>
      <c r="E455" s="81"/>
      <c r="F455" s="81"/>
      <c r="G455" s="81"/>
      <c r="H455" s="81"/>
      <c r="I455" s="81"/>
      <c r="J455" s="81"/>
      <c r="K455" s="98"/>
      <c r="L455" s="4"/>
      <c r="M455" s="4"/>
      <c r="N455" s="4"/>
      <c r="O455" s="229"/>
      <c r="P455" s="229"/>
      <c r="Q455" s="229"/>
      <c r="R455" s="229"/>
      <c r="S455" s="201"/>
      <c r="T455" s="201"/>
      <c r="U455" s="201"/>
      <c r="V455" s="201"/>
      <c r="W455" s="202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3">
        <v>439</v>
      </c>
      <c r="AN455">
        <v>133.01432906560697</v>
      </c>
      <c r="AO455">
        <v>11.442300356534055</v>
      </c>
      <c r="AP455">
        <v>117.62694071802224</v>
      </c>
      <c r="AQ455">
        <v>98.226897498531969</v>
      </c>
      <c r="AR455">
        <v>11.002068818464526</v>
      </c>
      <c r="AS455">
        <v>167.82840090249721</v>
      </c>
      <c r="AT455">
        <v>6.7405501403695922</v>
      </c>
      <c r="AU455">
        <v>26.844989468548444</v>
      </c>
      <c r="AV455"/>
      <c r="AW455"/>
      <c r="FY455" s="210">
        <v>450</v>
      </c>
      <c r="FZ455">
        <v>12.731506581621819</v>
      </c>
      <c r="GA455">
        <v>16.943964324471132</v>
      </c>
      <c r="GB455">
        <v>3.0014717114884979</v>
      </c>
      <c r="GC455">
        <v>0.7201578762181049</v>
      </c>
      <c r="GD455">
        <v>0.66156003798938212</v>
      </c>
      <c r="GE455">
        <v>1.9819741037788041</v>
      </c>
      <c r="GF455">
        <v>4.2363036254738429</v>
      </c>
      <c r="GG455">
        <v>4.4559577677628228</v>
      </c>
      <c r="GH455">
        <v>7.6031841339088313</v>
      </c>
      <c r="GI455">
        <v>4.978054199817322</v>
      </c>
      <c r="GJ455"/>
      <c r="GK455"/>
      <c r="GL455"/>
      <c r="GM455"/>
    </row>
    <row r="456" spans="1:195" s="7" customFormat="1">
      <c r="A456" s="13" t="s">
        <v>116</v>
      </c>
      <c r="B456" s="4"/>
      <c r="C456" s="99" t="s">
        <v>79</v>
      </c>
      <c r="D456" s="99" t="s">
        <v>23</v>
      </c>
      <c r="E456" s="99" t="s">
        <v>80</v>
      </c>
      <c r="F456" s="99" t="s">
        <v>81</v>
      </c>
      <c r="G456" s="99" t="s">
        <v>82</v>
      </c>
      <c r="H456" s="99" t="s">
        <v>96</v>
      </c>
      <c r="I456" s="99" t="s">
        <v>134</v>
      </c>
      <c r="J456" s="99" t="s">
        <v>135</v>
      </c>
      <c r="K456" s="203" t="s">
        <v>136</v>
      </c>
      <c r="L456" s="206"/>
      <c r="M456" s="206"/>
      <c r="N456" s="206"/>
      <c r="O456" s="206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3">
        <v>440</v>
      </c>
      <c r="AN456">
        <v>97.194944775606004</v>
      </c>
      <c r="AO456">
        <v>5.1332091609329851</v>
      </c>
      <c r="AP456">
        <v>42.172027317614607</v>
      </c>
      <c r="AQ456">
        <v>35.527484188708584</v>
      </c>
      <c r="AR456">
        <v>5.147536206521047</v>
      </c>
      <c r="AS456">
        <v>103.52457421224337</v>
      </c>
      <c r="AT456">
        <v>2.9383393644429758</v>
      </c>
      <c r="AU456">
        <v>16.317623742328102</v>
      </c>
      <c r="AV456"/>
      <c r="AW456"/>
      <c r="FY456" s="210">
        <v>451</v>
      </c>
      <c r="FZ456">
        <v>4.3437909572232574</v>
      </c>
      <c r="GA456">
        <v>1.9157847617282209</v>
      </c>
      <c r="GB456">
        <v>1.2544935840163958</v>
      </c>
      <c r="GC456">
        <v>0.68167612952987178</v>
      </c>
      <c r="GD456">
        <v>0.56317235944407251</v>
      </c>
      <c r="GE456">
        <v>1.2533891220132791</v>
      </c>
      <c r="GF456">
        <v>3.4956948893374005</v>
      </c>
      <c r="GG456">
        <v>6.8981007913023795</v>
      </c>
      <c r="GH456">
        <v>9.7298121733079128</v>
      </c>
      <c r="GI456">
        <v>3.4486735157056758</v>
      </c>
      <c r="GJ456"/>
      <c r="GK456"/>
      <c r="GL456"/>
      <c r="GM456"/>
    </row>
    <row r="457" spans="1:195" s="7" customFormat="1">
      <c r="A457" s="1">
        <v>1.9354999999999999E-3</v>
      </c>
      <c r="B457" s="4"/>
      <c r="C457" s="100">
        <v>0.5</v>
      </c>
      <c r="D457" s="101">
        <f>SUM($E$228:$E$347)/$A$438</f>
        <v>0</v>
      </c>
      <c r="E457" s="97">
        <f>+G36</f>
        <v>5.2641520345816375E-4</v>
      </c>
      <c r="F457" s="102">
        <f>+D457-D459</f>
        <v>-18.011202238869121</v>
      </c>
      <c r="G457" s="101">
        <f>+D457*E457</f>
        <v>0</v>
      </c>
      <c r="H457" s="101"/>
      <c r="I457" s="101"/>
      <c r="J457" s="101"/>
      <c r="K457" s="101"/>
      <c r="L457" s="206"/>
      <c r="M457" s="206"/>
      <c r="N457" s="206"/>
      <c r="O457" s="206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3">
        <v>441</v>
      </c>
      <c r="AN457">
        <v>127.49091844286383</v>
      </c>
      <c r="AO457">
        <v>10.905601184597137</v>
      </c>
      <c r="AP457">
        <v>106.64003588759471</v>
      </c>
      <c r="AQ457">
        <v>91.902178556784136</v>
      </c>
      <c r="AR457">
        <v>10.55605269814013</v>
      </c>
      <c r="AS457">
        <v>154.71346685166009</v>
      </c>
      <c r="AT457">
        <v>6.5084983983928852</v>
      </c>
      <c r="AU457">
        <v>11.666335065519645</v>
      </c>
      <c r="AV457"/>
      <c r="AW457"/>
      <c r="FY457" s="210">
        <v>452</v>
      </c>
      <c r="FZ457">
        <v>11.592435444557822</v>
      </c>
      <c r="GA457">
        <v>14.580339028027826</v>
      </c>
      <c r="GB457">
        <v>1.882296652841476</v>
      </c>
      <c r="GC457">
        <v>0.96370589756487834</v>
      </c>
      <c r="GD457">
        <v>1.7025026977052167</v>
      </c>
      <c r="GE457">
        <v>3.8846283133015378</v>
      </c>
      <c r="GF457">
        <v>7.5860408558551793</v>
      </c>
      <c r="GG457">
        <v>8.9210810534273168</v>
      </c>
      <c r="GH457">
        <v>8.811491881144164</v>
      </c>
      <c r="GI457">
        <v>5.9407847704202892</v>
      </c>
      <c r="GJ457"/>
      <c r="GK457"/>
      <c r="GL457"/>
      <c r="GM457"/>
    </row>
    <row r="458" spans="1:195" s="7" customFormat="1">
      <c r="A458" s="4"/>
      <c r="B458" s="4"/>
      <c r="C458" s="63"/>
      <c r="D458" s="101"/>
      <c r="E458" s="63"/>
      <c r="F458" s="63"/>
      <c r="G458" s="101"/>
      <c r="H458" s="101">
        <f>+SQRT(E457*E459)</f>
        <v>1.3925924061044838E-3</v>
      </c>
      <c r="I458" s="101">
        <f>+H458*F457</f>
        <v>-2.5082263462661215E-2</v>
      </c>
      <c r="J458" s="101">
        <f>+I458*$A$440</f>
        <v>-0.17557584423862851</v>
      </c>
      <c r="K458" s="61">
        <f>IF(J458&lt;0,0,J458)</f>
        <v>0</v>
      </c>
      <c r="L458" s="206"/>
      <c r="M458" s="206"/>
      <c r="N458" s="206"/>
      <c r="O458" s="206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3">
        <v>442</v>
      </c>
      <c r="AN458">
        <v>112.40914473825305</v>
      </c>
      <c r="AO458">
        <v>10.873157208254856</v>
      </c>
      <c r="AP458">
        <v>113.6808122809738</v>
      </c>
      <c r="AQ458">
        <v>95.078066967349386</v>
      </c>
      <c r="AR458">
        <v>10.452104991158516</v>
      </c>
      <c r="AS458">
        <v>176.32026559888314</v>
      </c>
      <c r="AT458">
        <v>6.3766143167781619</v>
      </c>
      <c r="AU458">
        <v>41.994612425278362</v>
      </c>
      <c r="AV458"/>
      <c r="AW458"/>
      <c r="FY458" s="210">
        <v>453</v>
      </c>
      <c r="FZ458">
        <v>21.804942281564387</v>
      </c>
      <c r="GA458">
        <v>29.485635232011521</v>
      </c>
      <c r="GB458">
        <v>2.6715044768924674</v>
      </c>
      <c r="GC458">
        <v>0.49877498959763522</v>
      </c>
      <c r="GD458">
        <v>0.67085791817899476</v>
      </c>
      <c r="GE458">
        <v>2.0794196764696977</v>
      </c>
      <c r="GF458">
        <v>8.0679704537016388</v>
      </c>
      <c r="GG458">
        <v>8.1646927653176995</v>
      </c>
      <c r="GH458">
        <v>7.6529748379889657</v>
      </c>
      <c r="GI458">
        <v>6.9479174985379322</v>
      </c>
      <c r="GJ458"/>
      <c r="GK458"/>
      <c r="GL458"/>
      <c r="GM458"/>
    </row>
    <row r="459" spans="1:195" s="7" customFormat="1">
      <c r="A459" s="4"/>
      <c r="B459" s="4"/>
      <c r="C459" s="63">
        <v>1</v>
      </c>
      <c r="D459" s="101">
        <f>SUM($F$228:$F$347)/$A$438</f>
        <v>18.011202238869121</v>
      </c>
      <c r="E459" s="97">
        <f>+H36</f>
        <v>3.6840000000000002E-3</v>
      </c>
      <c r="F459" s="102">
        <f>+D459-D461</f>
        <v>-59.1046186891422</v>
      </c>
      <c r="G459" s="101">
        <f>+D459*E459</f>
        <v>6.6353269047993851E-2</v>
      </c>
      <c r="H459" s="101"/>
      <c r="I459" s="101"/>
      <c r="J459" s="101"/>
      <c r="K459" s="101"/>
      <c r="L459" s="206"/>
      <c r="M459" s="206"/>
      <c r="N459" s="206"/>
      <c r="O459" s="206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3">
        <v>443</v>
      </c>
      <c r="AN459">
        <v>132.66526828850786</v>
      </c>
      <c r="AO459">
        <v>11.106390494709993</v>
      </c>
      <c r="AP459">
        <v>110.61961934006713</v>
      </c>
      <c r="AQ459">
        <v>95.009620727878968</v>
      </c>
      <c r="AR459">
        <v>10.686271497363311</v>
      </c>
      <c r="AS459">
        <v>187.9494378261524</v>
      </c>
      <c r="AT459">
        <v>6.5735052237930338</v>
      </c>
      <c r="AU459">
        <v>45.711937072462689</v>
      </c>
      <c r="AV459"/>
      <c r="AW459"/>
      <c r="FY459" s="210">
        <v>454</v>
      </c>
      <c r="FZ459">
        <v>44.329567837729265</v>
      </c>
      <c r="GA459">
        <v>53.095750572050143</v>
      </c>
      <c r="GB459">
        <v>5.6294103775783642</v>
      </c>
      <c r="GC459">
        <v>2.4226504486334162</v>
      </c>
      <c r="GD459">
        <v>1.0144746631456563</v>
      </c>
      <c r="GE459">
        <v>1.7534145024570893</v>
      </c>
      <c r="GF459">
        <v>8.8576336209513151</v>
      </c>
      <c r="GG459">
        <v>9.7416725813077356</v>
      </c>
      <c r="GH459">
        <v>4.8121291433906759</v>
      </c>
      <c r="GI459">
        <v>10.890840057630168</v>
      </c>
      <c r="GJ459"/>
      <c r="GK459"/>
      <c r="GL459"/>
      <c r="GM459"/>
    </row>
    <row r="460" spans="1:195" s="7" customFormat="1">
      <c r="A460" s="4"/>
      <c r="B460" s="4"/>
      <c r="C460" s="63" t="s">
        <v>99</v>
      </c>
      <c r="D460" s="101"/>
      <c r="E460" s="63"/>
      <c r="F460" s="63"/>
      <c r="G460" s="101"/>
      <c r="H460" s="101">
        <f>+SQRT(E459*E461)</f>
        <v>9.7457489646699466E-3</v>
      </c>
      <c r="I460" s="101">
        <f>+H460*F459</f>
        <v>-0.57601877639691956</v>
      </c>
      <c r="J460" s="101">
        <f>+I460*$A$440</f>
        <v>-4.0321314347784369</v>
      </c>
      <c r="K460" s="61">
        <f>IF(AND(J460&lt;0, J458&lt;0), 0, J460)</f>
        <v>0</v>
      </c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3">
        <v>444</v>
      </c>
      <c r="AN460">
        <v>165.00081644888752</v>
      </c>
      <c r="AO460">
        <v>16.688990683625047</v>
      </c>
      <c r="AP460">
        <v>174.12635691198224</v>
      </c>
      <c r="AQ460">
        <v>149.70605450368063</v>
      </c>
      <c r="AR460">
        <v>15.616330304376858</v>
      </c>
      <c r="AS460">
        <v>258.54836338705496</v>
      </c>
      <c r="AT460">
        <v>9.5755849228565513</v>
      </c>
      <c r="AU460">
        <v>31.088305663256541</v>
      </c>
      <c r="AV460"/>
      <c r="AW460"/>
      <c r="FY460" s="210">
        <v>455</v>
      </c>
      <c r="FZ460">
        <v>34.912561796490053</v>
      </c>
      <c r="GA460">
        <v>38.831250028380779</v>
      </c>
      <c r="GB460">
        <v>2.6622111015648833</v>
      </c>
      <c r="GC460">
        <v>1.4958361974791929</v>
      </c>
      <c r="GD460">
        <v>0.96007587227260327</v>
      </c>
      <c r="GE460">
        <v>2.2449077703251024</v>
      </c>
      <c r="GF460">
        <v>8.2253350679130897</v>
      </c>
      <c r="GG460">
        <v>7.8002437003124259</v>
      </c>
      <c r="GH460">
        <v>8.833361956841264</v>
      </c>
      <c r="GI460">
        <v>9.2471913352385986</v>
      </c>
      <c r="GJ460"/>
      <c r="GK460"/>
      <c r="GL460"/>
      <c r="GM460"/>
    </row>
    <row r="461" spans="1:195" s="7" customFormat="1">
      <c r="A461" s="4"/>
      <c r="B461" s="4"/>
      <c r="C461" s="63">
        <v>2</v>
      </c>
      <c r="D461" s="101">
        <f>SUM($G$228:$G$347)/$A$438</f>
        <v>77.115820928011317</v>
      </c>
      <c r="E461" s="97">
        <f>+I36</f>
        <v>2.5781656591304377E-2</v>
      </c>
      <c r="F461" s="102">
        <f>+D461-D463</f>
        <v>58.389935279211564</v>
      </c>
      <c r="G461" s="101">
        <f>+D461*E461</f>
        <v>1.9881736129225109</v>
      </c>
      <c r="H461" s="101"/>
      <c r="I461" s="101"/>
      <c r="J461" s="101"/>
      <c r="K461" s="101"/>
      <c r="L461" s="206"/>
      <c r="M461" s="206"/>
      <c r="N461" s="206"/>
      <c r="O461" s="206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3">
        <v>445</v>
      </c>
      <c r="AN461">
        <v>61.058338100266532</v>
      </c>
      <c r="AO461">
        <v>7.1582637500387962</v>
      </c>
      <c r="AP461">
        <v>68.382672905978964</v>
      </c>
      <c r="AQ461">
        <v>57.547197022963843</v>
      </c>
      <c r="AR461">
        <v>6.9910052259279665</v>
      </c>
      <c r="AS461">
        <v>126.00481737548004</v>
      </c>
      <c r="AT461">
        <v>4.3818365920409121</v>
      </c>
      <c r="AU461">
        <v>5.9541634505573793</v>
      </c>
      <c r="AV461"/>
      <c r="AW461"/>
      <c r="FY461" s="210">
        <v>456</v>
      </c>
      <c r="FZ461">
        <v>56.882721644357964</v>
      </c>
      <c r="GA461">
        <v>63.611317608170353</v>
      </c>
      <c r="GB461">
        <v>1.5134056773051738</v>
      </c>
      <c r="GC461">
        <v>0.97313293651325605</v>
      </c>
      <c r="GD461">
        <v>0.80323873178835203</v>
      </c>
      <c r="GE461">
        <v>1.4584830187836173</v>
      </c>
      <c r="GF461">
        <v>3.0302453357302208</v>
      </c>
      <c r="GG461">
        <v>7.2212519582933403</v>
      </c>
      <c r="GH461">
        <v>9.4372707575543568</v>
      </c>
      <c r="GI461">
        <v>11.273898131433096</v>
      </c>
      <c r="GJ461"/>
      <c r="GK461"/>
      <c r="GL461"/>
      <c r="GM461"/>
    </row>
    <row r="462" spans="1:195" s="7" customFormat="1">
      <c r="A462" s="4"/>
      <c r="B462" s="4"/>
      <c r="C462" s="63"/>
      <c r="D462" s="101"/>
      <c r="E462" s="63"/>
      <c r="F462" s="63"/>
      <c r="G462" s="101"/>
      <c r="H462" s="101">
        <f>+SQRT(E461*E463)</f>
        <v>4.5546488674398068E-2</v>
      </c>
      <c r="I462" s="101">
        <f>+H462*F461</f>
        <v>2.6594565258934457</v>
      </c>
      <c r="J462" s="101">
        <f>+I462*$A$440</f>
        <v>18.616195681254119</v>
      </c>
      <c r="K462" s="61">
        <f>IF(AND(J462&lt;0, J460&lt;0), 0, J462)</f>
        <v>18.616195681254119</v>
      </c>
      <c r="L462" s="206"/>
      <c r="M462" s="206"/>
      <c r="N462" s="206"/>
      <c r="O462" s="206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3">
        <v>446</v>
      </c>
      <c r="AN462">
        <v>126.71321248532858</v>
      </c>
      <c r="AO462">
        <v>14.888272959333225</v>
      </c>
      <c r="AP462">
        <v>156.15400935491402</v>
      </c>
      <c r="AQ462">
        <v>135.55187749737311</v>
      </c>
      <c r="AR462">
        <v>13.862488313834941</v>
      </c>
      <c r="AS462">
        <v>190.0703861716498</v>
      </c>
      <c r="AT462">
        <v>8.9249088275344839</v>
      </c>
      <c r="AU462">
        <v>69.185386974978186</v>
      </c>
      <c r="AV462"/>
      <c r="AW462"/>
      <c r="FY462" s="210">
        <v>457</v>
      </c>
      <c r="FZ462">
        <v>65.67241725416639</v>
      </c>
      <c r="GA462">
        <v>77.096108097290852</v>
      </c>
      <c r="GB462">
        <v>2.4098767436805599</v>
      </c>
      <c r="GC462">
        <v>1.1350480026439438</v>
      </c>
      <c r="GD462">
        <v>1.9260033626869535</v>
      </c>
      <c r="GE462">
        <v>5.1577108628664785</v>
      </c>
      <c r="GF462">
        <v>9.3946550291952544</v>
      </c>
      <c r="GG462">
        <v>8.1352732373302885</v>
      </c>
      <c r="GH462">
        <v>7.3095102743197691</v>
      </c>
      <c r="GI462">
        <v>14.276000742995221</v>
      </c>
      <c r="GJ462"/>
      <c r="GK462"/>
      <c r="GL462"/>
      <c r="GM462"/>
    </row>
    <row r="463" spans="1:195" s="7" customFormat="1">
      <c r="A463" s="4"/>
      <c r="B463" s="4"/>
      <c r="C463" s="63">
        <v>3</v>
      </c>
      <c r="D463" s="101">
        <f>SUM($H$228:$H$347)/$A$438</f>
        <v>18.725885648799753</v>
      </c>
      <c r="E463" s="97">
        <f>+J36</f>
        <v>8.0463511846897845E-2</v>
      </c>
      <c r="F463" s="102">
        <f>+D463-D465</f>
        <v>1.2518370120082949</v>
      </c>
      <c r="G463" s="101">
        <f>+D463*E463</f>
        <v>1.5067505217458532</v>
      </c>
      <c r="H463" s="101"/>
      <c r="I463" s="101"/>
      <c r="J463" s="101"/>
      <c r="K463" s="101"/>
      <c r="L463" s="206"/>
      <c r="M463" s="206"/>
      <c r="N463" s="206"/>
      <c r="O463" s="206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3">
        <v>447</v>
      </c>
      <c r="AN463">
        <v>120.87831214106095</v>
      </c>
      <c r="AO463">
        <v>12.466898446643579</v>
      </c>
      <c r="AP463">
        <v>129.6497812720178</v>
      </c>
      <c r="AQ463">
        <v>111.65897019668591</v>
      </c>
      <c r="AR463">
        <v>11.824697478681378</v>
      </c>
      <c r="AS463">
        <v>151.9861224984588</v>
      </c>
      <c r="AT463">
        <v>7.3736855126129113</v>
      </c>
      <c r="AU463">
        <v>42.779404482313048</v>
      </c>
      <c r="AV463"/>
      <c r="AW463"/>
      <c r="FY463" s="210">
        <v>458</v>
      </c>
      <c r="FZ463">
        <v>0.74567573281080635</v>
      </c>
      <c r="GA463">
        <v>1.6052658202436914</v>
      </c>
      <c r="GB463">
        <v>1.9460550550825229</v>
      </c>
      <c r="GC463">
        <v>1.0899523411686642</v>
      </c>
      <c r="GD463">
        <v>0.69009181382793983</v>
      </c>
      <c r="GE463">
        <v>1.2402609205360755</v>
      </c>
      <c r="GF463">
        <v>5.0546357503981305</v>
      </c>
      <c r="GG463">
        <v>8.791796446526897</v>
      </c>
      <c r="GH463">
        <v>10.77038649046534</v>
      </c>
      <c r="GI463">
        <v>3.6078502837026183</v>
      </c>
      <c r="GJ463"/>
      <c r="GK463"/>
      <c r="GL463"/>
      <c r="GM463"/>
    </row>
    <row r="464" spans="1:195" s="7" customFormat="1">
      <c r="A464" s="4"/>
      <c r="B464" s="4"/>
      <c r="C464" s="63"/>
      <c r="D464" s="101"/>
      <c r="E464" s="63"/>
      <c r="F464" s="63"/>
      <c r="G464" s="101"/>
      <c r="H464" s="101">
        <f>+SQRT(E463*E465)</f>
        <v>0.12048986016364452</v>
      </c>
      <c r="I464" s="101">
        <f>+H464*F463</f>
        <v>0.15083366652455404</v>
      </c>
      <c r="J464" s="101">
        <f>+I464*$A$440</f>
        <v>1.0558356656718784</v>
      </c>
      <c r="K464" s="61">
        <f>IF(AND(J464&lt;0, J462&lt;0), 0, J464)</f>
        <v>1.0558356656718784</v>
      </c>
      <c r="L464" s="206"/>
      <c r="M464" s="206"/>
      <c r="N464" s="206"/>
      <c r="O464" s="206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3">
        <v>448</v>
      </c>
      <c r="AN464">
        <v>103.88549169439375</v>
      </c>
      <c r="AO464">
        <v>6.3537483934609522</v>
      </c>
      <c r="AP464">
        <v>56.718851100071085</v>
      </c>
      <c r="AQ464">
        <v>45.60859551383858</v>
      </c>
      <c r="AR464">
        <v>5.9816360970113687</v>
      </c>
      <c r="AS464">
        <v>114.60936163425265</v>
      </c>
      <c r="AT464">
        <v>3.60301124540125</v>
      </c>
      <c r="AU464">
        <v>2.12872761634917</v>
      </c>
      <c r="AV464"/>
      <c r="AW464"/>
      <c r="FY464" s="210">
        <v>459</v>
      </c>
      <c r="FZ464">
        <v>21.791450588656488</v>
      </c>
      <c r="GA464">
        <v>29.143480321161181</v>
      </c>
      <c r="GB464">
        <v>2.697994160753959</v>
      </c>
      <c r="GC464">
        <v>0.9550081259787353</v>
      </c>
      <c r="GD464">
        <v>0.81328433681017409</v>
      </c>
      <c r="GE464">
        <v>1.3620176628556562</v>
      </c>
      <c r="GF464">
        <v>7.3690744300271422</v>
      </c>
      <c r="GG464">
        <v>7.8275347077943964</v>
      </c>
      <c r="GH464">
        <v>5.0739739898067313</v>
      </c>
      <c r="GI464">
        <v>6.502343640536913</v>
      </c>
      <c r="GJ464"/>
      <c r="GK464"/>
      <c r="GL464"/>
      <c r="GM464"/>
    </row>
    <row r="465" spans="1:195" s="7" customFormat="1">
      <c r="A465" s="4"/>
      <c r="B465" s="4"/>
      <c r="C465" s="63">
        <v>4</v>
      </c>
      <c r="D465" s="101">
        <f>SUM($I$228:$I$347)/$A$438</f>
        <v>17.474048636791458</v>
      </c>
      <c r="E465" s="97">
        <f>+K36</f>
        <v>0.18042720320085462</v>
      </c>
      <c r="F465" s="102">
        <f>+D465-D467</f>
        <v>12.366102680631215</v>
      </c>
      <c r="G465" s="101">
        <f>+D465*E465</f>
        <v>3.152793724131989</v>
      </c>
      <c r="H465" s="101"/>
      <c r="I465" s="101"/>
      <c r="J465" s="101"/>
      <c r="K465" s="101"/>
      <c r="L465" s="206"/>
      <c r="M465" s="206"/>
      <c r="N465" s="206"/>
      <c r="O465" s="206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3">
        <v>449</v>
      </c>
      <c r="AN465">
        <v>119.50707634944456</v>
      </c>
      <c r="AO465">
        <v>13.121703591736534</v>
      </c>
      <c r="AP465">
        <v>138.40744058107782</v>
      </c>
      <c r="AQ465">
        <v>118.93807833188077</v>
      </c>
      <c r="AR465">
        <v>13.072298082896221</v>
      </c>
      <c r="AS465">
        <v>175.39852363634287</v>
      </c>
      <c r="AT465">
        <v>7.6858249774967931</v>
      </c>
      <c r="AU465">
        <v>35.008306563822799</v>
      </c>
      <c r="AV465"/>
      <c r="AW465"/>
      <c r="FY465" s="210">
        <v>460</v>
      </c>
      <c r="FZ465">
        <v>13.29959405831706</v>
      </c>
      <c r="GA465">
        <v>15.939625441203329</v>
      </c>
      <c r="GB465">
        <v>3.5737006312433865</v>
      </c>
      <c r="GC465">
        <v>1.7073647584095999</v>
      </c>
      <c r="GD465">
        <v>0.76663065426542587</v>
      </c>
      <c r="GE465">
        <v>1.6161712010052678</v>
      </c>
      <c r="GF465">
        <v>8.1630565080905146</v>
      </c>
      <c r="GG465">
        <v>10.901844884999706</v>
      </c>
      <c r="GH465">
        <v>9.6309188024564154</v>
      </c>
      <c r="GI465">
        <v>6.2911720056839284</v>
      </c>
      <c r="GJ465"/>
      <c r="GK465"/>
      <c r="GL465"/>
      <c r="GM465"/>
    </row>
    <row r="466" spans="1:195" s="7" customFormat="1">
      <c r="A466" s="4"/>
      <c r="B466" s="4"/>
      <c r="C466" s="63"/>
      <c r="D466" s="101"/>
      <c r="E466" s="63"/>
      <c r="F466" s="63"/>
      <c r="G466" s="101"/>
      <c r="H466" s="101">
        <f>+SQRT(E465*E467)</f>
        <v>0.2467829892286334</v>
      </c>
      <c r="I466" s="101">
        <f>+H466*F465</f>
        <v>3.0517437846343878</v>
      </c>
      <c r="J466" s="101">
        <f>+I466*$A$440</f>
        <v>21.362206492440713</v>
      </c>
      <c r="K466" s="61">
        <f>IF(AND(J466&lt;0, J464&lt;0), 0, J466)</f>
        <v>21.362206492440713</v>
      </c>
      <c r="L466" s="206"/>
      <c r="M466" s="206"/>
      <c r="N466" s="206"/>
      <c r="O466" s="206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3">
        <v>450</v>
      </c>
      <c r="AN466">
        <v>68.469133204457364</v>
      </c>
      <c r="AO466">
        <v>6.7918752900571064</v>
      </c>
      <c r="AP466">
        <v>68.96570740130619</v>
      </c>
      <c r="AQ466">
        <v>57.314134362530559</v>
      </c>
      <c r="AR466">
        <v>6.8873952765730992</v>
      </c>
      <c r="AS466">
        <v>85.812296626920372</v>
      </c>
      <c r="AT466">
        <v>4.5792649680750808</v>
      </c>
      <c r="AU466">
        <v>15.17972897571798</v>
      </c>
      <c r="AV466"/>
      <c r="AW466"/>
      <c r="FY466" s="210">
        <v>461</v>
      </c>
      <c r="FZ466">
        <v>11.524307910179672</v>
      </c>
      <c r="GA466">
        <v>15.973204560650574</v>
      </c>
      <c r="GB466">
        <v>3.294470434376676</v>
      </c>
      <c r="GC466">
        <v>1.4740402254263147</v>
      </c>
      <c r="GD466">
        <v>0.52498870581873935</v>
      </c>
      <c r="GE466">
        <v>0.36576825724785822</v>
      </c>
      <c r="GF466">
        <v>7.0974596513243622</v>
      </c>
      <c r="GG466">
        <v>8.2611638093019817</v>
      </c>
      <c r="GH466">
        <v>6.05584201331515</v>
      </c>
      <c r="GI466">
        <v>5.0584137126423148</v>
      </c>
      <c r="GJ466"/>
      <c r="GK466"/>
      <c r="GL466"/>
      <c r="GM466"/>
    </row>
    <row r="467" spans="1:195" s="7" customFormat="1">
      <c r="A467" s="4"/>
      <c r="B467" s="4"/>
      <c r="C467" s="63">
        <v>5</v>
      </c>
      <c r="D467" s="101">
        <f>SUM($J$228:$J$347)/$A$438</f>
        <v>5.1079459561602434</v>
      </c>
      <c r="E467" s="97">
        <f>L36</f>
        <v>0.33754246971740076</v>
      </c>
      <c r="F467" s="102">
        <f>+D467-D469</f>
        <v>1.2223639455782318</v>
      </c>
      <c r="G467" s="101">
        <f>+D467*E467</f>
        <v>1.7241486932253387</v>
      </c>
      <c r="H467" s="101"/>
      <c r="I467" s="101"/>
      <c r="J467" s="101"/>
      <c r="K467" s="101"/>
      <c r="L467" s="206"/>
      <c r="M467" s="206"/>
      <c r="N467" s="206"/>
      <c r="O467" s="206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3">
        <v>451</v>
      </c>
      <c r="AN467">
        <v>65.92480182182635</v>
      </c>
      <c r="AO467">
        <v>4.4092484506392724</v>
      </c>
      <c r="AP467">
        <v>40.62789764627842</v>
      </c>
      <c r="AQ467">
        <v>33.584588283608468</v>
      </c>
      <c r="AR467">
        <v>4.7491287579684993</v>
      </c>
      <c r="AS467">
        <v>91.703825973196288</v>
      </c>
      <c r="AT467">
        <v>2.6811174202476522</v>
      </c>
      <c r="AU467">
        <v>18.013533872796081</v>
      </c>
      <c r="AV467"/>
      <c r="AW467"/>
      <c r="FY467" s="210">
        <v>462</v>
      </c>
      <c r="FZ467">
        <v>12.608711389427119</v>
      </c>
      <c r="GA467">
        <v>14.585083491694935</v>
      </c>
      <c r="GB467">
        <v>2.2837306524894534</v>
      </c>
      <c r="GC467">
        <v>1.3018544175612048</v>
      </c>
      <c r="GD467">
        <v>0.97828276902764677</v>
      </c>
      <c r="GE467">
        <v>3.207880423055018</v>
      </c>
      <c r="GF467">
        <v>10.270099046739938</v>
      </c>
      <c r="GG467">
        <v>10.731811058036637</v>
      </c>
      <c r="GH467">
        <v>9.5387963494259864</v>
      </c>
      <c r="GI467">
        <v>6.3580491545951459</v>
      </c>
      <c r="GJ467"/>
      <c r="GK467"/>
      <c r="GL467"/>
      <c r="GM467"/>
    </row>
    <row r="468" spans="1:195" s="7" customFormat="1">
      <c r="A468" s="4"/>
      <c r="B468" s="4"/>
      <c r="C468" s="63"/>
      <c r="D468" s="101"/>
      <c r="E468" s="63"/>
      <c r="F468" s="63"/>
      <c r="G468" s="101"/>
      <c r="H468" s="101">
        <f>+SQRT(E467*E469)</f>
        <v>0.43597270734445759</v>
      </c>
      <c r="I468" s="101">
        <f>+H468*F467</f>
        <v>0.53291731871399495</v>
      </c>
      <c r="J468" s="101">
        <f>+I468*$A$440</f>
        <v>3.7304212309979645</v>
      </c>
      <c r="K468" s="61">
        <f>IF(AND(J468&lt;0, J466&lt;0), 0, J468)</f>
        <v>3.7304212309979645</v>
      </c>
      <c r="L468" s="206"/>
      <c r="M468" s="206"/>
      <c r="N468" s="206"/>
      <c r="O468" s="206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3">
        <v>452</v>
      </c>
      <c r="AN468">
        <v>102.43795889911465</v>
      </c>
      <c r="AO468">
        <v>8.4467956395363561</v>
      </c>
      <c r="AP468">
        <v>76.745721011358626</v>
      </c>
      <c r="AQ468">
        <v>65.865306594845705</v>
      </c>
      <c r="AR468">
        <v>8.2146443933068092</v>
      </c>
      <c r="AS468">
        <v>139.00629847643918</v>
      </c>
      <c r="AT468">
        <v>5.2773158464288867</v>
      </c>
      <c r="AU468">
        <v>19.940875081055399</v>
      </c>
      <c r="AV468"/>
      <c r="AW468"/>
      <c r="FY468" s="210">
        <v>463</v>
      </c>
      <c r="FZ468">
        <v>34.80130083025638</v>
      </c>
      <c r="GA468">
        <v>39.259019615516685</v>
      </c>
      <c r="GB468">
        <v>3.2538256826786629</v>
      </c>
      <c r="GC468">
        <v>1.6921960071166182</v>
      </c>
      <c r="GD468">
        <v>0.30107063189106981</v>
      </c>
      <c r="GE468">
        <v>2.2280115746471552</v>
      </c>
      <c r="GF468">
        <v>3.569279375004339</v>
      </c>
      <c r="GG468">
        <v>7.5787530528698639</v>
      </c>
      <c r="GH468">
        <v>13.364104090387894</v>
      </c>
      <c r="GI468">
        <v>8.8789981031077172</v>
      </c>
      <c r="GJ468"/>
      <c r="GK468"/>
      <c r="GL468"/>
      <c r="GM468"/>
    </row>
    <row r="469" spans="1:195" s="7" customFormat="1">
      <c r="A469" s="4"/>
      <c r="B469" s="4"/>
      <c r="C469" s="63">
        <v>6</v>
      </c>
      <c r="D469" s="101">
        <f>SUM($K$228:$K$347)/$A$438</f>
        <v>3.8855820105820116</v>
      </c>
      <c r="E469" s="97">
        <f>M36</f>
        <v>0.56310603435588247</v>
      </c>
      <c r="F469" s="102">
        <f>+D469-D471</f>
        <v>1.8305933484504928</v>
      </c>
      <c r="G469" s="101">
        <f>+D469*E469</f>
        <v>2.1879946771433931</v>
      </c>
      <c r="H469" s="101"/>
      <c r="I469" s="101"/>
      <c r="J469" s="101"/>
      <c r="K469" s="101"/>
      <c r="L469" s="206"/>
      <c r="M469" s="206"/>
      <c r="N469" s="206"/>
      <c r="O469" s="206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3">
        <v>453</v>
      </c>
      <c r="AN469">
        <v>82.136378553251205</v>
      </c>
      <c r="AO469">
        <v>9.9865039548344861</v>
      </c>
      <c r="AP469">
        <v>105.25202607961913</v>
      </c>
      <c r="AQ469">
        <v>88.044690130260932</v>
      </c>
      <c r="AR469">
        <v>9.6424347705640052</v>
      </c>
      <c r="AS469">
        <v>127.0061103303933</v>
      </c>
      <c r="AT469">
        <v>6.6534811560885023</v>
      </c>
      <c r="AU469">
        <v>39.667694944394015</v>
      </c>
      <c r="AV469"/>
      <c r="AW469"/>
      <c r="FY469" s="210">
        <v>464</v>
      </c>
      <c r="FZ469">
        <v>15.111224998316871</v>
      </c>
      <c r="GA469">
        <v>13.817963086265367</v>
      </c>
      <c r="GB469">
        <v>1.2119792646382777</v>
      </c>
      <c r="GC469">
        <v>0.85395463345177525</v>
      </c>
      <c r="GD469">
        <v>1.5791618943854533</v>
      </c>
      <c r="GE469">
        <v>5.3959849483899296</v>
      </c>
      <c r="GF469">
        <v>11.057223015870276</v>
      </c>
      <c r="GG469">
        <v>15.713975631885013</v>
      </c>
      <c r="GH469">
        <v>17.252754392105945</v>
      </c>
      <c r="GI469">
        <v>8.1865685539982529</v>
      </c>
      <c r="GJ469"/>
      <c r="GK469"/>
      <c r="GL469"/>
      <c r="GM469"/>
    </row>
    <row r="470" spans="1:195" s="7" customFormat="1">
      <c r="A470" s="4"/>
      <c r="B470" s="4"/>
      <c r="C470" s="63"/>
      <c r="D470" s="101"/>
      <c r="E470" s="63"/>
      <c r="F470" s="63"/>
      <c r="G470" s="101"/>
      <c r="H470" s="101">
        <f>+SQRT(E469*E471)</f>
        <v>0.6991172219364804</v>
      </c>
      <c r="I470" s="101">
        <f>+H470*F469</f>
        <v>1.279799336264108</v>
      </c>
      <c r="J470" s="101">
        <f>+I470*$A$440</f>
        <v>8.9585953538487555</v>
      </c>
      <c r="K470" s="61">
        <f>IF(AND(J470&lt;0, J468&lt;0), 0, J470)</f>
        <v>8.9585953538487555</v>
      </c>
      <c r="L470" s="206"/>
      <c r="M470" s="206"/>
      <c r="N470" s="206"/>
      <c r="O470" s="206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3">
        <v>454</v>
      </c>
      <c r="AN470">
        <v>120.47279810233707</v>
      </c>
      <c r="AO470">
        <v>16.015943547579891</v>
      </c>
      <c r="AP470">
        <v>167.64007285185869</v>
      </c>
      <c r="AQ470">
        <v>142.54754380487384</v>
      </c>
      <c r="AR470">
        <v>15.255086528800565</v>
      </c>
      <c r="AS470">
        <v>241.21449330051388</v>
      </c>
      <c r="AT470">
        <v>9.8210591277647481</v>
      </c>
      <c r="AU470">
        <v>11.337905025038557</v>
      </c>
      <c r="AV470"/>
      <c r="AW470"/>
      <c r="FY470" s="210">
        <v>465</v>
      </c>
      <c r="FZ470">
        <v>24.578024286166336</v>
      </c>
      <c r="GA470">
        <v>28.54717555115807</v>
      </c>
      <c r="GB470">
        <v>3.3386685981326778</v>
      </c>
      <c r="GC470">
        <v>1.0678551315144402</v>
      </c>
      <c r="GD470">
        <v>0.51474071956145018</v>
      </c>
      <c r="GE470">
        <v>1.1539581790286655</v>
      </c>
      <c r="GF470">
        <v>2.8535184227767623</v>
      </c>
      <c r="GG470">
        <v>4.6434330889486493</v>
      </c>
      <c r="GH470">
        <v>7.9733179336871904</v>
      </c>
      <c r="GI470">
        <v>6.5345912179572654</v>
      </c>
      <c r="GJ470"/>
      <c r="GK470"/>
      <c r="GL470"/>
      <c r="GM470"/>
    </row>
    <row r="471" spans="1:195" s="7" customFormat="1">
      <c r="A471" s="4"/>
      <c r="B471" s="4"/>
      <c r="C471" s="63">
        <v>7</v>
      </c>
      <c r="D471" s="101">
        <f>SUM($L$228:$L$347)/$A$438</f>
        <v>2.0549886621315188</v>
      </c>
      <c r="E471" s="97">
        <f>+N36</f>
        <v>0.86798020299545053</v>
      </c>
      <c r="F471" s="102">
        <f>+D471-D473</f>
        <v>2.0549886621315188</v>
      </c>
      <c r="G471" s="101">
        <f>+D471*E471</f>
        <v>1.7836894761102651</v>
      </c>
      <c r="H471" s="101"/>
      <c r="I471" s="101"/>
      <c r="J471" s="101"/>
      <c r="K471" s="101"/>
      <c r="L471" s="206"/>
      <c r="M471" s="206"/>
      <c r="N471" s="206"/>
      <c r="O471" s="206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3">
        <v>455</v>
      </c>
      <c r="AN471">
        <v>122.11900424886271</v>
      </c>
      <c r="AO471">
        <v>12.955930253813207</v>
      </c>
      <c r="AP471">
        <v>134.86170486155223</v>
      </c>
      <c r="AQ471">
        <v>115.21297482681797</v>
      </c>
      <c r="AR471">
        <v>12.866561666710721</v>
      </c>
      <c r="AS471">
        <v>200.5527820680451</v>
      </c>
      <c r="AT471">
        <v>8.7301670964002174</v>
      </c>
      <c r="AU471">
        <v>3.5455644943906073E-2</v>
      </c>
      <c r="AV471"/>
      <c r="AW471"/>
      <c r="FY471" s="210">
        <v>466</v>
      </c>
      <c r="FZ471">
        <v>23.169469270753634</v>
      </c>
      <c r="GA471">
        <v>27.554962631678695</v>
      </c>
      <c r="GB471">
        <v>3.2083974885744633</v>
      </c>
      <c r="GC471">
        <v>1.437819726850923</v>
      </c>
      <c r="GD471">
        <v>0.89010197534921942</v>
      </c>
      <c r="GE471">
        <v>1.3680638078789429</v>
      </c>
      <c r="GF471">
        <v>4.5450140284895051</v>
      </c>
      <c r="GG471">
        <v>5.6844685626963702</v>
      </c>
      <c r="GH471">
        <v>5.6180815761156566</v>
      </c>
      <c r="GI471">
        <v>6.4478552988425459</v>
      </c>
      <c r="GJ471"/>
      <c r="GK471"/>
      <c r="GL471"/>
      <c r="GM471"/>
    </row>
    <row r="472" spans="1:195" s="7" customFormat="1">
      <c r="A472" s="4"/>
      <c r="B472" s="4"/>
      <c r="C472" s="63"/>
      <c r="D472" s="101"/>
      <c r="E472" s="63"/>
      <c r="F472" s="63"/>
      <c r="G472" s="101"/>
      <c r="H472" s="101">
        <f>+SQRT(E471*E473)</f>
        <v>1.0468911233877469</v>
      </c>
      <c r="I472" s="101">
        <f>+H472*F471</f>
        <v>2.1513493890479487</v>
      </c>
      <c r="J472" s="101">
        <f>+I472*$A$440</f>
        <v>15.05944572333564</v>
      </c>
      <c r="K472" s="61">
        <f>IF(AND(J472&lt;0, J470&lt;0), 0, J472)</f>
        <v>15.05944572333564</v>
      </c>
      <c r="L472" s="206"/>
      <c r="M472" s="206"/>
      <c r="N472" s="206"/>
      <c r="O472" s="206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4"/>
      <c r="AB472" s="4"/>
      <c r="AC472" s="4"/>
      <c r="AD472" s="4"/>
      <c r="AE472" s="4"/>
      <c r="AF472" s="81"/>
      <c r="AG472" s="81"/>
      <c r="AH472" s="81"/>
      <c r="AI472" s="81"/>
      <c r="AJ472" s="81"/>
      <c r="AK472" s="81"/>
      <c r="AL472" s="81"/>
      <c r="AM472" s="43">
        <v>456</v>
      </c>
      <c r="AN472">
        <v>123.93465283508276</v>
      </c>
      <c r="AO472">
        <v>16.409340077563421</v>
      </c>
      <c r="AP472">
        <v>179.45039986929632</v>
      </c>
      <c r="AQ472">
        <v>156.20496579992974</v>
      </c>
      <c r="AR472">
        <v>15.782359499991625</v>
      </c>
      <c r="AS472">
        <v>221.03690597771296</v>
      </c>
      <c r="AT472">
        <v>9.8096701125701653</v>
      </c>
      <c r="AU472">
        <v>1.0256546468162879</v>
      </c>
      <c r="AV472"/>
      <c r="AW472"/>
      <c r="FY472" s="210">
        <v>467</v>
      </c>
      <c r="FZ472">
        <v>21.78012704627692</v>
      </c>
      <c r="GA472">
        <v>26.528676274084553</v>
      </c>
      <c r="GB472">
        <v>2.2698531117223042</v>
      </c>
      <c r="GC472">
        <v>1.2461089464412882</v>
      </c>
      <c r="GD472">
        <v>0.84467973705562249</v>
      </c>
      <c r="GE472">
        <v>2.2476291367834045</v>
      </c>
      <c r="GF472">
        <v>4.0353546542739096</v>
      </c>
      <c r="GG472">
        <v>6.7644249486435921</v>
      </c>
      <c r="GH472">
        <v>10.940388768650148</v>
      </c>
      <c r="GI472">
        <v>6.7429602499448098</v>
      </c>
      <c r="GJ472"/>
      <c r="GK472"/>
      <c r="GL472"/>
      <c r="GM472"/>
    </row>
    <row r="473" spans="1:195" s="7" customFormat="1">
      <c r="A473" s="4"/>
      <c r="B473" s="16"/>
      <c r="C473" s="63">
        <v>8</v>
      </c>
      <c r="D473" s="101">
        <f>SUM($M$228:$M$347)/$A$438</f>
        <v>0</v>
      </c>
      <c r="E473" s="97">
        <f>O36</f>
        <v>1.2626797482773962</v>
      </c>
      <c r="F473" s="102">
        <f>+D473-D475</f>
        <v>0</v>
      </c>
      <c r="G473" s="101">
        <f>+D473*E473</f>
        <v>0</v>
      </c>
      <c r="H473" s="101"/>
      <c r="I473" s="101"/>
      <c r="J473" s="101"/>
      <c r="K473" s="101"/>
      <c r="L473" s="206"/>
      <c r="M473" s="206"/>
      <c r="N473" s="206"/>
      <c r="O473" s="206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4"/>
      <c r="AB473" s="4"/>
      <c r="AC473" s="4"/>
      <c r="AD473" s="4"/>
      <c r="AE473" s="4"/>
      <c r="AF473" s="81"/>
      <c r="AG473" s="81"/>
      <c r="AH473" s="81"/>
      <c r="AI473" s="81"/>
      <c r="AJ473" s="81"/>
      <c r="AK473" s="81"/>
      <c r="AL473" s="81"/>
      <c r="AM473" s="43">
        <v>457</v>
      </c>
      <c r="AN473">
        <v>149.2918441493579</v>
      </c>
      <c r="AO473">
        <v>20.963041316700988</v>
      </c>
      <c r="AP473">
        <v>220.59970773138434</v>
      </c>
      <c r="AQ473">
        <v>192.51260360717572</v>
      </c>
      <c r="AR473">
        <v>19.890756571735601</v>
      </c>
      <c r="AS473">
        <v>338.61673156765551</v>
      </c>
      <c r="AT473">
        <v>12.831046500157955</v>
      </c>
      <c r="AU473">
        <v>13.962286193364818</v>
      </c>
      <c r="AV473"/>
      <c r="AW473"/>
      <c r="FY473" s="210">
        <v>468</v>
      </c>
      <c r="FZ473">
        <v>14.22849786152592</v>
      </c>
      <c r="GA473">
        <v>16.044826667293282</v>
      </c>
      <c r="GB473">
        <v>2.2692946261065257</v>
      </c>
      <c r="GC473">
        <v>0.91199036443790016</v>
      </c>
      <c r="GD473">
        <v>0.64918870745432478</v>
      </c>
      <c r="GE473">
        <v>1.1242322868290988</v>
      </c>
      <c r="GF473">
        <v>3.0234718785629551</v>
      </c>
      <c r="GG473">
        <v>8.9342865476344286</v>
      </c>
      <c r="GH473">
        <v>13.895801960011838</v>
      </c>
      <c r="GI473">
        <v>5.7845683530230154</v>
      </c>
      <c r="GJ473"/>
      <c r="GK473"/>
      <c r="GL473"/>
      <c r="GM473"/>
    </row>
    <row r="474" spans="1:195" s="7" customFormat="1">
      <c r="A474" s="4"/>
      <c r="B474" s="16"/>
      <c r="C474" s="63"/>
      <c r="D474" s="101"/>
      <c r="E474" s="63"/>
      <c r="F474" s="63"/>
      <c r="G474" s="101"/>
      <c r="H474" s="101">
        <f>+SQRT(E473*E475)</f>
        <v>1.4896552799465912</v>
      </c>
      <c r="I474" s="101">
        <f>+H474*F473</f>
        <v>0</v>
      </c>
      <c r="J474" s="101">
        <f>+I474*$A$440</f>
        <v>0</v>
      </c>
      <c r="K474" s="61">
        <f>IF(AND(J474&lt;0, J472&lt;0), 0, J474)</f>
        <v>0</v>
      </c>
      <c r="L474" s="206"/>
      <c r="M474" s="206"/>
      <c r="N474" s="206"/>
      <c r="O474" s="206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4"/>
      <c r="AB474" s="4"/>
      <c r="AC474" s="4"/>
      <c r="AD474" s="4"/>
      <c r="AE474" s="4"/>
      <c r="AF474" s="81"/>
      <c r="AG474" s="81"/>
      <c r="AH474" s="81"/>
      <c r="AI474" s="81"/>
      <c r="AJ474" s="81"/>
      <c r="AK474" s="81"/>
      <c r="AL474" s="81"/>
      <c r="AM474" s="43">
        <v>458</v>
      </c>
      <c r="AN474">
        <v>83.875297106622455</v>
      </c>
      <c r="AO474">
        <v>4.8950172939251573</v>
      </c>
      <c r="AP474">
        <v>44.130025573461374</v>
      </c>
      <c r="AQ474">
        <v>35.541970654762686</v>
      </c>
      <c r="AR474">
        <v>4.9937642693855135</v>
      </c>
      <c r="AS474">
        <v>85.879607236102146</v>
      </c>
      <c r="AT474">
        <v>2.8959632864670914</v>
      </c>
      <c r="AU474">
        <v>-15.740241966666639</v>
      </c>
      <c r="AV474"/>
      <c r="AW474"/>
      <c r="FY474" s="210">
        <v>469</v>
      </c>
      <c r="FZ474">
        <v>2.8790392462389089</v>
      </c>
      <c r="GA474">
        <v>4.250206963699954</v>
      </c>
      <c r="GB474">
        <v>2.4342776901234906</v>
      </c>
      <c r="GC474">
        <v>1.0002488996206851</v>
      </c>
      <c r="GD474">
        <v>0.9092257218559574</v>
      </c>
      <c r="GE474">
        <v>3.1210249355081796</v>
      </c>
      <c r="GF474">
        <v>4.5324215912441987</v>
      </c>
      <c r="GG474">
        <v>2.7647347655099406</v>
      </c>
      <c r="GH474">
        <v>6.739239172347907</v>
      </c>
      <c r="GI474">
        <v>3.4469569541165712</v>
      </c>
      <c r="GJ474"/>
      <c r="GK474"/>
      <c r="GL474"/>
      <c r="GM474"/>
    </row>
    <row r="475" spans="1:195" s="7" customFormat="1">
      <c r="A475" s="4"/>
      <c r="B475" s="16"/>
      <c r="C475" s="63">
        <v>9</v>
      </c>
      <c r="D475" s="101">
        <f>SUM($N$228:$N$347)/$A$438</f>
        <v>0</v>
      </c>
      <c r="E475" s="97">
        <f>P36</f>
        <v>1.7574312537285206</v>
      </c>
      <c r="F475" s="102">
        <f>+D475-D477</f>
        <v>0</v>
      </c>
      <c r="G475" s="101">
        <f>+D475*E475</f>
        <v>0</v>
      </c>
      <c r="H475" s="101"/>
      <c r="I475" s="101"/>
      <c r="J475" s="101"/>
      <c r="K475" s="101"/>
      <c r="L475" s="206"/>
      <c r="M475" s="206"/>
      <c r="N475" s="206"/>
      <c r="O475" s="206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4"/>
      <c r="AB475" s="4"/>
      <c r="AC475" s="4"/>
      <c r="AD475" s="4"/>
      <c r="AE475" s="4"/>
      <c r="AF475" s="81"/>
      <c r="AG475" s="81"/>
      <c r="AH475" s="81"/>
      <c r="AI475" s="4"/>
      <c r="AJ475" s="81"/>
      <c r="AK475" s="81"/>
      <c r="AL475" s="81"/>
      <c r="AM475" s="43">
        <v>459</v>
      </c>
      <c r="AN475">
        <v>85.788380228133605</v>
      </c>
      <c r="AO475">
        <v>9.5485392801258762</v>
      </c>
      <c r="AP475">
        <v>99.349279656562402</v>
      </c>
      <c r="AQ475">
        <v>83.536161964381378</v>
      </c>
      <c r="AR475">
        <v>9.0774681985728662</v>
      </c>
      <c r="AS475">
        <v>150.74126061248816</v>
      </c>
      <c r="AT475">
        <v>6.0821790345232074</v>
      </c>
      <c r="AU475">
        <v>28.862544461651098</v>
      </c>
      <c r="AV475"/>
      <c r="AW475"/>
      <c r="FY475" s="210">
        <v>470</v>
      </c>
      <c r="FZ475">
        <v>14.548733213545407</v>
      </c>
      <c r="GA475">
        <v>15.808087110184033</v>
      </c>
      <c r="GB475">
        <v>3.2814336146348135</v>
      </c>
      <c r="GC475">
        <v>1.5786437197750529</v>
      </c>
      <c r="GD475">
        <v>0.91514953625437845</v>
      </c>
      <c r="GE475">
        <v>2.3383483857937595</v>
      </c>
      <c r="GF475">
        <v>9.3626392559597829</v>
      </c>
      <c r="GG475">
        <v>9.3315467911185337</v>
      </c>
      <c r="GH475">
        <v>7.0756090401897431</v>
      </c>
      <c r="GI475">
        <v>6.3024212179089458</v>
      </c>
      <c r="GJ475"/>
      <c r="GK475"/>
      <c r="GL475"/>
      <c r="GM475"/>
    </row>
    <row r="476" spans="1:195" s="7" customFormat="1">
      <c r="A476" s="4"/>
      <c r="B476" s="16"/>
      <c r="C476" s="63"/>
      <c r="D476" s="101"/>
      <c r="E476" s="63"/>
      <c r="F476" s="63"/>
      <c r="G476" s="101"/>
      <c r="H476" s="101">
        <f>+SQRT(E475*E477)</f>
        <v>2.0375064091427166</v>
      </c>
      <c r="I476" s="101">
        <f>+H476*F475</f>
        <v>0</v>
      </c>
      <c r="J476" s="101">
        <f>+I476*$A$440</f>
        <v>0</v>
      </c>
      <c r="K476" s="61">
        <f>IF(AND(J476&lt;0, J474&lt;0), 0, J476)</f>
        <v>0</v>
      </c>
      <c r="L476" s="206"/>
      <c r="M476" s="206"/>
      <c r="N476" s="206"/>
      <c r="O476" s="206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4"/>
      <c r="AB476" s="4"/>
      <c r="AC476" s="4"/>
      <c r="AD476" s="4"/>
      <c r="AE476" s="4"/>
      <c r="AF476" s="81"/>
      <c r="AG476" s="81"/>
      <c r="AH476" s="81"/>
      <c r="AI476" s="4"/>
      <c r="AJ476" s="81"/>
      <c r="AK476" s="81"/>
      <c r="AL476" s="81"/>
      <c r="AM476" s="43">
        <v>460</v>
      </c>
      <c r="AN476">
        <v>110.71587323901554</v>
      </c>
      <c r="AO476">
        <v>8.8969556373668404</v>
      </c>
      <c r="AP476">
        <v>86.875057945012685</v>
      </c>
      <c r="AQ476">
        <v>71.890078945674631</v>
      </c>
      <c r="AR476">
        <v>8.7065465734090637</v>
      </c>
      <c r="AS476">
        <v>183.88114819004645</v>
      </c>
      <c r="AT476">
        <v>5.1621130241575521</v>
      </c>
      <c r="AU476">
        <v>5.5797655110279649</v>
      </c>
      <c r="AV476"/>
      <c r="AW476"/>
      <c r="FY476" s="210">
        <v>471</v>
      </c>
      <c r="FZ476">
        <v>54.250167376876391</v>
      </c>
      <c r="GA476">
        <v>66.007752586520297</v>
      </c>
      <c r="GB476">
        <v>2.5083767680830502</v>
      </c>
      <c r="GC476">
        <v>0.86837248577415216</v>
      </c>
      <c r="GD476">
        <v>1.0636862411656336</v>
      </c>
      <c r="GE476">
        <v>4.7151463611084816</v>
      </c>
      <c r="GF476">
        <v>9.0889338287797585</v>
      </c>
      <c r="GG476">
        <v>6.7199107517853793</v>
      </c>
      <c r="GH476">
        <v>7.9212485999227642</v>
      </c>
      <c r="GI476">
        <v>12.153993679273514</v>
      </c>
      <c r="GJ476"/>
      <c r="GK476"/>
      <c r="GL476"/>
      <c r="GM476"/>
    </row>
    <row r="477" spans="1:195" s="7" customFormat="1">
      <c r="A477" s="4"/>
      <c r="B477" s="16"/>
      <c r="C477" s="63">
        <v>10</v>
      </c>
      <c r="D477" s="101">
        <f>SUM($O$228:$O$347)/$A$438</f>
        <v>0</v>
      </c>
      <c r="E477" s="97">
        <f>Q36</f>
        <v>2.3622160801397363</v>
      </c>
      <c r="F477" s="102">
        <f>+D477-D479</f>
        <v>0</v>
      </c>
      <c r="G477" s="101">
        <f>+D477*E477</f>
        <v>0</v>
      </c>
      <c r="H477" s="101"/>
      <c r="I477" s="101"/>
      <c r="J477" s="101"/>
      <c r="K477" s="101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4"/>
      <c r="AB477" s="4"/>
      <c r="AC477" s="4"/>
      <c r="AD477" s="4"/>
      <c r="AE477" s="4"/>
      <c r="AF477" s="81"/>
      <c r="AG477" s="81"/>
      <c r="AH477" s="81"/>
      <c r="AI477" s="4"/>
      <c r="AJ477" s="81"/>
      <c r="AK477" s="81"/>
      <c r="AL477" s="81"/>
      <c r="AM477" s="43">
        <v>461</v>
      </c>
      <c r="AN477">
        <v>89.859169341971239</v>
      </c>
      <c r="AO477">
        <v>7.2038672081011352</v>
      </c>
      <c r="AP477">
        <v>72.880171777368872</v>
      </c>
      <c r="AQ477">
        <v>59.629659280283647</v>
      </c>
      <c r="AR477">
        <v>7.04523786953777</v>
      </c>
      <c r="AS477">
        <v>133.54061066213683</v>
      </c>
      <c r="AT477">
        <v>4.6633351044998088</v>
      </c>
      <c r="AU477">
        <v>7.9939797717086192</v>
      </c>
      <c r="AV477"/>
      <c r="AW477"/>
      <c r="FY477" s="210">
        <v>472</v>
      </c>
      <c r="FZ477">
        <v>11.645448658514956</v>
      </c>
      <c r="GA477">
        <v>15.722396676390854</v>
      </c>
      <c r="GB477">
        <v>3.5620715626847375</v>
      </c>
      <c r="GC477">
        <v>1.6618120000872665</v>
      </c>
      <c r="GD477">
        <v>0.96147036468096803</v>
      </c>
      <c r="GE477">
        <v>3.2549023339869247</v>
      </c>
      <c r="GF477">
        <v>6.3667878107458211</v>
      </c>
      <c r="GG477">
        <v>5.8401271582483396</v>
      </c>
      <c r="GH477">
        <v>7.6895493197610225</v>
      </c>
      <c r="GI477">
        <v>5.512213574889163</v>
      </c>
      <c r="GJ477"/>
      <c r="GK477"/>
      <c r="GL477"/>
      <c r="GM477"/>
    </row>
    <row r="478" spans="1:195" s="7" customFormat="1">
      <c r="A478" s="4"/>
      <c r="B478" s="4"/>
      <c r="C478" s="63"/>
      <c r="D478" s="101"/>
      <c r="E478" s="63"/>
      <c r="F478" s="63"/>
      <c r="G478" s="101"/>
      <c r="H478" s="101">
        <f>+SQRT(E477*E479)</f>
        <v>2.7003139196815642</v>
      </c>
      <c r="I478" s="101">
        <f>+H478*F477</f>
        <v>0</v>
      </c>
      <c r="J478" s="101">
        <f>+I478*$A$440</f>
        <v>0</v>
      </c>
      <c r="K478" s="61">
        <f>IF(AND(J478&lt;0, J476&lt;0), 0, J478)</f>
        <v>0</v>
      </c>
      <c r="L478" s="206"/>
      <c r="M478" s="206"/>
      <c r="N478" s="206"/>
      <c r="O478" s="206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4"/>
      <c r="AB478" s="4"/>
      <c r="AC478" s="4"/>
      <c r="AD478" s="4"/>
      <c r="AE478" s="4"/>
      <c r="AF478" s="81"/>
      <c r="AG478" s="81"/>
      <c r="AH478" s="81"/>
      <c r="AI478" s="4"/>
      <c r="AJ478" s="81"/>
      <c r="AK478" s="81"/>
      <c r="AL478" s="81"/>
      <c r="AM478" s="43">
        <v>462</v>
      </c>
      <c r="AN478">
        <v>142.22275880933665</v>
      </c>
      <c r="AO478">
        <v>8.9886218191539164</v>
      </c>
      <c r="AP478">
        <v>85.546811512880879</v>
      </c>
      <c r="AQ478">
        <v>71.864298752053074</v>
      </c>
      <c r="AR478">
        <v>8.6899617970116605</v>
      </c>
      <c r="AS478">
        <v>158.09762876217292</v>
      </c>
      <c r="AT478">
        <v>5.5967574793603196</v>
      </c>
      <c r="AU478">
        <v>17.904931867004219</v>
      </c>
      <c r="AV478"/>
      <c r="AW478"/>
      <c r="FY478" s="210">
        <v>473</v>
      </c>
      <c r="FZ478">
        <v>54.479235139807926</v>
      </c>
      <c r="GA478">
        <v>65.693579968997966</v>
      </c>
      <c r="GB478">
        <v>2.3367868990699772</v>
      </c>
      <c r="GC478">
        <v>0.62299457566430183</v>
      </c>
      <c r="GD478">
        <v>0.92603537646787371</v>
      </c>
      <c r="GE478">
        <v>2.8857370876343116</v>
      </c>
      <c r="GF478">
        <v>9.9762456613765842</v>
      </c>
      <c r="GG478">
        <v>9.0304297219659162</v>
      </c>
      <c r="GH478">
        <v>5.7895475982795048</v>
      </c>
      <c r="GI478">
        <v>11.880961476924767</v>
      </c>
      <c r="GJ478"/>
      <c r="GK478"/>
      <c r="GL478"/>
      <c r="GM478"/>
    </row>
    <row r="479" spans="1:195" s="7" customFormat="1">
      <c r="A479" s="4"/>
      <c r="B479" s="4"/>
      <c r="C479" s="100">
        <v>11</v>
      </c>
      <c r="D479" s="101">
        <f>SUM($P$228:$P$347)/$A$438</f>
        <v>0</v>
      </c>
      <c r="E479" s="97">
        <f>R36</f>
        <v>3.0868028230485485</v>
      </c>
      <c r="F479" s="102">
        <f>+D479-D481</f>
        <v>0</v>
      </c>
      <c r="G479" s="101">
        <f>+D479*E479</f>
        <v>0</v>
      </c>
      <c r="H479" s="101"/>
      <c r="I479" s="101"/>
      <c r="J479" s="101"/>
      <c r="K479" s="101"/>
      <c r="L479" s="206"/>
      <c r="M479" s="206"/>
      <c r="N479" s="206"/>
      <c r="O479" s="206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4"/>
      <c r="AB479" s="4"/>
      <c r="AC479" s="4"/>
      <c r="AD479" s="4"/>
      <c r="AE479" s="4"/>
      <c r="AF479" s="81"/>
      <c r="AG479" s="81"/>
      <c r="AH479" s="81"/>
      <c r="AI479" s="4"/>
      <c r="AJ479" s="81"/>
      <c r="AK479" s="81"/>
      <c r="AL479" s="81"/>
      <c r="AM479" s="43">
        <v>463</v>
      </c>
      <c r="AN479">
        <v>131.94593503811907</v>
      </c>
      <c r="AO479">
        <v>12.724227024240275</v>
      </c>
      <c r="AP479">
        <v>134.52523614169297</v>
      </c>
      <c r="AQ479">
        <v>114.9265589634764</v>
      </c>
      <c r="AR479">
        <v>12.281789359990164</v>
      </c>
      <c r="AS479">
        <v>195.85004584120796</v>
      </c>
      <c r="AT479">
        <v>7.1931123404895532</v>
      </c>
      <c r="AU479">
        <v>30.381801177835904</v>
      </c>
      <c r="AV479"/>
      <c r="AW479"/>
      <c r="FY479" s="210">
        <v>474</v>
      </c>
      <c r="FZ479">
        <v>4.2016257516419548</v>
      </c>
      <c r="GA479">
        <v>3.8846182506588445</v>
      </c>
      <c r="GB479">
        <v>2.8867458678760016</v>
      </c>
      <c r="GC479">
        <v>0.94544022990686427</v>
      </c>
      <c r="GD479">
        <v>0.76485994638648225</v>
      </c>
      <c r="GE479">
        <v>3.4363601956327958</v>
      </c>
      <c r="GF479">
        <v>6.3003715764479464</v>
      </c>
      <c r="GG479">
        <v>11.356091777165998</v>
      </c>
      <c r="GH479">
        <v>14.58113115254163</v>
      </c>
      <c r="GI479">
        <v>5.2334823970710733</v>
      </c>
      <c r="GJ479"/>
      <c r="GK479"/>
      <c r="GL479"/>
      <c r="GM479"/>
    </row>
    <row r="480" spans="1:195" s="7" customFormat="1">
      <c r="A480" s="4"/>
      <c r="B480" s="4"/>
      <c r="C480" s="104"/>
      <c r="D480" s="101"/>
      <c r="E480" s="63"/>
      <c r="F480" s="63"/>
      <c r="G480" s="101"/>
      <c r="H480" s="101">
        <f>+SQRT(E479*E481)</f>
        <v>3.487748286101986</v>
      </c>
      <c r="I480" s="101">
        <f>+H480*F479</f>
        <v>0</v>
      </c>
      <c r="J480" s="101">
        <f>+I480*$A$440</f>
        <v>0</v>
      </c>
      <c r="K480" s="61">
        <f>IF(AND(J480&lt;0, J478&lt;0), 0, J480)</f>
        <v>0</v>
      </c>
      <c r="L480" s="206"/>
      <c r="M480" s="206"/>
      <c r="N480" s="206"/>
      <c r="O480" s="206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4"/>
      <c r="AB480" s="4"/>
      <c r="AC480" s="4"/>
      <c r="AD480" s="4"/>
      <c r="AE480" s="4"/>
      <c r="AF480" s="81"/>
      <c r="AG480" s="81"/>
      <c r="AH480" s="81"/>
      <c r="AI480" s="4"/>
      <c r="AJ480" s="81"/>
      <c r="AK480" s="81"/>
      <c r="AL480" s="81"/>
      <c r="AM480" s="43">
        <v>464</v>
      </c>
      <c r="AN480">
        <v>181.66081941034463</v>
      </c>
      <c r="AO480">
        <v>11.435266891879335</v>
      </c>
      <c r="AP480">
        <v>105.57897576760388</v>
      </c>
      <c r="AQ480">
        <v>90.180790419307158</v>
      </c>
      <c r="AR480">
        <v>11.185255399468689</v>
      </c>
      <c r="AS480">
        <v>202.7469951097884</v>
      </c>
      <c r="AT480">
        <v>6.4992960889419438</v>
      </c>
      <c r="AU480">
        <v>36.848972782663822</v>
      </c>
      <c r="AV480"/>
      <c r="AW480"/>
      <c r="FY480" s="210">
        <v>475</v>
      </c>
      <c r="FZ480">
        <v>45.872880700489461</v>
      </c>
      <c r="GA480">
        <v>53.638618653321508</v>
      </c>
      <c r="GB480">
        <v>3.7069453441038078</v>
      </c>
      <c r="GC480">
        <v>1.3513392399928468</v>
      </c>
      <c r="GD480">
        <v>1.3527652091464564</v>
      </c>
      <c r="GE480">
        <v>3.5308770528667184</v>
      </c>
      <c r="GF480">
        <v>8.6254836831077082</v>
      </c>
      <c r="GG480">
        <v>7.6618406406308335</v>
      </c>
      <c r="GH480">
        <v>4.9713479666445046</v>
      </c>
      <c r="GI480">
        <v>10.840168173051525</v>
      </c>
      <c r="GJ480"/>
      <c r="GK480"/>
      <c r="GL480"/>
      <c r="GM480"/>
    </row>
    <row r="481" spans="1:195" s="7" customFormat="1">
      <c r="A481" s="4"/>
      <c r="B481" s="4"/>
      <c r="C481" s="63">
        <v>12</v>
      </c>
      <c r="D481" s="101">
        <f>SUM($Q$228:$Q$347)/$A$438</f>
        <v>0</v>
      </c>
      <c r="E481" s="97">
        <f>+S36</f>
        <v>3.9407726390484843</v>
      </c>
      <c r="F481" s="102">
        <f>+D481-D483</f>
        <v>0</v>
      </c>
      <c r="G481" s="101">
        <f>+D481*E481</f>
        <v>0</v>
      </c>
      <c r="H481" s="101"/>
      <c r="I481" s="101"/>
      <c r="J481" s="101"/>
      <c r="K481" s="101"/>
      <c r="L481" s="206"/>
      <c r="M481" s="206"/>
      <c r="N481" s="206"/>
      <c r="O481" s="206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4"/>
      <c r="AB481" s="4"/>
      <c r="AC481" s="4"/>
      <c r="AD481" s="4"/>
      <c r="AE481" s="4"/>
      <c r="AF481" s="81"/>
      <c r="AG481" s="81"/>
      <c r="AH481" s="81"/>
      <c r="AI481" s="4"/>
      <c r="AJ481" s="81"/>
      <c r="AK481" s="81"/>
      <c r="AL481" s="81"/>
      <c r="AM481" s="43">
        <v>465</v>
      </c>
      <c r="AN481">
        <v>65.502965224696311</v>
      </c>
      <c r="AO481">
        <v>9.0758900500795683</v>
      </c>
      <c r="AP481">
        <v>96.341846815122437</v>
      </c>
      <c r="AQ481">
        <v>81.205283128931512</v>
      </c>
      <c r="AR481">
        <v>9.1408918682717548</v>
      </c>
      <c r="AS481">
        <v>121.58542980891484</v>
      </c>
      <c r="AT481">
        <v>5.9754694939005253</v>
      </c>
      <c r="AU481">
        <v>-1.070885064757455</v>
      </c>
      <c r="AV481"/>
      <c r="AW481"/>
      <c r="FY481" s="210">
        <v>476</v>
      </c>
      <c r="FZ481">
        <v>13.361078753338958</v>
      </c>
      <c r="GA481">
        <v>17.106824853933052</v>
      </c>
      <c r="GB481">
        <v>4.9231102364103227</v>
      </c>
      <c r="GC481">
        <v>1.8734479683800886</v>
      </c>
      <c r="GD481">
        <v>0.59135492121308308</v>
      </c>
      <c r="GE481">
        <v>2.7678434661665952</v>
      </c>
      <c r="GF481">
        <v>7.8147732049079499</v>
      </c>
      <c r="GG481">
        <v>9.2964749294655249</v>
      </c>
      <c r="GH481">
        <v>10.914725309539008</v>
      </c>
      <c r="GI481">
        <v>6.6799136065054112</v>
      </c>
      <c r="GJ481"/>
      <c r="GK481"/>
      <c r="GL481"/>
      <c r="GM481"/>
    </row>
    <row r="482" spans="1:195" s="7" customFormat="1">
      <c r="A482" s="4"/>
      <c r="B482" s="4"/>
      <c r="C482" s="63" t="s">
        <v>99</v>
      </c>
      <c r="D482" s="101"/>
      <c r="E482" s="63"/>
      <c r="F482" s="63"/>
      <c r="G482" s="101"/>
      <c r="H482" s="101">
        <f>+SQRT(E481*E483)</f>
        <v>4.4093035225232269</v>
      </c>
      <c r="I482" s="101">
        <f>+H482*F481</f>
        <v>0</v>
      </c>
      <c r="J482" s="101">
        <f>+I482*$A$440</f>
        <v>0</v>
      </c>
      <c r="K482" s="61">
        <f>IF(AND(J482&lt;0, J480&lt;0), 0, J482)</f>
        <v>0</v>
      </c>
      <c r="L482" s="206"/>
      <c r="M482" s="206"/>
      <c r="N482" s="206"/>
      <c r="O482" s="206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4"/>
      <c r="AB482" s="4"/>
      <c r="AC482" s="4"/>
      <c r="AD482" s="4"/>
      <c r="AE482" s="4"/>
      <c r="AF482" s="81"/>
      <c r="AG482" s="81"/>
      <c r="AH482" s="81"/>
      <c r="AI482" s="4"/>
      <c r="AJ482" s="81"/>
      <c r="AK482" s="81"/>
      <c r="AL482" s="81"/>
      <c r="AM482" s="43">
        <v>466</v>
      </c>
      <c r="AN482">
        <v>74.190209837017008</v>
      </c>
      <c r="AO482">
        <v>9.2146358397842025</v>
      </c>
      <c r="AP482">
        <v>94.180072524066929</v>
      </c>
      <c r="AQ482">
        <v>79.924234367229943</v>
      </c>
      <c r="AR482">
        <v>9.0224970324755791</v>
      </c>
      <c r="AS482">
        <v>129.51378238547517</v>
      </c>
      <c r="AT482">
        <v>5.8145091554685395</v>
      </c>
      <c r="AU482">
        <v>9.9230972621210789</v>
      </c>
      <c r="AV482"/>
      <c r="AW482"/>
      <c r="FY482" s="210">
        <v>477</v>
      </c>
      <c r="FZ482">
        <v>31.971734832141792</v>
      </c>
      <c r="GA482">
        <v>39.206950847651754</v>
      </c>
      <c r="GB482">
        <v>2.822849977476285</v>
      </c>
      <c r="GC482">
        <v>1.1617365922305591</v>
      </c>
      <c r="GD482">
        <v>0.47668842900487352</v>
      </c>
      <c r="GE482">
        <v>2.227165835637035</v>
      </c>
      <c r="GF482">
        <v>4.4171752685173331</v>
      </c>
      <c r="GG482">
        <v>6.401564897248015</v>
      </c>
      <c r="GH482">
        <v>10.016257170025705</v>
      </c>
      <c r="GI482">
        <v>8.0735687938977794</v>
      </c>
      <c r="GJ482"/>
      <c r="GK482"/>
      <c r="GL482"/>
      <c r="GM482"/>
    </row>
    <row r="483" spans="1:195" s="7" customFormat="1">
      <c r="A483" s="4"/>
      <c r="B483" s="4"/>
      <c r="C483" s="63">
        <v>13</v>
      </c>
      <c r="D483" s="101">
        <f>SUM($R$228:$R$347)/$A$438</f>
        <v>0</v>
      </c>
      <c r="E483" s="97">
        <f>+T36</f>
        <v>4.9335395199125411</v>
      </c>
      <c r="F483" s="102">
        <f>+D483-D485</f>
        <v>0</v>
      </c>
      <c r="G483" s="101">
        <f>+D483*E483</f>
        <v>0</v>
      </c>
      <c r="H483" s="101"/>
      <c r="I483" s="101"/>
      <c r="J483" s="101"/>
      <c r="K483" s="101"/>
      <c r="L483" s="206"/>
      <c r="M483" s="206"/>
      <c r="N483" s="206"/>
      <c r="O483" s="206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4"/>
      <c r="AB483" s="4"/>
      <c r="AC483" s="4"/>
      <c r="AD483" s="4"/>
      <c r="AE483" s="4"/>
      <c r="AF483" s="81"/>
      <c r="AG483" s="81"/>
      <c r="AH483" s="81"/>
      <c r="AI483" s="4"/>
      <c r="AJ483" s="81"/>
      <c r="AK483" s="81"/>
      <c r="AL483" s="81"/>
      <c r="AM483" s="43">
        <v>467</v>
      </c>
      <c r="AN483">
        <v>90.466403392102933</v>
      </c>
      <c r="AO483">
        <v>9.6374389784318879</v>
      </c>
      <c r="AP483">
        <v>97.799768057186171</v>
      </c>
      <c r="AQ483">
        <v>83.400202873876566</v>
      </c>
      <c r="AR483">
        <v>9.3650793118382243</v>
      </c>
      <c r="AS483">
        <v>125.64293276929794</v>
      </c>
      <c r="AT483">
        <v>5.6109142584837741</v>
      </c>
      <c r="AU483">
        <v>20.343822687393228</v>
      </c>
      <c r="AV483"/>
      <c r="AW483"/>
      <c r="FY483" s="210">
        <v>478</v>
      </c>
      <c r="FZ483">
        <v>23.60944173945763</v>
      </c>
      <c r="GA483">
        <v>29.4824245897141</v>
      </c>
      <c r="GB483">
        <v>3.4986363770656048</v>
      </c>
      <c r="GC483">
        <v>1.1462416322298605</v>
      </c>
      <c r="GD483">
        <v>1.3318160369736152</v>
      </c>
      <c r="GE483">
        <v>3.4143802250845678</v>
      </c>
      <c r="GF483">
        <v>4.0581521548456259</v>
      </c>
      <c r="GG483">
        <v>4.1411184427512557</v>
      </c>
      <c r="GH483">
        <v>4.6051942261781269</v>
      </c>
      <c r="GI483">
        <v>6.5960381606653833</v>
      </c>
      <c r="GJ483"/>
      <c r="GK483"/>
      <c r="GL483"/>
      <c r="GM483"/>
    </row>
    <row r="484" spans="1:195" s="7" customFormat="1">
      <c r="A484" s="4"/>
      <c r="B484" s="4"/>
      <c r="C484" s="63"/>
      <c r="D484" s="101"/>
      <c r="E484" s="63"/>
      <c r="F484" s="63"/>
      <c r="G484" s="101"/>
      <c r="H484" s="101">
        <f>+SQRT(E483*E485)</f>
        <v>5.474315388694559</v>
      </c>
      <c r="I484" s="101">
        <f>+H484*F483</f>
        <v>0</v>
      </c>
      <c r="J484" s="101">
        <f>+I484*$A$440</f>
        <v>0</v>
      </c>
      <c r="K484" s="61">
        <f>IF(AND(J484&lt;0, J482&lt;0), 0, J484)</f>
        <v>0</v>
      </c>
      <c r="L484" s="206"/>
      <c r="M484" s="206"/>
      <c r="N484" s="206"/>
      <c r="O484" s="206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4"/>
      <c r="AB484" s="4"/>
      <c r="AC484" s="4"/>
      <c r="AD484" s="4"/>
      <c r="AE484" s="4"/>
      <c r="AF484" s="81"/>
      <c r="AG484" s="81"/>
      <c r="AH484" s="81"/>
      <c r="AI484" s="4"/>
      <c r="AJ484" s="81"/>
      <c r="AK484" s="81"/>
      <c r="AL484" s="81"/>
      <c r="AM484" s="43">
        <v>468</v>
      </c>
      <c r="AN484">
        <v>98.440293768195417</v>
      </c>
      <c r="AO484">
        <v>7.9085069445331033</v>
      </c>
      <c r="AP484">
        <v>80.246894507882615</v>
      </c>
      <c r="AQ484">
        <v>66.866159252879285</v>
      </c>
      <c r="AR484">
        <v>8.0389285454897141</v>
      </c>
      <c r="AS484">
        <v>125.42871359414818</v>
      </c>
      <c r="AT484">
        <v>4.946987776204999</v>
      </c>
      <c r="AU484">
        <v>24.440013871386668</v>
      </c>
      <c r="AV484"/>
      <c r="AW484"/>
      <c r="FY484" s="210">
        <v>479</v>
      </c>
      <c r="FZ484">
        <v>11.922339895097466</v>
      </c>
      <c r="GA484">
        <v>14.534652508577317</v>
      </c>
      <c r="GB484">
        <v>1.0589373344647837</v>
      </c>
      <c r="GC484">
        <v>0.57831039099140846</v>
      </c>
      <c r="GD484">
        <v>0.47135789523603716</v>
      </c>
      <c r="GE484">
        <v>3.0576196694773867</v>
      </c>
      <c r="GF484">
        <v>10.267819110357637</v>
      </c>
      <c r="GG484">
        <v>11.999229226782358</v>
      </c>
      <c r="GH484">
        <v>10.888789257524977</v>
      </c>
      <c r="GI484">
        <v>5.8762242857096725</v>
      </c>
      <c r="GJ484"/>
      <c r="GK484"/>
      <c r="GL484"/>
      <c r="GM484"/>
    </row>
    <row r="485" spans="1:195" s="7" customFormat="1">
      <c r="A485" s="4"/>
      <c r="B485" s="4"/>
      <c r="C485" s="63">
        <v>14</v>
      </c>
      <c r="D485" s="101">
        <f>SUM($S$228:$S$347)/$A$438</f>
        <v>0</v>
      </c>
      <c r="E485" s="97">
        <f>+U36</f>
        <v>6.0743668625622593</v>
      </c>
      <c r="F485" s="102">
        <f>+D485-D487</f>
        <v>0</v>
      </c>
      <c r="G485" s="101">
        <f>+D485*E485</f>
        <v>0</v>
      </c>
      <c r="H485" s="101"/>
      <c r="I485" s="101"/>
      <c r="J485" s="101"/>
      <c r="K485" s="101"/>
      <c r="L485" s="206"/>
      <c r="M485" s="206"/>
      <c r="N485" s="206"/>
      <c r="O485" s="206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4"/>
      <c r="AB485" s="4"/>
      <c r="AC485" s="4"/>
      <c r="AD485" s="4"/>
      <c r="AE485" s="4"/>
      <c r="AF485" s="81"/>
      <c r="AG485" s="81"/>
      <c r="AH485" s="81"/>
      <c r="AI485" s="4"/>
      <c r="AJ485" s="81"/>
      <c r="AK485" s="81"/>
      <c r="AL485" s="81"/>
      <c r="AM485" s="43">
        <v>469</v>
      </c>
      <c r="AN485">
        <v>78.327618377746674</v>
      </c>
      <c r="AO485">
        <v>4.4864967292000735</v>
      </c>
      <c r="AP485">
        <v>38.517426358498845</v>
      </c>
      <c r="AQ485">
        <v>32.077375940265796</v>
      </c>
      <c r="AR485">
        <v>4.6341732862133309</v>
      </c>
      <c r="AS485">
        <v>91.665477409749869</v>
      </c>
      <c r="AT485">
        <v>2.8742438813632458</v>
      </c>
      <c r="AU485">
        <v>-4.937636951643972</v>
      </c>
      <c r="AV485"/>
      <c r="AW485"/>
      <c r="FY485" s="210">
        <v>480</v>
      </c>
      <c r="FZ485">
        <v>11.912670796577311</v>
      </c>
      <c r="GA485">
        <v>15.896116756862792</v>
      </c>
      <c r="GB485">
        <v>2.0830378115239387</v>
      </c>
      <c r="GC485">
        <v>0.93798227401666978</v>
      </c>
      <c r="GD485">
        <v>1.1681009944711538</v>
      </c>
      <c r="GE485">
        <v>2.3082698787556342</v>
      </c>
      <c r="GF485">
        <v>13.458740563409091</v>
      </c>
      <c r="GG485">
        <v>15.666915138672756</v>
      </c>
      <c r="GH485">
        <v>8.5584931431160882</v>
      </c>
      <c r="GI485">
        <v>6.7480495109380048</v>
      </c>
      <c r="GJ485"/>
      <c r="GK485"/>
      <c r="GL485"/>
      <c r="GM485"/>
    </row>
    <row r="486" spans="1:195" s="7" customFormat="1">
      <c r="A486" s="4"/>
      <c r="B486" s="4"/>
      <c r="C486" s="63"/>
      <c r="D486" s="101"/>
      <c r="E486" s="63"/>
      <c r="F486" s="63"/>
      <c r="G486" s="101"/>
      <c r="H486" s="101">
        <f>+SQRT(E485*E487)</f>
        <v>6.6919764150800711</v>
      </c>
      <c r="I486" s="101">
        <f>+H486*F485</f>
        <v>0</v>
      </c>
      <c r="J486" s="101">
        <f>+I486*$A$440</f>
        <v>0</v>
      </c>
      <c r="K486" s="61">
        <f>IF(AND(J486&lt;0, J484&lt;0), 0, J486)</f>
        <v>0</v>
      </c>
      <c r="L486" s="206"/>
      <c r="M486" s="206"/>
      <c r="N486" s="206"/>
      <c r="O486" s="206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4"/>
      <c r="AB486" s="4"/>
      <c r="AC486" s="4"/>
      <c r="AD486" s="4"/>
      <c r="AE486" s="4"/>
      <c r="AF486" s="81"/>
      <c r="AG486" s="81"/>
      <c r="AH486" s="81"/>
      <c r="AI486" s="4"/>
      <c r="AJ486" s="81"/>
      <c r="AK486" s="81"/>
      <c r="AL486" s="81"/>
      <c r="AM486" s="43">
        <v>470</v>
      </c>
      <c r="AN486">
        <v>126.83926485116862</v>
      </c>
      <c r="AO486">
        <v>8.7713321095131764</v>
      </c>
      <c r="AP486">
        <v>84.437951029815849</v>
      </c>
      <c r="AQ486">
        <v>70.542611885364437</v>
      </c>
      <c r="AR486">
        <v>8.6902786823141511</v>
      </c>
      <c r="AS486">
        <v>163.60112580144838</v>
      </c>
      <c r="AT486">
        <v>5.372938795880934</v>
      </c>
      <c r="AU486">
        <v>4.5751321608488684</v>
      </c>
      <c r="AV486"/>
      <c r="AW486"/>
      <c r="FY486" s="210">
        <v>481</v>
      </c>
      <c r="FZ486">
        <v>23.778732712357527</v>
      </c>
      <c r="GA486">
        <v>28.404000299253113</v>
      </c>
      <c r="GB486">
        <v>2.3248737282560583</v>
      </c>
      <c r="GC486">
        <v>0.89596033247885898</v>
      </c>
      <c r="GD486">
        <v>1.4371349560403903</v>
      </c>
      <c r="GE486">
        <v>3.7289251116520892</v>
      </c>
      <c r="GF486">
        <v>4.1161730480783127</v>
      </c>
      <c r="GG486">
        <v>8.7650070368036488</v>
      </c>
      <c r="GH486">
        <v>11.936438490608468</v>
      </c>
      <c r="GI486">
        <v>7.5634882566759565</v>
      </c>
      <c r="GJ486"/>
      <c r="GK486"/>
      <c r="GL486"/>
      <c r="GM486"/>
    </row>
    <row r="487" spans="1:195" s="7" customFormat="1">
      <c r="A487" s="4"/>
      <c r="B487" s="4"/>
      <c r="C487" s="63">
        <v>15</v>
      </c>
      <c r="D487" s="101">
        <f>SUM($T$228:$T$347)/$A$438</f>
        <v>0</v>
      </c>
      <c r="E487" s="97">
        <f>V36</f>
        <v>7.372381246182746</v>
      </c>
      <c r="F487" s="102">
        <f>+D487-D489</f>
        <v>0</v>
      </c>
      <c r="G487" s="101">
        <f>+D487*E487</f>
        <v>0</v>
      </c>
      <c r="H487" s="101"/>
      <c r="I487" s="101"/>
      <c r="J487" s="101"/>
      <c r="K487" s="101"/>
      <c r="L487" s="206"/>
      <c r="M487" s="206"/>
      <c r="N487" s="206"/>
      <c r="O487" s="206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4"/>
      <c r="AB487" s="4"/>
      <c r="AC487" s="4"/>
      <c r="AD487" s="4"/>
      <c r="AE487" s="4"/>
      <c r="AF487" s="81"/>
      <c r="AG487" s="81"/>
      <c r="AH487" s="81"/>
      <c r="AI487" s="4"/>
      <c r="AJ487" s="81"/>
      <c r="AK487" s="81"/>
      <c r="AL487" s="81"/>
      <c r="AM487" s="43">
        <v>471</v>
      </c>
      <c r="AN487">
        <v>140.8837972212547</v>
      </c>
      <c r="AO487">
        <v>17.853746606363316</v>
      </c>
      <c r="AP487">
        <v>190.75304809419063</v>
      </c>
      <c r="AQ487">
        <v>165.29758867928945</v>
      </c>
      <c r="AR487">
        <v>16.807027065706389</v>
      </c>
      <c r="AS487">
        <v>265.64024920328114</v>
      </c>
      <c r="AT487">
        <v>10.394813503895243</v>
      </c>
      <c r="AU487">
        <v>26.608520341840855</v>
      </c>
      <c r="AV487"/>
      <c r="AW487"/>
      <c r="FY487" s="210">
        <v>482</v>
      </c>
      <c r="FZ487">
        <v>25.626858914242675</v>
      </c>
      <c r="GA487">
        <v>26.559129314174822</v>
      </c>
      <c r="GB487">
        <v>2.4556503958769209</v>
      </c>
      <c r="GC487">
        <v>1.3020397843480687</v>
      </c>
      <c r="GD487">
        <v>0.83475835965770107</v>
      </c>
      <c r="GE487">
        <v>3.1612946462190998</v>
      </c>
      <c r="GF487">
        <v>3.52505892353168</v>
      </c>
      <c r="GG487">
        <v>11.058738827065545</v>
      </c>
      <c r="GH487">
        <v>15.988343104227827</v>
      </c>
      <c r="GI487">
        <v>8.0449563696996158</v>
      </c>
      <c r="GJ487"/>
      <c r="GK487"/>
      <c r="GL487"/>
      <c r="GM487"/>
    </row>
    <row r="488" spans="1:195" s="7" customFormat="1">
      <c r="A488" s="4"/>
      <c r="B488" s="4"/>
      <c r="C488" s="63"/>
      <c r="D488" s="101"/>
      <c r="E488" s="63"/>
      <c r="F488" s="63"/>
      <c r="G488" s="101"/>
      <c r="H488" s="101">
        <f>+SQRT(E487*E489)</f>
        <v>8.0713484969935472</v>
      </c>
      <c r="I488" s="101">
        <f>+H488*F487</f>
        <v>0</v>
      </c>
      <c r="J488" s="101">
        <f>+I488*$A$440</f>
        <v>0</v>
      </c>
      <c r="K488" s="61">
        <f>IF(AND(J488&lt;0, J486&lt;0), 0, J488)</f>
        <v>0</v>
      </c>
      <c r="L488" s="206"/>
      <c r="M488" s="206"/>
      <c r="N488" s="206"/>
      <c r="O488" s="206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4"/>
      <c r="AB488" s="4"/>
      <c r="AC488" s="4"/>
      <c r="AD488" s="4"/>
      <c r="AE488" s="4"/>
      <c r="AF488" s="81"/>
      <c r="AG488" s="81"/>
      <c r="AH488" s="81"/>
      <c r="AI488" s="4"/>
      <c r="AJ488" s="81"/>
      <c r="AK488" s="81"/>
      <c r="AL488" s="81"/>
      <c r="AM488" s="43">
        <v>472</v>
      </c>
      <c r="AN488">
        <v>131.33109415791051</v>
      </c>
      <c r="AO488">
        <v>7.8015166154817468</v>
      </c>
      <c r="AP488">
        <v>73.661587926002795</v>
      </c>
      <c r="AQ488">
        <v>62.21677945999005</v>
      </c>
      <c r="AR488">
        <v>7.5192790973515038</v>
      </c>
      <c r="AS488">
        <v>136.80400354650328</v>
      </c>
      <c r="AT488">
        <v>4.6860789929812121</v>
      </c>
      <c r="AU488">
        <v>14.499442755023461</v>
      </c>
      <c r="AV488"/>
      <c r="AW488"/>
      <c r="FY488" s="210">
        <v>483</v>
      </c>
      <c r="FZ488">
        <v>13.533221787553661</v>
      </c>
      <c r="GA488">
        <v>15.158394692163846</v>
      </c>
      <c r="GB488">
        <v>3.4171540396999109</v>
      </c>
      <c r="GC488">
        <v>1.7269773664534855</v>
      </c>
      <c r="GD488">
        <v>0.65293491915520518</v>
      </c>
      <c r="GE488">
        <v>1.5624296807060378</v>
      </c>
      <c r="GF488">
        <v>6.2703503521856758</v>
      </c>
      <c r="GG488">
        <v>11.566761460957984</v>
      </c>
      <c r="GH488">
        <v>12.850344875015923</v>
      </c>
      <c r="GI488">
        <v>6.3853438516466596</v>
      </c>
      <c r="GJ488"/>
      <c r="GK488"/>
      <c r="GL488"/>
      <c r="GM488"/>
    </row>
    <row r="489" spans="1:195" s="7" customFormat="1">
      <c r="A489" s="4"/>
      <c r="B489" s="4"/>
      <c r="C489" s="63">
        <v>16</v>
      </c>
      <c r="D489" s="101">
        <f>SUM($U$228:$U$347)/$A$438</f>
        <v>0</v>
      </c>
      <c r="E489" s="97">
        <f>W36</f>
        <v>8.8365840539854723</v>
      </c>
      <c r="F489" s="102">
        <f>+D489-D491</f>
        <v>0</v>
      </c>
      <c r="G489" s="101">
        <f>+D489*E489</f>
        <v>0</v>
      </c>
      <c r="H489" s="101"/>
      <c r="I489" s="101"/>
      <c r="J489" s="101"/>
      <c r="K489" s="101"/>
      <c r="L489" s="206"/>
      <c r="M489" s="206"/>
      <c r="N489" s="206"/>
      <c r="O489" s="206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4"/>
      <c r="AB489" s="4"/>
      <c r="AC489" s="4"/>
      <c r="AD489" s="4"/>
      <c r="AE489" s="4"/>
      <c r="AF489" s="81"/>
      <c r="AG489" s="81"/>
      <c r="AH489" s="81"/>
      <c r="AI489" s="4"/>
      <c r="AJ489" s="81"/>
      <c r="AK489" s="81"/>
      <c r="AL489" s="81"/>
      <c r="AM489" s="43">
        <v>473</v>
      </c>
      <c r="AN489">
        <v>124.14248350429077</v>
      </c>
      <c r="AO489">
        <v>17.517619621575967</v>
      </c>
      <c r="AP489">
        <v>190.19881305913572</v>
      </c>
      <c r="AQ489">
        <v>163.62155350618917</v>
      </c>
      <c r="AR489">
        <v>16.543086759651374</v>
      </c>
      <c r="AS489">
        <v>239.08479445132085</v>
      </c>
      <c r="AT489">
        <v>11.215882096459692</v>
      </c>
      <c r="AU489">
        <v>74.382236366886872</v>
      </c>
      <c r="AV489"/>
      <c r="AW489"/>
      <c r="FY489" s="210">
        <v>484</v>
      </c>
      <c r="FZ489">
        <v>43.56979778496968</v>
      </c>
      <c r="GA489">
        <v>56.356553030273602</v>
      </c>
      <c r="GB489">
        <v>2.9679948230306827</v>
      </c>
      <c r="GC489">
        <v>0.28299443237026334</v>
      </c>
      <c r="GD489">
        <v>1.040223444474452</v>
      </c>
      <c r="GE489">
        <v>4.5211071244127288</v>
      </c>
      <c r="GF489">
        <v>7.4505493856278555</v>
      </c>
      <c r="GG489">
        <v>4.1358249752671155</v>
      </c>
      <c r="GH489">
        <v>2.9676430853533908</v>
      </c>
      <c r="GI489">
        <v>9.605077562005274</v>
      </c>
      <c r="GJ489"/>
      <c r="GK489"/>
      <c r="GL489"/>
      <c r="GM489"/>
    </row>
    <row r="490" spans="1:195" s="7" customFormat="1">
      <c r="A490" s="4"/>
      <c r="B490" s="4"/>
      <c r="C490" s="63"/>
      <c r="D490" s="101"/>
      <c r="E490" s="63"/>
      <c r="F490" s="63"/>
      <c r="G490" s="101"/>
      <c r="H490" s="101">
        <f>+SQRT(E489*E491)</f>
        <v>9.6213735914358747</v>
      </c>
      <c r="I490" s="101">
        <f>+H490*F489</f>
        <v>0</v>
      </c>
      <c r="J490" s="101">
        <f>+I490*$A$440</f>
        <v>0</v>
      </c>
      <c r="K490" s="61">
        <f>IF(AND(J490&lt;0, J488&lt;0), 0, J490)</f>
        <v>0</v>
      </c>
      <c r="L490" s="206"/>
      <c r="M490" s="206"/>
      <c r="N490" s="206"/>
      <c r="O490" s="206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4"/>
      <c r="AB490" s="4"/>
      <c r="AC490" s="4"/>
      <c r="AD490" s="4"/>
      <c r="AE490" s="4"/>
      <c r="AF490" s="81"/>
      <c r="AG490" s="81"/>
      <c r="AH490" s="81"/>
      <c r="AI490" s="4"/>
      <c r="AJ490" s="81"/>
      <c r="AK490" s="81"/>
      <c r="AL490" s="81"/>
      <c r="AM490" s="43">
        <v>474</v>
      </c>
      <c r="AN490">
        <v>134.45358338097461</v>
      </c>
      <c r="AO490">
        <v>7.1858907272862753</v>
      </c>
      <c r="AP490">
        <v>65.276493597452557</v>
      </c>
      <c r="AQ490">
        <v>53.590727145329588</v>
      </c>
      <c r="AR490">
        <v>7.1122669328506944</v>
      </c>
      <c r="AS490">
        <v>150.25210329439903</v>
      </c>
      <c r="AT490">
        <v>3.7242827485708041</v>
      </c>
      <c r="AU490">
        <v>42.547630854053878</v>
      </c>
      <c r="AV490"/>
      <c r="AW490"/>
      <c r="FY490" s="210">
        <v>485</v>
      </c>
      <c r="FZ490">
        <v>12.595858809292453</v>
      </c>
      <c r="GA490">
        <v>15.937738000504261</v>
      </c>
      <c r="GB490">
        <v>2.7879517642337648</v>
      </c>
      <c r="GC490">
        <v>0.89760360615242596</v>
      </c>
      <c r="GD490">
        <v>0.30653476568566673</v>
      </c>
      <c r="GE490">
        <v>0.6815365528706927</v>
      </c>
      <c r="GF490">
        <v>5.783901508757169</v>
      </c>
      <c r="GG490">
        <v>9.8398839326520164</v>
      </c>
      <c r="GH490">
        <v>11.027123111080103</v>
      </c>
      <c r="GI490">
        <v>5.5226817822912357</v>
      </c>
      <c r="GJ490"/>
      <c r="GK490"/>
      <c r="GL490"/>
      <c r="GM490"/>
    </row>
    <row r="491" spans="1:195" s="7" customFormat="1">
      <c r="A491" s="4"/>
      <c r="B491" s="4"/>
      <c r="C491" s="63">
        <v>17</v>
      </c>
      <c r="D491" s="101">
        <f>SUM($V$228:$V$347)/$A$438</f>
        <v>0</v>
      </c>
      <c r="E491" s="97">
        <f>X36</f>
        <v>10.475861398526323</v>
      </c>
      <c r="F491" s="102">
        <f>+D491-D493</f>
        <v>0</v>
      </c>
      <c r="G491" s="101">
        <f>+D491*E491</f>
        <v>0</v>
      </c>
      <c r="H491" s="101"/>
      <c r="I491" s="101"/>
      <c r="J491" s="101"/>
      <c r="K491" s="101"/>
      <c r="L491" s="206"/>
      <c r="M491" s="206"/>
      <c r="N491" s="206"/>
      <c r="O491" s="206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4"/>
      <c r="AB491" s="4"/>
      <c r="AC491" s="4"/>
      <c r="AD491" s="4"/>
      <c r="AE491" s="4"/>
      <c r="AF491" s="81"/>
      <c r="AG491" s="81"/>
      <c r="AH491" s="81"/>
      <c r="AI491" s="4"/>
      <c r="AJ491" s="81"/>
      <c r="AK491" s="81"/>
      <c r="AL491" s="81"/>
      <c r="AM491" s="43">
        <v>475</v>
      </c>
      <c r="AN491">
        <v>113.63365118356742</v>
      </c>
      <c r="AO491">
        <v>15.78300110155546</v>
      </c>
      <c r="AP491">
        <v>164.36665610102222</v>
      </c>
      <c r="AQ491">
        <v>141.55226666335537</v>
      </c>
      <c r="AR491">
        <v>15.113839483495568</v>
      </c>
      <c r="AS491">
        <v>206.66336651528755</v>
      </c>
      <c r="AT491">
        <v>9.6065254280707926</v>
      </c>
      <c r="AU491">
        <v>8.3603169666688011</v>
      </c>
      <c r="AV491"/>
      <c r="AW491"/>
      <c r="FY491" s="210">
        <v>486</v>
      </c>
      <c r="FZ491">
        <v>24.087769928101757</v>
      </c>
      <c r="GA491">
        <v>27.028063445135892</v>
      </c>
      <c r="GB491">
        <v>1.6690899651612709</v>
      </c>
      <c r="GC491">
        <v>0.8016160492099631</v>
      </c>
      <c r="GD491">
        <v>1.2536869784750251</v>
      </c>
      <c r="GE491">
        <v>3.9080024949279109</v>
      </c>
      <c r="GF491">
        <v>6.9050034681786308</v>
      </c>
      <c r="GG491">
        <v>4.9644489766744258</v>
      </c>
      <c r="GH491">
        <v>4.5873380110348423</v>
      </c>
      <c r="GI491">
        <v>6.6882656124658517</v>
      </c>
      <c r="GJ491"/>
      <c r="GK491"/>
      <c r="GL491"/>
      <c r="GM491"/>
    </row>
    <row r="492" spans="1:195" s="7" customFormat="1">
      <c r="A492" s="4"/>
      <c r="B492" s="4"/>
      <c r="C492" s="63"/>
      <c r="D492" s="101"/>
      <c r="E492" s="63"/>
      <c r="F492" s="63"/>
      <c r="G492" s="101"/>
      <c r="H492" s="101">
        <f>+SQRT(E491*E493)</f>
        <v>11.350882906274707</v>
      </c>
      <c r="I492" s="101">
        <f>+H492*F491</f>
        <v>0</v>
      </c>
      <c r="J492" s="101">
        <f>+I492*$A$440</f>
        <v>0</v>
      </c>
      <c r="K492" s="61">
        <f>IF(AND(J492&lt;0, J490&lt;0), 0, J492)</f>
        <v>0</v>
      </c>
      <c r="L492" s="206"/>
      <c r="M492" s="206"/>
      <c r="N492" s="206"/>
      <c r="O492" s="206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4"/>
      <c r="AB492" s="4"/>
      <c r="AC492" s="4"/>
      <c r="AD492" s="4"/>
      <c r="AE492" s="4"/>
      <c r="AF492" s="81"/>
      <c r="AG492" s="81"/>
      <c r="AH492" s="81"/>
      <c r="AI492" s="4"/>
      <c r="AJ492" s="81"/>
      <c r="AK492" s="81"/>
      <c r="AL492" s="81"/>
      <c r="AM492" s="43">
        <v>476</v>
      </c>
      <c r="AN492">
        <v>123.56163161931583</v>
      </c>
      <c r="AO492">
        <v>9.3685184251644493</v>
      </c>
      <c r="AP492">
        <v>91.494573702811792</v>
      </c>
      <c r="AQ492">
        <v>75.329547249859985</v>
      </c>
      <c r="AR492">
        <v>9.1709849299678119</v>
      </c>
      <c r="AS492">
        <v>152.51279525117474</v>
      </c>
      <c r="AT492">
        <v>5.2512198348309891</v>
      </c>
      <c r="AU492">
        <v>7.0145398595116948</v>
      </c>
      <c r="AV492"/>
      <c r="AW492"/>
      <c r="FY492" s="210">
        <v>487</v>
      </c>
      <c r="FZ492">
        <v>23.651256817139512</v>
      </c>
      <c r="GA492">
        <v>26.852626798336246</v>
      </c>
      <c r="GB492">
        <v>2.0847526800668419</v>
      </c>
      <c r="GC492">
        <v>1.566667046693101</v>
      </c>
      <c r="GD492">
        <v>2.0706942415338996</v>
      </c>
      <c r="GE492">
        <v>4.0676681627927342</v>
      </c>
      <c r="GF492">
        <v>7.560360238364348</v>
      </c>
      <c r="GG492">
        <v>14.755494457520527</v>
      </c>
      <c r="GH492">
        <v>15.504426881702729</v>
      </c>
      <c r="GI492">
        <v>9.0312180882390987</v>
      </c>
      <c r="GJ492"/>
      <c r="GK492"/>
      <c r="GL492"/>
      <c r="GM492"/>
    </row>
    <row r="493" spans="1:195" s="7" customFormat="1">
      <c r="A493" s="4"/>
      <c r="B493" s="4"/>
      <c r="C493" s="63">
        <v>18</v>
      </c>
      <c r="D493" s="101">
        <f>SUM($W$228:$W$347)/$A$438</f>
        <v>0</v>
      </c>
      <c r="E493" s="97">
        <f>+Y36</f>
        <v>12.298992689048376</v>
      </c>
      <c r="F493" s="102">
        <f>+D493-D495</f>
        <v>0</v>
      </c>
      <c r="G493" s="101">
        <f>+D493*E493</f>
        <v>0</v>
      </c>
      <c r="H493" s="101"/>
      <c r="I493" s="101"/>
      <c r="J493" s="101"/>
      <c r="K493" s="101"/>
      <c r="L493" s="206"/>
      <c r="M493" s="206"/>
      <c r="N493" s="206"/>
      <c r="O493" s="206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4"/>
      <c r="AB493" s="4"/>
      <c r="AC493" s="4"/>
      <c r="AD493" s="4"/>
      <c r="AE493" s="4"/>
      <c r="AF493" s="81"/>
      <c r="AG493" s="81"/>
      <c r="AH493" s="81"/>
      <c r="AI493" s="4"/>
      <c r="AJ493" s="81"/>
      <c r="AK493" s="81"/>
      <c r="AL493" s="81"/>
      <c r="AM493" s="43">
        <v>477</v>
      </c>
      <c r="AN493">
        <v>99.908756087923877</v>
      </c>
      <c r="AO493">
        <v>11.725838877121999</v>
      </c>
      <c r="AP493">
        <v>124.97236176435118</v>
      </c>
      <c r="AQ493">
        <v>106.77569264383112</v>
      </c>
      <c r="AR493">
        <v>11.196105927658968</v>
      </c>
      <c r="AS493">
        <v>162.37114315137276</v>
      </c>
      <c r="AT493">
        <v>7.1900989577395116</v>
      </c>
      <c r="AU493">
        <v>12.383896869719919</v>
      </c>
      <c r="AV493"/>
      <c r="AW493"/>
      <c r="FY493" s="210">
        <v>488</v>
      </c>
      <c r="FZ493">
        <v>11.985353627874462</v>
      </c>
      <c r="GA493">
        <v>15.697611898481231</v>
      </c>
      <c r="GB493">
        <v>2.5227668453913501</v>
      </c>
      <c r="GC493">
        <v>1.131615726625794</v>
      </c>
      <c r="GD493">
        <v>1.3782655960371819</v>
      </c>
      <c r="GE493">
        <v>3.5249930888081242</v>
      </c>
      <c r="GF493">
        <v>7.076389533206247</v>
      </c>
      <c r="GG493">
        <v>6.6423040400675673</v>
      </c>
      <c r="GH493">
        <v>6.1366893658147017</v>
      </c>
      <c r="GI493">
        <v>5.4507098280165076</v>
      </c>
      <c r="GJ493"/>
      <c r="GK493"/>
      <c r="GL493"/>
      <c r="GM493"/>
    </row>
    <row r="494" spans="1:195" s="7" customFormat="1">
      <c r="A494" s="4"/>
      <c r="B494" s="4"/>
      <c r="C494" s="63"/>
      <c r="D494" s="101"/>
      <c r="E494" s="63"/>
      <c r="F494" s="63"/>
      <c r="G494" s="101"/>
      <c r="H494" s="101">
        <f>+SQRT(E493*E495)</f>
        <v>13.26860487263124</v>
      </c>
      <c r="I494" s="101">
        <f>+H494*F493</f>
        <v>0</v>
      </c>
      <c r="J494" s="101">
        <f>+I494*$A$440</f>
        <v>0</v>
      </c>
      <c r="K494" s="61">
        <f>IF(AND(J494&lt;0, J492&lt;0), 0, J494)</f>
        <v>0</v>
      </c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4"/>
      <c r="AB494" s="4"/>
      <c r="AC494" s="4"/>
      <c r="AD494" s="4"/>
      <c r="AE494" s="4"/>
      <c r="AF494" s="81"/>
      <c r="AG494" s="81"/>
      <c r="AH494" s="81"/>
      <c r="AI494" s="4"/>
      <c r="AJ494" s="81"/>
      <c r="AK494" s="81"/>
      <c r="AL494" s="81"/>
      <c r="AM494" s="43">
        <v>478</v>
      </c>
      <c r="AN494">
        <v>86.848736808782704</v>
      </c>
      <c r="AO494">
        <v>9.5859394092735926</v>
      </c>
      <c r="AP494">
        <v>94.762488368591718</v>
      </c>
      <c r="AQ494">
        <v>81.883443584965761</v>
      </c>
      <c r="AR494">
        <v>9.1573883128307898</v>
      </c>
      <c r="AS494">
        <v>148.86296602593129</v>
      </c>
      <c r="AT494">
        <v>5.6129943964103939</v>
      </c>
      <c r="AU494">
        <v>-1.0735779807143131</v>
      </c>
      <c r="AV494"/>
      <c r="AW494"/>
      <c r="FY494" s="210">
        <v>489</v>
      </c>
      <c r="FZ494">
        <v>5.5120754040431059</v>
      </c>
      <c r="GA494">
        <v>2.787129463041794</v>
      </c>
      <c r="GB494">
        <v>2.9282218165229765</v>
      </c>
      <c r="GC494">
        <v>1.5805810972753209</v>
      </c>
      <c r="GD494">
        <v>0.85898944331326144</v>
      </c>
      <c r="GE494">
        <v>2.0265936816389174</v>
      </c>
      <c r="GF494">
        <v>7.2128348801488649</v>
      </c>
      <c r="GG494">
        <v>11.996481050435996</v>
      </c>
      <c r="GH494">
        <v>12.858114110990989</v>
      </c>
      <c r="GI494">
        <v>5.366965201900058</v>
      </c>
      <c r="GJ494"/>
      <c r="GK494"/>
      <c r="GL494"/>
      <c r="GM494"/>
    </row>
    <row r="495" spans="1:195" s="7" customFormat="1">
      <c r="A495" s="4"/>
      <c r="B495" s="4"/>
      <c r="C495" s="63">
        <v>19</v>
      </c>
      <c r="D495" s="101">
        <f>SUM($X$228:$X$347)/$A$438</f>
        <v>0</v>
      </c>
      <c r="E495" s="97">
        <f>Z36</f>
        <v>14.314658095762773</v>
      </c>
      <c r="F495" s="102">
        <f>+D495-D497</f>
        <v>0</v>
      </c>
      <c r="G495" s="101">
        <f>+D495*E495</f>
        <v>0</v>
      </c>
      <c r="H495" s="101"/>
      <c r="I495" s="101"/>
      <c r="J495" s="101"/>
      <c r="K495" s="101"/>
      <c r="L495" s="206"/>
      <c r="M495" s="206"/>
      <c r="N495" s="206"/>
      <c r="O495" s="206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4"/>
      <c r="AB495" s="4"/>
      <c r="AC495" s="4"/>
      <c r="AD495" s="4"/>
      <c r="AE495" s="4"/>
      <c r="AF495" s="81"/>
      <c r="AG495" s="81"/>
      <c r="AH495" s="81"/>
      <c r="AI495" s="4"/>
      <c r="AJ495" s="81"/>
      <c r="AK495" s="81"/>
      <c r="AL495" s="81"/>
      <c r="AM495" s="43">
        <v>479</v>
      </c>
      <c r="AN495">
        <v>128.97436138685731</v>
      </c>
      <c r="AO495">
        <v>8.5188043827580699</v>
      </c>
      <c r="AP495">
        <v>84.329592112002771</v>
      </c>
      <c r="AQ495">
        <v>70.655279574219037</v>
      </c>
      <c r="AR495">
        <v>7.9914920598220185</v>
      </c>
      <c r="AS495">
        <v>139.31904629229592</v>
      </c>
      <c r="AT495">
        <v>4.7725263309851984</v>
      </c>
      <c r="AU495">
        <v>73.438562631545992</v>
      </c>
      <c r="AV495"/>
      <c r="AW495"/>
      <c r="FY495" s="210">
        <v>490</v>
      </c>
      <c r="FZ495">
        <v>22.298102162074613</v>
      </c>
      <c r="GA495">
        <v>28.670378538362527</v>
      </c>
      <c r="GB495">
        <v>1.6287703994414211</v>
      </c>
      <c r="GC495">
        <v>0.52873602108026252</v>
      </c>
      <c r="GD495">
        <v>0.67479163923282059</v>
      </c>
      <c r="GE495">
        <v>1.9232804237260699</v>
      </c>
      <c r="GF495">
        <v>8.1838905232196506</v>
      </c>
      <c r="GG495">
        <v>6.6537202309522643</v>
      </c>
      <c r="GH495">
        <v>4.0318401804294952</v>
      </c>
      <c r="GI495">
        <v>6.2077022317843085</v>
      </c>
      <c r="GJ495"/>
      <c r="GK495"/>
      <c r="GL495"/>
      <c r="GM495"/>
    </row>
    <row r="496" spans="1:195" s="7" customFormat="1">
      <c r="A496" s="4"/>
      <c r="B496" s="4"/>
      <c r="C496" s="63"/>
      <c r="D496" s="101"/>
      <c r="E496" s="63"/>
      <c r="F496" s="63"/>
      <c r="G496" s="101"/>
      <c r="H496" s="101">
        <f>+SQRT(E495*E497)</f>
        <v>15.383172121818108</v>
      </c>
      <c r="I496" s="101">
        <f>+H496*F495</f>
        <v>0</v>
      </c>
      <c r="J496" s="101">
        <f>+I496*$A$440</f>
        <v>0</v>
      </c>
      <c r="K496" s="61">
        <f>IF(AND(J496&lt;0, J494&lt;0), 0, J496)</f>
        <v>0</v>
      </c>
      <c r="L496" s="206"/>
      <c r="M496" s="206"/>
      <c r="N496" s="206"/>
      <c r="O496" s="206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4"/>
      <c r="AB496" s="4"/>
      <c r="AC496" s="4"/>
      <c r="AD496" s="4"/>
      <c r="AE496" s="4"/>
      <c r="AF496" s="81"/>
      <c r="AG496" s="81"/>
      <c r="AH496" s="81"/>
      <c r="AI496" s="4"/>
      <c r="AJ496" s="81"/>
      <c r="AK496" s="81"/>
      <c r="AL496" s="81"/>
      <c r="AM496" s="43">
        <v>480</v>
      </c>
      <c r="AN496">
        <v>125.5369042229084</v>
      </c>
      <c r="AO496">
        <v>9.8482369894805792</v>
      </c>
      <c r="AP496">
        <v>95.067475195667939</v>
      </c>
      <c r="AQ496">
        <v>78.738376868343437</v>
      </c>
      <c r="AR496">
        <v>9.3478362969900655</v>
      </c>
      <c r="AS496">
        <v>163.55917452569113</v>
      </c>
      <c r="AT496">
        <v>5.6727151080453915</v>
      </c>
      <c r="AU496">
        <v>36.955511310258956</v>
      </c>
      <c r="AV496"/>
      <c r="AW496"/>
      <c r="FY496" s="210">
        <v>491</v>
      </c>
      <c r="FZ496">
        <v>2.7442813988914097</v>
      </c>
      <c r="GA496">
        <v>5.6025873140295586</v>
      </c>
      <c r="GB496">
        <v>4.0110581767450837</v>
      </c>
      <c r="GC496">
        <v>1.3430241136467798</v>
      </c>
      <c r="GD496">
        <v>0.53772309293483278</v>
      </c>
      <c r="GE496">
        <v>1.0050443732048706</v>
      </c>
      <c r="GF496">
        <v>7.6117295249126746</v>
      </c>
      <c r="GG496">
        <v>9.7049178029756877</v>
      </c>
      <c r="GH496">
        <v>9.2760529649217069</v>
      </c>
      <c r="GI496">
        <v>4.5624105539615103</v>
      </c>
      <c r="GJ496"/>
      <c r="GK496"/>
      <c r="GL496"/>
      <c r="GM496"/>
    </row>
    <row r="497" spans="1:195" s="7" customFormat="1">
      <c r="A497" s="4"/>
      <c r="B497" s="4"/>
      <c r="C497" s="63">
        <v>20</v>
      </c>
      <c r="D497" s="101">
        <f>SUM($Y$228:$Y$347)/$A$438</f>
        <v>0</v>
      </c>
      <c r="E497" s="97">
        <f>AA36</f>
        <v>16.53144510657431</v>
      </c>
      <c r="F497" s="102">
        <f>+D497-D499</f>
        <v>0</v>
      </c>
      <c r="G497" s="101">
        <f>+D497*E497</f>
        <v>0</v>
      </c>
      <c r="H497" s="101"/>
      <c r="I497" s="101"/>
      <c r="J497" s="101"/>
      <c r="K497" s="101"/>
      <c r="L497" s="206"/>
      <c r="M497" s="206"/>
      <c r="N497" s="206"/>
      <c r="O497" s="206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4"/>
      <c r="AB497" s="4"/>
      <c r="AC497" s="4"/>
      <c r="AD497" s="4"/>
      <c r="AE497" s="4"/>
      <c r="AF497" s="81"/>
      <c r="AG497" s="81"/>
      <c r="AH497" s="81"/>
      <c r="AI497" s="4"/>
      <c r="AJ497" s="81"/>
      <c r="AK497" s="81"/>
      <c r="AL497" s="81"/>
      <c r="AM497" s="43">
        <v>481</v>
      </c>
      <c r="AN497">
        <v>114.22257578527774</v>
      </c>
      <c r="AO497">
        <v>10.927362549710645</v>
      </c>
      <c r="AP497">
        <v>107.63904715286907</v>
      </c>
      <c r="AQ497">
        <v>92.950733972204418</v>
      </c>
      <c r="AR497">
        <v>10.474734779914586</v>
      </c>
      <c r="AS497">
        <v>180.62698728329602</v>
      </c>
      <c r="AT497">
        <v>6.4443876997206919</v>
      </c>
      <c r="AU497">
        <v>71.864018920645748</v>
      </c>
      <c r="AV497"/>
      <c r="AW497"/>
      <c r="FY497" s="210">
        <v>492</v>
      </c>
      <c r="FZ497">
        <v>14.408812772851974</v>
      </c>
      <c r="GA497">
        <v>17.007730535331209</v>
      </c>
      <c r="GB497">
        <v>2.5174748960320876</v>
      </c>
      <c r="GC497">
        <v>0.47455596387172228</v>
      </c>
      <c r="GD497">
        <v>0.4754317755418892</v>
      </c>
      <c r="GE497">
        <v>2.6031938134165036</v>
      </c>
      <c r="GF497">
        <v>9.5200698527546468</v>
      </c>
      <c r="GG497">
        <v>9.0344422827470794</v>
      </c>
      <c r="GH497">
        <v>8.1037785869167092</v>
      </c>
      <c r="GI497">
        <v>6.0460111258296836</v>
      </c>
      <c r="GJ497"/>
      <c r="GK497"/>
      <c r="GL497"/>
      <c r="GM497"/>
    </row>
    <row r="498" spans="1:195" s="7" customFormat="1">
      <c r="A498" s="4"/>
      <c r="B498" s="4"/>
      <c r="C498" s="63"/>
      <c r="D498" s="101"/>
      <c r="E498" s="63"/>
      <c r="F498" s="63"/>
      <c r="G498" s="101"/>
      <c r="H498" s="101">
        <f>+SQRT(E497*E499)</f>
        <v>17.703127638127651</v>
      </c>
      <c r="I498" s="101">
        <f>+H498*F497</f>
        <v>0</v>
      </c>
      <c r="J498" s="101">
        <f>+I498*$A$440</f>
        <v>0</v>
      </c>
      <c r="K498" s="61">
        <f>IF(AND(J498&lt;0, J496&lt;0), 0, J498)</f>
        <v>0</v>
      </c>
      <c r="L498" s="206"/>
      <c r="M498" s="206"/>
      <c r="N498" s="206"/>
      <c r="O498" s="206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4"/>
      <c r="AB498" s="4"/>
      <c r="AC498" s="4"/>
      <c r="AD498" s="4"/>
      <c r="AE498" s="4"/>
      <c r="AF498" s="81"/>
      <c r="AG498" s="81"/>
      <c r="AH498" s="81"/>
      <c r="AI498" s="4"/>
      <c r="AJ498" s="81"/>
      <c r="AK498" s="81"/>
      <c r="AL498" s="81"/>
      <c r="AM498" s="43">
        <v>482</v>
      </c>
      <c r="AN498">
        <v>142.300162998529</v>
      </c>
      <c r="AO498">
        <v>11.486624684407129</v>
      </c>
      <c r="AP498">
        <v>114.79210691932992</v>
      </c>
      <c r="AQ498">
        <v>98.556828639043957</v>
      </c>
      <c r="AR498">
        <v>11.093790633854505</v>
      </c>
      <c r="AS498">
        <v>170.16374636146662</v>
      </c>
      <c r="AT498">
        <v>6.2353974369063812</v>
      </c>
      <c r="AU498">
        <v>40.356576100019069</v>
      </c>
      <c r="AV498"/>
      <c r="AW498"/>
      <c r="FY498" s="210">
        <v>493</v>
      </c>
      <c r="FZ498">
        <v>11.525072429057218</v>
      </c>
      <c r="GA498">
        <v>14.754125570692684</v>
      </c>
      <c r="GB498">
        <v>1.7497099988395863</v>
      </c>
      <c r="GC498">
        <v>0.56197535555950751</v>
      </c>
      <c r="GD498">
        <v>0.57713245814310921</v>
      </c>
      <c r="GE498">
        <v>2.1865177912265952</v>
      </c>
      <c r="GF498">
        <v>8.3805263555082039</v>
      </c>
      <c r="GG498">
        <v>10.33909813235403</v>
      </c>
      <c r="GH498">
        <v>11.029654738649191</v>
      </c>
      <c r="GI498">
        <v>5.7418623086228369</v>
      </c>
      <c r="GJ498"/>
      <c r="GK498"/>
      <c r="GL498"/>
      <c r="GM498"/>
    </row>
    <row r="499" spans="1:195" s="7" customFormat="1">
      <c r="A499" s="4"/>
      <c r="B499" s="4"/>
      <c r="C499" s="63">
        <v>21</v>
      </c>
      <c r="D499" s="101">
        <f>SUM($Z$228:$Z$347)/$A$438</f>
        <v>0</v>
      </c>
      <c r="E499" s="97">
        <f>AB36</f>
        <v>18.957854328609439</v>
      </c>
      <c r="F499" s="102">
        <f>+D499-D501</f>
        <v>0</v>
      </c>
      <c r="G499" s="101">
        <f>+D499*E499</f>
        <v>0</v>
      </c>
      <c r="H499" s="101"/>
      <c r="I499" s="101"/>
      <c r="J499" s="101"/>
      <c r="K499" s="101"/>
      <c r="L499" s="206"/>
      <c r="M499" s="206"/>
      <c r="N499" s="206"/>
      <c r="O499" s="206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4"/>
      <c r="AB499" s="4"/>
      <c r="AC499" s="4"/>
      <c r="AD499" s="4"/>
      <c r="AE499" s="4"/>
      <c r="AF499" s="81"/>
      <c r="AG499" s="81"/>
      <c r="AH499" s="81"/>
      <c r="AI499" s="4"/>
      <c r="AJ499" s="81"/>
      <c r="AK499" s="81"/>
      <c r="AL499" s="81"/>
      <c r="AM499" s="43">
        <v>483</v>
      </c>
      <c r="AN499">
        <v>122.87800421230887</v>
      </c>
      <c r="AO499">
        <v>8.997701208258599</v>
      </c>
      <c r="AP499">
        <v>88.111523099259585</v>
      </c>
      <c r="AQ499">
        <v>73.1239130255384</v>
      </c>
      <c r="AR499">
        <v>8.8402847119957375</v>
      </c>
      <c r="AS499">
        <v>151.3438290182047</v>
      </c>
      <c r="AT499">
        <v>5.1510716510808638</v>
      </c>
      <c r="AU499">
        <v>12.082361753974759</v>
      </c>
      <c r="AV499"/>
      <c r="AW499"/>
      <c r="FY499" s="210">
        <v>494</v>
      </c>
      <c r="FZ499">
        <v>16.058451667479858</v>
      </c>
      <c r="GA499">
        <v>14.472771440509813</v>
      </c>
      <c r="GB499">
        <v>2.3022203843552123</v>
      </c>
      <c r="GC499">
        <v>1.303994254133674</v>
      </c>
      <c r="GD499">
        <v>1.6445503479959851</v>
      </c>
      <c r="GE499">
        <v>3.5993236711907075</v>
      </c>
      <c r="GF499">
        <v>11.670287258780938</v>
      </c>
      <c r="GG499">
        <v>13.736424512472638</v>
      </c>
      <c r="GH499">
        <v>10.99138023968009</v>
      </c>
      <c r="GI499">
        <v>7.7493115913174053</v>
      </c>
      <c r="GJ499"/>
      <c r="GK499"/>
      <c r="GL499"/>
      <c r="GM499"/>
    </row>
    <row r="500" spans="1:195" s="7" customFormat="1">
      <c r="A500" s="4"/>
      <c r="B500" s="4"/>
      <c r="C500" s="63"/>
      <c r="D500" s="101"/>
      <c r="E500" s="106"/>
      <c r="F500" s="63"/>
      <c r="G500" s="101"/>
      <c r="H500" s="101">
        <f>+SQRT(E499*E501)</f>
        <v>20.236930222025972</v>
      </c>
      <c r="I500" s="101">
        <f>+H500*F499</f>
        <v>0</v>
      </c>
      <c r="J500" s="101">
        <f>+I500*$A$440</f>
        <v>0</v>
      </c>
      <c r="K500" s="61">
        <f>IF(AND(J500&lt;0, J498&lt;0), 0, J500)</f>
        <v>0</v>
      </c>
      <c r="L500" s="206"/>
      <c r="M500" s="206"/>
      <c r="N500" s="206"/>
      <c r="O500" s="206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4"/>
      <c r="AB500" s="4"/>
      <c r="AC500" s="4"/>
      <c r="AD500" s="4"/>
      <c r="AE500" s="4"/>
      <c r="AF500" s="81"/>
      <c r="AG500" s="81"/>
      <c r="AH500" s="81"/>
      <c r="AI500" s="4"/>
      <c r="AJ500" s="81"/>
      <c r="AK500" s="81"/>
      <c r="AL500" s="81"/>
      <c r="AM500" s="43">
        <v>484</v>
      </c>
      <c r="AN500">
        <v>116.72148483278716</v>
      </c>
      <c r="AO500">
        <v>14.359120293310445</v>
      </c>
      <c r="AP500">
        <v>153.6324822278616</v>
      </c>
      <c r="AQ500">
        <v>132.89776564778501</v>
      </c>
      <c r="AR500">
        <v>13.272347802620365</v>
      </c>
      <c r="AS500">
        <v>193.61286095421835</v>
      </c>
      <c r="AT500">
        <v>8.2207101195204562</v>
      </c>
      <c r="AU500">
        <v>23.821028660446224</v>
      </c>
      <c r="AV500"/>
      <c r="AW500"/>
      <c r="FY500" s="210">
        <v>495</v>
      </c>
      <c r="FZ500">
        <v>26.478524589235391</v>
      </c>
      <c r="GA500">
        <v>28.355781517871669</v>
      </c>
      <c r="GB500">
        <v>4.263657476486987</v>
      </c>
      <c r="GC500">
        <v>1.7663205568317311</v>
      </c>
      <c r="GD500">
        <v>0.85020688797128185</v>
      </c>
      <c r="GE500">
        <v>2.0852063862734793</v>
      </c>
      <c r="GF500">
        <v>3.708623533172843</v>
      </c>
      <c r="GG500">
        <v>4.9150789106414496</v>
      </c>
      <c r="GH500">
        <v>6.3237747667994793</v>
      </c>
      <c r="GI500">
        <v>7.1404585177693871</v>
      </c>
      <c r="GJ500"/>
      <c r="GK500"/>
      <c r="GL500"/>
      <c r="GM500"/>
    </row>
    <row r="501" spans="1:195" s="7" customFormat="1">
      <c r="A501" s="4"/>
      <c r="B501" s="4"/>
      <c r="C501" s="63">
        <v>22</v>
      </c>
      <c r="D501" s="101">
        <f>SUM($AA$228:$AA$347)/$A$438</f>
        <v>0</v>
      </c>
      <c r="E501" s="97">
        <f>AC36</f>
        <v>21.602304654969224</v>
      </c>
      <c r="F501" s="102">
        <f>+D501-D503</f>
        <v>0</v>
      </c>
      <c r="G501" s="101">
        <f>+D501*E501</f>
        <v>0</v>
      </c>
      <c r="H501" s="101"/>
      <c r="I501" s="101"/>
      <c r="J501" s="101"/>
      <c r="K501" s="101"/>
      <c r="L501" s="206"/>
      <c r="M501" s="206"/>
      <c r="N501" s="206"/>
      <c r="O501" s="206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4"/>
      <c r="AB501" s="4"/>
      <c r="AC501" s="4"/>
      <c r="AD501" s="4"/>
      <c r="AE501" s="4"/>
      <c r="AF501" s="81"/>
      <c r="AG501" s="81"/>
      <c r="AH501" s="81"/>
      <c r="AI501" s="4"/>
      <c r="AJ501" s="81"/>
      <c r="AK501" s="81"/>
      <c r="AL501" s="81"/>
      <c r="AM501" s="43">
        <v>485</v>
      </c>
      <c r="AN501">
        <v>89.13983574271019</v>
      </c>
      <c r="AO501">
        <v>7.7118513112545486</v>
      </c>
      <c r="AP501">
        <v>79.92741641130884</v>
      </c>
      <c r="AQ501">
        <v>65.380813833519781</v>
      </c>
      <c r="AR501">
        <v>7.6816254051756498</v>
      </c>
      <c r="AS501">
        <v>137.54444445511444</v>
      </c>
      <c r="AT501">
        <v>4.2960863143498047</v>
      </c>
      <c r="AU501">
        <v>6.5622016046744998</v>
      </c>
      <c r="AV501"/>
      <c r="AW501"/>
      <c r="FY501" s="210">
        <v>496</v>
      </c>
      <c r="FZ501">
        <v>24.838603584872438</v>
      </c>
      <c r="GA501">
        <v>26.420922661776416</v>
      </c>
      <c r="GB501">
        <v>2.816537822800476</v>
      </c>
      <c r="GC501">
        <v>1.4418055216072148</v>
      </c>
      <c r="GD501">
        <v>0.94714771377069851</v>
      </c>
      <c r="GE501">
        <v>3.0781374885858486</v>
      </c>
      <c r="GF501">
        <v>5.2204940150801713</v>
      </c>
      <c r="GG501">
        <v>3.7258344971039756</v>
      </c>
      <c r="GH501">
        <v>4.4255833900833377</v>
      </c>
      <c r="GI501">
        <v>6.5585104893627628</v>
      </c>
      <c r="GJ501"/>
      <c r="GK501"/>
      <c r="GL501"/>
      <c r="GM501"/>
    </row>
    <row r="502" spans="1:195" s="7" customFormat="1">
      <c r="A502" s="4"/>
      <c r="B502" s="4"/>
      <c r="C502" s="63"/>
      <c r="D502" s="101"/>
      <c r="E502" s="63"/>
      <c r="F502" s="63"/>
      <c r="G502" s="101"/>
      <c r="H502" s="101">
        <f>+SQRT(E501*E503)</f>
        <v>22.992959370853466</v>
      </c>
      <c r="I502" s="101">
        <f>+H502*F501</f>
        <v>0</v>
      </c>
      <c r="J502" s="101">
        <f>+I502*$A$440</f>
        <v>0</v>
      </c>
      <c r="K502" s="61">
        <f>IF(AND(J502&lt;0, J500&lt;0), 0, J502)</f>
        <v>0</v>
      </c>
      <c r="L502" s="206"/>
      <c r="M502" s="206"/>
      <c r="N502" s="206"/>
      <c r="O502" s="206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4"/>
      <c r="AB502" s="4"/>
      <c r="AC502" s="4"/>
      <c r="AD502" s="4"/>
      <c r="AE502" s="4"/>
      <c r="AF502" s="81"/>
      <c r="AG502" s="81"/>
      <c r="AH502" s="81"/>
      <c r="AI502" s="4"/>
      <c r="AJ502" s="81"/>
      <c r="AK502" s="81"/>
      <c r="AL502" s="81"/>
      <c r="AM502" s="43">
        <v>486</v>
      </c>
      <c r="AN502">
        <v>109.83430794498967</v>
      </c>
      <c r="AO502">
        <v>9.5520849012385547</v>
      </c>
      <c r="AP502">
        <v>93.965553759338917</v>
      </c>
      <c r="AQ502">
        <v>81.893284929365564</v>
      </c>
      <c r="AR502">
        <v>9.2362043239444702</v>
      </c>
      <c r="AS502">
        <v>140.13342506005671</v>
      </c>
      <c r="AT502">
        <v>5.3826954992041145</v>
      </c>
      <c r="AU502">
        <v>9.2001326553222409</v>
      </c>
      <c r="AV502"/>
      <c r="AW502"/>
      <c r="FY502" s="210">
        <v>497</v>
      </c>
      <c r="FZ502">
        <v>26.180560103662089</v>
      </c>
      <c r="GA502">
        <v>27.069740321997731</v>
      </c>
      <c r="GB502">
        <v>2.2918128841760104</v>
      </c>
      <c r="GC502">
        <v>0.82824612958631294</v>
      </c>
      <c r="GD502">
        <v>1.0283686308654256</v>
      </c>
      <c r="GE502">
        <v>3.8777339540421907</v>
      </c>
      <c r="GF502">
        <v>4.8008127759420525</v>
      </c>
      <c r="GG502">
        <v>6.5769930939327139</v>
      </c>
      <c r="GH502">
        <v>12.328698198542773</v>
      </c>
      <c r="GI502">
        <v>7.8460727459613882</v>
      </c>
      <c r="GJ502"/>
      <c r="GK502"/>
      <c r="GL502"/>
      <c r="GM502"/>
    </row>
    <row r="503" spans="1:195" s="7" customFormat="1">
      <c r="A503" s="4"/>
      <c r="B503" s="4"/>
      <c r="C503" s="100">
        <v>23</v>
      </c>
      <c r="D503" s="101">
        <f>SUM($AB$228:$AB$347)/$A$438</f>
        <v>0</v>
      </c>
      <c r="E503" s="97">
        <f>+AD36</f>
        <v>24.473137893095384</v>
      </c>
      <c r="F503" s="102">
        <f>+D503-D505</f>
        <v>0</v>
      </c>
      <c r="G503" s="101">
        <f>+D503*E503</f>
        <v>0</v>
      </c>
      <c r="H503" s="101"/>
      <c r="I503" s="101"/>
      <c r="J503" s="101"/>
      <c r="K503" s="101"/>
      <c r="L503" s="206"/>
      <c r="M503" s="206"/>
      <c r="N503" s="206"/>
      <c r="O503" s="206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4"/>
      <c r="AB503" s="4"/>
      <c r="AC503" s="4"/>
      <c r="AD503" s="4"/>
      <c r="AE503" s="4"/>
      <c r="AF503" s="81"/>
      <c r="AG503" s="81"/>
      <c r="AH503" s="81"/>
      <c r="AI503" s="4"/>
      <c r="AJ503" s="81"/>
      <c r="AK503" s="81"/>
      <c r="AL503" s="81"/>
      <c r="AM503" s="43">
        <v>487</v>
      </c>
      <c r="AN503">
        <v>172.48068391246787</v>
      </c>
      <c r="AO503">
        <v>13.081675571837874</v>
      </c>
      <c r="AP503">
        <v>123.93429150503886</v>
      </c>
      <c r="AQ503">
        <v>107.14516541238903</v>
      </c>
      <c r="AR503">
        <v>12.517802963430064</v>
      </c>
      <c r="AS503">
        <v>214.62074152169586</v>
      </c>
      <c r="AT503">
        <v>7.4207224019794573</v>
      </c>
      <c r="AU503">
        <v>33.534676245083126</v>
      </c>
      <c r="AV503"/>
      <c r="AW503"/>
      <c r="FY503" s="210">
        <v>498</v>
      </c>
      <c r="FZ503">
        <v>18.015881368651808</v>
      </c>
      <c r="GA503">
        <v>16.583629472755618</v>
      </c>
      <c r="GB503">
        <v>3.051263274033043</v>
      </c>
      <c r="GC503">
        <v>1.1741462693469549</v>
      </c>
      <c r="GD503">
        <v>1.051889573928434</v>
      </c>
      <c r="GE503">
        <v>2.7885947092146415</v>
      </c>
      <c r="GF503">
        <v>4.0905987783109881</v>
      </c>
      <c r="GG503">
        <v>6.4195643948465388</v>
      </c>
      <c r="GH503">
        <v>8.6850801987075776</v>
      </c>
      <c r="GI503">
        <v>6.1334789738077058</v>
      </c>
      <c r="GJ503"/>
      <c r="GK503"/>
      <c r="GL503"/>
      <c r="GM503"/>
    </row>
    <row r="504" spans="1:195" s="7" customFormat="1">
      <c r="A504" s="4"/>
      <c r="B504" s="4"/>
      <c r="C504" s="104"/>
      <c r="D504" s="101"/>
      <c r="E504" s="63"/>
      <c r="F504" s="63"/>
      <c r="G504" s="101"/>
      <c r="H504" s="101">
        <f>+SQRT(E503*E505)</f>
        <v>25.9795196632958</v>
      </c>
      <c r="I504" s="101">
        <f>+H504*F503</f>
        <v>0</v>
      </c>
      <c r="J504" s="101">
        <f>+I504*$A$440</f>
        <v>0</v>
      </c>
      <c r="K504" s="61">
        <f>IF(AND(J504&lt;0, J502&lt;0), 0, J504)</f>
        <v>0</v>
      </c>
      <c r="L504" s="206"/>
      <c r="M504" s="206"/>
      <c r="N504" s="206"/>
      <c r="O504" s="206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4"/>
      <c r="AB504" s="4"/>
      <c r="AC504" s="4"/>
      <c r="AD504" s="4"/>
      <c r="AE504" s="4"/>
      <c r="AF504" s="81"/>
      <c r="AG504" s="81"/>
      <c r="AH504" s="81"/>
      <c r="AI504" s="4"/>
      <c r="AJ504" s="81"/>
      <c r="AK504" s="81"/>
      <c r="AL504" s="81"/>
      <c r="AM504" s="43">
        <v>488</v>
      </c>
      <c r="AN504">
        <v>80.292473381123145</v>
      </c>
      <c r="AO504">
        <v>7.7956833635392941</v>
      </c>
      <c r="AP504">
        <v>72.164210157241214</v>
      </c>
      <c r="AQ504">
        <v>61.546699550323162</v>
      </c>
      <c r="AR504">
        <v>7.5009551270556223</v>
      </c>
      <c r="AS504">
        <v>119.67772153422185</v>
      </c>
      <c r="AT504">
        <v>4.8006780825195641</v>
      </c>
      <c r="AU504">
        <v>15.369056142433864</v>
      </c>
      <c r="AV504"/>
      <c r="AW504"/>
      <c r="FY504" s="210">
        <v>499</v>
      </c>
      <c r="FZ504">
        <v>36.580328964690437</v>
      </c>
      <c r="GA504">
        <v>42.871310162783026</v>
      </c>
      <c r="GB504">
        <v>3.239577354115228</v>
      </c>
      <c r="GC504">
        <v>1.0478792875805472</v>
      </c>
      <c r="GD504">
        <v>1.2396985567219394</v>
      </c>
      <c r="GE504">
        <v>2.2375997509009538</v>
      </c>
      <c r="GF504">
        <v>2.8467521547597738</v>
      </c>
      <c r="GG504">
        <v>7.5963080273035271</v>
      </c>
      <c r="GH504">
        <v>11.521780292618192</v>
      </c>
      <c r="GI504">
        <v>9.2649516140909789</v>
      </c>
      <c r="GJ504"/>
      <c r="GK504"/>
      <c r="GL504"/>
      <c r="GM504"/>
    </row>
    <row r="505" spans="1:195" s="7" customFormat="1">
      <c r="A505" s="4"/>
      <c r="B505" s="4"/>
      <c r="C505" s="63">
        <v>24</v>
      </c>
      <c r="D505" s="101">
        <f>SUM($AC$228:$AC$347)/$A$438</f>
        <v>0</v>
      </c>
      <c r="E505" s="97">
        <f>+AE36</f>
        <v>27.578622932778597</v>
      </c>
      <c r="F505" s="102">
        <f>+D505-D507</f>
        <v>0</v>
      </c>
      <c r="G505" s="101">
        <f>+D505*E505</f>
        <v>0</v>
      </c>
      <c r="H505" s="101"/>
      <c r="I505" s="101"/>
      <c r="J505" s="101"/>
      <c r="K505" s="101"/>
      <c r="L505" s="206"/>
      <c r="M505" s="206"/>
      <c r="N505" s="206"/>
      <c r="O505" s="206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4"/>
      <c r="AB505" s="4"/>
      <c r="AC505" s="4"/>
      <c r="AD505" s="4"/>
      <c r="AE505" s="4"/>
      <c r="AF505" s="81"/>
      <c r="AG505" s="81"/>
      <c r="AH505" s="81"/>
      <c r="AI505" s="4"/>
      <c r="AJ505" s="81"/>
      <c r="AK505" s="81"/>
      <c r="AL505" s="81"/>
      <c r="AM505" s="43">
        <v>489</v>
      </c>
      <c r="AN505">
        <v>122.94966417637593</v>
      </c>
      <c r="AO505">
        <v>7.1804789627134369</v>
      </c>
      <c r="AP505">
        <v>64.810614985011753</v>
      </c>
      <c r="AQ505">
        <v>53.127986149311283</v>
      </c>
      <c r="AR505">
        <v>7.3693674119427293</v>
      </c>
      <c r="AS505">
        <v>142.14794366518478</v>
      </c>
      <c r="AT505">
        <v>4.186971968919269</v>
      </c>
      <c r="AU505">
        <v>25.212222401112157</v>
      </c>
      <c r="AV505"/>
      <c r="AW505"/>
      <c r="FY505" s="210">
        <v>500</v>
      </c>
      <c r="FZ505">
        <v>1.534820987162909</v>
      </c>
      <c r="GA505">
        <v>6.0567461858090894</v>
      </c>
      <c r="GB505">
        <v>4.5403828038297638</v>
      </c>
      <c r="GC505">
        <v>1.2778802674551668</v>
      </c>
      <c r="GD505">
        <v>0.88462280488162026</v>
      </c>
      <c r="GE505">
        <v>3.1900433911267769</v>
      </c>
      <c r="GF505">
        <v>2.821261087216457</v>
      </c>
      <c r="GG505">
        <v>6.9319858223747337</v>
      </c>
      <c r="GH505">
        <v>11.879478117742005</v>
      </c>
      <c r="GI505">
        <v>4.262786664297022</v>
      </c>
      <c r="GJ505"/>
      <c r="GK505"/>
      <c r="GL505"/>
      <c r="GM505"/>
    </row>
    <row r="506" spans="1:195" s="7" customFormat="1">
      <c r="A506" s="4"/>
      <c r="B506" s="4"/>
      <c r="C506" s="63" t="s">
        <v>99</v>
      </c>
      <c r="D506" s="101"/>
      <c r="E506" s="63"/>
      <c r="F506" s="63"/>
      <c r="G506" s="101"/>
      <c r="H506" s="101">
        <f>+SQRT(E505*E507)</f>
        <v>29.20484471785165</v>
      </c>
      <c r="I506" s="101">
        <f>+H506*F505</f>
        <v>0</v>
      </c>
      <c r="J506" s="101">
        <f>+I506*$A$440</f>
        <v>0</v>
      </c>
      <c r="K506" s="61">
        <f>IF(AND(J506&lt;0, J504&lt;0), 0, J506)</f>
        <v>0</v>
      </c>
      <c r="L506" s="206"/>
      <c r="M506" s="206"/>
      <c r="N506" s="206"/>
      <c r="O506" s="206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4"/>
      <c r="AB506" s="4"/>
      <c r="AC506" s="4"/>
      <c r="AD506" s="4"/>
      <c r="AE506" s="4"/>
      <c r="AF506" s="81"/>
      <c r="AG506" s="81"/>
      <c r="AH506" s="81"/>
      <c r="AI506" s="4"/>
      <c r="AJ506" s="81"/>
      <c r="AK506" s="81"/>
      <c r="AL506" s="81"/>
      <c r="AM506" s="43">
        <v>490</v>
      </c>
      <c r="AN506">
        <v>107.17690439978999</v>
      </c>
      <c r="AO506">
        <v>9.0521359993626369</v>
      </c>
      <c r="AP506">
        <v>95.146509903113042</v>
      </c>
      <c r="AQ506">
        <v>80.801212350303445</v>
      </c>
      <c r="AR506">
        <v>8.5924184657540614</v>
      </c>
      <c r="AS506">
        <v>149.21464061631448</v>
      </c>
      <c r="AT506">
        <v>5.1778923917731383</v>
      </c>
      <c r="AU506">
        <v>17.111671326643833</v>
      </c>
      <c r="AV506"/>
      <c r="AW506"/>
      <c r="FY506" s="210">
        <v>501</v>
      </c>
      <c r="FZ506">
        <v>11.244184400237874</v>
      </c>
      <c r="GA506">
        <v>13.736076301050016</v>
      </c>
      <c r="GB506">
        <v>1.7852465551243091</v>
      </c>
      <c r="GC506">
        <v>0.99235036634972262</v>
      </c>
      <c r="GD506">
        <v>0.55770404582429323</v>
      </c>
      <c r="GE506">
        <v>2.106600193600674</v>
      </c>
      <c r="GF506">
        <v>6.5895653118693369</v>
      </c>
      <c r="GG506">
        <v>13.760943024580939</v>
      </c>
      <c r="GH506">
        <v>15.660004101104729</v>
      </c>
      <c r="GI506">
        <v>6.0861999884074827</v>
      </c>
      <c r="GJ506"/>
      <c r="GK506"/>
      <c r="GL506"/>
      <c r="GM506"/>
    </row>
    <row r="507" spans="1:195" s="7" customFormat="1">
      <c r="A507" s="4"/>
      <c r="B507" s="4"/>
      <c r="C507" s="63">
        <v>25</v>
      </c>
      <c r="D507" s="101">
        <f>SUM($AD$228:$AD$347)/$A$438</f>
        <v>0</v>
      </c>
      <c r="E507" s="97">
        <f>+AF36</f>
        <v>30.926959517622802</v>
      </c>
      <c r="F507" s="102">
        <f>+D507-D509</f>
        <v>0</v>
      </c>
      <c r="G507" s="101">
        <f>+D507*E507</f>
        <v>0</v>
      </c>
      <c r="H507" s="101"/>
      <c r="I507" s="101"/>
      <c r="J507" s="101"/>
      <c r="K507" s="101"/>
      <c r="L507" s="206"/>
      <c r="M507" s="206"/>
      <c r="N507" s="206"/>
      <c r="O507" s="206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4"/>
      <c r="AB507" s="4"/>
      <c r="AC507" s="4"/>
      <c r="AD507" s="4"/>
      <c r="AE507" s="4"/>
      <c r="AF507" s="81"/>
      <c r="AG507" s="81"/>
      <c r="AH507" s="81"/>
      <c r="AI507" s="4"/>
      <c r="AJ507" s="81"/>
      <c r="AK507" s="81"/>
      <c r="AL507" s="81"/>
      <c r="AM507" s="43">
        <v>491</v>
      </c>
      <c r="AN507">
        <v>83.176125707229744</v>
      </c>
      <c r="AO507">
        <v>6.1923419701785694</v>
      </c>
      <c r="AP507">
        <v>59.224997533687919</v>
      </c>
      <c r="AQ507">
        <v>46.398829316224123</v>
      </c>
      <c r="AR507">
        <v>6.311436081651852</v>
      </c>
      <c r="AS507">
        <v>119.69858950180148</v>
      </c>
      <c r="AT507">
        <v>3.9937771272494804</v>
      </c>
      <c r="AU507">
        <v>-17.926247648320015</v>
      </c>
      <c r="AV507"/>
      <c r="AW507"/>
      <c r="FY507" s="210">
        <v>502</v>
      </c>
      <c r="FZ507">
        <v>14.502568853139916</v>
      </c>
      <c r="GA507">
        <v>13.625556370078767</v>
      </c>
      <c r="GB507">
        <v>2.6633489629653835</v>
      </c>
      <c r="GC507">
        <v>1.6154440865925903</v>
      </c>
      <c r="GD507">
        <v>0.55763542901273777</v>
      </c>
      <c r="GE507">
        <v>0.64001661760062956</v>
      </c>
      <c r="GF507">
        <v>6.9657753925612855</v>
      </c>
      <c r="GG507">
        <v>7.4010157955818094</v>
      </c>
      <c r="GH507">
        <v>3.4882921242774567</v>
      </c>
      <c r="GI507">
        <v>4.9266641152945976</v>
      </c>
      <c r="GJ507"/>
      <c r="GK507"/>
      <c r="GL507"/>
      <c r="GM507"/>
    </row>
    <row r="508" spans="1:195" s="7" customFormat="1">
      <c r="A508" s="4"/>
      <c r="B508" s="4"/>
      <c r="C508" s="63"/>
      <c r="D508" s="101"/>
      <c r="E508" s="63"/>
      <c r="F508" s="63"/>
      <c r="G508" s="101"/>
      <c r="H508" s="101">
        <f>+SQRT(E507*E509)</f>
        <v>32.677100783023079</v>
      </c>
      <c r="I508" s="101">
        <f>+H508*F507</f>
        <v>0</v>
      </c>
      <c r="J508" s="101">
        <f>+I508*$A$440</f>
        <v>0</v>
      </c>
      <c r="K508" s="61">
        <f>IF(AND(J508&lt;0, J506&lt;0), 0, J508)</f>
        <v>0</v>
      </c>
      <c r="L508" s="206"/>
      <c r="M508" s="206"/>
      <c r="N508" s="206"/>
      <c r="O508" s="206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4"/>
      <c r="AB508" s="4"/>
      <c r="AC508" s="4"/>
      <c r="AD508" s="4"/>
      <c r="AE508" s="4"/>
      <c r="AF508" s="81"/>
      <c r="AG508" s="81"/>
      <c r="AH508" s="81"/>
      <c r="AI508" s="4"/>
      <c r="AJ508" s="81"/>
      <c r="AK508" s="81"/>
      <c r="AL508" s="81"/>
      <c r="AM508" s="43">
        <v>492</v>
      </c>
      <c r="AN508">
        <v>94.105077176637607</v>
      </c>
      <c r="AO508">
        <v>8.3708841939210608</v>
      </c>
      <c r="AP508">
        <v>84.932549133392371</v>
      </c>
      <c r="AQ508">
        <v>70.191501605293496</v>
      </c>
      <c r="AR508">
        <v>8.2895384993185885</v>
      </c>
      <c r="AS508">
        <v>139.06090839626529</v>
      </c>
      <c r="AT508">
        <v>5.0144201009336973</v>
      </c>
      <c r="AU508">
        <v>12.445545698958277</v>
      </c>
      <c r="AV508"/>
      <c r="AW508"/>
      <c r="FY508" s="210">
        <v>503</v>
      </c>
      <c r="FZ508">
        <v>25.543585243097212</v>
      </c>
      <c r="GA508">
        <v>28.394325924151865</v>
      </c>
      <c r="GB508">
        <v>1.4757284692679269</v>
      </c>
      <c r="GC508">
        <v>0.44283344596167473</v>
      </c>
      <c r="GD508">
        <v>1.4629443645203528</v>
      </c>
      <c r="GE508">
        <v>2.7114023037450399</v>
      </c>
      <c r="GF508">
        <v>0.99837279805110613</v>
      </c>
      <c r="GG508">
        <v>7.9408718938719911</v>
      </c>
      <c r="GH508">
        <v>11.63309670574888</v>
      </c>
      <c r="GI508">
        <v>7.0121134209003824</v>
      </c>
      <c r="GJ508"/>
      <c r="GK508"/>
      <c r="GL508"/>
      <c r="GM508"/>
    </row>
    <row r="509" spans="1:195" s="7" customFormat="1">
      <c r="A509" s="4"/>
      <c r="B509" s="4"/>
      <c r="C509" s="63">
        <v>26</v>
      </c>
      <c r="D509" s="101">
        <f>SUM($AE$228:$AE$347)/$A$438</f>
        <v>0</v>
      </c>
      <c r="E509" s="97">
        <f>AG36</f>
        <v>34.526281672642206</v>
      </c>
      <c r="F509" s="102">
        <f>+D509-D511</f>
        <v>0</v>
      </c>
      <c r="G509" s="101">
        <f>+D509*E509</f>
        <v>0</v>
      </c>
      <c r="H509" s="101"/>
      <c r="I509" s="119">
        <v>0</v>
      </c>
      <c r="J509" s="101"/>
      <c r="K509" s="101"/>
      <c r="L509" s="206"/>
      <c r="M509" s="206"/>
      <c r="N509" s="206"/>
      <c r="O509" s="206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4"/>
      <c r="AB509" s="4"/>
      <c r="AC509" s="4"/>
      <c r="AD509" s="4"/>
      <c r="AE509" s="4"/>
      <c r="AF509" s="81"/>
      <c r="AG509" s="81"/>
      <c r="AH509" s="81"/>
      <c r="AI509" s="4"/>
      <c r="AJ509" s="81"/>
      <c r="AK509" s="81"/>
      <c r="AL509" s="81"/>
      <c r="AM509" s="43">
        <v>493</v>
      </c>
      <c r="AN509">
        <v>96.568080148031441</v>
      </c>
      <c r="AO509">
        <v>8.0540133591016634</v>
      </c>
      <c r="AP509">
        <v>80.82685774432062</v>
      </c>
      <c r="AQ509">
        <v>66.845675138652965</v>
      </c>
      <c r="AR509">
        <v>7.9159900976120134</v>
      </c>
      <c r="AS509">
        <v>143.92195138003135</v>
      </c>
      <c r="AT509">
        <v>4.735713126782664</v>
      </c>
      <c r="AU509">
        <v>19.135836666725996</v>
      </c>
      <c r="AV509"/>
      <c r="AW509"/>
      <c r="FY509" s="210">
        <v>504</v>
      </c>
      <c r="FZ509">
        <v>24.260677481194008</v>
      </c>
      <c r="GA509">
        <v>28.918622872616169</v>
      </c>
      <c r="GB509">
        <v>4.0468935154486694</v>
      </c>
      <c r="GC509">
        <v>1.8749557939211483</v>
      </c>
      <c r="GD509">
        <v>0.93196445460522459</v>
      </c>
      <c r="GE509">
        <v>3.1159782013241961</v>
      </c>
      <c r="GF509">
        <v>10.21710168309534</v>
      </c>
      <c r="GG509">
        <v>7.6404526913336523</v>
      </c>
      <c r="GH509">
        <v>3.9123665097910139</v>
      </c>
      <c r="GI509">
        <v>7.5902136583435764</v>
      </c>
      <c r="GJ509"/>
      <c r="GK509"/>
      <c r="GL509"/>
      <c r="GM509"/>
    </row>
    <row r="510" spans="1:195" s="7" customFormat="1">
      <c r="A510" s="4"/>
      <c r="B510" s="4"/>
      <c r="C510" s="63"/>
      <c r="D510" s="101"/>
      <c r="E510" s="63"/>
      <c r="F510" s="63"/>
      <c r="G510" s="101"/>
      <c r="H510" s="101">
        <f>+SQRT(E509*E511)</f>
        <v>36.404390007097987</v>
      </c>
      <c r="I510" s="101">
        <f>+H510*F509</f>
        <v>0</v>
      </c>
      <c r="J510" s="101">
        <f>+I510*$A$440</f>
        <v>0</v>
      </c>
      <c r="K510" s="61">
        <f>IF(AND(J510&lt;0, J508&lt;0), 0, J510)</f>
        <v>0</v>
      </c>
      <c r="L510" s="206"/>
      <c r="M510" s="206"/>
      <c r="N510" s="206"/>
      <c r="O510" s="206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4"/>
      <c r="AB510" s="4"/>
      <c r="AC510" s="4"/>
      <c r="AD510" s="4"/>
      <c r="AE510" s="4"/>
      <c r="AF510" s="81"/>
      <c r="AG510" s="81"/>
      <c r="AH510" s="81"/>
      <c r="AI510" s="4"/>
      <c r="AJ510" s="81"/>
      <c r="AK510" s="81"/>
      <c r="AL510" s="81"/>
      <c r="AM510" s="43">
        <v>494</v>
      </c>
      <c r="AN510">
        <v>141.16324930880199</v>
      </c>
      <c r="AO510">
        <v>10.632973264764741</v>
      </c>
      <c r="AP510">
        <v>98.647845440837372</v>
      </c>
      <c r="AQ510">
        <v>83.528715367916348</v>
      </c>
      <c r="AR510">
        <v>10.724594042765489</v>
      </c>
      <c r="AS510">
        <v>204.56232098568483</v>
      </c>
      <c r="AT510">
        <v>6.2974105623233951</v>
      </c>
      <c r="AU510">
        <v>14.97138228358218</v>
      </c>
      <c r="AV510"/>
      <c r="AW510"/>
      <c r="FY510" s="210">
        <v>505</v>
      </c>
      <c r="FZ510">
        <v>28.905779181640415</v>
      </c>
      <c r="GA510">
        <v>28.714494471322411</v>
      </c>
      <c r="GB510">
        <v>2.4347153171633487</v>
      </c>
      <c r="GC510">
        <v>0.91523686843564755</v>
      </c>
      <c r="GD510">
        <v>0.97435363854057744</v>
      </c>
      <c r="GE510">
        <v>4.0773571587992956</v>
      </c>
      <c r="GF510">
        <v>8.6741848654390612</v>
      </c>
      <c r="GG510">
        <v>11.818455008280573</v>
      </c>
      <c r="GH510">
        <v>14.359681543821271</v>
      </c>
      <c r="GI510">
        <v>9.286670197059065</v>
      </c>
      <c r="GJ510"/>
      <c r="GK510"/>
      <c r="GL510"/>
      <c r="GM510"/>
    </row>
    <row r="511" spans="1:195" s="7" customFormat="1">
      <c r="A511" s="4"/>
      <c r="B511" s="4"/>
      <c r="C511" s="63">
        <v>27</v>
      </c>
      <c r="D511" s="101">
        <f>SUM($AF$228:$AF$347)/$A$438</f>
        <v>0</v>
      </c>
      <c r="E511" s="97">
        <f>+AH36</f>
        <v>38.384660831838588</v>
      </c>
      <c r="F511" s="102">
        <f>+D511-D513</f>
        <v>0</v>
      </c>
      <c r="G511" s="101">
        <f>+D511*E511</f>
        <v>0</v>
      </c>
      <c r="H511" s="101"/>
      <c r="I511" s="101"/>
      <c r="J511" s="101"/>
      <c r="K511" s="101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4"/>
      <c r="AB511" s="4"/>
      <c r="AC511" s="4"/>
      <c r="AD511" s="4"/>
      <c r="AE511" s="4"/>
      <c r="AF511" s="81"/>
      <c r="AG511" s="81"/>
      <c r="AH511" s="81"/>
      <c r="AI511" s="4"/>
      <c r="AJ511" s="81"/>
      <c r="AK511" s="81"/>
      <c r="AL511" s="81"/>
      <c r="AM511" s="43">
        <v>495</v>
      </c>
      <c r="AN511">
        <v>85.863889233444212</v>
      </c>
      <c r="AO511">
        <v>9.9890982958217602</v>
      </c>
      <c r="AP511">
        <v>100.82844215918296</v>
      </c>
      <c r="AQ511">
        <v>85.887633143053705</v>
      </c>
      <c r="AR511">
        <v>9.9488544184576853</v>
      </c>
      <c r="AS511">
        <v>143.96306742733148</v>
      </c>
      <c r="AT511">
        <v>6.5041423902778961</v>
      </c>
      <c r="AU511">
        <v>-11.436266887054405</v>
      </c>
      <c r="AV511"/>
      <c r="AW511"/>
      <c r="FY511" s="210">
        <v>506</v>
      </c>
      <c r="FZ511">
        <v>25.607921999433913</v>
      </c>
      <c r="GA511">
        <v>29.053189027129072</v>
      </c>
      <c r="GB511">
        <v>2.8398086773185103</v>
      </c>
      <c r="GC511">
        <v>1.1185982847950915</v>
      </c>
      <c r="GD511">
        <v>0.90801890719495271</v>
      </c>
      <c r="GE511">
        <v>3.63911614644022</v>
      </c>
      <c r="GF511">
        <v>5.8965916757665653</v>
      </c>
      <c r="GG511">
        <v>5.7923243494873358</v>
      </c>
      <c r="GH511">
        <v>8.575489731532036</v>
      </c>
      <c r="GI511">
        <v>7.4415979253327338</v>
      </c>
      <c r="GJ511"/>
      <c r="GK511"/>
      <c r="GL511"/>
      <c r="GM511"/>
    </row>
    <row r="512" spans="1:195" s="7" customFormat="1">
      <c r="A512" s="4"/>
      <c r="B512" s="4"/>
      <c r="C512" s="63"/>
      <c r="D512" s="101"/>
      <c r="E512" s="63"/>
      <c r="F512" s="63"/>
      <c r="G512" s="101"/>
      <c r="H512" s="101">
        <f>+SQRT(E511*E513)</f>
        <v>40.394753427540756</v>
      </c>
      <c r="I512" s="101">
        <f>+H512*F511</f>
        <v>0</v>
      </c>
      <c r="J512" s="101">
        <f>+I512*$A$440</f>
        <v>0</v>
      </c>
      <c r="K512" s="61">
        <f>IF(AND(J512&lt;0, J510&lt;0), 0, J512)</f>
        <v>0</v>
      </c>
      <c r="L512" s="206"/>
      <c r="M512" s="206"/>
      <c r="N512" s="206"/>
      <c r="O512" s="206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4"/>
      <c r="AB512" s="4"/>
      <c r="AC512" s="4"/>
      <c r="AD512" s="4"/>
      <c r="AE512" s="4"/>
      <c r="AF512" s="81"/>
      <c r="AG512" s="81"/>
      <c r="AH512" s="81"/>
      <c r="AI512" s="4"/>
      <c r="AJ512" s="81"/>
      <c r="AK512" s="81"/>
      <c r="AL512" s="81"/>
      <c r="AM512" s="43">
        <v>496</v>
      </c>
      <c r="AN512">
        <v>82.545544883332269</v>
      </c>
      <c r="AO512">
        <v>9.2477550888713544</v>
      </c>
      <c r="AP512">
        <v>91.879448218901842</v>
      </c>
      <c r="AQ512">
        <v>79.473577185043325</v>
      </c>
      <c r="AR512">
        <v>9.0619157264301489</v>
      </c>
      <c r="AS512">
        <v>140.10911088343931</v>
      </c>
      <c r="AT512">
        <v>6.0227061848184187</v>
      </c>
      <c r="AU512">
        <v>7.3607528461249032</v>
      </c>
      <c r="AV512"/>
      <c r="AW512"/>
      <c r="FY512" s="210">
        <v>507</v>
      </c>
      <c r="FZ512">
        <v>34.023353712179528</v>
      </c>
      <c r="GA512">
        <v>41.399677101327747</v>
      </c>
      <c r="GB512">
        <v>3.1513668176959584</v>
      </c>
      <c r="GC512">
        <v>1.1643285609293812</v>
      </c>
      <c r="GD512">
        <v>0.50157984340866379</v>
      </c>
      <c r="GE512">
        <v>1.3804685900968239</v>
      </c>
      <c r="GF512">
        <v>4.1179238380738745</v>
      </c>
      <c r="GG512">
        <v>6.1136388414079246</v>
      </c>
      <c r="GH512">
        <v>6.7957057571696371</v>
      </c>
      <c r="GI512">
        <v>7.9131378634660994</v>
      </c>
      <c r="GJ512"/>
      <c r="GK512"/>
      <c r="GL512"/>
      <c r="GM512"/>
    </row>
    <row r="513" spans="1:195" s="7" customFormat="1">
      <c r="A513" s="4"/>
      <c r="B513" s="4"/>
      <c r="C513" s="63">
        <v>28</v>
      </c>
      <c r="D513" s="101">
        <f>SUM($AG$228:$AG$347)/$A$438</f>
        <v>0</v>
      </c>
      <c r="E513" s="97">
        <f>AI36</f>
        <v>42.510108702545942</v>
      </c>
      <c r="F513" s="102">
        <f>+D513-D515</f>
        <v>0</v>
      </c>
      <c r="G513" s="101">
        <f>+D513*E513</f>
        <v>0</v>
      </c>
      <c r="H513" s="101"/>
      <c r="I513" s="101"/>
      <c r="J513" s="101"/>
      <c r="K513" s="101"/>
      <c r="L513" s="206"/>
      <c r="M513" s="206"/>
      <c r="N513" s="206"/>
      <c r="O513" s="206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4"/>
      <c r="AB513" s="4"/>
      <c r="AC513" s="4"/>
      <c r="AD513" s="4"/>
      <c r="AE513" s="4"/>
      <c r="AF513" s="81"/>
      <c r="AG513" s="81"/>
      <c r="AH513" s="81"/>
      <c r="AI513" s="4"/>
      <c r="AJ513" s="81"/>
      <c r="AK513" s="81"/>
      <c r="AL513" s="81"/>
      <c r="AM513" s="43">
        <v>497</v>
      </c>
      <c r="AN513">
        <v>102.96162812412358</v>
      </c>
      <c r="AO513">
        <v>10.737874519639847</v>
      </c>
      <c r="AP513">
        <v>108.00331980226366</v>
      </c>
      <c r="AQ513">
        <v>92.829038838708684</v>
      </c>
      <c r="AR513">
        <v>10.826512978951101</v>
      </c>
      <c r="AS513">
        <v>188.90655694279982</v>
      </c>
      <c r="AT513">
        <v>7.1521118476246341</v>
      </c>
      <c r="AU513">
        <v>21.872932212719363</v>
      </c>
      <c r="AV513"/>
      <c r="AW513"/>
      <c r="FY513" s="210">
        <v>508</v>
      </c>
      <c r="FZ513">
        <v>24.751696358136137</v>
      </c>
      <c r="GA513">
        <v>28.479892473901614</v>
      </c>
      <c r="GB513">
        <v>3.8155049883289385</v>
      </c>
      <c r="GC513">
        <v>1.5156483373715075</v>
      </c>
      <c r="GD513">
        <v>0.92263154501461031</v>
      </c>
      <c r="GE513">
        <v>4.812020190782607</v>
      </c>
      <c r="GF513">
        <v>10.821035558076533</v>
      </c>
      <c r="GG513">
        <v>6.7364928576297771</v>
      </c>
      <c r="GH513">
        <v>5.2127282854632018</v>
      </c>
      <c r="GI513">
        <v>7.9220245505120817</v>
      </c>
      <c r="GJ513"/>
      <c r="GK513"/>
      <c r="GL513"/>
      <c r="GM513"/>
    </row>
    <row r="514" spans="1:195" s="7" customFormat="1">
      <c r="A514" s="4"/>
      <c r="B514" s="4"/>
      <c r="C514" s="63"/>
      <c r="D514" s="101"/>
      <c r="E514" s="63"/>
      <c r="F514" s="63"/>
      <c r="G514" s="101"/>
      <c r="H514" s="101">
        <f>+SQRT(E513*E515)</f>
        <v>44.656173713690471</v>
      </c>
      <c r="I514" s="101">
        <f>+H514*F513</f>
        <v>0</v>
      </c>
      <c r="J514" s="101">
        <f>+I514*$A$440</f>
        <v>0</v>
      </c>
      <c r="K514" s="61">
        <f>IF(AND(J514&lt;0, J512&lt;0), 0, J514)</f>
        <v>0</v>
      </c>
      <c r="L514" s="206"/>
      <c r="M514" s="206"/>
      <c r="N514" s="206"/>
      <c r="O514" s="206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4"/>
      <c r="AB514" s="4"/>
      <c r="AC514" s="4"/>
      <c r="AD514" s="4"/>
      <c r="AE514" s="4"/>
      <c r="AF514" s="81"/>
      <c r="AG514" s="81"/>
      <c r="AH514" s="81"/>
      <c r="AI514" s="4"/>
      <c r="AJ514" s="81"/>
      <c r="AK514" s="81"/>
      <c r="AL514" s="81"/>
      <c r="AM514" s="43">
        <v>498</v>
      </c>
      <c r="AN514">
        <v>102.85969190596177</v>
      </c>
      <c r="AO514">
        <v>8.2644889410644282</v>
      </c>
      <c r="AP514">
        <v>79.543557525401354</v>
      </c>
      <c r="AQ514">
        <v>67.994127013603318</v>
      </c>
      <c r="AR514">
        <v>8.4630180212518464</v>
      </c>
      <c r="AS514">
        <v>120.94308914685102</v>
      </c>
      <c r="AT514">
        <v>4.9504947478668297</v>
      </c>
      <c r="AU514">
        <v>16.869237440995651</v>
      </c>
      <c r="AV514"/>
      <c r="AW514"/>
      <c r="FY514" s="210">
        <v>509</v>
      </c>
      <c r="FZ514">
        <v>2.6027065143385606</v>
      </c>
      <c r="GA514">
        <v>4.5028704949882883</v>
      </c>
      <c r="GB514">
        <v>2.4088509581612083</v>
      </c>
      <c r="GC514">
        <v>0.43349997021153641</v>
      </c>
      <c r="GD514">
        <v>0.35989057230644267</v>
      </c>
      <c r="GE514">
        <v>3.1864892454799807</v>
      </c>
      <c r="GF514">
        <v>6.9499736060760604</v>
      </c>
      <c r="GG514">
        <v>4.04027097631168</v>
      </c>
      <c r="GH514">
        <v>4.2657484360970681</v>
      </c>
      <c r="GI514">
        <v>3.1284826812219158</v>
      </c>
      <c r="GJ514"/>
      <c r="GK514"/>
      <c r="GL514"/>
      <c r="GM514"/>
    </row>
    <row r="515" spans="1:195" s="7" customFormat="1">
      <c r="A515" s="4"/>
      <c r="B515" s="4"/>
      <c r="C515" s="63">
        <v>29</v>
      </c>
      <c r="D515" s="101">
        <f>SUM($AH$228:$AH$347)/$A$438</f>
        <v>0</v>
      </c>
      <c r="E515" s="97">
        <f>AJ36</f>
        <v>46.910579897620167</v>
      </c>
      <c r="F515" s="102">
        <f>+D515-D517</f>
        <v>0</v>
      </c>
      <c r="G515" s="101">
        <f>+D515*E515</f>
        <v>0</v>
      </c>
      <c r="H515" s="101"/>
      <c r="I515" s="101"/>
      <c r="J515" s="101"/>
      <c r="K515" s="101"/>
      <c r="L515" s="206"/>
      <c r="M515" s="206"/>
      <c r="N515" s="206"/>
      <c r="O515" s="206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4"/>
      <c r="AB515" s="4"/>
      <c r="AC515" s="4"/>
      <c r="AD515" s="4"/>
      <c r="AE515" s="4"/>
      <c r="AF515" s="81"/>
      <c r="AG515" s="81"/>
      <c r="AH515" s="81"/>
      <c r="AI515" s="4"/>
      <c r="AJ515" s="81"/>
      <c r="AK515" s="81"/>
      <c r="AL515" s="81"/>
      <c r="AM515" s="43">
        <v>499</v>
      </c>
      <c r="AN515">
        <v>119.20367829201693</v>
      </c>
      <c r="AO515">
        <v>13.180540401705418</v>
      </c>
      <c r="AP515">
        <v>137.94539410773891</v>
      </c>
      <c r="AQ515">
        <v>118.44618616556458</v>
      </c>
      <c r="AR515">
        <v>12.97157504626073</v>
      </c>
      <c r="AS515">
        <v>192.55198970985614</v>
      </c>
      <c r="AT515">
        <v>7.5706160460503567</v>
      </c>
      <c r="AU515">
        <v>26.908775802583826</v>
      </c>
      <c r="AV515"/>
      <c r="AW515"/>
      <c r="FY515" s="210">
        <v>510</v>
      </c>
      <c r="FZ515">
        <v>34.117061000722693</v>
      </c>
      <c r="GA515">
        <v>40.297462413828747</v>
      </c>
      <c r="GB515">
        <v>3.9080120539449799</v>
      </c>
      <c r="GC515">
        <v>1.7476929245231689</v>
      </c>
      <c r="GD515">
        <v>0.82600697695699699</v>
      </c>
      <c r="GE515">
        <v>1.9096102481290187</v>
      </c>
      <c r="GF515">
        <v>7.4986914478549354</v>
      </c>
      <c r="GG515">
        <v>11.073555737387879</v>
      </c>
      <c r="GH515">
        <v>10.162305665077202</v>
      </c>
      <c r="GI515">
        <v>9.4613017201171843</v>
      </c>
      <c r="GJ515"/>
      <c r="GK515"/>
      <c r="GL515"/>
      <c r="GM515"/>
    </row>
    <row r="516" spans="1:195" s="7" customFormat="1">
      <c r="A516" s="4"/>
      <c r="B516" s="4"/>
      <c r="C516" s="63"/>
      <c r="D516" s="101"/>
      <c r="E516" s="63"/>
      <c r="F516" s="63"/>
      <c r="G516" s="101"/>
      <c r="H516" s="101">
        <f>+SQRT(E515*E517)</f>
        <v>49.196577691338312</v>
      </c>
      <c r="I516" s="101">
        <f>+H516*F515</f>
        <v>0</v>
      </c>
      <c r="J516" s="101">
        <f>+I516*$A$440</f>
        <v>0</v>
      </c>
      <c r="K516" s="61">
        <f>IF(AND(J516&lt;0, J514&lt;0), 0, J516)</f>
        <v>0</v>
      </c>
      <c r="L516" s="206"/>
      <c r="M516" s="206"/>
      <c r="N516" s="206"/>
      <c r="O516" s="206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4"/>
      <c r="AB516" s="4"/>
      <c r="AC516" s="4"/>
      <c r="AD516" s="4"/>
      <c r="AE516" s="4"/>
      <c r="AF516" s="81"/>
      <c r="AG516" s="81"/>
      <c r="AH516" s="81"/>
      <c r="AI516" s="4"/>
      <c r="AJ516" s="81"/>
      <c r="AK516" s="81"/>
      <c r="AL516" s="81"/>
      <c r="AM516" s="43">
        <v>500</v>
      </c>
      <c r="AN516">
        <v>98.002872764204071</v>
      </c>
      <c r="AO516">
        <v>6.0121215627458868</v>
      </c>
      <c r="AP516">
        <v>53.585188632096816</v>
      </c>
      <c r="AQ516">
        <v>43.380008131895551</v>
      </c>
      <c r="AR516">
        <v>5.8105512618166681</v>
      </c>
      <c r="AS516">
        <v>108.5569126461468</v>
      </c>
      <c r="AT516">
        <v>3.0351071999987833</v>
      </c>
      <c r="AU516">
        <v>24.239418623160752</v>
      </c>
      <c r="AV516"/>
      <c r="AW516"/>
      <c r="FY516" s="210">
        <v>511</v>
      </c>
      <c r="FZ516">
        <v>24.125919633846507</v>
      </c>
      <c r="GA516">
        <v>29.482020311032826</v>
      </c>
      <c r="GB516">
        <v>3.5850827439895303</v>
      </c>
      <c r="GC516">
        <v>1.4116108656335695</v>
      </c>
      <c r="GD516">
        <v>0.41176070171784657</v>
      </c>
      <c r="GE516">
        <v>1.7444194402814728</v>
      </c>
      <c r="GF516">
        <v>15.92272958899186</v>
      </c>
      <c r="GG516">
        <v>18.96035569451945</v>
      </c>
      <c r="GH516">
        <v>12.864717709846035</v>
      </c>
      <c r="GI516">
        <v>9.6090821838571081</v>
      </c>
      <c r="GJ516"/>
      <c r="GK516"/>
      <c r="GL516"/>
      <c r="GM516"/>
    </row>
    <row r="517" spans="1:195" s="7" customFormat="1">
      <c r="A517" s="4"/>
      <c r="B517" s="4"/>
      <c r="C517" s="63">
        <v>30</v>
      </c>
      <c r="D517" s="101">
        <f>SUM($AI$228:$AI$347)/$A$438</f>
        <v>0</v>
      </c>
      <c r="E517" s="97">
        <f>AK36</f>
        <v>51.593974361904479</v>
      </c>
      <c r="F517" s="102">
        <f>+D517-D517</f>
        <v>0</v>
      </c>
      <c r="G517" s="101">
        <f>+D517*E517</f>
        <v>0</v>
      </c>
      <c r="H517" s="101"/>
      <c r="I517" s="101"/>
      <c r="J517" s="101"/>
      <c r="K517" s="101"/>
      <c r="L517" s="206"/>
      <c r="M517" s="206"/>
      <c r="N517" s="206"/>
      <c r="O517" s="206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4"/>
      <c r="AB517" s="4"/>
      <c r="AC517" s="4"/>
      <c r="AD517" s="4"/>
      <c r="AE517" s="4"/>
      <c r="AF517" s="81"/>
      <c r="AG517" s="81"/>
      <c r="AH517" s="81"/>
      <c r="AI517" s="4"/>
      <c r="AJ517" s="81"/>
      <c r="AK517" s="81"/>
      <c r="AL517" s="81"/>
      <c r="AM517" s="43">
        <v>501</v>
      </c>
      <c r="AN517">
        <v>130.44174596669262</v>
      </c>
      <c r="AO517">
        <v>8.815659971044445</v>
      </c>
      <c r="AP517">
        <v>86.868875958780322</v>
      </c>
      <c r="AQ517">
        <v>72.518874288149377</v>
      </c>
      <c r="AR517">
        <v>8.3701543905116438</v>
      </c>
      <c r="AS517">
        <v>170.16140853544312</v>
      </c>
      <c r="AT517">
        <v>5.1780352331039543</v>
      </c>
      <c r="AU517">
        <v>50.04966486375006</v>
      </c>
      <c r="AV517"/>
      <c r="AW517"/>
      <c r="FY517" s="210">
        <v>512</v>
      </c>
      <c r="FZ517">
        <v>65.589300805471524</v>
      </c>
      <c r="GA517">
        <v>78.352300798884883</v>
      </c>
      <c r="GB517">
        <v>4.2129400668463912</v>
      </c>
      <c r="GC517">
        <v>1.6350869821066434</v>
      </c>
      <c r="GD517">
        <v>0.64245272602087955</v>
      </c>
      <c r="GE517">
        <v>1.3131647171135397</v>
      </c>
      <c r="GF517">
        <v>3.333307607954247</v>
      </c>
      <c r="GG517">
        <v>7.2467130531442017</v>
      </c>
      <c r="GH517">
        <v>9.1728517003280121</v>
      </c>
      <c r="GI517">
        <v>13.153057472859295</v>
      </c>
      <c r="GJ517"/>
      <c r="GK517"/>
      <c r="GL517"/>
      <c r="GM517"/>
    </row>
    <row r="518" spans="1:195" s="7" customFormat="1">
      <c r="A518" s="4"/>
      <c r="B518" s="4"/>
      <c r="C518" s="63"/>
      <c r="D518" s="63"/>
      <c r="E518" s="63"/>
      <c r="F518" s="63"/>
      <c r="G518" s="101"/>
      <c r="H518" s="101">
        <f>+SQRT(E517*E517)</f>
        <v>51.593974361904479</v>
      </c>
      <c r="I518" s="101">
        <f>+H518*F517</f>
        <v>0</v>
      </c>
      <c r="J518" s="101">
        <f>+I518*$A$440</f>
        <v>0</v>
      </c>
      <c r="K518" s="61">
        <f>IF(AND(J518&lt;0, J516&lt;0), 0, J518)</f>
        <v>0</v>
      </c>
      <c r="L518" s="206"/>
      <c r="M518" s="206"/>
      <c r="N518" s="206"/>
      <c r="O518" s="206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4"/>
      <c r="AB518" s="4"/>
      <c r="AC518" s="4"/>
      <c r="AD518" s="4"/>
      <c r="AE518" s="4"/>
      <c r="AF518" s="81"/>
      <c r="AG518" s="81"/>
      <c r="AH518" s="81"/>
      <c r="AI518" s="4"/>
      <c r="AJ518" s="81"/>
      <c r="AK518" s="81"/>
      <c r="AL518" s="81"/>
      <c r="AM518" s="43">
        <v>502</v>
      </c>
      <c r="AN518">
        <v>87.179568572073165</v>
      </c>
      <c r="AO518">
        <v>6.8630866521247693</v>
      </c>
      <c r="AP518">
        <v>67.348161041969348</v>
      </c>
      <c r="AQ518">
        <v>56.386317747105174</v>
      </c>
      <c r="AR518">
        <v>6.8508495741398105</v>
      </c>
      <c r="AS518">
        <v>133.77053260514589</v>
      </c>
      <c r="AT518">
        <v>4.4261589300205575</v>
      </c>
      <c r="AU518">
        <v>12.977957890875633</v>
      </c>
      <c r="AV518"/>
      <c r="AW518"/>
      <c r="FY518" s="210">
        <v>513</v>
      </c>
      <c r="FZ518">
        <v>12.965134310858421</v>
      </c>
      <c r="GA518">
        <v>14.281712520902767</v>
      </c>
      <c r="GB518">
        <v>2.4841294142152206</v>
      </c>
      <c r="GC518">
        <v>1.4470723803702001</v>
      </c>
      <c r="GD518">
        <v>0.70122534346479237</v>
      </c>
      <c r="GE518">
        <v>1.7207420643838756</v>
      </c>
      <c r="GF518">
        <v>2.2026320146279526</v>
      </c>
      <c r="GG518">
        <v>4.5722701319445864</v>
      </c>
      <c r="GH518">
        <v>8.1770957800966269</v>
      </c>
      <c r="GI518">
        <v>4.6178282279621836</v>
      </c>
      <c r="GJ518"/>
      <c r="GK518"/>
      <c r="GL518"/>
      <c r="GM518"/>
    </row>
    <row r="519" spans="1:195" s="7" customFormat="1">
      <c r="A519" s="4"/>
      <c r="B519" s="4"/>
      <c r="C519" s="8"/>
      <c r="D519" s="8"/>
      <c r="E519" s="8"/>
      <c r="F519" s="8"/>
      <c r="G519" s="8"/>
      <c r="H519" s="8"/>
      <c r="I519" s="8"/>
      <c r="J519" s="8"/>
      <c r="K519" s="19"/>
      <c r="L519" s="206"/>
      <c r="M519" s="206"/>
      <c r="N519" s="206"/>
      <c r="O519" s="206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4"/>
      <c r="AB519" s="4"/>
      <c r="AC519" s="4"/>
      <c r="AD519" s="4"/>
      <c r="AE519" s="4"/>
      <c r="AF519" s="81"/>
      <c r="AG519" s="81"/>
      <c r="AH519" s="81"/>
      <c r="AI519" s="4"/>
      <c r="AJ519" s="81"/>
      <c r="AK519" s="81"/>
      <c r="AL519" s="81"/>
      <c r="AM519" s="43">
        <v>503</v>
      </c>
      <c r="AN519">
        <v>99.505219398163021</v>
      </c>
      <c r="AO519">
        <v>10.024551792544198</v>
      </c>
      <c r="AP519">
        <v>100.37042249710672</v>
      </c>
      <c r="AQ519">
        <v>87.615274569316426</v>
      </c>
      <c r="AR519">
        <v>9.795886829094977</v>
      </c>
      <c r="AS519">
        <v>136.39802913363295</v>
      </c>
      <c r="AT519">
        <v>5.4863668350488561</v>
      </c>
      <c r="AU519">
        <v>36.019804299719418</v>
      </c>
      <c r="AV519"/>
      <c r="AW519"/>
      <c r="FY519" s="210">
        <v>514</v>
      </c>
      <c r="FZ519">
        <v>25.715728277311914</v>
      </c>
      <c r="GA519">
        <v>30.422349331837822</v>
      </c>
      <c r="GB519">
        <v>4.336450243351849</v>
      </c>
      <c r="GC519">
        <v>1.6678629552813733</v>
      </c>
      <c r="GD519">
        <v>1.5063826490642018</v>
      </c>
      <c r="GE519">
        <v>2.8386758448001603</v>
      </c>
      <c r="GF519">
        <v>5.9577944503791107</v>
      </c>
      <c r="GG519">
        <v>13.846114035921619</v>
      </c>
      <c r="GH519">
        <v>16.487582881072008</v>
      </c>
      <c r="GI519">
        <v>9.4407685277911906</v>
      </c>
      <c r="GJ519"/>
      <c r="GK519"/>
      <c r="GL519"/>
      <c r="GM519"/>
    </row>
    <row r="520" spans="1:195" s="7" customFormat="1">
      <c r="A520" s="4"/>
      <c r="B520" s="4"/>
      <c r="C520" s="63"/>
      <c r="D520" s="63"/>
      <c r="E520" s="63" t="s">
        <v>24</v>
      </c>
      <c r="F520" s="18"/>
      <c r="G520" s="123">
        <f>SUM(G457:G517)</f>
        <v>12.409903974327344</v>
      </c>
      <c r="H520" s="63" t="s">
        <v>30</v>
      </c>
      <c r="I520" s="101">
        <f>SUM(K458:K518)</f>
        <v>68.782700147549065</v>
      </c>
      <c r="J520" s="63"/>
      <c r="K520" s="19"/>
      <c r="L520" s="206"/>
      <c r="M520" s="206"/>
      <c r="N520" s="206"/>
      <c r="O520" s="206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4"/>
      <c r="AB520" s="4"/>
      <c r="AC520" s="4"/>
      <c r="AD520" s="4"/>
      <c r="AE520" s="4"/>
      <c r="AF520" s="81"/>
      <c r="AG520" s="81"/>
      <c r="AH520" s="81"/>
      <c r="AI520" s="4"/>
      <c r="AJ520" s="81"/>
      <c r="AK520" s="81"/>
      <c r="AL520" s="81"/>
      <c r="AM520" s="43">
        <v>504</v>
      </c>
      <c r="AN520">
        <v>117.94199644594013</v>
      </c>
      <c r="AO520">
        <v>10.968935212994552</v>
      </c>
      <c r="AP520">
        <v>109.19072689124212</v>
      </c>
      <c r="AQ520">
        <v>92.509226861672985</v>
      </c>
      <c r="AR520">
        <v>10.447219686156483</v>
      </c>
      <c r="AS520">
        <v>171.2755169566415</v>
      </c>
      <c r="AT520">
        <v>6.5480002354451621</v>
      </c>
      <c r="AU520">
        <v>23.688407740808163</v>
      </c>
      <c r="AV520"/>
      <c r="AW520"/>
      <c r="FY520" s="210">
        <v>515</v>
      </c>
      <c r="FZ520">
        <v>4.0137292842330039</v>
      </c>
      <c r="GA520">
        <v>2.3072890382625282</v>
      </c>
      <c r="GB520">
        <v>2.6099027430927713</v>
      </c>
      <c r="GC520">
        <v>1.3061816613669517</v>
      </c>
      <c r="GD520">
        <v>0.50567284101998111</v>
      </c>
      <c r="GE520">
        <v>1.7621454819883398</v>
      </c>
      <c r="GF520">
        <v>4.2872900829210332</v>
      </c>
      <c r="GG520">
        <v>6.7786730991403541</v>
      </c>
      <c r="GH520">
        <v>9.0211192350694631</v>
      </c>
      <c r="GI520">
        <v>3.7315868171704567</v>
      </c>
      <c r="GJ520"/>
      <c r="GK520"/>
      <c r="GL520"/>
      <c r="GM520"/>
    </row>
    <row r="521" spans="1:195" s="7" customFormat="1">
      <c r="A521" s="4"/>
      <c r="B521" s="4"/>
      <c r="C521" s="63"/>
      <c r="D521" s="63"/>
      <c r="E521" s="63"/>
      <c r="F521" s="63"/>
      <c r="G521" s="63"/>
      <c r="H521" s="8"/>
      <c r="I521"/>
      <c r="J521" s="19"/>
      <c r="K521" s="19"/>
      <c r="L521" s="206"/>
      <c r="M521" s="206"/>
      <c r="N521" s="206"/>
      <c r="O521" s="206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4"/>
      <c r="AB521" s="4"/>
      <c r="AC521" s="4"/>
      <c r="AD521" s="4"/>
      <c r="AE521" s="4"/>
      <c r="AF521" s="81"/>
      <c r="AG521" s="81"/>
      <c r="AH521" s="81"/>
      <c r="AI521" s="4"/>
      <c r="AJ521" s="81"/>
      <c r="AK521" s="81"/>
      <c r="AL521" s="81"/>
      <c r="AM521" s="43">
        <v>505</v>
      </c>
      <c r="AN521">
        <v>162.03047339864162</v>
      </c>
      <c r="AO521">
        <v>12.857762786822088</v>
      </c>
      <c r="AP521">
        <v>129.06826549201008</v>
      </c>
      <c r="AQ521">
        <v>110.16092825050166</v>
      </c>
      <c r="AR521">
        <v>12.78890116152696</v>
      </c>
      <c r="AS521">
        <v>235.25631783790061</v>
      </c>
      <c r="AT521">
        <v>7.3589880380552044</v>
      </c>
      <c r="AU521">
        <v>15.44529909402705</v>
      </c>
      <c r="AV521"/>
      <c r="AW521"/>
      <c r="FY521" s="210">
        <v>516</v>
      </c>
      <c r="FZ521">
        <v>14.623660809730424</v>
      </c>
      <c r="GA521">
        <v>13.813455959162539</v>
      </c>
      <c r="GB521">
        <v>1.4275403581932939</v>
      </c>
      <c r="GC521">
        <v>1.2099263671338767</v>
      </c>
      <c r="GD521">
        <v>0.77890033757139054</v>
      </c>
      <c r="GE521">
        <v>2.4391925692728802</v>
      </c>
      <c r="GF521">
        <v>6.9902930864363277</v>
      </c>
      <c r="GG521">
        <v>8.0688550203879537</v>
      </c>
      <c r="GH521">
        <v>9.0363681436478327</v>
      </c>
      <c r="GI521">
        <v>5.6569590404062247</v>
      </c>
      <c r="GJ521"/>
      <c r="GK521"/>
      <c r="GL521"/>
      <c r="GM521"/>
    </row>
    <row r="522" spans="1:195" s="7" customFormat="1">
      <c r="A522" s="4"/>
      <c r="B522" s="4"/>
      <c r="C522" s="63"/>
      <c r="D522" s="63"/>
      <c r="E522" s="63" t="s">
        <v>100</v>
      </c>
      <c r="F522" s="101">
        <f>+I520/G520</f>
        <v>5.5425650585082229</v>
      </c>
      <c r="G522" s="63"/>
      <c r="H522" s="63" t="s">
        <v>101</v>
      </c>
      <c r="I522">
        <v>109.82889556884766</v>
      </c>
      <c r="J522" s="19"/>
      <c r="K522" s="19"/>
      <c r="L522" s="206"/>
      <c r="M522" s="206"/>
      <c r="N522" s="206"/>
      <c r="O522" s="206"/>
      <c r="P522" s="206"/>
      <c r="Q522" s="206"/>
      <c r="R522" s="206"/>
      <c r="S522" s="206"/>
      <c r="T522">
        <v>0</v>
      </c>
      <c r="U522" s="206"/>
      <c r="V522" s="206"/>
      <c r="W522" s="206"/>
      <c r="X522" s="206"/>
      <c r="Y522" s="206"/>
      <c r="Z522" s="206"/>
      <c r="AA522" s="4"/>
      <c r="AB522">
        <v>0</v>
      </c>
      <c r="AC522" s="4"/>
      <c r="AD522" s="4"/>
      <c r="AE522" s="4"/>
      <c r="AF522" s="81"/>
      <c r="AG522" s="81"/>
      <c r="AH522" s="81"/>
      <c r="AI522" s="4"/>
      <c r="AJ522" s="81"/>
      <c r="AK522" s="81"/>
      <c r="AL522" s="81"/>
      <c r="AM522" s="43">
        <v>506</v>
      </c>
      <c r="AN522">
        <v>118.81197442818871</v>
      </c>
      <c r="AO522">
        <v>10.49682021439207</v>
      </c>
      <c r="AP522">
        <v>105.9183539216009</v>
      </c>
      <c r="AQ522">
        <v>90.872656724430414</v>
      </c>
      <c r="AR522">
        <v>10.230569659659217</v>
      </c>
      <c r="AS522">
        <v>178.47550131622333</v>
      </c>
      <c r="AT522">
        <v>6.0270509791481546</v>
      </c>
      <c r="AU522">
        <v>41.801928528702234</v>
      </c>
      <c r="AV522"/>
      <c r="AW522"/>
      <c r="FY522" s="210">
        <v>517</v>
      </c>
      <c r="FZ522">
        <v>45.385652601588788</v>
      </c>
      <c r="GA522">
        <v>53.715047796127543</v>
      </c>
      <c r="GB522">
        <v>2.9203914885740563</v>
      </c>
      <c r="GC522">
        <v>1.2144012827002313</v>
      </c>
      <c r="GD522">
        <v>0.9966029781746939</v>
      </c>
      <c r="GE522">
        <v>2.7307958501623446</v>
      </c>
      <c r="GF522">
        <v>6.4765829691755439</v>
      </c>
      <c r="GG522">
        <v>8.8402235735495864</v>
      </c>
      <c r="GH522">
        <v>8.4619855785558151</v>
      </c>
      <c r="GI522">
        <v>10.508767080346026</v>
      </c>
      <c r="GJ522"/>
      <c r="GK522"/>
      <c r="GL522"/>
      <c r="GM522"/>
    </row>
    <row r="523" spans="1:195" s="7" customFormat="1">
      <c r="A523" s="4"/>
      <c r="B523" s="4"/>
      <c r="C523" s="63"/>
      <c r="D523" s="63"/>
      <c r="E523" s="63" t="s">
        <v>102</v>
      </c>
      <c r="F523" s="101">
        <f>+I523/G520</f>
        <v>18.419890647879047</v>
      </c>
      <c r="G523" s="63"/>
      <c r="H523" s="63" t="s">
        <v>103</v>
      </c>
      <c r="I523" s="123">
        <f>+I520*(365/I522)</f>
        <v>228.58907415778927</v>
      </c>
      <c r="J523" s="19"/>
      <c r="K523" s="19"/>
      <c r="L523" s="206"/>
      <c r="M523" s="206"/>
      <c r="N523" s="206"/>
      <c r="O523" s="206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4"/>
      <c r="AB523" s="4"/>
      <c r="AC523" s="4"/>
      <c r="AD523" s="4"/>
      <c r="AE523" s="4"/>
      <c r="AF523" s="81"/>
      <c r="AG523" s="81"/>
      <c r="AH523" s="81"/>
      <c r="AI523" s="4"/>
      <c r="AJ523" s="81"/>
      <c r="AK523" s="81"/>
      <c r="AL523" s="81"/>
      <c r="AM523" s="43">
        <v>507</v>
      </c>
      <c r="AN523">
        <v>102.65696440055312</v>
      </c>
      <c r="AO523">
        <v>11.586668510837329</v>
      </c>
      <c r="AP523">
        <v>124.80799077669458</v>
      </c>
      <c r="AQ523">
        <v>106.56118092575564</v>
      </c>
      <c r="AR523">
        <v>11.023930692292154</v>
      </c>
      <c r="AS523">
        <v>166.36447061719321</v>
      </c>
      <c r="AT523">
        <v>6.5827382667263814</v>
      </c>
      <c r="AU523">
        <v>16.042626264212586</v>
      </c>
      <c r="AV523"/>
      <c r="AW523"/>
      <c r="FY523" s="210">
        <v>518</v>
      </c>
      <c r="FZ523">
        <v>16.503262061657779</v>
      </c>
      <c r="GA523">
        <v>14.667489595461499</v>
      </c>
      <c r="GB523">
        <v>1.7194495373979191</v>
      </c>
      <c r="GC523">
        <v>0.92460853529251952</v>
      </c>
      <c r="GD523">
        <v>0.68426808244798976</v>
      </c>
      <c r="GE523">
        <v>1.5863358517344246</v>
      </c>
      <c r="GF523">
        <v>5.7818342678218864</v>
      </c>
      <c r="GG523">
        <v>6.14865492087789</v>
      </c>
      <c r="GH523">
        <v>5.1981382252571944</v>
      </c>
      <c r="GI523">
        <v>5.1287968373889159</v>
      </c>
      <c r="GJ523"/>
      <c r="GK523"/>
      <c r="GL523"/>
      <c r="GM523"/>
    </row>
    <row r="524" spans="1:195" s="7" customFormat="1">
      <c r="A524" s="4"/>
      <c r="B524" s="4"/>
      <c r="C524" s="83"/>
      <c r="D524" s="83"/>
      <c r="E524" s="83"/>
      <c r="F524" s="4"/>
      <c r="G524" s="4"/>
      <c r="H524" s="4"/>
      <c r="I524" s="4"/>
      <c r="J524" s="4"/>
      <c r="K524" s="4"/>
      <c r="L524" s="206"/>
      <c r="M524" s="206"/>
      <c r="N524" s="206"/>
      <c r="O524" s="206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4"/>
      <c r="AB524" s="4"/>
      <c r="AC524" s="4"/>
      <c r="AD524" s="4"/>
      <c r="AE524" s="4"/>
      <c r="AF524" s="81"/>
      <c r="AG524" s="81"/>
      <c r="AH524" s="81"/>
      <c r="AI524" s="4"/>
      <c r="AJ524" s="81"/>
      <c r="AK524" s="81"/>
      <c r="AL524" s="81"/>
      <c r="AM524" s="43">
        <v>508</v>
      </c>
      <c r="AN524">
        <v>127.39856457693134</v>
      </c>
      <c r="AO524">
        <v>11.32229093786313</v>
      </c>
      <c r="AP524">
        <v>111.63840162472334</v>
      </c>
      <c r="AQ524">
        <v>94.989675145216992</v>
      </c>
      <c r="AR524">
        <v>10.801382200884142</v>
      </c>
      <c r="AS524">
        <v>174.23301472931817</v>
      </c>
      <c r="AT524">
        <v>7.0268060667495789</v>
      </c>
      <c r="AU524">
        <v>11.348029964312691</v>
      </c>
      <c r="AV524"/>
      <c r="AW524"/>
      <c r="FY524" s="210">
        <v>519</v>
      </c>
      <c r="FZ524">
        <v>13.309420379287825</v>
      </c>
      <c r="GA524">
        <v>15.29515093053344</v>
      </c>
      <c r="GB524">
        <v>1.7497099988395863</v>
      </c>
      <c r="GC524">
        <v>0.66069147581264132</v>
      </c>
      <c r="GD524">
        <v>0.55372858666814528</v>
      </c>
      <c r="GE524">
        <v>2.2780150944198518</v>
      </c>
      <c r="GF524">
        <v>7.659795213133779</v>
      </c>
      <c r="GG524">
        <v>12.267772842616637</v>
      </c>
      <c r="GH524">
        <v>13.591546072178684</v>
      </c>
      <c r="GI524">
        <v>6.2566124841381088</v>
      </c>
      <c r="GJ524"/>
      <c r="GK524"/>
      <c r="GL524"/>
      <c r="GM524"/>
    </row>
    <row r="525" spans="1:195" s="7" customFormat="1">
      <c r="A525" s="4"/>
      <c r="B525" s="4"/>
      <c r="C525" s="83"/>
      <c r="D525" s="83"/>
      <c r="E525" s="83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81"/>
      <c r="AG525" s="81"/>
      <c r="AH525" s="81"/>
      <c r="AI525" s="4"/>
      <c r="AJ525" s="81"/>
      <c r="AK525" s="81"/>
      <c r="AL525" s="81"/>
      <c r="AM525" s="43">
        <v>509</v>
      </c>
      <c r="AN525">
        <v>79.226128259919705</v>
      </c>
      <c r="AO525">
        <v>4.2674446335838532</v>
      </c>
      <c r="AP525">
        <v>39.331673043982647</v>
      </c>
      <c r="AQ525">
        <v>31.878783455192742</v>
      </c>
      <c r="AR525">
        <v>4.1626124618262743</v>
      </c>
      <c r="AS525">
        <v>76.251580939559162</v>
      </c>
      <c r="AT525">
        <v>2.62984858246742</v>
      </c>
      <c r="AU525">
        <v>3.6006785136122814</v>
      </c>
      <c r="AV525"/>
      <c r="AW525"/>
      <c r="FY525" s="210">
        <v>520</v>
      </c>
      <c r="FZ525">
        <v>16.744345940872957</v>
      </c>
      <c r="GA525">
        <v>14.352441305961442</v>
      </c>
      <c r="GB525">
        <v>1.7586639757164502</v>
      </c>
      <c r="GC525">
        <v>0.87122776409074132</v>
      </c>
      <c r="GD525">
        <v>0.18464778918443273</v>
      </c>
      <c r="GE525">
        <v>0.91185206570101074</v>
      </c>
      <c r="GF525">
        <v>1.9342971646679756</v>
      </c>
      <c r="GG525">
        <v>2.8523179734238955</v>
      </c>
      <c r="GH525">
        <v>5.109377333319479</v>
      </c>
      <c r="GI525">
        <v>4.1763225563056556</v>
      </c>
      <c r="GJ525"/>
      <c r="GK525"/>
      <c r="GL525"/>
      <c r="GM525"/>
    </row>
    <row r="526" spans="1:195" s="7" customFormat="1">
      <c r="A526" s="4"/>
      <c r="B526" s="4"/>
      <c r="C526" s="83"/>
      <c r="D526" s="83"/>
      <c r="E526" s="83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81"/>
      <c r="AG526" s="81"/>
      <c r="AH526" s="81"/>
      <c r="AI526" s="4"/>
      <c r="AJ526" s="81"/>
      <c r="AK526" s="81"/>
      <c r="AL526" s="81"/>
      <c r="AM526" s="43">
        <v>510</v>
      </c>
      <c r="AN526">
        <v>117.33817891674491</v>
      </c>
      <c r="AO526">
        <v>13.762771099851898</v>
      </c>
      <c r="AP526">
        <v>142.83032390892981</v>
      </c>
      <c r="AQ526">
        <v>121.0017001885428</v>
      </c>
      <c r="AR526">
        <v>13.205314439447797</v>
      </c>
      <c r="AS526">
        <v>198.21788708953954</v>
      </c>
      <c r="AT526">
        <v>8.0117806384204986</v>
      </c>
      <c r="AU526">
        <v>17.943953375004511</v>
      </c>
      <c r="AV526"/>
      <c r="AW526"/>
      <c r="FY526" s="210">
        <v>521</v>
      </c>
      <c r="FZ526">
        <v>66.688211308713065</v>
      </c>
      <c r="GA526">
        <v>76.940647043578736</v>
      </c>
      <c r="GB526">
        <v>2.5992573722789691</v>
      </c>
      <c r="GC526">
        <v>0.8969666381956316</v>
      </c>
      <c r="GD526">
        <v>1.0192425256098101</v>
      </c>
      <c r="GE526">
        <v>2.9766419580485048</v>
      </c>
      <c r="GF526">
        <v>2.885827634987995</v>
      </c>
      <c r="GG526">
        <v>2.8796097996164969</v>
      </c>
      <c r="GH526">
        <v>6.7177140466588661</v>
      </c>
      <c r="GI526">
        <v>12.667565153525411</v>
      </c>
      <c r="GJ526"/>
      <c r="GK526"/>
      <c r="GL526"/>
      <c r="GM526"/>
    </row>
    <row r="527" spans="1:195" s="7" customFormat="1">
      <c r="A527" s="4"/>
      <c r="B527" s="4"/>
      <c r="C527" s="83"/>
      <c r="D527" s="83"/>
      <c r="E527" s="83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81"/>
      <c r="AG527" s="81"/>
      <c r="AH527" s="81"/>
      <c r="AI527" s="4"/>
      <c r="AJ527" s="81"/>
      <c r="AK527" s="81"/>
      <c r="AL527" s="81"/>
      <c r="AM527" s="43">
        <v>511</v>
      </c>
      <c r="AN527">
        <v>172.33901703799637</v>
      </c>
      <c r="AO527">
        <v>13.864589962593143</v>
      </c>
      <c r="AP527">
        <v>143.25976024951021</v>
      </c>
      <c r="AQ527">
        <v>118.11769887371621</v>
      </c>
      <c r="AR527">
        <v>13.280867112126096</v>
      </c>
      <c r="AS527">
        <v>225.07484698579196</v>
      </c>
      <c r="AT527">
        <v>7.7037739742426625</v>
      </c>
      <c r="AU527">
        <v>23.180277457115089</v>
      </c>
      <c r="AV527"/>
      <c r="AW527"/>
      <c r="FY527" s="210">
        <v>522</v>
      </c>
      <c r="FZ527">
        <v>24.033866789162765</v>
      </c>
      <c r="GA527">
        <v>28.191161165043646</v>
      </c>
      <c r="GB527">
        <v>2.4356984794266472</v>
      </c>
      <c r="GC527">
        <v>1.0879185417773078</v>
      </c>
      <c r="GD527">
        <v>1.2727403458128839</v>
      </c>
      <c r="GE527">
        <v>2.6834521175249826</v>
      </c>
      <c r="GF527">
        <v>4.305999788514522</v>
      </c>
      <c r="GG527">
        <v>5.1362429854254001</v>
      </c>
      <c r="GH527">
        <v>6.8395899812174576</v>
      </c>
      <c r="GI527">
        <v>6.7589380936513557</v>
      </c>
      <c r="GJ527"/>
      <c r="GK527"/>
      <c r="GL527"/>
      <c r="GM527"/>
    </row>
    <row r="528" spans="1:195" s="7" customFormat="1">
      <c r="A528" s="4"/>
      <c r="B528" s="4"/>
      <c r="C528" s="83"/>
      <c r="F528" s="28"/>
      <c r="G528" s="28"/>
      <c r="H528" s="83"/>
      <c r="I528" s="4"/>
      <c r="J528" s="98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81"/>
      <c r="AG528" s="81"/>
      <c r="AH528" s="81"/>
      <c r="AI528" s="4"/>
      <c r="AJ528" s="81"/>
      <c r="AK528" s="81"/>
      <c r="AL528" s="81"/>
      <c r="AM528" s="43">
        <v>512</v>
      </c>
      <c r="AN528">
        <v>115.92807393046841</v>
      </c>
      <c r="AO528">
        <v>19.429352540953779</v>
      </c>
      <c r="AP528">
        <v>214.4004600897091</v>
      </c>
      <c r="AQ528">
        <v>184.65117593072964</v>
      </c>
      <c r="AR528">
        <v>18.434992415774083</v>
      </c>
      <c r="AS528">
        <v>252.77530546257259</v>
      </c>
      <c r="AT528">
        <v>11.904694113980186</v>
      </c>
      <c r="AU528">
        <v>26.8982367857535</v>
      </c>
      <c r="AV528"/>
      <c r="AW528"/>
      <c r="FY528" s="210">
        <v>523</v>
      </c>
      <c r="FZ528">
        <v>25.51373282056813</v>
      </c>
      <c r="GA528">
        <v>28.660513817024938</v>
      </c>
      <c r="GB528">
        <v>2.2277027719629716</v>
      </c>
      <c r="GC528">
        <v>0.72055577201486265</v>
      </c>
      <c r="GD528">
        <v>0.73038929962117072</v>
      </c>
      <c r="GE528">
        <v>2.1701968255527317</v>
      </c>
      <c r="GF528">
        <v>4.6602603512163707</v>
      </c>
      <c r="GG528">
        <v>3.9481319882746915</v>
      </c>
      <c r="GH528">
        <v>4.1468197732345624</v>
      </c>
      <c r="GI528">
        <v>6.2436220133068039</v>
      </c>
      <c r="GJ528"/>
      <c r="GK528"/>
      <c r="GL528"/>
      <c r="GM528"/>
    </row>
    <row r="529" spans="1:195" s="7" customFormat="1" ht="15.75">
      <c r="A529" s="4"/>
      <c r="B529" s="4"/>
      <c r="C529" s="125" t="s">
        <v>138</v>
      </c>
      <c r="D529" s="126"/>
      <c r="E529" s="81"/>
      <c r="F529" s="81"/>
      <c r="G529" s="81"/>
      <c r="H529" s="81"/>
      <c r="I529" s="81"/>
      <c r="J529" s="81"/>
      <c r="K529" s="9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81"/>
      <c r="AG529" s="81"/>
      <c r="AH529" s="81"/>
      <c r="AI529" s="4"/>
      <c r="AJ529" s="81"/>
      <c r="AK529" s="81"/>
      <c r="AL529" s="81"/>
      <c r="AM529" s="43">
        <v>513</v>
      </c>
      <c r="AN529">
        <v>81.698745113755322</v>
      </c>
      <c r="AO529">
        <v>6.4330010360059093</v>
      </c>
      <c r="AP529">
        <v>62.297874610329401</v>
      </c>
      <c r="AQ529">
        <v>53.169842188826628</v>
      </c>
      <c r="AR529">
        <v>6.3607662395163649</v>
      </c>
      <c r="AS529">
        <v>105.49870000186874</v>
      </c>
      <c r="AT529">
        <v>4.0752518961887363</v>
      </c>
      <c r="AU529">
        <v>13.628536670601507</v>
      </c>
      <c r="AV529"/>
      <c r="AW529"/>
      <c r="FY529" s="210">
        <v>524</v>
      </c>
      <c r="FZ529">
        <v>24.033866789162765</v>
      </c>
      <c r="GA529">
        <v>29.23905892896623</v>
      </c>
      <c r="GB529">
        <v>3.6723722342660534</v>
      </c>
      <c r="GC529">
        <v>1.3115724035644729</v>
      </c>
      <c r="GD529">
        <v>0.87016727001821192</v>
      </c>
      <c r="GE529">
        <v>1.6606298366677952</v>
      </c>
      <c r="GF529">
        <v>0.26659211153107842</v>
      </c>
      <c r="GG529">
        <v>2.3408877803316042</v>
      </c>
      <c r="GH529">
        <v>6.5191957590638108</v>
      </c>
      <c r="GI529">
        <v>6.0455366477043304</v>
      </c>
      <c r="GJ529"/>
      <c r="GK529"/>
      <c r="GL529"/>
      <c r="GM529"/>
    </row>
    <row r="530" spans="1:195" s="7" customFormat="1">
      <c r="A530" s="4"/>
      <c r="B530" s="4"/>
      <c r="C530" s="99" t="s">
        <v>139</v>
      </c>
      <c r="D530" s="99" t="s">
        <v>23</v>
      </c>
      <c r="E530" s="99" t="s">
        <v>80</v>
      </c>
      <c r="F530" s="99"/>
      <c r="G530" s="99" t="s">
        <v>82</v>
      </c>
      <c r="H530" s="99" t="s">
        <v>140</v>
      </c>
      <c r="I530" s="99" t="s">
        <v>0</v>
      </c>
      <c r="J530" s="99" t="s">
        <v>1</v>
      </c>
      <c r="K530" s="106" t="s">
        <v>2</v>
      </c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81"/>
      <c r="AG530" s="81"/>
      <c r="AH530" s="81"/>
      <c r="AI530" s="4"/>
      <c r="AJ530" s="81"/>
      <c r="AK530" s="81"/>
      <c r="AL530" s="81"/>
      <c r="AM530" s="43">
        <v>514</v>
      </c>
      <c r="AN530">
        <v>147.35507529200248</v>
      </c>
      <c r="AO530">
        <v>13.414817749363332</v>
      </c>
      <c r="AP530">
        <v>132.74246513633565</v>
      </c>
      <c r="AQ530">
        <v>112.21970919681124</v>
      </c>
      <c r="AR530">
        <v>13.150961256277203</v>
      </c>
      <c r="AS530">
        <v>241.66699364573128</v>
      </c>
      <c r="AT530">
        <v>7.5112811147805303</v>
      </c>
      <c r="AU530">
        <v>26.570504145174546</v>
      </c>
      <c r="AV530"/>
      <c r="AW530"/>
      <c r="FY530" s="210">
        <v>525</v>
      </c>
      <c r="FZ530">
        <v>23.528744253499738</v>
      </c>
      <c r="GA530">
        <v>29.76641259050454</v>
      </c>
      <c r="GB530">
        <v>4.0800657766017085</v>
      </c>
      <c r="GC530">
        <v>1.2263290731730996</v>
      </c>
      <c r="GD530">
        <v>1.2279926630622837</v>
      </c>
      <c r="GE530">
        <v>2.984615480257554</v>
      </c>
      <c r="GF530">
        <v>7.2430427947884084</v>
      </c>
      <c r="GG530">
        <v>10.136507588884536</v>
      </c>
      <c r="GH530">
        <v>10.402573349329966</v>
      </c>
      <c r="GI530">
        <v>8.1712700717664752</v>
      </c>
      <c r="GJ530"/>
      <c r="GK530"/>
      <c r="GL530"/>
      <c r="GM530"/>
    </row>
    <row r="531" spans="1:195" s="7" customFormat="1">
      <c r="A531" s="4"/>
      <c r="B531" s="4"/>
      <c r="C531" s="116">
        <f>C4</f>
        <v>39646</v>
      </c>
      <c r="D531" s="101">
        <f>D70</f>
        <v>41.666666666666664</v>
      </c>
      <c r="E531" s="108">
        <f>E405</f>
        <v>6.302697929342499E-2</v>
      </c>
      <c r="F531" s="102"/>
      <c r="G531" s="101">
        <f>D531*E531</f>
        <v>2.6261241372260411</v>
      </c>
      <c r="H531" s="101"/>
      <c r="I531" s="101"/>
      <c r="J531" s="101"/>
      <c r="K531" s="101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81"/>
      <c r="AG531" s="81"/>
      <c r="AH531" s="81"/>
      <c r="AI531" s="4"/>
      <c r="AJ531" s="81"/>
      <c r="AK531" s="81"/>
      <c r="AL531" s="81"/>
      <c r="AM531" s="43">
        <v>515</v>
      </c>
      <c r="AN531">
        <v>83.760469528956051</v>
      </c>
      <c r="AO531">
        <v>4.9419236563982469</v>
      </c>
      <c r="AP531">
        <v>44.424345062320498</v>
      </c>
      <c r="AQ531">
        <v>36.323590284264888</v>
      </c>
      <c r="AR531">
        <v>5.0949400589826057</v>
      </c>
      <c r="AS531">
        <v>89.288480786482282</v>
      </c>
      <c r="AT531">
        <v>2.7934235050809408</v>
      </c>
      <c r="AU531">
        <v>17.52889880095935</v>
      </c>
      <c r="AV531"/>
      <c r="AW531"/>
      <c r="FY531" s="210">
        <v>526</v>
      </c>
      <c r="FZ531">
        <v>32.728483295123532</v>
      </c>
      <c r="GA531">
        <v>38.973024148392319</v>
      </c>
      <c r="GB531">
        <v>2.8545276316040935</v>
      </c>
      <c r="GC531">
        <v>1.6973597733653643</v>
      </c>
      <c r="GD531">
        <v>1.1718665347772155</v>
      </c>
      <c r="GE531">
        <v>3.581823698498555</v>
      </c>
      <c r="GF531">
        <v>6.8403380238763178</v>
      </c>
      <c r="GG531">
        <v>8.2822164110184158</v>
      </c>
      <c r="GH531">
        <v>9.4933524815179293</v>
      </c>
      <c r="GI531">
        <v>8.9715046421468969</v>
      </c>
      <c r="GJ531"/>
      <c r="GK531"/>
      <c r="GL531"/>
      <c r="GM531"/>
    </row>
    <row r="532" spans="1:195" s="7" customFormat="1">
      <c r="A532" s="4"/>
      <c r="B532" s="4"/>
      <c r="C532" s="63"/>
      <c r="D532" s="101"/>
      <c r="E532" s="63"/>
      <c r="F532" s="63"/>
      <c r="G532" s="101"/>
      <c r="H532" s="101">
        <f>E533-E531</f>
        <v>0.15061660350738684</v>
      </c>
      <c r="I532" s="101">
        <f>AVERAGE(D531:D533)</f>
        <v>101.04166666666667</v>
      </c>
      <c r="J532" s="101">
        <f>I532*H532</f>
        <v>15.21855264605888</v>
      </c>
      <c r="K532" s="61">
        <f>J532/(C533-C531)</f>
        <v>0.56365009800218069</v>
      </c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81"/>
      <c r="AG532" s="81"/>
      <c r="AH532" s="81"/>
      <c r="AI532" s="4"/>
      <c r="AJ532" s="81"/>
      <c r="AK532" s="81"/>
      <c r="AL532" s="81"/>
      <c r="AM532" s="43">
        <v>516</v>
      </c>
      <c r="AN532">
        <v>108.57326826478814</v>
      </c>
      <c r="AO532">
        <v>7.8103243379359082</v>
      </c>
      <c r="AP532">
        <v>75.229058146305334</v>
      </c>
      <c r="AQ532">
        <v>64.045151691942749</v>
      </c>
      <c r="AR532">
        <v>7.7556201092546493</v>
      </c>
      <c r="AS532">
        <v>157.58098209881445</v>
      </c>
      <c r="AT532">
        <v>4.7777379418833386</v>
      </c>
      <c r="AU532">
        <v>12.690742054229961</v>
      </c>
      <c r="AV532"/>
      <c r="AW532"/>
      <c r="FY532" s="210">
        <v>527</v>
      </c>
      <c r="FZ532">
        <v>33.173775579624071</v>
      </c>
      <c r="GA532">
        <v>43.083861127402358</v>
      </c>
      <c r="GB532">
        <v>3.0592050190549553</v>
      </c>
      <c r="GC532">
        <v>1.0342628217089023</v>
      </c>
      <c r="GD532">
        <v>1.0059667273695561</v>
      </c>
      <c r="GE532">
        <v>4.2760642645298281</v>
      </c>
      <c r="GF532">
        <v>6.7283106118615796</v>
      </c>
      <c r="GG532">
        <v>3.2172587618237811</v>
      </c>
      <c r="GH532">
        <v>6.2133956823865626</v>
      </c>
      <c r="GI532">
        <v>8.4461276641962186</v>
      </c>
      <c r="GJ532"/>
      <c r="GK532"/>
      <c r="GL532"/>
      <c r="GM532"/>
    </row>
    <row r="533" spans="1:195" s="7" customFormat="1">
      <c r="A533" s="4"/>
      <c r="B533" s="4"/>
      <c r="C533" s="117">
        <f>C5</f>
        <v>39673</v>
      </c>
      <c r="D533" s="101">
        <f>D71</f>
        <v>160.41666666666669</v>
      </c>
      <c r="E533" s="108">
        <f>E406</f>
        <v>0.21364358280081183</v>
      </c>
      <c r="F533" s="102"/>
      <c r="G533" s="101">
        <f>D533*E533</f>
        <v>34.271991407630239</v>
      </c>
      <c r="H533" s="101"/>
      <c r="I533" s="101"/>
      <c r="J533" s="101"/>
      <c r="K533" s="101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81"/>
      <c r="AG533" s="81"/>
      <c r="AH533" s="81"/>
      <c r="AI533" s="4"/>
      <c r="AJ533" s="81"/>
      <c r="AK533" s="81"/>
      <c r="AL533" s="81"/>
      <c r="AM533" s="43">
        <v>517</v>
      </c>
      <c r="AN533">
        <v>135.35298432124395</v>
      </c>
      <c r="AO533">
        <v>15.441940521163554</v>
      </c>
      <c r="AP533">
        <v>163.73596527404624</v>
      </c>
      <c r="AQ533">
        <v>141.25045119895461</v>
      </c>
      <c r="AR533">
        <v>14.619369211846204</v>
      </c>
      <c r="AS533">
        <v>269.49496782583969</v>
      </c>
      <c r="AT533">
        <v>8.8160266378645513</v>
      </c>
      <c r="AU533">
        <v>16.458277209237728</v>
      </c>
      <c r="AV533"/>
      <c r="AW533"/>
      <c r="FY533" s="210">
        <v>528</v>
      </c>
      <c r="FZ533">
        <v>44.993498937149695</v>
      </c>
      <c r="GA533">
        <v>53.613865970978608</v>
      </c>
      <c r="GB533">
        <v>2.3990055402147994</v>
      </c>
      <c r="GC533">
        <v>0.81535138521900574</v>
      </c>
      <c r="GD533">
        <v>0.87500620604218415</v>
      </c>
      <c r="GE533">
        <v>2.4562494457358643</v>
      </c>
      <c r="GF533">
        <v>5.019552495072972</v>
      </c>
      <c r="GG533">
        <v>6.1548873507935475</v>
      </c>
      <c r="GH533">
        <v>7.2647400543953626</v>
      </c>
      <c r="GI533">
        <v>9.8147616308335763</v>
      </c>
      <c r="GJ533"/>
      <c r="GK533"/>
      <c r="GL533"/>
      <c r="GM533"/>
    </row>
    <row r="534" spans="1:195" s="7" customFormat="1">
      <c r="A534" s="4"/>
      <c r="B534" s="4"/>
      <c r="C534" s="63" t="s">
        <v>99</v>
      </c>
      <c r="D534" s="101"/>
      <c r="E534" s="63"/>
      <c r="F534" s="63"/>
      <c r="G534" s="101"/>
      <c r="H534" s="101">
        <f>E535-E533</f>
        <v>0.44174914384442943</v>
      </c>
      <c r="I534" s="101">
        <f>AVERAGE(D533:D535)</f>
        <v>83.333333333333343</v>
      </c>
      <c r="J534" s="101">
        <f>I534*H534</f>
        <v>36.812428653702455</v>
      </c>
      <c r="K534" s="61">
        <f>J534/(C535-C533)</f>
        <v>0.89786411350493789</v>
      </c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81"/>
      <c r="AG534" s="81"/>
      <c r="AH534" s="81"/>
      <c r="AI534" s="4"/>
      <c r="AJ534" s="81"/>
      <c r="AK534" s="81"/>
      <c r="AL534" s="81"/>
      <c r="AM534" s="43">
        <v>518</v>
      </c>
      <c r="AN534">
        <v>63.603280185792663</v>
      </c>
      <c r="AO534">
        <v>6.9403417318174432</v>
      </c>
      <c r="AP534">
        <v>68.671637525441469</v>
      </c>
      <c r="AQ534">
        <v>58.342837915338023</v>
      </c>
      <c r="AR534">
        <v>7.1143373925345497</v>
      </c>
      <c r="AS534">
        <v>107.94439534223014</v>
      </c>
      <c r="AT534">
        <v>4.3991235399726873</v>
      </c>
      <c r="AU534">
        <v>11.476413912941943</v>
      </c>
      <c r="AV534"/>
      <c r="AW534"/>
      <c r="FY534" s="210">
        <v>529</v>
      </c>
      <c r="FZ534">
        <v>45.647599046213301</v>
      </c>
      <c r="GA534">
        <v>51.268460459072472</v>
      </c>
      <c r="GB534">
        <v>2.9228606255928322</v>
      </c>
      <c r="GC534">
        <v>1.4776060887740008</v>
      </c>
      <c r="GD534">
        <v>0.94792495994857373</v>
      </c>
      <c r="GE534">
        <v>1.6913807114070882</v>
      </c>
      <c r="GF534">
        <v>4.7119788820494595</v>
      </c>
      <c r="GG534">
        <v>8.1219044135329632</v>
      </c>
      <c r="GH534">
        <v>10.269242053685971</v>
      </c>
      <c r="GI534">
        <v>10.488160933607618</v>
      </c>
      <c r="GJ534"/>
      <c r="GK534"/>
      <c r="GL534"/>
      <c r="GM534"/>
    </row>
    <row r="535" spans="1:195" s="7" customFormat="1">
      <c r="A535" s="4"/>
      <c r="B535" s="4"/>
      <c r="C535" s="117">
        <f>C6</f>
        <v>39714</v>
      </c>
      <c r="D535" s="101">
        <f>D72</f>
        <v>6.25</v>
      </c>
      <c r="E535" s="108">
        <f>E407</f>
        <v>0.65539272664524129</v>
      </c>
      <c r="F535" s="102"/>
      <c r="G535" s="101">
        <f>D535*E535</f>
        <v>4.0962045415327584</v>
      </c>
      <c r="H535" s="101"/>
      <c r="I535" s="101"/>
      <c r="J535" s="101"/>
      <c r="K535" s="101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81"/>
      <c r="AG535" s="81"/>
      <c r="AH535" s="81"/>
      <c r="AI535" s="4"/>
      <c r="AJ535" s="81"/>
      <c r="AK535" s="81"/>
      <c r="AL535" s="81"/>
      <c r="AM535" s="43">
        <v>519</v>
      </c>
      <c r="AN535">
        <v>117.69246903046837</v>
      </c>
      <c r="AO535">
        <v>8.8326284792955576</v>
      </c>
      <c r="AP535">
        <v>88.443916157763923</v>
      </c>
      <c r="AQ535">
        <v>73.622443077628688</v>
      </c>
      <c r="AR535">
        <v>8.6018228813344333</v>
      </c>
      <c r="AS535">
        <v>153.28117669647773</v>
      </c>
      <c r="AT535">
        <v>5.1364184150780199</v>
      </c>
      <c r="AU535">
        <v>34.797082491514509</v>
      </c>
      <c r="AV535"/>
      <c r="AW535"/>
      <c r="FY535" s="210">
        <v>530</v>
      </c>
      <c r="FZ535">
        <v>35.679310778291658</v>
      </c>
      <c r="GA535">
        <v>41.262544116976656</v>
      </c>
      <c r="GB535">
        <v>3.1772688785595049</v>
      </c>
      <c r="GC535">
        <v>1.1319499818771037</v>
      </c>
      <c r="GD535">
        <v>1.1850905907614124</v>
      </c>
      <c r="GE535">
        <v>2.7226440549276409</v>
      </c>
      <c r="GF535">
        <v>6.3511687459900799</v>
      </c>
      <c r="GG535">
        <v>9.3019923345080198</v>
      </c>
      <c r="GH535">
        <v>10.045773860467595</v>
      </c>
      <c r="GI535">
        <v>9.4864021763909818</v>
      </c>
      <c r="GJ535"/>
      <c r="GK535"/>
      <c r="GL535"/>
      <c r="GM535"/>
    </row>
    <row r="536" spans="1:195" s="7" customFormat="1">
      <c r="A536" s="4"/>
      <c r="B536" s="4"/>
      <c r="C536" s="63"/>
      <c r="D536" s="101"/>
      <c r="E536" s="63"/>
      <c r="F536" s="63"/>
      <c r="G536" s="101"/>
      <c r="H536" s="101">
        <f>E537-E535</f>
        <v>-0.6156524891830788</v>
      </c>
      <c r="I536" s="101">
        <f>AVERAGE(D535:D537)</f>
        <v>61.045258620689644</v>
      </c>
      <c r="J536" s="101">
        <f>I536*H536</f>
        <v>-37.582665422652376</v>
      </c>
      <c r="K536" s="61">
        <f>J536/(C537-C535)</f>
        <v>-1.1388686491712841</v>
      </c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81"/>
      <c r="AG536" s="81"/>
      <c r="AH536" s="81"/>
      <c r="AI536" s="4"/>
      <c r="AJ536" s="81"/>
      <c r="AK536" s="81"/>
      <c r="AL536" s="81"/>
      <c r="AM536" s="43">
        <v>520</v>
      </c>
      <c r="AN536">
        <v>50.298859262002324</v>
      </c>
      <c r="AO536">
        <v>5.5257795485994858</v>
      </c>
      <c r="AP536">
        <v>57.277732395869791</v>
      </c>
      <c r="AQ536">
        <v>48.895493869244035</v>
      </c>
      <c r="AR536">
        <v>5.7802575253104589</v>
      </c>
      <c r="AS536">
        <v>79.074523190772382</v>
      </c>
      <c r="AT536">
        <v>3.3172517277505413</v>
      </c>
      <c r="AU536">
        <v>10.545071744543733</v>
      </c>
      <c r="AV536"/>
      <c r="AW536"/>
      <c r="FY536" s="210">
        <v>531</v>
      </c>
      <c r="FZ536">
        <v>16.073440581796557</v>
      </c>
      <c r="GA536">
        <v>16.744566144505534</v>
      </c>
      <c r="GB536">
        <v>3.5059392435637657</v>
      </c>
      <c r="GC536">
        <v>1.40705930011027</v>
      </c>
      <c r="GD536">
        <v>0.67058306543141522</v>
      </c>
      <c r="GE536">
        <v>1.6896953762799756</v>
      </c>
      <c r="GF536">
        <v>8.2253350679130897</v>
      </c>
      <c r="GG536">
        <v>12.922045076441822</v>
      </c>
      <c r="GH536">
        <v>12.029032336833746</v>
      </c>
      <c r="GI536">
        <v>7.0159155698372535</v>
      </c>
      <c r="GJ536"/>
      <c r="GK536"/>
      <c r="GL536"/>
      <c r="GM536"/>
    </row>
    <row r="537" spans="1:195" s="7" customFormat="1">
      <c r="A537" s="4"/>
      <c r="B537" s="4"/>
      <c r="C537" s="117">
        <f>C7</f>
        <v>39747</v>
      </c>
      <c r="D537" s="101">
        <f>D73</f>
        <v>115.84051724137929</v>
      </c>
      <c r="E537" s="108">
        <f>E408</f>
        <v>3.9740237462162438E-2</v>
      </c>
      <c r="F537" s="102"/>
      <c r="G537" s="101">
        <f>D537*E537</f>
        <v>4.6035296629121349</v>
      </c>
      <c r="H537" s="101"/>
      <c r="I537" s="101"/>
      <c r="J537" s="101"/>
      <c r="K537" s="101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81"/>
      <c r="AG537" s="81"/>
      <c r="AH537" s="81"/>
      <c r="AI537" s="4"/>
      <c r="AJ537" s="81"/>
      <c r="AK537" s="81"/>
      <c r="AL537" s="81"/>
      <c r="AM537" s="43">
        <v>521</v>
      </c>
      <c r="AN537">
        <v>96.37492509887187</v>
      </c>
      <c r="AO537">
        <v>18.410064429752847</v>
      </c>
      <c r="AP537">
        <v>202.06759527193992</v>
      </c>
      <c r="AQ537">
        <v>176.27168348121347</v>
      </c>
      <c r="AR537">
        <v>17.719712571590335</v>
      </c>
      <c r="AS537">
        <v>276.06416094372719</v>
      </c>
      <c r="AT537">
        <v>12.525696875244279</v>
      </c>
      <c r="AU537">
        <v>-8.59515770221034</v>
      </c>
      <c r="AV537"/>
      <c r="AW537"/>
      <c r="FY537" s="210">
        <v>532</v>
      </c>
      <c r="FZ537">
        <v>46.192525731480494</v>
      </c>
      <c r="GA537">
        <v>51.959398758480269</v>
      </c>
      <c r="GB537">
        <v>2.6101968223325178</v>
      </c>
      <c r="GC537">
        <v>1.3582414918572276</v>
      </c>
      <c r="GD537">
        <v>0.31247600892470462</v>
      </c>
      <c r="GE537">
        <v>2.5165803039922707</v>
      </c>
      <c r="GF537">
        <v>7.7664994686832989</v>
      </c>
      <c r="GG537">
        <v>11.303361322741804</v>
      </c>
      <c r="GH537">
        <v>13.362533403757659</v>
      </c>
      <c r="GI537">
        <v>11.164898258311894</v>
      </c>
      <c r="GJ537"/>
      <c r="GK537"/>
      <c r="GL537"/>
      <c r="GM537"/>
    </row>
    <row r="538" spans="1:195" s="7" customFormat="1">
      <c r="A538" s="4"/>
      <c r="B538" s="4"/>
      <c r="C538" s="63"/>
      <c r="D538" s="101"/>
      <c r="E538" s="63"/>
      <c r="F538" s="63"/>
      <c r="G538" s="101"/>
      <c r="H538" s="101">
        <f>E539-E537</f>
        <v>-7.3050847878923172E-3</v>
      </c>
      <c r="I538" s="101">
        <f>AVERAGE(D537:D539)</f>
        <v>80.667522930453956</v>
      </c>
      <c r="J538" s="101">
        <f>I538*H538</f>
        <v>-0.58928309463621387</v>
      </c>
      <c r="K538" s="61">
        <f>J538/(C539-C537)</f>
        <v>-2.1045824808436208E-2</v>
      </c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81"/>
      <c r="AG538" s="81"/>
      <c r="AH538" s="81"/>
      <c r="AI538" s="4"/>
      <c r="AJ538" s="81"/>
      <c r="AK538" s="81"/>
      <c r="AL538" s="81"/>
      <c r="AM538" s="43">
        <v>522</v>
      </c>
      <c r="AN538">
        <v>81.219811315363302</v>
      </c>
      <c r="AO538">
        <v>9.5819717547321677</v>
      </c>
      <c r="AP538">
        <v>95.763972057653518</v>
      </c>
      <c r="AQ538">
        <v>82.745608287556962</v>
      </c>
      <c r="AR538">
        <v>9.4075835317352503</v>
      </c>
      <c r="AS538">
        <v>131.84001729586547</v>
      </c>
      <c r="AT538">
        <v>5.5995456403183157</v>
      </c>
      <c r="AU538">
        <v>4.6041910658140708</v>
      </c>
      <c r="AV538"/>
      <c r="AW538"/>
      <c r="FY538" s="210">
        <v>533</v>
      </c>
      <c r="FZ538">
        <v>44.568309368567022</v>
      </c>
      <c r="GA538">
        <v>53.727038336342602</v>
      </c>
      <c r="GB538">
        <v>3.4594534983936405</v>
      </c>
      <c r="GC538">
        <v>1.3143569761506368</v>
      </c>
      <c r="GD538">
        <v>1.5607513831446891</v>
      </c>
      <c r="GE538">
        <v>3.0242268527251523</v>
      </c>
      <c r="GF538">
        <v>6.826737916884646</v>
      </c>
      <c r="GG538">
        <v>16.05018397129566</v>
      </c>
      <c r="GH538">
        <v>17.980503007183295</v>
      </c>
      <c r="GI538">
        <v>12.434302714643811</v>
      </c>
      <c r="GJ538"/>
      <c r="GK538"/>
      <c r="GL538"/>
      <c r="GM538"/>
    </row>
    <row r="539" spans="1:195" s="7" customFormat="1">
      <c r="A539" s="4"/>
      <c r="B539" s="4"/>
      <c r="C539" s="117">
        <f>C8</f>
        <v>39775</v>
      </c>
      <c r="D539" s="101">
        <f>D74</f>
        <v>45.494528619528616</v>
      </c>
      <c r="E539" s="108">
        <f>E409</f>
        <v>3.2435152674270121E-2</v>
      </c>
      <c r="F539" s="102"/>
      <c r="G539" s="101">
        <f>D539*E539</f>
        <v>1.4756219816183622</v>
      </c>
      <c r="H539" s="101"/>
      <c r="I539" s="101"/>
      <c r="J539" s="101"/>
      <c r="K539" s="101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81"/>
      <c r="AG539" s="81"/>
      <c r="AH539" s="81"/>
      <c r="AI539" s="4"/>
      <c r="AJ539" s="81"/>
      <c r="AK539" s="81"/>
      <c r="AL539" s="81"/>
      <c r="AM539" s="43">
        <v>523</v>
      </c>
      <c r="AN539">
        <v>86.359193921026986</v>
      </c>
      <c r="AO539">
        <v>8.8182098518569365</v>
      </c>
      <c r="AP539">
        <v>91.824016948365383</v>
      </c>
      <c r="AQ539">
        <v>79.021925432777252</v>
      </c>
      <c r="AR539">
        <v>8.6578884564831622</v>
      </c>
      <c r="AS539">
        <v>124.2298269061229</v>
      </c>
      <c r="AT539">
        <v>5.2982475599708181</v>
      </c>
      <c r="AU539">
        <v>6.8161828413142924</v>
      </c>
      <c r="AV539"/>
      <c r="AW539"/>
      <c r="FY539" s="210">
        <v>534</v>
      </c>
      <c r="FZ539">
        <v>33.846942678986821</v>
      </c>
      <c r="GA539">
        <v>39.520602326704605</v>
      </c>
      <c r="GB539">
        <v>2.6490010611591948</v>
      </c>
      <c r="GC539">
        <v>1.8442602647981721</v>
      </c>
      <c r="GD539">
        <v>1.0931869869265012</v>
      </c>
      <c r="GE539">
        <v>3.3155689912647239</v>
      </c>
      <c r="GF539">
        <v>3.9974946297531431</v>
      </c>
      <c r="GG539">
        <v>5.2909058673272398</v>
      </c>
      <c r="GH539">
        <v>8.9437661449075936</v>
      </c>
      <c r="GI539">
        <v>8.4233845197970751</v>
      </c>
      <c r="GJ539"/>
      <c r="GK539"/>
      <c r="GL539"/>
      <c r="GM539"/>
    </row>
    <row r="540" spans="1:195" s="7" customFormat="1">
      <c r="A540" s="4"/>
      <c r="B540" s="4"/>
      <c r="C540" s="63"/>
      <c r="D540" s="101"/>
      <c r="E540" s="63"/>
      <c r="F540" s="63"/>
      <c r="G540" s="101"/>
      <c r="H540" s="101">
        <f>E541-E539</f>
        <v>9.0071647781503408E-3</v>
      </c>
      <c r="I540" s="101">
        <f>AVERAGE(D539:D541)</f>
        <v>64.105701624083963</v>
      </c>
      <c r="J540" s="101">
        <f>I540*H540</f>
        <v>0.57741061774706415</v>
      </c>
      <c r="K540" s="61">
        <f>J540/(C541-C539)</f>
        <v>2.4058775739461007E-2</v>
      </c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81"/>
      <c r="AG540" s="81"/>
      <c r="AH540" s="81"/>
      <c r="AI540" s="4"/>
      <c r="AJ540" s="81"/>
      <c r="AK540" s="81"/>
      <c r="AL540" s="81"/>
      <c r="AM540" s="43">
        <v>524</v>
      </c>
      <c r="AN540">
        <v>64.91711155453558</v>
      </c>
      <c r="AO540">
        <v>8.5737519465009004</v>
      </c>
      <c r="AP540">
        <v>88.556958703225561</v>
      </c>
      <c r="AQ540">
        <v>75.959879761276355</v>
      </c>
      <c r="AR540">
        <v>8.4703856574926206</v>
      </c>
      <c r="AS540">
        <v>108.64343596195208</v>
      </c>
      <c r="AT540" t="e">
        <v>#DIV/0!</v>
      </c>
      <c r="AU540" t="e">
        <v>#DIV/0!</v>
      </c>
      <c r="AV540"/>
      <c r="AW540"/>
      <c r="FY540" s="210">
        <v>535</v>
      </c>
      <c r="FZ540">
        <v>46.221896263686958</v>
      </c>
      <c r="GA540">
        <v>51.000829802003835</v>
      </c>
      <c r="GB540">
        <v>1.5198647616425811</v>
      </c>
      <c r="GC540">
        <v>0.8531029535562209</v>
      </c>
      <c r="GD540">
        <v>1.4832493793615646</v>
      </c>
      <c r="GE540">
        <v>4.1477779305638274</v>
      </c>
      <c r="GF540">
        <v>4.8664380962586771</v>
      </c>
      <c r="GG540">
        <v>10.045986362363397</v>
      </c>
      <c r="GH540">
        <v>13.597874107109137</v>
      </c>
      <c r="GI540">
        <v>11.11517007574604</v>
      </c>
      <c r="GJ540"/>
      <c r="GK540"/>
      <c r="GL540"/>
      <c r="GM540"/>
    </row>
    <row r="541" spans="1:195" s="7" customFormat="1">
      <c r="A541" s="4"/>
      <c r="B541" s="4"/>
      <c r="C541" s="117">
        <f>C9</f>
        <v>39799</v>
      </c>
      <c r="D541" s="101">
        <f>D75</f>
        <v>82.716874628639317</v>
      </c>
      <c r="E541" s="108">
        <f>E410</f>
        <v>4.1442317452420462E-2</v>
      </c>
      <c r="F541" s="102"/>
      <c r="G541" s="101">
        <f>D541*E541</f>
        <v>3.4279789770321343</v>
      </c>
      <c r="H541" s="101"/>
      <c r="I541" s="101"/>
      <c r="J541" s="101"/>
      <c r="K541" s="101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81"/>
      <c r="AG541" s="81"/>
      <c r="AH541" s="81"/>
      <c r="AI541" s="4"/>
      <c r="AJ541" s="81"/>
      <c r="AK541" s="81"/>
      <c r="AL541" s="81"/>
      <c r="AM541" s="43">
        <v>525</v>
      </c>
      <c r="AN541">
        <v>98.173144984015352</v>
      </c>
      <c r="AO541">
        <v>11.711164285233446</v>
      </c>
      <c r="AP541">
        <v>117.3953439764186</v>
      </c>
      <c r="AQ541">
        <v>98.767553641868304</v>
      </c>
      <c r="AR541">
        <v>11.380597491758623</v>
      </c>
      <c r="AS541">
        <v>163.74500968113421</v>
      </c>
      <c r="AT541">
        <v>7.1520123522001278</v>
      </c>
      <c r="AU541">
        <v>22.750193218082249</v>
      </c>
      <c r="AV541"/>
      <c r="AW541"/>
      <c r="FY541" s="210">
        <v>536</v>
      </c>
      <c r="FZ541">
        <v>33.366509972506947</v>
      </c>
      <c r="GA541">
        <v>40.600340020271929</v>
      </c>
      <c r="GB541">
        <v>2.08883552293184</v>
      </c>
      <c r="GC541">
        <v>0.71954637733120796</v>
      </c>
      <c r="GD541">
        <v>1.1114789998832364</v>
      </c>
      <c r="GE541">
        <v>2.0724921284188933</v>
      </c>
      <c r="GF541">
        <v>9.6940416742400384</v>
      </c>
      <c r="GG541">
        <v>15.885789752480754</v>
      </c>
      <c r="GH541">
        <v>12.238845999126065</v>
      </c>
      <c r="GI541">
        <v>9.7872206120855942</v>
      </c>
      <c r="GJ541"/>
      <c r="GK541"/>
      <c r="GL541"/>
      <c r="GM541"/>
    </row>
    <row r="542" spans="1:195" s="7" customFormat="1">
      <c r="A542" s="4"/>
      <c r="B542" s="4"/>
      <c r="C542" s="63"/>
      <c r="D542" s="101"/>
      <c r="E542" s="63"/>
      <c r="F542" s="63"/>
      <c r="G542" s="101"/>
      <c r="H542" s="101">
        <f>E543-E541</f>
        <v>-1.9943786016031539E-2</v>
      </c>
      <c r="I542" s="101">
        <f>AVERAGE(D541:D543)</f>
        <v>114.72269512681966</v>
      </c>
      <c r="J542" s="101">
        <f>I542*H542</f>
        <v>-2.2880048827917157</v>
      </c>
      <c r="K542" s="61">
        <f>J542/(C543-C541)</f>
        <v>-4.7666768391494078E-2</v>
      </c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81"/>
      <c r="AG542" s="81"/>
      <c r="AH542" s="81"/>
      <c r="AI542" s="4"/>
      <c r="AJ542" s="81"/>
      <c r="AK542" s="81"/>
      <c r="AL542" s="81"/>
      <c r="AM542" s="43">
        <v>526</v>
      </c>
      <c r="AN542">
        <v>126.80843815918237</v>
      </c>
      <c r="AO542">
        <v>13.148229788914866</v>
      </c>
      <c r="AP542">
        <v>132.80912421798237</v>
      </c>
      <c r="AQ542">
        <v>114.59449664032063</v>
      </c>
      <c r="AR542">
        <v>12.416732423907707</v>
      </c>
      <c r="AS542">
        <v>181.11776684042059</v>
      </c>
      <c r="AT542">
        <v>7.3318319483714331</v>
      </c>
      <c r="AU542">
        <v>10.27138036666355</v>
      </c>
      <c r="AV542"/>
      <c r="AW542"/>
      <c r="FY542" s="210">
        <v>537</v>
      </c>
      <c r="FZ542">
        <v>22.211320341442633</v>
      </c>
      <c r="GA542">
        <v>29.50389746475766</v>
      </c>
      <c r="GB542">
        <v>3.4827238174301263</v>
      </c>
      <c r="GC542">
        <v>1.0335233201637344</v>
      </c>
      <c r="GD542">
        <v>1.1380962652264286</v>
      </c>
      <c r="GE542">
        <v>3.9454997530972746</v>
      </c>
      <c r="GF542">
        <v>9.8969235341903161</v>
      </c>
      <c r="GG542">
        <v>7.4692458976657043</v>
      </c>
      <c r="GH542">
        <v>4.9751715585671761</v>
      </c>
      <c r="GI542">
        <v>7.3842746154694341</v>
      </c>
      <c r="GJ542"/>
      <c r="GK542"/>
      <c r="GL542"/>
      <c r="GM542"/>
    </row>
    <row r="543" spans="1:195" s="7" customFormat="1">
      <c r="A543" s="4"/>
      <c r="B543" s="4"/>
      <c r="C543" s="117">
        <f>C10</f>
        <v>39847</v>
      </c>
      <c r="D543" s="101">
        <f>D76</f>
        <v>146.728515625</v>
      </c>
      <c r="E543" s="108">
        <f>E411</f>
        <v>2.1498531436388923E-2</v>
      </c>
      <c r="F543" s="102"/>
      <c r="G543" s="101">
        <f>D543*E543</f>
        <v>3.1544476057787456</v>
      </c>
      <c r="H543" s="101"/>
      <c r="I543" s="101"/>
      <c r="J543" s="101"/>
      <c r="K543" s="101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81"/>
      <c r="AG543" s="81"/>
      <c r="AH543" s="81"/>
      <c r="AI543" s="4"/>
      <c r="AJ543" s="81"/>
      <c r="AK543" s="81"/>
      <c r="AL543" s="81"/>
      <c r="AM543" s="43">
        <v>527</v>
      </c>
      <c r="AN543">
        <v>120.87685024979314</v>
      </c>
      <c r="AO543">
        <v>12.278564957460734</v>
      </c>
      <c r="AP543">
        <v>127.92659820009057</v>
      </c>
      <c r="AQ543">
        <v>110.23822825995779</v>
      </c>
      <c r="AR543">
        <v>11.598671683213629</v>
      </c>
      <c r="AS543">
        <v>168.10826195324611</v>
      </c>
      <c r="AT543">
        <v>7.0993201560547154</v>
      </c>
      <c r="AU543">
        <v>22.059756740959234</v>
      </c>
      <c r="AV543"/>
      <c r="AW543"/>
      <c r="FY543" s="210">
        <v>538</v>
      </c>
      <c r="FZ543">
        <v>17.401298111251371</v>
      </c>
      <c r="GA543">
        <v>14.422793546319667</v>
      </c>
      <c r="GB543">
        <v>3.4444273441749704</v>
      </c>
      <c r="GC543">
        <v>1.9609969604889548</v>
      </c>
      <c r="GD543">
        <v>0.72078829287916379</v>
      </c>
      <c r="GE543">
        <v>1.738516413888519</v>
      </c>
      <c r="GF543">
        <v>6.5295329120653154</v>
      </c>
      <c r="GG543">
        <v>8.2956749445956586</v>
      </c>
      <c r="GH543">
        <v>9.2966150601226119</v>
      </c>
      <c r="GI543">
        <v>6.490098310034246</v>
      </c>
      <c r="GJ543"/>
      <c r="GK543"/>
      <c r="GL543"/>
      <c r="GM543"/>
    </row>
    <row r="544" spans="1:195" s="7" customFormat="1">
      <c r="A544" s="4"/>
      <c r="B544" s="4"/>
      <c r="C544" s="63"/>
      <c r="D544" s="101"/>
      <c r="E544" s="63"/>
      <c r="F544" s="63"/>
      <c r="G544" s="101"/>
      <c r="H544" s="101">
        <f>E545-E543</f>
        <v>2.0632051341815383E-2</v>
      </c>
      <c r="I544" s="101">
        <f>AVERAGE(D543:D545)</f>
        <v>273.88509114583331</v>
      </c>
      <c r="J544" s="101">
        <f>I544*H544</f>
        <v>5.6508112622786184</v>
      </c>
      <c r="K544" s="61">
        <f>J544/(C545-C543)</f>
        <v>8.9695416861565375E-2</v>
      </c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81"/>
      <c r="AG544" s="81"/>
      <c r="AH544" s="81"/>
      <c r="AI544" s="4"/>
      <c r="AJ544" s="81"/>
      <c r="AK544" s="81"/>
      <c r="AL544" s="81"/>
      <c r="AM544" s="43">
        <v>528</v>
      </c>
      <c r="AN544">
        <v>93.947267746226501</v>
      </c>
      <c r="AO544">
        <v>14.350946341513339</v>
      </c>
      <c r="AP544">
        <v>154.54732201966917</v>
      </c>
      <c r="AQ544">
        <v>133.40691901643561</v>
      </c>
      <c r="AR544">
        <v>13.680819842231013</v>
      </c>
      <c r="AS544">
        <v>209.37018203304265</v>
      </c>
      <c r="AT544">
        <v>8.4280218795683712</v>
      </c>
      <c r="AU544">
        <v>29.710590135186834</v>
      </c>
      <c r="AV544"/>
      <c r="AW544"/>
      <c r="FY544" s="210">
        <v>539</v>
      </c>
      <c r="FZ544">
        <v>12.252575765936815</v>
      </c>
      <c r="GA544">
        <v>18.002635759722342</v>
      </c>
      <c r="GB544">
        <v>3.3811191593465955</v>
      </c>
      <c r="GC544">
        <v>1.0608410930967771</v>
      </c>
      <c r="GD544">
        <v>0.82688734809710129</v>
      </c>
      <c r="GE544">
        <v>3.0762962208890836</v>
      </c>
      <c r="GF544">
        <v>12.111841303571712</v>
      </c>
      <c r="GG544">
        <v>10.394821621037122</v>
      </c>
      <c r="GH544">
        <v>7.7698110522126882</v>
      </c>
      <c r="GI544">
        <v>6.5600403575295312</v>
      </c>
      <c r="GJ544"/>
      <c r="GK544"/>
      <c r="GL544"/>
      <c r="GM544"/>
    </row>
    <row r="545" spans="1:195" s="7" customFormat="1">
      <c r="A545" s="4"/>
      <c r="B545" s="4"/>
      <c r="C545" s="117">
        <f>C11</f>
        <v>39910</v>
      </c>
      <c r="D545" s="101">
        <f>D77</f>
        <v>401.04166666666663</v>
      </c>
      <c r="E545" s="108">
        <f>E412</f>
        <v>4.2130582778204306E-2</v>
      </c>
      <c r="F545" s="102"/>
      <c r="G545" s="101">
        <f>D545*E545</f>
        <v>16.896119135009016</v>
      </c>
      <c r="H545" s="101"/>
      <c r="I545" s="101"/>
      <c r="J545" s="101"/>
      <c r="K545" s="101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81"/>
      <c r="AG545" s="81"/>
      <c r="AH545" s="81"/>
      <c r="AI545" s="4"/>
      <c r="AJ545" s="81"/>
      <c r="AK545" s="81"/>
      <c r="AL545" s="81"/>
      <c r="AM545" s="43">
        <v>529</v>
      </c>
      <c r="AN545">
        <v>113.83418863546278</v>
      </c>
      <c r="AO545">
        <v>15.01831129756307</v>
      </c>
      <c r="AP545">
        <v>159.87411142017388</v>
      </c>
      <c r="AQ545">
        <v>137.54711817388429</v>
      </c>
      <c r="AR545">
        <v>14.697823827252789</v>
      </c>
      <c r="AS545">
        <v>247.73343888765726</v>
      </c>
      <c r="AT545">
        <v>9.3242895340371774</v>
      </c>
      <c r="AU545">
        <v>8.1791432146870804</v>
      </c>
      <c r="AV545"/>
      <c r="AW545"/>
      <c r="FY545" s="210">
        <v>540</v>
      </c>
      <c r="FZ545">
        <v>55.246417220187368</v>
      </c>
      <c r="GA545">
        <v>66.523483974414404</v>
      </c>
      <c r="GB545">
        <v>3.8544860444364564</v>
      </c>
      <c r="GC545">
        <v>1.2296903691012213</v>
      </c>
      <c r="GD545">
        <v>0.9919403251963862</v>
      </c>
      <c r="GE545">
        <v>2.3977405248903181</v>
      </c>
      <c r="GF545">
        <v>1.8275848575517941</v>
      </c>
      <c r="GG545">
        <v>6.5406384318733899</v>
      </c>
      <c r="GH545">
        <v>9.3683078332630085</v>
      </c>
      <c r="GI545">
        <v>11.490880423741293</v>
      </c>
      <c r="GJ545"/>
      <c r="GK545"/>
      <c r="GL545"/>
      <c r="GM545"/>
    </row>
    <row r="546" spans="1:195" s="7" customFormat="1">
      <c r="A546" s="4"/>
      <c r="B546" s="4"/>
      <c r="C546" s="63"/>
      <c r="D546" s="101"/>
      <c r="E546" s="63"/>
      <c r="F546" s="63"/>
      <c r="G546" s="101"/>
      <c r="H546" s="101">
        <f>E547-E545</f>
        <v>-1.2482816112997539E-2</v>
      </c>
      <c r="I546" s="101">
        <f>AVERAGE(D545:D547)</f>
        <v>391.01629119216591</v>
      </c>
      <c r="J546" s="101">
        <f>I546*H546</f>
        <v>-4.8809844601381061</v>
      </c>
      <c r="K546" s="61">
        <f>J546/(C547-C545)</f>
        <v>-0.12515344769584888</v>
      </c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81"/>
      <c r="AG546" s="81"/>
      <c r="AH546" s="81"/>
      <c r="AI546" s="4"/>
      <c r="AJ546" s="81"/>
      <c r="AK546" s="81"/>
      <c r="AL546" s="81"/>
      <c r="AM546" s="43">
        <v>530</v>
      </c>
      <c r="AN546">
        <v>121.57382384700604</v>
      </c>
      <c r="AO546">
        <v>13.585610748451392</v>
      </c>
      <c r="AP546">
        <v>140.63290691614634</v>
      </c>
      <c r="AQ546">
        <v>120.34414551875064</v>
      </c>
      <c r="AR546">
        <v>13.20699922117706</v>
      </c>
      <c r="AS546">
        <v>179.54354797596503</v>
      </c>
      <c r="AT546">
        <v>8.6680764256540481</v>
      </c>
      <c r="AU546">
        <v>30.221167561365792</v>
      </c>
      <c r="AV546"/>
      <c r="AW546"/>
      <c r="FY546" s="210">
        <v>541</v>
      </c>
      <c r="FZ546">
        <v>35.51304606455566</v>
      </c>
      <c r="GA546">
        <v>39.408157181140723</v>
      </c>
      <c r="GB546">
        <v>1.553482204555555</v>
      </c>
      <c r="GC546">
        <v>0.64538535121398311</v>
      </c>
      <c r="GD546">
        <v>1.0983146575560443</v>
      </c>
      <c r="GE546">
        <v>3.949083434266988</v>
      </c>
      <c r="GF546">
        <v>7.771026165458081</v>
      </c>
      <c r="GG546">
        <v>7.945812669627399</v>
      </c>
      <c r="GH546">
        <v>8.35819366425007</v>
      </c>
      <c r="GI546">
        <v>8.9943366307226817</v>
      </c>
      <c r="GJ546"/>
      <c r="GK546"/>
      <c r="GL546"/>
      <c r="GM546"/>
    </row>
    <row r="547" spans="1:195" s="7" customFormat="1">
      <c r="A547" s="4"/>
      <c r="B547" s="4"/>
      <c r="C547" s="117">
        <f>C12</f>
        <v>39949</v>
      </c>
      <c r="D547" s="101">
        <f>D78</f>
        <v>380.99091571766519</v>
      </c>
      <c r="E547" s="108">
        <f>E413</f>
        <v>2.9647766665206767E-2</v>
      </c>
      <c r="F547" s="102"/>
      <c r="G547" s="101">
        <f>D547*E547</f>
        <v>11.295529770760796</v>
      </c>
      <c r="H547" s="101"/>
      <c r="I547" s="101"/>
      <c r="J547" s="101"/>
      <c r="K547" s="101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81"/>
      <c r="AG547" s="81"/>
      <c r="AH547" s="81"/>
      <c r="AI547" s="4"/>
      <c r="AJ547" s="81"/>
      <c r="AK547" s="81"/>
      <c r="AL547" s="81"/>
      <c r="AM547" s="43">
        <v>531</v>
      </c>
      <c r="AN547">
        <v>133.45102812933544</v>
      </c>
      <c r="AO547">
        <v>9.7687328348438207</v>
      </c>
      <c r="AP547">
        <v>96.895869457016303</v>
      </c>
      <c r="AQ547">
        <v>80.28361176271342</v>
      </c>
      <c r="AR547">
        <v>9.7022709230838871</v>
      </c>
      <c r="AS547">
        <v>150.67197420949407</v>
      </c>
      <c r="AT547">
        <v>5.7400028766797462</v>
      </c>
      <c r="AU547">
        <v>24.077219548206354</v>
      </c>
      <c r="AV547"/>
      <c r="AW547"/>
      <c r="FY547" s="210">
        <v>542</v>
      </c>
      <c r="FZ547">
        <v>21.98148339024748</v>
      </c>
      <c r="GA547">
        <v>26.499078821824437</v>
      </c>
      <c r="GB547">
        <v>2.6485342967371697</v>
      </c>
      <c r="GC547">
        <v>1.6967788936817638</v>
      </c>
      <c r="GD547">
        <v>1.0532317194781524</v>
      </c>
      <c r="GE547">
        <v>2.4703894349943356</v>
      </c>
      <c r="GF547">
        <v>2.1798345140562372</v>
      </c>
      <c r="GG547">
        <v>8.9230904738212331</v>
      </c>
      <c r="GH547">
        <v>14.050926329759012</v>
      </c>
      <c r="GI547">
        <v>7.1279697778463529</v>
      </c>
      <c r="GJ547"/>
      <c r="GK547"/>
      <c r="GL547"/>
      <c r="GM547"/>
    </row>
    <row r="548" spans="1:195" s="7" customFormat="1">
      <c r="A548" s="4"/>
      <c r="B548" s="4"/>
      <c r="C548" s="63"/>
      <c r="D548" s="101"/>
      <c r="E548" s="63"/>
      <c r="F548" s="63"/>
      <c r="G548" s="101"/>
      <c r="H548" s="101">
        <f>E549-E547</f>
        <v>0.12940662849121295</v>
      </c>
      <c r="I548" s="101">
        <f>AVERAGE(D547:D549)</f>
        <v>212.23495650381903</v>
      </c>
      <c r="J548" s="101">
        <f>I548*H548</f>
        <v>27.464610169138449</v>
      </c>
      <c r="K548" s="61">
        <f>J548/(C549-C547)</f>
        <v>0.7227528991878539</v>
      </c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81"/>
      <c r="AG548" s="81"/>
      <c r="AH548" s="81"/>
      <c r="AI548" s="4"/>
      <c r="AJ548" s="81"/>
      <c r="AK548" s="81"/>
      <c r="AL548" s="81"/>
      <c r="AM548" s="43">
        <v>532</v>
      </c>
      <c r="AN548">
        <v>163.24519309368375</v>
      </c>
      <c r="AO548">
        <v>16.192487726259447</v>
      </c>
      <c r="AP548">
        <v>173.73590426496219</v>
      </c>
      <c r="AQ548">
        <v>148.54671157056214</v>
      </c>
      <c r="AR548">
        <v>15.450830389287745</v>
      </c>
      <c r="AS548">
        <v>240.03621894262511</v>
      </c>
      <c r="AT548">
        <v>9.3847216185724136</v>
      </c>
      <c r="AU548">
        <v>31.805850776592091</v>
      </c>
      <c r="AV548"/>
      <c r="AW548"/>
      <c r="FY548" s="210">
        <v>543</v>
      </c>
      <c r="FZ548">
        <v>11.947968441007257</v>
      </c>
      <c r="GA548">
        <v>14.672155378136466</v>
      </c>
      <c r="GB548">
        <v>1.8968440962973954</v>
      </c>
      <c r="GC548">
        <v>1.1127097399853676</v>
      </c>
      <c r="GD548">
        <v>1.0390007430020456</v>
      </c>
      <c r="GE548">
        <v>2.1964808663620001</v>
      </c>
      <c r="GF548">
        <v>11.097507986004308</v>
      </c>
      <c r="GG548">
        <v>15.056602529150267</v>
      </c>
      <c r="GH548">
        <v>13.39678194726123</v>
      </c>
      <c r="GI548">
        <v>6.9752735631478044</v>
      </c>
      <c r="GJ548"/>
      <c r="GK548"/>
      <c r="GL548"/>
      <c r="GM548"/>
    </row>
    <row r="549" spans="1:195" s="7" customFormat="1">
      <c r="A549" s="4"/>
      <c r="B549" s="4"/>
      <c r="C549" s="117">
        <f>C13</f>
        <v>39987</v>
      </c>
      <c r="D549" s="101">
        <f>D79</f>
        <v>43.478997289972895</v>
      </c>
      <c r="E549" s="108">
        <f>E414</f>
        <v>0.15905439515641973</v>
      </c>
      <c r="F549" s="102"/>
      <c r="G549" s="101">
        <f>D549*E549</f>
        <v>6.9155256159642509</v>
      </c>
      <c r="H549" s="101"/>
      <c r="I549" s="101"/>
      <c r="J549" s="101"/>
      <c r="K549" s="101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81"/>
      <c r="AG549" s="81"/>
      <c r="AH549" s="81"/>
      <c r="AI549" s="4"/>
      <c r="AJ549" s="81"/>
      <c r="AK549" s="81"/>
      <c r="AL549" s="81"/>
      <c r="AM549" s="43">
        <v>533</v>
      </c>
      <c r="AN549">
        <v>163.63194666504521</v>
      </c>
      <c r="AO549">
        <v>18.168843740139078</v>
      </c>
      <c r="AP549">
        <v>188.24623332734049</v>
      </c>
      <c r="AQ549">
        <v>160.94586402533119</v>
      </c>
      <c r="AR549">
        <v>17.394848054819644</v>
      </c>
      <c r="AS549">
        <v>319.9929100250568</v>
      </c>
      <c r="AT549">
        <v>10.601887870148365</v>
      </c>
      <c r="AU549">
        <v>17.783469232834634</v>
      </c>
      <c r="AV549"/>
      <c r="AW549"/>
      <c r="FY549" s="210">
        <v>544</v>
      </c>
      <c r="FZ549">
        <v>0.831085738138303</v>
      </c>
      <c r="GA549">
        <v>4.5493000915340325</v>
      </c>
      <c r="GB549">
        <v>2.9736024342917826</v>
      </c>
      <c r="GC549">
        <v>1.056724640799666</v>
      </c>
      <c r="GD549">
        <v>0.76994133917197849</v>
      </c>
      <c r="GE549">
        <v>1.9147738885869872</v>
      </c>
      <c r="GF549">
        <v>4.387398204107682</v>
      </c>
      <c r="GG549">
        <v>4.1312263225810089</v>
      </c>
      <c r="GH549">
        <v>6.211929024603271</v>
      </c>
      <c r="GI549">
        <v>3.0885830268401335</v>
      </c>
      <c r="GJ549"/>
      <c r="GK549"/>
      <c r="GL549"/>
      <c r="GM549"/>
    </row>
    <row r="550" spans="1:195" s="7" customFormat="1">
      <c r="A550" s="4"/>
      <c r="B550" s="4"/>
      <c r="C550" s="63"/>
      <c r="D550" s="101"/>
      <c r="E550" s="63"/>
      <c r="F550" s="63"/>
      <c r="G550" s="101"/>
      <c r="H550" s="101">
        <f>E551-E549</f>
        <v>-0.15905439515641973</v>
      </c>
      <c r="I550" s="101">
        <f>AVERAGE(D549:D551)</f>
        <v>21.739498644986448</v>
      </c>
      <c r="J550" s="101">
        <f>I550*H550</f>
        <v>-3.4577628079821254</v>
      </c>
      <c r="K550" s="61">
        <f>J550/(C551-C549)</f>
        <v>8.6472173655991328E-5</v>
      </c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81"/>
      <c r="AG550" s="81"/>
      <c r="AH550" s="81"/>
      <c r="AI550" s="4"/>
      <c r="AJ550" s="81"/>
      <c r="AK550" s="81"/>
      <c r="AL550" s="81"/>
      <c r="AM550" s="43">
        <v>534</v>
      </c>
      <c r="AN550">
        <v>125.19559211965</v>
      </c>
      <c r="AO550">
        <v>12.290747708835543</v>
      </c>
      <c r="AP550">
        <v>125.00761458025411</v>
      </c>
      <c r="AQ550">
        <v>108.92511347162508</v>
      </c>
      <c r="AR550">
        <v>11.63303125937164</v>
      </c>
      <c r="AS550">
        <v>167.87913066258227</v>
      </c>
      <c r="AT550">
        <v>6.9229004401558933</v>
      </c>
      <c r="AU550">
        <v>38.454978149959942</v>
      </c>
      <c r="AV550"/>
      <c r="AW550"/>
      <c r="FY550" s="210">
        <v>545</v>
      </c>
      <c r="FZ550">
        <v>33.475526173852757</v>
      </c>
      <c r="GA550">
        <v>39.654830624589479</v>
      </c>
      <c r="GB550">
        <v>2.5178909404098548</v>
      </c>
      <c r="GC550">
        <v>1.3883619958593856</v>
      </c>
      <c r="GD550">
        <v>0.78241707895666979</v>
      </c>
      <c r="GE550">
        <v>0.8097688599963333</v>
      </c>
      <c r="GF550">
        <v>2.7540529848506377</v>
      </c>
      <c r="GG550">
        <v>6.779993104613574</v>
      </c>
      <c r="GH550">
        <v>9.2978675465016032</v>
      </c>
      <c r="GI550">
        <v>7.9812882983082307</v>
      </c>
      <c r="GJ550"/>
      <c r="GK550"/>
      <c r="GL550"/>
      <c r="GM550"/>
    </row>
    <row r="551" spans="1:195" s="7" customFormat="1">
      <c r="A551" s="4"/>
      <c r="B551" s="4"/>
      <c r="C551" s="117">
        <f>C14</f>
        <v>0</v>
      </c>
      <c r="D551" s="101">
        <f>D80</f>
        <v>0</v>
      </c>
      <c r="E551" s="108">
        <f>E415</f>
        <v>0</v>
      </c>
      <c r="F551" s="102"/>
      <c r="G551" s="101">
        <f>D551*E551</f>
        <v>0</v>
      </c>
      <c r="H551" s="101"/>
      <c r="I551" s="101"/>
      <c r="J551" s="101"/>
      <c r="K551" s="101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81"/>
      <c r="AG551" s="81"/>
      <c r="AH551" s="81"/>
      <c r="AI551" s="4"/>
      <c r="AJ551" s="81"/>
      <c r="AK551" s="81"/>
      <c r="AL551" s="81"/>
      <c r="AM551" s="43">
        <v>535</v>
      </c>
      <c r="AN551">
        <v>129.02896838485512</v>
      </c>
      <c r="AO551">
        <v>16.105552993336715</v>
      </c>
      <c r="AP551">
        <v>166.21094605495267</v>
      </c>
      <c r="AQ551">
        <v>144.85218973229226</v>
      </c>
      <c r="AR551">
        <v>15.464974036867854</v>
      </c>
      <c r="AS551">
        <v>228.37751106074109</v>
      </c>
      <c r="AT551">
        <v>9.3420006975883165</v>
      </c>
      <c r="AU551">
        <v>23.700787821892266</v>
      </c>
      <c r="AV551"/>
      <c r="AW551"/>
      <c r="FY551" s="210">
        <v>546</v>
      </c>
      <c r="FZ551">
        <v>0.50464064534040354</v>
      </c>
      <c r="GA551">
        <v>1.5491265008049666</v>
      </c>
      <c r="GB551">
        <v>1.7537093876611454</v>
      </c>
      <c r="GC551">
        <v>1.0248217938853241</v>
      </c>
      <c r="GD551">
        <v>1.6255364034581254</v>
      </c>
      <c r="GE551">
        <v>3.1996814968618255</v>
      </c>
      <c r="GF551">
        <v>3.3218019477154583</v>
      </c>
      <c r="GG551">
        <v>8.3788535454941897</v>
      </c>
      <c r="GH551">
        <v>13.308381204361465</v>
      </c>
      <c r="GI551">
        <v>4.1686559043400253</v>
      </c>
      <c r="GJ551"/>
      <c r="GK551"/>
      <c r="GL551"/>
      <c r="GM551"/>
    </row>
    <row r="552" spans="1:195" s="7" customFormat="1">
      <c r="A552" s="4"/>
      <c r="B552" s="4"/>
      <c r="C552" s="63"/>
      <c r="D552" s="101"/>
      <c r="E552" s="63"/>
      <c r="F552" s="63"/>
      <c r="G552" s="101"/>
      <c r="H552" s="101">
        <f>E553-E551</f>
        <v>0</v>
      </c>
      <c r="I552" s="101">
        <f>AVERAGE(D551:D553)</f>
        <v>0</v>
      </c>
      <c r="J552" s="101">
        <f>I552*H552</f>
        <v>0</v>
      </c>
      <c r="K552" s="61" t="e">
        <f>J552/(C553-C551)</f>
        <v>#DIV/0!</v>
      </c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81"/>
      <c r="AG552" s="81"/>
      <c r="AH552" s="81"/>
      <c r="AI552" s="4"/>
      <c r="AJ552" s="81"/>
      <c r="AK552" s="81"/>
      <c r="AL552" s="81"/>
      <c r="AM552" s="43">
        <v>536</v>
      </c>
      <c r="AN552">
        <v>143.15178531107932</v>
      </c>
      <c r="AO552">
        <v>14.435961417772598</v>
      </c>
      <c r="AP552">
        <v>150.09377697771143</v>
      </c>
      <c r="AQ552">
        <v>127.56510105927651</v>
      </c>
      <c r="AR552">
        <v>13.662798923942368</v>
      </c>
      <c r="AS552">
        <v>227.32412414738633</v>
      </c>
      <c r="AT552">
        <v>8.5038971386668365</v>
      </c>
      <c r="AU552">
        <v>45.974644633838174</v>
      </c>
      <c r="AV552"/>
      <c r="AW552"/>
      <c r="FY552" s="210">
        <v>547</v>
      </c>
      <c r="FZ552">
        <v>21.667158175052986</v>
      </c>
      <c r="GA552">
        <v>25.553275173322497</v>
      </c>
      <c r="GB552">
        <v>2.3077642374521115</v>
      </c>
      <c r="GC552">
        <v>1.256073137714387</v>
      </c>
      <c r="GD552">
        <v>0.81102158207112152</v>
      </c>
      <c r="GE552">
        <v>2.7916129155046443</v>
      </c>
      <c r="GF552">
        <v>7.6641092144615444</v>
      </c>
      <c r="GG552">
        <v>7.0488798585011816</v>
      </c>
      <c r="GH552">
        <v>8.2954800556761192</v>
      </c>
      <c r="GI552">
        <v>6.9383092913894311</v>
      </c>
      <c r="GJ552"/>
      <c r="GK552"/>
      <c r="GL552"/>
      <c r="GM552"/>
    </row>
    <row r="553" spans="1:195" s="7" customFormat="1">
      <c r="A553" s="4"/>
      <c r="B553" s="4"/>
      <c r="C553" s="116">
        <f>C15</f>
        <v>0</v>
      </c>
      <c r="D553" s="101">
        <f>D81</f>
        <v>0</v>
      </c>
      <c r="E553" s="108">
        <f>E416</f>
        <v>0</v>
      </c>
      <c r="F553" s="102"/>
      <c r="G553" s="101">
        <f>D553*E553</f>
        <v>0</v>
      </c>
      <c r="H553" s="101"/>
      <c r="I553" s="101"/>
      <c r="J553" s="101"/>
      <c r="K553" s="101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81"/>
      <c r="AG553" s="81"/>
      <c r="AH553" s="81"/>
      <c r="AI553" s="4"/>
      <c r="AJ553" s="81"/>
      <c r="AK553" s="81"/>
      <c r="AL553" s="81"/>
      <c r="AM553" s="43">
        <v>537</v>
      </c>
      <c r="AN553">
        <v>111.32047184791402</v>
      </c>
      <c r="AO553">
        <v>10.749692969737142</v>
      </c>
      <c r="AP553">
        <v>107.37607392309421</v>
      </c>
      <c r="AQ553">
        <v>91.040676568010483</v>
      </c>
      <c r="AR553">
        <v>10.183838502921784</v>
      </c>
      <c r="AS553">
        <v>171.30476881916499</v>
      </c>
      <c r="AT553">
        <v>6.2441483658564998</v>
      </c>
      <c r="AU553">
        <v>12.700338072804001</v>
      </c>
      <c r="AV553"/>
      <c r="AW553"/>
      <c r="FY553" s="210">
        <v>548</v>
      </c>
      <c r="FZ553">
        <v>12.845191179978526</v>
      </c>
      <c r="GA553">
        <v>17.940501829716769</v>
      </c>
      <c r="GB553">
        <v>2.8812965523691192</v>
      </c>
      <c r="GC553">
        <v>0.55865134222293</v>
      </c>
      <c r="GD553">
        <v>0.78695639972314568</v>
      </c>
      <c r="GE553">
        <v>2.3249579007689949</v>
      </c>
      <c r="GF553">
        <v>8.2903421137600581</v>
      </c>
      <c r="GG553">
        <v>9.729655423399171</v>
      </c>
      <c r="GH553">
        <v>9.017025945879503</v>
      </c>
      <c r="GI553">
        <v>6.0055578410323447</v>
      </c>
      <c r="GJ553"/>
      <c r="GK553"/>
      <c r="GL553"/>
      <c r="GM553"/>
    </row>
    <row r="554" spans="1:195" s="7" customFormat="1">
      <c r="A554" s="4"/>
      <c r="B554" s="4"/>
      <c r="C554" s="104"/>
      <c r="D554" s="101"/>
      <c r="E554" s="63"/>
      <c r="F554" s="63"/>
      <c r="G554" s="63"/>
      <c r="H554" s="63"/>
      <c r="I554" s="63"/>
      <c r="J554" s="63"/>
      <c r="K554" s="19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81"/>
      <c r="AG554" s="81"/>
      <c r="AH554" s="81"/>
      <c r="AI554" s="4"/>
      <c r="AJ554" s="81"/>
      <c r="AK554" s="81"/>
      <c r="AL554" s="81"/>
      <c r="AM554" s="43">
        <v>538</v>
      </c>
      <c r="AN554">
        <v>107.6188672248727</v>
      </c>
      <c r="AO554">
        <v>8.6747570193734305</v>
      </c>
      <c r="AP554">
        <v>83.797545180091689</v>
      </c>
      <c r="AQ554">
        <v>70.300741895820479</v>
      </c>
      <c r="AR554">
        <v>8.9811459070879209</v>
      </c>
      <c r="AS554">
        <v>162.68399970286796</v>
      </c>
      <c r="AT554">
        <v>5.5856758713453161</v>
      </c>
      <c r="AU554">
        <v>14.515596487684272</v>
      </c>
      <c r="AV554"/>
      <c r="AW554"/>
      <c r="FY554" s="210">
        <v>549</v>
      </c>
      <c r="FZ554">
        <v>34.223212834741275</v>
      </c>
      <c r="GA554">
        <v>40.048087495272583</v>
      </c>
      <c r="GB554">
        <v>2.4625014228626667</v>
      </c>
      <c r="GC554">
        <v>1.098437891312765</v>
      </c>
      <c r="GD554">
        <v>0.94015267101571975</v>
      </c>
      <c r="GE554">
        <v>2.1602046323358737</v>
      </c>
      <c r="GF554">
        <v>6.1961910162583669</v>
      </c>
      <c r="GG554">
        <v>9.6373497185928532</v>
      </c>
      <c r="GH554">
        <v>10.255021420827328</v>
      </c>
      <c r="GI554">
        <v>8.9544924241876416</v>
      </c>
      <c r="GJ554"/>
      <c r="GK554"/>
      <c r="GL554"/>
      <c r="GM554"/>
    </row>
    <row r="555" spans="1:195" s="7" customFormat="1">
      <c r="A555" s="4"/>
      <c r="B555" s="4"/>
      <c r="C555" s="8"/>
      <c r="D555" s="8"/>
      <c r="E555" s="8"/>
      <c r="F555" s="8"/>
      <c r="G555" s="8"/>
      <c r="H555" s="8"/>
      <c r="I555" s="8"/>
      <c r="J555" s="8"/>
      <c r="K555" s="19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81"/>
      <c r="AG555" s="81"/>
      <c r="AH555" s="81"/>
      <c r="AI555" s="4"/>
      <c r="AJ555" s="81"/>
      <c r="AK555" s="81"/>
      <c r="AL555" s="81"/>
      <c r="AM555" s="43">
        <v>539</v>
      </c>
      <c r="AN555">
        <v>117.78213268616409</v>
      </c>
      <c r="AO555">
        <v>9.3246248117301285</v>
      </c>
      <c r="AP555">
        <v>91.797045823240751</v>
      </c>
      <c r="AQ555">
        <v>75.436869681439774</v>
      </c>
      <c r="AR555">
        <v>9.0064056086800743</v>
      </c>
      <c r="AS555">
        <v>165.56498002470258</v>
      </c>
      <c r="AT555">
        <v>5.5115886637811249</v>
      </c>
      <c r="AU555">
        <v>27.657716867853345</v>
      </c>
      <c r="AV555"/>
      <c r="AW555"/>
      <c r="FY555" s="210">
        <v>550</v>
      </c>
      <c r="FZ555">
        <v>43.681394840889126</v>
      </c>
      <c r="GA555">
        <v>54.611777075417891</v>
      </c>
      <c r="GB555">
        <v>3.4191154111471667</v>
      </c>
      <c r="GC555">
        <v>1.0851488413767942</v>
      </c>
      <c r="GD555">
        <v>1.1266020739283338</v>
      </c>
      <c r="GE555">
        <v>3.329487626805868</v>
      </c>
      <c r="GF555">
        <v>7.8726732436096594</v>
      </c>
      <c r="GG555">
        <v>9.269515789714772</v>
      </c>
      <c r="GH555">
        <v>9.0888635847782631</v>
      </c>
      <c r="GI555">
        <v>10.833099733912039</v>
      </c>
      <c r="GJ555"/>
      <c r="GK555"/>
      <c r="GL555"/>
      <c r="GM555"/>
    </row>
    <row r="556" spans="1:195" s="7" customFormat="1">
      <c r="A556" s="4"/>
      <c r="B556" s="4"/>
      <c r="C556" s="63"/>
      <c r="D556" s="63"/>
      <c r="E556" s="63" t="s">
        <v>24</v>
      </c>
      <c r="F556" s="18"/>
      <c r="G556" s="123">
        <f>AVERAGE(G531:G553)</f>
        <v>7.3969227362887073</v>
      </c>
      <c r="H556" s="63" t="s">
        <v>103</v>
      </c>
      <c r="I556" s="123">
        <f>SUM(J532:J552)+G531</f>
        <v>39.551236817950972</v>
      </c>
      <c r="J556" s="63"/>
      <c r="K556" s="19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81"/>
      <c r="AG556" s="81"/>
      <c r="AH556" s="81"/>
      <c r="AI556" s="4"/>
      <c r="AJ556" s="81"/>
      <c r="AK556" s="81"/>
      <c r="AL556" s="81"/>
      <c r="AM556" s="43">
        <v>540</v>
      </c>
      <c r="AN556">
        <v>113.3325410310259</v>
      </c>
      <c r="AO556">
        <v>17.000306962765762</v>
      </c>
      <c r="AP556">
        <v>184.10377621456945</v>
      </c>
      <c r="AQ556">
        <v>159.47117000465562</v>
      </c>
      <c r="AR556">
        <v>16.076672426632378</v>
      </c>
      <c r="AS556">
        <v>248.48306901609394</v>
      </c>
      <c r="AT556">
        <v>10.251195299749966</v>
      </c>
      <c r="AU556">
        <v>23.26892614048408</v>
      </c>
      <c r="AV556"/>
      <c r="AW556"/>
      <c r="FY556" s="210">
        <v>551</v>
      </c>
      <c r="FZ556">
        <v>12.785409720560819</v>
      </c>
      <c r="GA556">
        <v>13.016734444345321</v>
      </c>
      <c r="GB556">
        <v>2.1997500407228165</v>
      </c>
      <c r="GC556">
        <v>1.2497595287362582</v>
      </c>
      <c r="GD556">
        <v>1.0305803653588901</v>
      </c>
      <c r="GE556">
        <v>4.271967719738381</v>
      </c>
      <c r="GF556">
        <v>5.662927050916374</v>
      </c>
      <c r="GG556">
        <v>8.5852330533504304</v>
      </c>
      <c r="GH556">
        <v>11.464092271836311</v>
      </c>
      <c r="GI556">
        <v>5.8647693438438866</v>
      </c>
      <c r="GJ556"/>
      <c r="GK556"/>
      <c r="GL556"/>
      <c r="GM556"/>
    </row>
    <row r="557" spans="1:195" s="7" customFormat="1">
      <c r="A557" s="4"/>
      <c r="B557" s="4"/>
      <c r="C557" s="63"/>
      <c r="D557" s="63"/>
      <c r="E557" s="63"/>
      <c r="F557" s="63"/>
      <c r="G557" s="63"/>
      <c r="H557" s="8"/>
      <c r="I557" s="8"/>
      <c r="J557" s="19"/>
      <c r="K557" s="19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81"/>
      <c r="AG557" s="81"/>
      <c r="AH557" s="81"/>
      <c r="AI557" s="4"/>
      <c r="AJ557" s="81"/>
      <c r="AK557" s="81"/>
      <c r="AL557" s="81"/>
      <c r="AM557" s="43">
        <v>541</v>
      </c>
      <c r="AN557">
        <v>131.9342441894747</v>
      </c>
      <c r="AO557">
        <v>12.914111908305765</v>
      </c>
      <c r="AP557">
        <v>133.17124805631911</v>
      </c>
      <c r="AQ557">
        <v>115.23683802334718</v>
      </c>
      <c r="AR557">
        <v>12.436021336976548</v>
      </c>
      <c r="AS557">
        <v>190.96595822134094</v>
      </c>
      <c r="AT557">
        <v>8.3493515782055034</v>
      </c>
      <c r="AU557">
        <v>70.478019676020494</v>
      </c>
      <c r="AV557"/>
      <c r="AW557"/>
      <c r="FY557" s="210">
        <v>552</v>
      </c>
      <c r="FZ557">
        <v>43.388701379367596</v>
      </c>
      <c r="GA557">
        <v>53.496996191473912</v>
      </c>
      <c r="GB557">
        <v>2.9647365819916573</v>
      </c>
      <c r="GC557">
        <v>1.1292579152256657</v>
      </c>
      <c r="GD557">
        <v>0.87827018871054863</v>
      </c>
      <c r="GE557">
        <v>2.4436341078803956</v>
      </c>
      <c r="GF557">
        <v>8.2348289595380848</v>
      </c>
      <c r="GG557">
        <v>10.498309241828132</v>
      </c>
      <c r="GH557">
        <v>8.0804353960764619</v>
      </c>
      <c r="GI557">
        <v>10.422695810937807</v>
      </c>
      <c r="GJ557"/>
      <c r="GK557"/>
      <c r="GL557"/>
      <c r="GM557"/>
    </row>
    <row r="558" spans="1:195" s="7" customFormat="1">
      <c r="A558" s="4"/>
      <c r="B558" s="4"/>
      <c r="C558" s="63"/>
      <c r="D558" s="63"/>
      <c r="E558" s="63"/>
      <c r="F558" s="101"/>
      <c r="G558" s="63"/>
      <c r="H558" s="63"/>
      <c r="I558" s="119"/>
      <c r="J558" s="19"/>
      <c r="K558" s="19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81"/>
      <c r="AG558" s="81"/>
      <c r="AH558" s="81"/>
      <c r="AI558" s="4"/>
      <c r="AJ558" s="81"/>
      <c r="AK558" s="81"/>
      <c r="AL558" s="81"/>
      <c r="AM558" s="43">
        <v>542</v>
      </c>
      <c r="AN558">
        <v>104.83725742142478</v>
      </c>
      <c r="AO558">
        <v>10.412898627927428</v>
      </c>
      <c r="AP558">
        <v>103.13833810901951</v>
      </c>
      <c r="AQ558">
        <v>88.631317652446171</v>
      </c>
      <c r="AR558">
        <v>9.8793176671486584</v>
      </c>
      <c r="AS558">
        <v>174.77827738504553</v>
      </c>
      <c r="AT558">
        <v>6.1071347028919236</v>
      </c>
      <c r="AU558">
        <v>43.179207216663343</v>
      </c>
      <c r="AV558"/>
      <c r="AW558"/>
      <c r="FY558" s="210">
        <v>553</v>
      </c>
      <c r="FZ558">
        <v>14.744211237037256</v>
      </c>
      <c r="GA558">
        <v>16.762262114611239</v>
      </c>
      <c r="GB558">
        <v>4.0423308700417024</v>
      </c>
      <c r="GC558">
        <v>1.5198861410012416</v>
      </c>
      <c r="GD558">
        <v>0.72587704800270147</v>
      </c>
      <c r="GE558">
        <v>2.0677745658813769</v>
      </c>
      <c r="GF558">
        <v>1.5376571850792122</v>
      </c>
      <c r="GG558">
        <v>1.0978952000313149</v>
      </c>
      <c r="GH558">
        <v>5.7849716614110962</v>
      </c>
      <c r="GI558">
        <v>4.8001605015072508</v>
      </c>
      <c r="GJ558"/>
      <c r="GK558"/>
      <c r="GL558"/>
      <c r="GM558"/>
    </row>
    <row r="559" spans="1:195" s="7" customFormat="1">
      <c r="A559" s="4"/>
      <c r="B559" s="4"/>
      <c r="C559" s="63"/>
      <c r="D559" s="63"/>
      <c r="E559" s="63" t="s">
        <v>102</v>
      </c>
      <c r="F559" s="101">
        <f>I556/G556</f>
        <v>5.3469852569793366</v>
      </c>
      <c r="G559" s="63"/>
      <c r="H559" s="63"/>
      <c r="I559" s="101"/>
      <c r="J559" s="19"/>
      <c r="K559" s="19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81"/>
      <c r="AG559" s="81"/>
      <c r="AH559" s="81"/>
      <c r="AI559" s="4"/>
      <c r="AJ559" s="81"/>
      <c r="AK559" s="81"/>
      <c r="AL559" s="81"/>
      <c r="AM559" s="43">
        <v>543</v>
      </c>
      <c r="AN559">
        <v>119.50677014876342</v>
      </c>
      <c r="AO559">
        <v>9.8811341832223185</v>
      </c>
      <c r="AP559">
        <v>95.778913286468239</v>
      </c>
      <c r="AQ559">
        <v>79.391325290354146</v>
      </c>
      <c r="AR559">
        <v>9.6521144423599878</v>
      </c>
      <c r="AS559">
        <v>201.58495819452673</v>
      </c>
      <c r="AT559">
        <v>5.4800855765111045</v>
      </c>
      <c r="AU559">
        <v>23.971335116923527</v>
      </c>
      <c r="AV559"/>
      <c r="AW559"/>
      <c r="FY559" s="210">
        <v>554</v>
      </c>
      <c r="FZ559">
        <v>21.288338981071185</v>
      </c>
      <c r="GA559">
        <v>28.027286797081945</v>
      </c>
      <c r="GB559">
        <v>2.9167402131074747</v>
      </c>
      <c r="GC559">
        <v>1.1148900966206967</v>
      </c>
      <c r="GD559">
        <v>0.81763083352703925</v>
      </c>
      <c r="GE559">
        <v>2.4718384063813597</v>
      </c>
      <c r="GF559">
        <v>8.86713701898171</v>
      </c>
      <c r="GG559">
        <v>11.454989041909483</v>
      </c>
      <c r="GH559">
        <v>9.4922905508328697</v>
      </c>
      <c r="GI559">
        <v>7.4512289196602577</v>
      </c>
      <c r="GJ559"/>
      <c r="GK559"/>
      <c r="GL559"/>
      <c r="GM559"/>
    </row>
    <row r="560" spans="1:195" s="7" customForma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81"/>
      <c r="AG560" s="81"/>
      <c r="AH560" s="81"/>
      <c r="AI560" s="4"/>
      <c r="AJ560" s="81"/>
      <c r="AK560" s="81"/>
      <c r="AL560" s="81"/>
      <c r="AM560" s="43">
        <v>544</v>
      </c>
      <c r="AN560">
        <v>73.225781834237139</v>
      </c>
      <c r="AO560">
        <v>4.2041274456655637</v>
      </c>
      <c r="AP560">
        <v>37.409780860944579</v>
      </c>
      <c r="AQ560">
        <v>29.914564710654851</v>
      </c>
      <c r="AR560">
        <v>4.215870598278058</v>
      </c>
      <c r="AS560">
        <v>88.789787475882562</v>
      </c>
      <c r="AT560">
        <v>2.4132938080871758</v>
      </c>
      <c r="AU560">
        <v>4.6360037356807977</v>
      </c>
      <c r="AV560"/>
      <c r="AW560"/>
      <c r="FY560" s="210">
        <v>555</v>
      </c>
      <c r="FZ560">
        <v>23.484384806976578</v>
      </c>
      <c r="GA560">
        <v>31.025645565619939</v>
      </c>
      <c r="GB560">
        <v>5.7122066433883223</v>
      </c>
      <c r="GC560">
        <v>2.1638845409331169</v>
      </c>
      <c r="GD560">
        <v>0.70492506528823029</v>
      </c>
      <c r="GE560">
        <v>1.6696016815520918</v>
      </c>
      <c r="GF560">
        <v>3.5786820128386672</v>
      </c>
      <c r="GG560">
        <v>5.5904024523443825</v>
      </c>
      <c r="GH560">
        <v>8.1565394741858235</v>
      </c>
      <c r="GI560">
        <v>7.223098098373673</v>
      </c>
      <c r="GJ560"/>
      <c r="GK560"/>
      <c r="GL560"/>
      <c r="GM560"/>
    </row>
    <row r="561" spans="1:195" s="7" customForma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81"/>
      <c r="AG561" s="81"/>
      <c r="AH561" s="81"/>
      <c r="AI561" s="4"/>
      <c r="AJ561" s="81"/>
      <c r="AK561" s="81"/>
      <c r="AL561" s="81"/>
      <c r="AM561" s="43">
        <v>545</v>
      </c>
      <c r="AN561">
        <v>104.74796695643265</v>
      </c>
      <c r="AO561">
        <v>11.552676698490043</v>
      </c>
      <c r="AP561">
        <v>123.00608890686158</v>
      </c>
      <c r="AQ561">
        <v>105.44199760793852</v>
      </c>
      <c r="AR561">
        <v>11.172504745965435</v>
      </c>
      <c r="AS561">
        <v>150.40076681850627</v>
      </c>
      <c r="AT561">
        <v>7.6888894885207408</v>
      </c>
      <c r="AU561">
        <v>31.041994046763776</v>
      </c>
      <c r="AV561"/>
      <c r="AW561"/>
      <c r="FY561" s="210">
        <v>556</v>
      </c>
      <c r="FZ561">
        <v>24.052803703971524</v>
      </c>
      <c r="GA561">
        <v>28.35211640057873</v>
      </c>
      <c r="GB561">
        <v>2.756772434174549</v>
      </c>
      <c r="GC561">
        <v>1.45104252030267</v>
      </c>
      <c r="GD561">
        <v>1.5886194876887809</v>
      </c>
      <c r="GE561">
        <v>3.1042539285853392</v>
      </c>
      <c r="GF561">
        <v>9.3531453643347877</v>
      </c>
      <c r="GG561">
        <v>14.424204698825214</v>
      </c>
      <c r="GH561">
        <v>12.267502516583923</v>
      </c>
      <c r="GI561">
        <v>8.786436497717645</v>
      </c>
      <c r="GJ561"/>
      <c r="GK561"/>
      <c r="GL561"/>
      <c r="GM561"/>
    </row>
    <row r="562" spans="1:195" s="7" customForma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81"/>
      <c r="AG562" s="81"/>
      <c r="AH562" s="81"/>
      <c r="AI562" s="4"/>
      <c r="AJ562" s="81"/>
      <c r="AK562" s="81"/>
      <c r="AL562" s="81"/>
      <c r="AM562" s="43">
        <v>546</v>
      </c>
      <c r="AN562">
        <v>85.121688654018357</v>
      </c>
      <c r="AO562">
        <v>5.6668404722963528</v>
      </c>
      <c r="AP562">
        <v>45.665639879010179</v>
      </c>
      <c r="AQ562">
        <v>38.835208829922934</v>
      </c>
      <c r="AR562">
        <v>5.7548829303218145</v>
      </c>
      <c r="AS562">
        <v>105.46733796292361</v>
      </c>
      <c r="AT562">
        <v>3.5930303933592902</v>
      </c>
      <c r="AU562">
        <v>3.6779517873803602</v>
      </c>
      <c r="AV562"/>
      <c r="AW562"/>
      <c r="FY562" s="210">
        <v>557</v>
      </c>
      <c r="FZ562">
        <v>5.3818728536146034</v>
      </c>
      <c r="GA562">
        <v>4.5520070436872384</v>
      </c>
      <c r="GB562">
        <v>3.7596925039683935</v>
      </c>
      <c r="GC562">
        <v>1.2684284899570331</v>
      </c>
      <c r="GD562">
        <v>0.99293354167038572</v>
      </c>
      <c r="GE562">
        <v>4.0303756842022356</v>
      </c>
      <c r="GF562">
        <v>10.587677615718206</v>
      </c>
      <c r="GG562">
        <v>7.0709658796688428</v>
      </c>
      <c r="GH562">
        <v>5.9035273825003385</v>
      </c>
      <c r="GI562">
        <v>5.1573115742468278</v>
      </c>
      <c r="GJ562"/>
      <c r="GK562"/>
      <c r="GL562"/>
      <c r="GM562"/>
    </row>
    <row r="563" spans="1:195" s="7" customForma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81"/>
      <c r="AG563" s="81"/>
      <c r="AH563" s="81"/>
      <c r="AI563" s="4"/>
      <c r="AJ563" s="81"/>
      <c r="AK563" s="81"/>
      <c r="AL563" s="81"/>
      <c r="AM563" s="43">
        <v>547</v>
      </c>
      <c r="AN563">
        <v>99.667916227441793</v>
      </c>
      <c r="AO563">
        <v>9.8260436588157472</v>
      </c>
      <c r="AP563">
        <v>99.065067839227424</v>
      </c>
      <c r="AQ563">
        <v>84.333683641146024</v>
      </c>
      <c r="AR563">
        <v>9.5925025157071655</v>
      </c>
      <c r="AS563">
        <v>147.38275613985797</v>
      </c>
      <c r="AT563">
        <v>6.5313406853886411</v>
      </c>
      <c r="AU563">
        <v>4.0844283565170496</v>
      </c>
      <c r="AV563"/>
      <c r="AW563"/>
      <c r="FY563" s="210">
        <v>558</v>
      </c>
      <c r="FZ563">
        <v>11.52929630567651</v>
      </c>
      <c r="GA563">
        <v>15.824498971666301</v>
      </c>
      <c r="GB563">
        <v>1.830063916307707</v>
      </c>
      <c r="GC563">
        <v>0.50956676175572779</v>
      </c>
      <c r="GD563">
        <v>0.38692985749954356</v>
      </c>
      <c r="GE563">
        <v>1.1449296785084526</v>
      </c>
      <c r="GF563">
        <v>8.3508636903887226</v>
      </c>
      <c r="GG563">
        <v>10.916930704184447</v>
      </c>
      <c r="GH563">
        <v>8.0868113615493513</v>
      </c>
      <c r="GI563">
        <v>5.1783795508921413</v>
      </c>
      <c r="GJ563"/>
      <c r="GK563"/>
      <c r="GL563"/>
      <c r="GM563"/>
    </row>
    <row r="564" spans="1:195" s="7" customForma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81"/>
      <c r="AG564" s="81"/>
      <c r="AH564" s="81"/>
      <c r="AI564" s="4"/>
      <c r="AJ564" s="81"/>
      <c r="AK564" s="81"/>
      <c r="AL564" s="81"/>
      <c r="AM564" s="43">
        <v>548</v>
      </c>
      <c r="AN564">
        <v>96.319009008079874</v>
      </c>
      <c r="AO564">
        <v>8.4925083731794668</v>
      </c>
      <c r="AP564">
        <v>85.328287761955366</v>
      </c>
      <c r="AQ564">
        <v>70.380136528850556</v>
      </c>
      <c r="AR564">
        <v>8.3024978395017079</v>
      </c>
      <c r="AS564">
        <v>139.80396032682111</v>
      </c>
      <c r="AT564">
        <v>4.9980624482551406</v>
      </c>
      <c r="AU564">
        <v>12.945206920922843</v>
      </c>
      <c r="AV564"/>
      <c r="AW564"/>
      <c r="FY564" s="210">
        <v>559</v>
      </c>
      <c r="FZ564">
        <v>25.619120135709164</v>
      </c>
      <c r="GA564">
        <v>30.100207711806576</v>
      </c>
      <c r="GB564">
        <v>2.6089667919843205</v>
      </c>
      <c r="GC564">
        <v>0.85496186161586052</v>
      </c>
      <c r="GD564">
        <v>0.71797128012165312</v>
      </c>
      <c r="GE564">
        <v>2.7193548393718712</v>
      </c>
      <c r="GF564">
        <v>9.9530719204800775</v>
      </c>
      <c r="GG564">
        <v>12.634081072950419</v>
      </c>
      <c r="GH564">
        <v>12.391596607335295</v>
      </c>
      <c r="GI564">
        <v>8.605861444424594</v>
      </c>
      <c r="GJ564"/>
      <c r="GK564"/>
      <c r="GL564"/>
      <c r="GM564"/>
    </row>
    <row r="565" spans="1:195" s="7" customForma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81"/>
      <c r="AG565" s="81"/>
      <c r="AH565" s="81"/>
      <c r="AI565" s="4"/>
      <c r="AJ565" s="81"/>
      <c r="AK565" s="81"/>
      <c r="AL565" s="81"/>
      <c r="AM565" s="43">
        <v>549</v>
      </c>
      <c r="AN565">
        <v>115.14623539205365</v>
      </c>
      <c r="AO565">
        <v>12.954472706188838</v>
      </c>
      <c r="AP565">
        <v>135.44502061507319</v>
      </c>
      <c r="AQ565">
        <v>115.97565152740711</v>
      </c>
      <c r="AR565">
        <v>12.476211152511482</v>
      </c>
      <c r="AS565">
        <v>195.55387064652479</v>
      </c>
      <c r="AT565">
        <v>7.5612255423137391</v>
      </c>
      <c r="AU565">
        <v>20.754183639643802</v>
      </c>
      <c r="AV565"/>
      <c r="AW565"/>
      <c r="FY565" s="210">
        <v>560</v>
      </c>
      <c r="FZ565">
        <v>5.5727955801874556</v>
      </c>
      <c r="GA565">
        <v>2.573635181805229</v>
      </c>
      <c r="GB565">
        <v>2.6319833741223979</v>
      </c>
      <c r="GC565">
        <v>1.3307253754732873</v>
      </c>
      <c r="GD565">
        <v>1.1816689959868003</v>
      </c>
      <c r="GE565">
        <v>3.1663983879373192</v>
      </c>
      <c r="GF565">
        <v>6.9447052744431712</v>
      </c>
      <c r="GG565">
        <v>11.348233785957706</v>
      </c>
      <c r="GH565">
        <v>12.136412609536936</v>
      </c>
      <c r="GI565">
        <v>5.3422350969901569</v>
      </c>
      <c r="GJ565"/>
      <c r="GK565"/>
      <c r="GL565"/>
      <c r="GM565"/>
    </row>
    <row r="566" spans="1:195" s="7" customForma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81"/>
      <c r="AG566" s="81"/>
      <c r="AH566" s="81"/>
      <c r="AI566" s="4"/>
      <c r="AJ566" s="81"/>
      <c r="AK566" s="81"/>
      <c r="AL566" s="81"/>
      <c r="AM566" s="43">
        <v>550</v>
      </c>
      <c r="AN566">
        <v>138.95524003243088</v>
      </c>
      <c r="AO566">
        <v>15.956406512653345</v>
      </c>
      <c r="AP566">
        <v>168.29229224359713</v>
      </c>
      <c r="AQ566">
        <v>144.31767822157991</v>
      </c>
      <c r="AR566">
        <v>15.06327729676228</v>
      </c>
      <c r="AS566">
        <v>204.97616870189981</v>
      </c>
      <c r="AT566">
        <v>9.2273975284252003</v>
      </c>
      <c r="AU566">
        <v>96.860400267523246</v>
      </c>
      <c r="AV566"/>
      <c r="AW566"/>
      <c r="FY566" s="210">
        <v>561</v>
      </c>
      <c r="FZ566">
        <v>27.074328154277676</v>
      </c>
      <c r="GA566">
        <v>28.02733699339619</v>
      </c>
      <c r="GB566">
        <v>2.617607509286656</v>
      </c>
      <c r="GC566">
        <v>0.9135378847104858</v>
      </c>
      <c r="GD566">
        <v>0.74963268106561254</v>
      </c>
      <c r="GE566">
        <v>3.4230134578931057</v>
      </c>
      <c r="GF566">
        <v>9.4221042566961675</v>
      </c>
      <c r="GG566">
        <v>10.446918904115929</v>
      </c>
      <c r="GH566">
        <v>9.8301725773333217</v>
      </c>
      <c r="GI566">
        <v>8.3520150927355132</v>
      </c>
      <c r="GJ566"/>
      <c r="GK566"/>
      <c r="GL566"/>
      <c r="GM566"/>
    </row>
    <row r="567" spans="1:195" s="7" customForma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81"/>
      <c r="AG567" s="81"/>
      <c r="AH567" s="81"/>
      <c r="AI567" s="4"/>
      <c r="AJ567" s="81"/>
      <c r="AK567" s="81"/>
      <c r="AL567" s="81"/>
      <c r="AM567" s="43">
        <v>551</v>
      </c>
      <c r="AN567">
        <v>124.9479950528341</v>
      </c>
      <c r="AO567">
        <v>8.3501732378225348</v>
      </c>
      <c r="AP567">
        <v>76.870353008665532</v>
      </c>
      <c r="AQ567">
        <v>66.13122353940949</v>
      </c>
      <c r="AR567">
        <v>7.9925434814404062</v>
      </c>
      <c r="AS567">
        <v>133.84786742864028</v>
      </c>
      <c r="AT567">
        <v>4.880838735803736</v>
      </c>
      <c r="AU567">
        <v>47.445559407816802</v>
      </c>
      <c r="AV567"/>
      <c r="AW567"/>
      <c r="FY567" s="210">
        <v>562</v>
      </c>
      <c r="FZ567">
        <v>32.899861810460685</v>
      </c>
      <c r="GA567">
        <v>41.509322274500121</v>
      </c>
      <c r="GB567">
        <v>3.4812411567456225</v>
      </c>
      <c r="GC567">
        <v>1.4493369303006274</v>
      </c>
      <c r="GD567">
        <v>0.40980403711650015</v>
      </c>
      <c r="GE567">
        <v>3.6198563819127489</v>
      </c>
      <c r="GF567">
        <v>11.28109451779634</v>
      </c>
      <c r="GG567">
        <v>10.380528123966485</v>
      </c>
      <c r="GH567">
        <v>9.6397722629235538</v>
      </c>
      <c r="GI567">
        <v>9.5161481775605434</v>
      </c>
      <c r="GJ567"/>
      <c r="GK567"/>
      <c r="GL567"/>
      <c r="GM567"/>
    </row>
    <row r="568" spans="1:195" s="7" customForma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81"/>
      <c r="AG568" s="81"/>
      <c r="AH568" s="81"/>
      <c r="AI568" s="4"/>
      <c r="AJ568" s="81"/>
      <c r="AK568" s="81"/>
      <c r="AL568" s="81"/>
      <c r="AM568" s="43">
        <v>552</v>
      </c>
      <c r="AN568">
        <v>130.85130832020951</v>
      </c>
      <c r="AO568">
        <v>15.522537031737468</v>
      </c>
      <c r="AP568">
        <v>165.26500671107129</v>
      </c>
      <c r="AQ568">
        <v>141.53786577303026</v>
      </c>
      <c r="AR568">
        <v>14.51200602626546</v>
      </c>
      <c r="AS568">
        <v>240.61856112037202</v>
      </c>
      <c r="AT568">
        <v>8.8842192682677386</v>
      </c>
      <c r="AU568">
        <v>30.423662393466113</v>
      </c>
      <c r="AV568"/>
      <c r="AW568"/>
      <c r="FY568" s="210">
        <v>563</v>
      </c>
      <c r="FZ568">
        <v>4.0144938031105522</v>
      </c>
      <c r="GA568">
        <v>1.5912815066176438</v>
      </c>
      <c r="GB568">
        <v>1.1120615120680972</v>
      </c>
      <c r="GC568">
        <v>0.74854264981434371</v>
      </c>
      <c r="GD568">
        <v>1.2085779691700695</v>
      </c>
      <c r="GE568">
        <v>3.0568277657092686</v>
      </c>
      <c r="GF568">
        <v>4.562928136808944</v>
      </c>
      <c r="GG568">
        <v>6.5884066632625871</v>
      </c>
      <c r="GH568">
        <v>10.140568457195887</v>
      </c>
      <c r="GI568">
        <v>3.9975759526429653</v>
      </c>
      <c r="GJ568"/>
      <c r="GK568"/>
      <c r="GL568"/>
      <c r="GM568"/>
    </row>
    <row r="569" spans="1:195" s="7" customForma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81"/>
      <c r="AG569" s="81"/>
      <c r="AH569" s="81"/>
      <c r="AI569" s="4"/>
      <c r="AJ569" s="81"/>
      <c r="AK569" s="81"/>
      <c r="AL569" s="81"/>
      <c r="AM569" s="43">
        <v>553</v>
      </c>
      <c r="AN569">
        <v>63.261401806468371</v>
      </c>
      <c r="AO569">
        <v>6.426473078046504</v>
      </c>
      <c r="AP569">
        <v>62.93647728156089</v>
      </c>
      <c r="AQ569">
        <v>53.083026524604399</v>
      </c>
      <c r="AR569">
        <v>6.6587010393820307</v>
      </c>
      <c r="AS569">
        <v>101.50436420201699</v>
      </c>
      <c r="AT569" t="e">
        <v>#DIV/0!</v>
      </c>
      <c r="AU569" t="e">
        <v>#DIV/0!</v>
      </c>
      <c r="AV569"/>
      <c r="AW569"/>
      <c r="FY569" s="210">
        <v>564</v>
      </c>
      <c r="FZ569">
        <v>35.959102867933744</v>
      </c>
      <c r="GA569">
        <v>41.112954172982541</v>
      </c>
      <c r="GB569">
        <v>3.5768282748746389</v>
      </c>
      <c r="GC569">
        <v>1.4339973463518854</v>
      </c>
      <c r="GD569">
        <v>0.95156400308831435</v>
      </c>
      <c r="GE569">
        <v>4.4344118413097195</v>
      </c>
      <c r="GF569">
        <v>9.2828966473654084</v>
      </c>
      <c r="GG569">
        <v>11.932418685414646</v>
      </c>
      <c r="GH569">
        <v>13.973970687424897</v>
      </c>
      <c r="GI569">
        <v>10.634116774399379</v>
      </c>
      <c r="GJ569"/>
      <c r="GK569"/>
      <c r="GL569"/>
      <c r="GM569"/>
    </row>
    <row r="570" spans="1:195" s="7" customForma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81"/>
      <c r="AG570" s="81"/>
      <c r="AH570" s="81"/>
      <c r="AI570" s="4"/>
      <c r="AJ570" s="81"/>
      <c r="AK570" s="81"/>
      <c r="AL570" s="81"/>
      <c r="AM570" s="43">
        <v>554</v>
      </c>
      <c r="AN570">
        <v>115.41437984560312</v>
      </c>
      <c r="AO570">
        <v>10.996442639921664</v>
      </c>
      <c r="AP570">
        <v>111.72918993931322</v>
      </c>
      <c r="AQ570">
        <v>93.902370859174027</v>
      </c>
      <c r="AR570">
        <v>10.308376446189101</v>
      </c>
      <c r="AS570">
        <v>160.80475514364107</v>
      </c>
      <c r="AT570">
        <v>6.7438362824462112</v>
      </c>
      <c r="AU570">
        <v>22.213274754219675</v>
      </c>
      <c r="AV570"/>
      <c r="AW570"/>
      <c r="FY570" s="210">
        <v>565</v>
      </c>
      <c r="FZ570">
        <v>35.190428235531563</v>
      </c>
      <c r="GA570">
        <v>40.912207791534883</v>
      </c>
      <c r="GB570">
        <v>3.2346537902249426</v>
      </c>
      <c r="GC570">
        <v>1.3319629227810568</v>
      </c>
      <c r="GD570">
        <v>0.89520046896296135</v>
      </c>
      <c r="GE570">
        <v>3.6477832668422696</v>
      </c>
      <c r="GF570">
        <v>3.320851719546686</v>
      </c>
      <c r="GG570">
        <v>3.5305963258098076</v>
      </c>
      <c r="GH570">
        <v>8.5518588052144295</v>
      </c>
      <c r="GI570">
        <v>8.4735770460311421</v>
      </c>
      <c r="GJ570"/>
      <c r="GK570"/>
      <c r="GL570"/>
      <c r="GM570"/>
    </row>
    <row r="571" spans="1:195" s="7" customForma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81"/>
      <c r="AG571" s="81"/>
      <c r="AH571" s="81"/>
      <c r="AI571" s="4"/>
      <c r="AJ571" s="81"/>
      <c r="AK571" s="81"/>
      <c r="AL571" s="81"/>
      <c r="AM571" s="43">
        <v>555</v>
      </c>
      <c r="AN571">
        <v>114.13561238910131</v>
      </c>
      <c r="AO571">
        <v>10.388432344587073</v>
      </c>
      <c r="AP571">
        <v>106.62442646175231</v>
      </c>
      <c r="AQ571">
        <v>89.309370341500809</v>
      </c>
      <c r="AR571">
        <v>10.032240782396778</v>
      </c>
      <c r="AS571">
        <v>163.87080727299542</v>
      </c>
      <c r="AT571">
        <v>6.5299608236917805</v>
      </c>
      <c r="AU571">
        <v>3.8801287525543744</v>
      </c>
      <c r="AV571"/>
      <c r="AW571"/>
      <c r="FY571" s="210">
        <v>566</v>
      </c>
      <c r="FZ571">
        <v>11.578053826668061</v>
      </c>
      <c r="GA571">
        <v>16.695364752250889</v>
      </c>
      <c r="GB571">
        <v>4.055958909398524</v>
      </c>
      <c r="GC571">
        <v>1.788010968003876</v>
      </c>
      <c r="GD571">
        <v>0.97474420677931639</v>
      </c>
      <c r="GE571">
        <v>2.3550657319488568</v>
      </c>
      <c r="GF571">
        <v>4.095125475085772</v>
      </c>
      <c r="GG571">
        <v>7.1869890680913233</v>
      </c>
      <c r="GH571">
        <v>10.710253229948012</v>
      </c>
      <c r="GI571">
        <v>5.7046044558085622</v>
      </c>
      <c r="GJ571"/>
      <c r="GK571"/>
      <c r="GL571"/>
      <c r="GM571"/>
    </row>
    <row r="572" spans="1:195" s="7" customForma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81"/>
      <c r="AG572" s="81"/>
      <c r="AH572" s="81"/>
      <c r="AI572" s="4"/>
      <c r="AJ572" s="81"/>
      <c r="AK572" s="81"/>
      <c r="AL572" s="81"/>
      <c r="AM572" s="43">
        <v>556</v>
      </c>
      <c r="AN572">
        <v>168.79338438005726</v>
      </c>
      <c r="AO572">
        <v>12.744201819282036</v>
      </c>
      <c r="AP572">
        <v>124.62286714971027</v>
      </c>
      <c r="AQ572">
        <v>106.13689755276317</v>
      </c>
      <c r="AR572">
        <v>12.178286649818011</v>
      </c>
      <c r="AS572">
        <v>223.65631090721976</v>
      </c>
      <c r="AT572">
        <v>7.3584270674864909</v>
      </c>
      <c r="AU572">
        <v>35.31052019550259</v>
      </c>
      <c r="AV572"/>
      <c r="AW572"/>
      <c r="FY572" s="210">
        <v>567</v>
      </c>
      <c r="FZ572">
        <v>22.961264073231437</v>
      </c>
      <c r="GA572">
        <v>28.006604666312832</v>
      </c>
      <c r="GB572">
        <v>2.6654508210772851</v>
      </c>
      <c r="GC572">
        <v>0.83737476461604554</v>
      </c>
      <c r="GD572">
        <v>1.2426204460828072</v>
      </c>
      <c r="GE572">
        <v>4.0559192684153977</v>
      </c>
      <c r="GF572">
        <v>7.1845246731644146</v>
      </c>
      <c r="GG572">
        <v>5.7906202897033614</v>
      </c>
      <c r="GH572">
        <v>4.9748163349273486</v>
      </c>
      <c r="GI572">
        <v>6.8704747398849859</v>
      </c>
      <c r="GJ572"/>
      <c r="GK572"/>
      <c r="GL572"/>
      <c r="GM572"/>
    </row>
    <row r="573" spans="1:195" s="7" customForma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81"/>
      <c r="AG573" s="81"/>
      <c r="AH573" s="81"/>
      <c r="AI573" s="4"/>
      <c r="AJ573" s="81"/>
      <c r="AK573" s="81"/>
      <c r="AL573" s="81"/>
      <c r="AM573" s="43">
        <v>557</v>
      </c>
      <c r="AN573">
        <v>115.66636391442084</v>
      </c>
      <c r="AO573">
        <v>6.7758259972259136</v>
      </c>
      <c r="AP573">
        <v>59.630301073526553</v>
      </c>
      <c r="AQ573">
        <v>48.704792569234101</v>
      </c>
      <c r="AR573">
        <v>6.9873778476208273</v>
      </c>
      <c r="AS573">
        <v>128.51854284078215</v>
      </c>
      <c r="AT573">
        <v>4.0895805612698632</v>
      </c>
      <c r="AU573">
        <v>1.9336466790211233</v>
      </c>
      <c r="AV573"/>
      <c r="AW573"/>
      <c r="FY573" s="210">
        <v>568</v>
      </c>
      <c r="FZ573">
        <v>1.3670272356718165</v>
      </c>
      <c r="GA573">
        <v>2.5011830366320948</v>
      </c>
      <c r="GB573">
        <v>2.620540564347519</v>
      </c>
      <c r="GC573">
        <v>1.5457969565103968</v>
      </c>
      <c r="GD573">
        <v>0.32313560117901408</v>
      </c>
      <c r="GE573">
        <v>1.1092075948689126</v>
      </c>
      <c r="GF573">
        <v>8.6791245924292166</v>
      </c>
      <c r="GG573">
        <v>15.400120899689256</v>
      </c>
      <c r="GH573">
        <v>16.495458338529975</v>
      </c>
      <c r="GI573">
        <v>5.2090418294048408</v>
      </c>
      <c r="GJ573"/>
      <c r="GK573"/>
      <c r="GL573"/>
      <c r="GM573"/>
    </row>
    <row r="574" spans="1:195" s="7" customForma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81"/>
      <c r="AG574" s="81"/>
      <c r="AH574" s="81"/>
      <c r="AI574" s="4"/>
      <c r="AJ574" s="81"/>
      <c r="AK574" s="81"/>
      <c r="AL574" s="81"/>
      <c r="AM574" s="43">
        <v>558</v>
      </c>
      <c r="AN574">
        <v>89.13583775364738</v>
      </c>
      <c r="AO574">
        <v>7.543058894734477</v>
      </c>
      <c r="AP574">
        <v>77.582021445060562</v>
      </c>
      <c r="AQ574">
        <v>63.758270798428903</v>
      </c>
      <c r="AR574">
        <v>7.1841467814346842</v>
      </c>
      <c r="AS574">
        <v>144.51411165102058</v>
      </c>
      <c r="AT574">
        <v>4.2480489184492125</v>
      </c>
      <c r="AU574">
        <v>39.336143119323161</v>
      </c>
      <c r="AV574"/>
      <c r="AW574"/>
      <c r="FY574" s="210">
        <v>569</v>
      </c>
      <c r="FZ574">
        <v>14.197755514014972</v>
      </c>
      <c r="GA574">
        <v>15.824444453905839</v>
      </c>
      <c r="GB574">
        <v>3.2852503412896175</v>
      </c>
      <c r="GC574">
        <v>1.3624568903691132</v>
      </c>
      <c r="GD574">
        <v>1.1060769875189089</v>
      </c>
      <c r="GE574">
        <v>3.8272012130919943</v>
      </c>
      <c r="GF574">
        <v>8.551285832457042</v>
      </c>
      <c r="GG574">
        <v>12.292887145677188</v>
      </c>
      <c r="GH574">
        <v>14.237081931749433</v>
      </c>
      <c r="GI574">
        <v>7.3390833340336794</v>
      </c>
      <c r="GJ574"/>
      <c r="GK574"/>
      <c r="GL574"/>
      <c r="GM574"/>
    </row>
    <row r="575" spans="1:195" s="7" customForma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81"/>
      <c r="AG575" s="81"/>
      <c r="AH575" s="81"/>
      <c r="AI575" s="4"/>
      <c r="AJ575" s="81"/>
      <c r="AK575" s="81"/>
      <c r="AL575" s="81"/>
      <c r="AM575" s="43">
        <v>559</v>
      </c>
      <c r="AN575">
        <v>166.87749394765586</v>
      </c>
      <c r="AO575">
        <v>12.231791515317205</v>
      </c>
      <c r="AP575">
        <v>126.17520666959126</v>
      </c>
      <c r="AQ575">
        <v>106.20519366579984</v>
      </c>
      <c r="AR575">
        <v>11.861537523051311</v>
      </c>
      <c r="AS575">
        <v>198.15988041258183</v>
      </c>
      <c r="AT575">
        <v>7.1222005764017817</v>
      </c>
      <c r="AU575">
        <v>11.613449690213994</v>
      </c>
      <c r="AV575"/>
      <c r="AW575"/>
      <c r="FY575" s="210">
        <v>570</v>
      </c>
      <c r="FZ575">
        <v>34.303303024272225</v>
      </c>
      <c r="GA575">
        <v>41.740058455749384</v>
      </c>
      <c r="GB575">
        <v>2.782236332516689</v>
      </c>
      <c r="GC575">
        <v>1.1291294148592996</v>
      </c>
      <c r="GD575">
        <v>1.100755805766088</v>
      </c>
      <c r="GE575">
        <v>3.4279537784951093</v>
      </c>
      <c r="GF575">
        <v>6.2932865273028904</v>
      </c>
      <c r="GG575">
        <v>5.6768283418679015</v>
      </c>
      <c r="GH575">
        <v>7.3159581278131354</v>
      </c>
      <c r="GI575">
        <v>8.6909322901423032</v>
      </c>
      <c r="GJ575"/>
      <c r="GK575"/>
      <c r="GL575"/>
      <c r="GM575"/>
    </row>
    <row r="576" spans="1:195" s="7" customForma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81"/>
      <c r="AG576" s="81"/>
      <c r="AH576" s="81"/>
      <c r="AI576" s="4"/>
      <c r="AJ576" s="81"/>
      <c r="AK576" s="81"/>
      <c r="AL576" s="81"/>
      <c r="AM576" s="43">
        <v>560</v>
      </c>
      <c r="AN576">
        <v>113.28415166003219</v>
      </c>
      <c r="AO576">
        <v>7.2221890725919398</v>
      </c>
      <c r="AP576">
        <v>62.653076216726447</v>
      </c>
      <c r="AQ576">
        <v>52.228793662440459</v>
      </c>
      <c r="AR576">
        <v>7.3171864637798025</v>
      </c>
      <c r="AS576">
        <v>137.21778800794962</v>
      </c>
      <c r="AT576">
        <v>4.0210379129439344</v>
      </c>
      <c r="AU576">
        <v>31.859463169227208</v>
      </c>
      <c r="AV576"/>
      <c r="AW576"/>
      <c r="FY576" s="210">
        <v>571</v>
      </c>
      <c r="FZ576">
        <v>0.88801513624120365</v>
      </c>
      <c r="GA576">
        <v>3.8260513833638976</v>
      </c>
      <c r="GB576">
        <v>2.8163520994982552</v>
      </c>
      <c r="GC576">
        <v>0.78018208145204793</v>
      </c>
      <c r="GD576">
        <v>0.80297894692655802</v>
      </c>
      <c r="GE576">
        <v>2.6641557134398606</v>
      </c>
      <c r="GF576">
        <v>8.1466490352109968</v>
      </c>
      <c r="GG576">
        <v>10.803802477763773</v>
      </c>
      <c r="GH576">
        <v>10.602056679766607</v>
      </c>
      <c r="GI576">
        <v>4.4459074502100631</v>
      </c>
      <c r="GJ576"/>
      <c r="GK576"/>
      <c r="GL576"/>
      <c r="GM576"/>
    </row>
    <row r="577" spans="1:195" s="7" customForma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81"/>
      <c r="AG577" s="81"/>
      <c r="AH577" s="81"/>
      <c r="AI577" s="4"/>
      <c r="AJ577" s="81"/>
      <c r="AK577" s="81"/>
      <c r="AL577" s="81"/>
      <c r="AM577" s="43">
        <v>561</v>
      </c>
      <c r="AN577">
        <v>137.95825807533819</v>
      </c>
      <c r="AO577">
        <v>11.721823706159281</v>
      </c>
      <c r="AP577">
        <v>118.81122123499276</v>
      </c>
      <c r="AQ577">
        <v>100.85666751151066</v>
      </c>
      <c r="AR577">
        <v>11.522898869465129</v>
      </c>
      <c r="AS577">
        <v>193.3703737886417</v>
      </c>
      <c r="AT577">
        <v>6.7514464181947353</v>
      </c>
      <c r="AU577">
        <v>33.958780764497689</v>
      </c>
      <c r="AV577"/>
      <c r="AW577"/>
      <c r="FY577" s="210">
        <v>572</v>
      </c>
      <c r="FZ577">
        <v>34.868364241803562</v>
      </c>
      <c r="GA577">
        <v>42.426420463052423</v>
      </c>
      <c r="GB577">
        <v>3.3854342100699926</v>
      </c>
      <c r="GC577">
        <v>1.3124291788325821</v>
      </c>
      <c r="GD577">
        <v>1.2763866939841457</v>
      </c>
      <c r="GE577">
        <v>2.3621423869560951</v>
      </c>
      <c r="GF577">
        <v>9.358470117078884</v>
      </c>
      <c r="GG577">
        <v>13.562111066542451</v>
      </c>
      <c r="GH577">
        <v>9.5817557243609563</v>
      </c>
      <c r="GI577">
        <v>9.9345916034579052</v>
      </c>
      <c r="GJ577"/>
      <c r="GK577"/>
      <c r="GL577"/>
      <c r="GM577"/>
    </row>
    <row r="578" spans="1:195" s="7" customForma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81"/>
      <c r="AG578" s="81"/>
      <c r="AH578" s="81"/>
      <c r="AI578" s="4"/>
      <c r="AJ578" s="81"/>
      <c r="AK578" s="81"/>
      <c r="AL578" s="81"/>
      <c r="AM578" s="43">
        <v>562</v>
      </c>
      <c r="AN578">
        <v>176.68262931435279</v>
      </c>
      <c r="AO578">
        <v>13.995233453986009</v>
      </c>
      <c r="AP578">
        <v>146.57843512244438</v>
      </c>
      <c r="AQ578">
        <v>124.18696567328323</v>
      </c>
      <c r="AR578">
        <v>13.037285113210547</v>
      </c>
      <c r="AS578">
        <v>210.59951588136991</v>
      </c>
      <c r="AT578">
        <v>7.9887445103543806</v>
      </c>
      <c r="AU578">
        <v>28.242224572388</v>
      </c>
      <c r="AV578"/>
      <c r="AW578"/>
      <c r="FY578" s="210">
        <v>573</v>
      </c>
      <c r="FZ578">
        <v>22.18436877197313</v>
      </c>
      <c r="GA578">
        <v>30.311693572390691</v>
      </c>
      <c r="GB578">
        <v>2.7327388492118905</v>
      </c>
      <c r="GC578">
        <v>0.55420995006538187</v>
      </c>
      <c r="GD578">
        <v>0.92620858228578329</v>
      </c>
      <c r="GE578">
        <v>2.4895457376521861</v>
      </c>
      <c r="GF578">
        <v>2.1654459989407897</v>
      </c>
      <c r="GG578">
        <v>5.5748809897321845</v>
      </c>
      <c r="GH578">
        <v>9.5888167780383746</v>
      </c>
      <c r="GI578">
        <v>6.413819379257685</v>
      </c>
      <c r="GJ578"/>
      <c r="GK578"/>
      <c r="GL578"/>
      <c r="GM578"/>
    </row>
    <row r="579" spans="1:195" s="7" customForma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81"/>
      <c r="AG579" s="81"/>
      <c r="AH579" s="81"/>
      <c r="AI579" s="4"/>
      <c r="AJ579" s="81"/>
      <c r="AK579" s="81"/>
      <c r="AL579" s="81"/>
      <c r="AM579" s="43">
        <v>563</v>
      </c>
      <c r="AN579">
        <v>87.180351179365985</v>
      </c>
      <c r="AO579">
        <v>5.1551060081583904</v>
      </c>
      <c r="AP579">
        <v>43.274459597571131</v>
      </c>
      <c r="AQ579">
        <v>37.021264416400363</v>
      </c>
      <c r="AR579">
        <v>5.4510141476916516</v>
      </c>
      <c r="AS579">
        <v>107.9165417153712</v>
      </c>
      <c r="AT579">
        <v>3.1995724530895782</v>
      </c>
      <c r="AU579">
        <v>15.506749625835367</v>
      </c>
      <c r="AV579"/>
      <c r="AW579"/>
      <c r="FY579" s="210">
        <v>574</v>
      </c>
      <c r="FZ579">
        <v>0.71569790417740564</v>
      </c>
      <c r="GA579">
        <v>1.5763569273183413</v>
      </c>
      <c r="GB579">
        <v>1.6418166606862112</v>
      </c>
      <c r="GC579">
        <v>0.99990299918468351</v>
      </c>
      <c r="GD579">
        <v>1.1455697181946043</v>
      </c>
      <c r="GE579">
        <v>4.6804122685526988</v>
      </c>
      <c r="GF579">
        <v>6.6840901603889202</v>
      </c>
      <c r="GG579">
        <v>3.5845128960124617</v>
      </c>
      <c r="GH579">
        <v>7.1189238462264797</v>
      </c>
      <c r="GI579">
        <v>3.5193741998334636</v>
      </c>
      <c r="GJ579"/>
      <c r="GK579"/>
      <c r="GL579"/>
      <c r="GM579"/>
    </row>
    <row r="580" spans="1:195" s="7" customForma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81"/>
      <c r="AG580" s="81"/>
      <c r="AH580" s="81"/>
      <c r="AI580" s="4"/>
      <c r="AJ580" s="81"/>
      <c r="AK580" s="81"/>
      <c r="AL580" s="81"/>
      <c r="AM580" s="43">
        <v>564</v>
      </c>
      <c r="AN580">
        <v>177.29308750717135</v>
      </c>
      <c r="AO580">
        <v>15.273623484456554</v>
      </c>
      <c r="AP580">
        <v>156.14056532442697</v>
      </c>
      <c r="AQ580">
        <v>133.29226130114517</v>
      </c>
      <c r="AR580">
        <v>14.634824122418875</v>
      </c>
      <c r="AS580">
        <v>233.14653165511197</v>
      </c>
      <c r="AT580">
        <v>9.1921089907407598</v>
      </c>
      <c r="AU580">
        <v>57.809060325304749</v>
      </c>
      <c r="AV580"/>
      <c r="AW580"/>
      <c r="FY580" s="210">
        <v>575</v>
      </c>
      <c r="FZ580">
        <v>21.486669065877837</v>
      </c>
      <c r="GA580">
        <v>28.196198524649613</v>
      </c>
      <c r="GB580">
        <v>3.7593477046843891</v>
      </c>
      <c r="GC580">
        <v>1.7659179682714121</v>
      </c>
      <c r="GD580">
        <v>1.2414445553627882</v>
      </c>
      <c r="GE580">
        <v>2.7934232619735311</v>
      </c>
      <c r="GF580">
        <v>11.389276431020177</v>
      </c>
      <c r="GG580">
        <v>15.187472941682634</v>
      </c>
      <c r="GH580">
        <v>12.538038001488982</v>
      </c>
      <c r="GI580">
        <v>8.8637405451646298</v>
      </c>
      <c r="GJ580"/>
      <c r="GK580"/>
      <c r="GL580"/>
      <c r="GM580"/>
    </row>
    <row r="581" spans="1:195" s="7" customForma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81"/>
      <c r="AG581" s="81"/>
      <c r="AH581" s="81"/>
      <c r="AI581" s="4"/>
      <c r="AJ581" s="81"/>
      <c r="AK581" s="81"/>
      <c r="AL581" s="81"/>
      <c r="AM581" s="43">
        <v>565</v>
      </c>
      <c r="AN581">
        <v>114.40230651391292</v>
      </c>
      <c r="AO581">
        <v>12.12534773438882</v>
      </c>
      <c r="AP581">
        <v>125.82060063672682</v>
      </c>
      <c r="AQ581">
        <v>109.08912037247971</v>
      </c>
      <c r="AR581">
        <v>11.707077657825248</v>
      </c>
      <c r="AS581">
        <v>173.99610821362506</v>
      </c>
      <c r="AT581" t="e">
        <v>#DIV/0!</v>
      </c>
      <c r="AU581" t="e">
        <v>#DIV/0!</v>
      </c>
      <c r="AV581"/>
      <c r="AW581"/>
      <c r="FY581" s="210">
        <v>576</v>
      </c>
      <c r="FZ581">
        <v>23.252411521599392</v>
      </c>
      <c r="GA581">
        <v>26.617584798727354</v>
      </c>
      <c r="GB581">
        <v>2.309926257111198</v>
      </c>
      <c r="GC581">
        <v>1.2908256917072853</v>
      </c>
      <c r="GD581">
        <v>0.64381498317844454</v>
      </c>
      <c r="GE581">
        <v>2.4243845601127898</v>
      </c>
      <c r="GF581">
        <v>8.7830529411995144</v>
      </c>
      <c r="GG581">
        <v>15.317503312192468</v>
      </c>
      <c r="GH581">
        <v>16.338182767311849</v>
      </c>
      <c r="GI581">
        <v>8.545151488268024</v>
      </c>
      <c r="GJ581"/>
      <c r="GK581"/>
      <c r="GL581"/>
      <c r="GM581"/>
    </row>
    <row r="582" spans="1:195" s="7" customForma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81"/>
      <c r="AG582" s="81"/>
      <c r="AH582" s="81"/>
      <c r="AI582" s="4"/>
      <c r="AJ582" s="81"/>
      <c r="AK582" s="81"/>
      <c r="AL582" s="81"/>
      <c r="AM582" s="43">
        <v>566</v>
      </c>
      <c r="AN582">
        <v>117.55267770896451</v>
      </c>
      <c r="AO582">
        <v>8.1241917046857317</v>
      </c>
      <c r="AP582">
        <v>77.958302190254926</v>
      </c>
      <c r="AQ582">
        <v>65.144170623983186</v>
      </c>
      <c r="AR582">
        <v>7.879325548513763</v>
      </c>
      <c r="AS582">
        <v>149.33055254603056</v>
      </c>
      <c r="AT582">
        <v>4.5291550447916373</v>
      </c>
      <c r="AU582">
        <v>8.214267318939072</v>
      </c>
      <c r="AV582"/>
      <c r="AW582"/>
      <c r="FY582" s="210">
        <v>577</v>
      </c>
      <c r="FZ582">
        <v>22.45981157889161</v>
      </c>
      <c r="GA582">
        <v>28.430276882072967</v>
      </c>
      <c r="GB582">
        <v>3.4374299677757327</v>
      </c>
      <c r="GC582">
        <v>1.4147740358618781</v>
      </c>
      <c r="GD582">
        <v>0.6215585053502759</v>
      </c>
      <c r="GE582">
        <v>2.7670971180984312</v>
      </c>
      <c r="GF582">
        <v>7.0883903014255685</v>
      </c>
      <c r="GG582">
        <v>6.0277759779211513</v>
      </c>
      <c r="GH582">
        <v>5.7503652839254595</v>
      </c>
      <c r="GI582">
        <v>6.7311188146604675</v>
      </c>
      <c r="GJ582"/>
      <c r="GK582"/>
      <c r="GL582"/>
      <c r="GM582"/>
    </row>
    <row r="583" spans="1:195" s="7" customForma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81"/>
      <c r="AG583" s="81"/>
      <c r="AH583" s="81"/>
      <c r="AI583" s="4"/>
      <c r="AJ583" s="81"/>
      <c r="AK583" s="81"/>
      <c r="AL583" s="81"/>
      <c r="AM583" s="43">
        <v>567</v>
      </c>
      <c r="AN583">
        <v>101.86819096551035</v>
      </c>
      <c r="AO583">
        <v>9.9555154072824656</v>
      </c>
      <c r="AP583">
        <v>98.281287234772449</v>
      </c>
      <c r="AQ583">
        <v>84.589670077415917</v>
      </c>
      <c r="AR583">
        <v>9.4882623095897696</v>
      </c>
      <c r="AS583">
        <v>136.65919606165005</v>
      </c>
      <c r="AT583">
        <v>6.4402783239017749</v>
      </c>
      <c r="AU583">
        <v>1.5090309194114875</v>
      </c>
      <c r="AV583"/>
      <c r="AW583"/>
      <c r="FY583" s="210">
        <v>578</v>
      </c>
      <c r="FZ583">
        <v>0.69632789079080359</v>
      </c>
      <c r="GA583">
        <v>4.2655369772801066</v>
      </c>
      <c r="GB583">
        <v>4.4769828152342397</v>
      </c>
      <c r="GC583">
        <v>1.6356356300725916</v>
      </c>
      <c r="GD583">
        <v>0.9383390027170504</v>
      </c>
      <c r="GE583">
        <v>1.8598401552349793</v>
      </c>
      <c r="GF583">
        <v>9.5298553196901121</v>
      </c>
      <c r="GG583">
        <v>14.786724812627396</v>
      </c>
      <c r="GH583">
        <v>11.674685222365</v>
      </c>
      <c r="GI583">
        <v>5.3329705088626032</v>
      </c>
      <c r="GJ583"/>
      <c r="GK583"/>
      <c r="GL583"/>
      <c r="GM583"/>
    </row>
    <row r="584" spans="1:195" s="7" customForma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81"/>
      <c r="AG584" s="81"/>
      <c r="AH584" s="81"/>
      <c r="AI584" s="4"/>
      <c r="AJ584" s="81"/>
      <c r="AK584" s="81"/>
      <c r="AL584" s="81"/>
      <c r="AM584" s="43">
        <v>568</v>
      </c>
      <c r="AN584">
        <v>150.72422207444563</v>
      </c>
      <c r="AO584">
        <v>7.3041096215285588</v>
      </c>
      <c r="AP584">
        <v>69.273300402191239</v>
      </c>
      <c r="AQ584">
        <v>55.250636649263043</v>
      </c>
      <c r="AR584">
        <v>7.1363533829104338</v>
      </c>
      <c r="AS584">
        <v>157.2434221489722</v>
      </c>
      <c r="AT584">
        <v>4.1472096218578232</v>
      </c>
      <c r="AU584">
        <v>32.22337289784668</v>
      </c>
      <c r="AV584"/>
      <c r="AW584"/>
      <c r="FY584" s="210">
        <v>579</v>
      </c>
      <c r="FZ584">
        <v>23.83943591310339</v>
      </c>
      <c r="GA584">
        <v>26.640969560203455</v>
      </c>
      <c r="GB584">
        <v>2.0276291136419688</v>
      </c>
      <c r="GC584">
        <v>1.2910501806029149</v>
      </c>
      <c r="GD584">
        <v>0.95684123921700981</v>
      </c>
      <c r="GE584">
        <v>3.4810962911585084</v>
      </c>
      <c r="GF584">
        <v>10.42558106047769</v>
      </c>
      <c r="GG584">
        <v>8.6456617878709938</v>
      </c>
      <c r="GH584">
        <v>6.9020194619962192</v>
      </c>
      <c r="GI584">
        <v>7.5603660229488785</v>
      </c>
      <c r="GJ584"/>
      <c r="GK584"/>
      <c r="GL584"/>
      <c r="GM584"/>
    </row>
    <row r="585" spans="1:195" s="7" customForma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81"/>
      <c r="AG585" s="81"/>
      <c r="AH585" s="81"/>
      <c r="AI585" s="4"/>
      <c r="AJ585" s="81"/>
      <c r="AK585" s="81"/>
      <c r="AL585" s="81"/>
      <c r="AM585" s="43">
        <v>569</v>
      </c>
      <c r="AN585">
        <v>148.81311742405188</v>
      </c>
      <c r="AO585">
        <v>10.25614229779957</v>
      </c>
      <c r="AP585">
        <v>97.738562391564557</v>
      </c>
      <c r="AQ585">
        <v>82.023523644107783</v>
      </c>
      <c r="AR585">
        <v>10.056064173409665</v>
      </c>
      <c r="AS585">
        <v>166.82016760827915</v>
      </c>
      <c r="AT585">
        <v>6.3135841984043175</v>
      </c>
      <c r="AU585">
        <v>18.562057841108178</v>
      </c>
      <c r="AV585"/>
      <c r="AW585"/>
      <c r="FY585" s="210">
        <v>580</v>
      </c>
      <c r="FZ585">
        <v>2.2584204459091559</v>
      </c>
      <c r="GA585">
        <v>2.2871651153980972</v>
      </c>
      <c r="GB585">
        <v>3.2268049407493971</v>
      </c>
      <c r="GC585">
        <v>1.5121882629142407</v>
      </c>
      <c r="GD585">
        <v>0.47857909773044177</v>
      </c>
      <c r="GE585">
        <v>1.813551257400126</v>
      </c>
      <c r="GF585">
        <v>4.9124648100483883</v>
      </c>
      <c r="GG585">
        <v>5.9532530713323144</v>
      </c>
      <c r="GH585">
        <v>6.321057009748337</v>
      </c>
      <c r="GI585">
        <v>3.2913047901931352</v>
      </c>
      <c r="GJ585"/>
      <c r="GK585"/>
      <c r="GL585"/>
      <c r="GM585"/>
    </row>
    <row r="586" spans="1:195" s="7" customForma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81"/>
      <c r="AG586" s="81"/>
      <c r="AH586" s="81"/>
      <c r="AI586" s="4"/>
      <c r="AJ586" s="81"/>
      <c r="AK586" s="81"/>
      <c r="AL586" s="81"/>
      <c r="AM586" s="43">
        <v>570</v>
      </c>
      <c r="AN586">
        <v>121.44082829407012</v>
      </c>
      <c r="AO586">
        <v>12.579813537894486</v>
      </c>
      <c r="AP586">
        <v>130.47788155434549</v>
      </c>
      <c r="AQ586">
        <v>112.46044209878502</v>
      </c>
      <c r="AR586">
        <v>12.010971680261953</v>
      </c>
      <c r="AS586">
        <v>151.51745418228691</v>
      </c>
      <c r="AT586">
        <v>7.186198070066518</v>
      </c>
      <c r="AU586">
        <v>10.984485222772774</v>
      </c>
      <c r="AV586"/>
      <c r="AW586"/>
      <c r="FY586" s="210">
        <v>581</v>
      </c>
      <c r="FZ586">
        <v>14.469407542892005</v>
      </c>
      <c r="GA586">
        <v>13.756763908864929</v>
      </c>
      <c r="GB586">
        <v>2.4971477124304591</v>
      </c>
      <c r="GC586">
        <v>1.4775024243780817</v>
      </c>
      <c r="GD586">
        <v>1.095386388774257</v>
      </c>
      <c r="GE586">
        <v>2.7410871534789334</v>
      </c>
      <c r="GF586">
        <v>7.5801459361435137</v>
      </c>
      <c r="GG586">
        <v>8.970512969011569</v>
      </c>
      <c r="GH586">
        <v>7.9557921260581193</v>
      </c>
      <c r="GI586">
        <v>6.0195933200874157</v>
      </c>
      <c r="GJ586"/>
      <c r="GK586"/>
      <c r="GL586"/>
      <c r="GM586"/>
    </row>
    <row r="587" spans="1:195" s="7" customForma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81"/>
      <c r="AG587" s="81"/>
      <c r="AH587" s="81"/>
      <c r="AI587" s="4"/>
      <c r="AJ587" s="81"/>
      <c r="AK587" s="81"/>
      <c r="AL587" s="81"/>
      <c r="AM587" s="43">
        <v>571</v>
      </c>
      <c r="AN587">
        <v>103.91061931801271</v>
      </c>
      <c r="AO587">
        <v>6.2332218360979876</v>
      </c>
      <c r="AP587">
        <v>56.867077412509133</v>
      </c>
      <c r="AQ587">
        <v>45.776151003873267</v>
      </c>
      <c r="AR587">
        <v>6.064983937681089</v>
      </c>
      <c r="AS587">
        <v>118.69405238321998</v>
      </c>
      <c r="AT587">
        <v>3.7763355644996821</v>
      </c>
      <c r="AU587">
        <v>-0.47344214884404268</v>
      </c>
      <c r="AV587"/>
      <c r="AW587"/>
      <c r="FY587" s="210">
        <v>582</v>
      </c>
      <c r="FZ587">
        <v>11.226343424606368</v>
      </c>
      <c r="GA587">
        <v>15.619861172714058</v>
      </c>
      <c r="GB587">
        <v>2.2317348947837119</v>
      </c>
      <c r="GC587">
        <v>0.88144505219926472</v>
      </c>
      <c r="GD587">
        <v>0.58143065384187442</v>
      </c>
      <c r="GE587">
        <v>1.8808582865489529</v>
      </c>
      <c r="GF587">
        <v>2.3276714602789439</v>
      </c>
      <c r="GG587">
        <v>9.8941871915589239</v>
      </c>
      <c r="GH587">
        <v>16.357767948242174</v>
      </c>
      <c r="GI587">
        <v>5.5543776734095474</v>
      </c>
      <c r="GJ587"/>
      <c r="GK587"/>
      <c r="GL587"/>
      <c r="GM587"/>
    </row>
    <row r="588" spans="1:195" s="7" customForma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81"/>
      <c r="AG588" s="81"/>
      <c r="AH588" s="81"/>
      <c r="AI588" s="4"/>
      <c r="AJ588" s="81"/>
      <c r="AK588" s="81"/>
      <c r="AL588" s="81"/>
      <c r="AM588" s="43">
        <v>572</v>
      </c>
      <c r="AN588">
        <v>134.3144505107185</v>
      </c>
      <c r="AO588">
        <v>14.604147453475601</v>
      </c>
      <c r="AP588">
        <v>150.5164881285697</v>
      </c>
      <c r="AQ588">
        <v>128.06810568613901</v>
      </c>
      <c r="AR588">
        <v>13.849792244287928</v>
      </c>
      <c r="AS588">
        <v>235.51191381130874</v>
      </c>
      <c r="AT588">
        <v>8.2297898652794359</v>
      </c>
      <c r="AU588">
        <v>56.835292621855075</v>
      </c>
      <c r="AV588"/>
      <c r="AW588"/>
      <c r="FY588" s="210">
        <v>583</v>
      </c>
      <c r="FZ588">
        <v>11.816827173852111</v>
      </c>
      <c r="GA588">
        <v>15.614776869018872</v>
      </c>
      <c r="GB588">
        <v>2.3623466914644591</v>
      </c>
      <c r="GC588">
        <v>1.0496926417370223</v>
      </c>
      <c r="GD588">
        <v>0.87203813412983977</v>
      </c>
      <c r="GE588">
        <v>2.4342003369242997</v>
      </c>
      <c r="GF588">
        <v>4.7414541229291753</v>
      </c>
      <c r="GG588">
        <v>4.6285743388429825</v>
      </c>
      <c r="GH588">
        <v>5.7365926502779274</v>
      </c>
      <c r="GI588">
        <v>4.6045692009251074</v>
      </c>
      <c r="GJ588"/>
      <c r="GK588"/>
      <c r="GL588"/>
      <c r="GM588"/>
    </row>
    <row r="589" spans="1:195" s="7" customForma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81"/>
      <c r="AG589" s="81"/>
      <c r="AH589" s="81"/>
      <c r="AI589" s="4"/>
      <c r="AJ589" s="81"/>
      <c r="AK589" s="81"/>
      <c r="AL589" s="81"/>
      <c r="AM589" s="43">
        <v>573</v>
      </c>
      <c r="AN589">
        <v>84.546628077204971</v>
      </c>
      <c r="AO589">
        <v>9.3685193983560353</v>
      </c>
      <c r="AP589">
        <v>97.229142336230595</v>
      </c>
      <c r="AQ589">
        <v>82.941728609548107</v>
      </c>
      <c r="AR589">
        <v>8.91992483012916</v>
      </c>
      <c r="AS589">
        <v>136.07202198473297</v>
      </c>
      <c r="AT589">
        <v>5.609965537939658</v>
      </c>
      <c r="AU589">
        <v>52.597653256698472</v>
      </c>
      <c r="AV589"/>
      <c r="AW589"/>
      <c r="FY589" s="210">
        <v>584</v>
      </c>
      <c r="FZ589">
        <v>21.962703697889328</v>
      </c>
      <c r="GA589">
        <v>29.283598859992132</v>
      </c>
      <c r="GB589">
        <v>2.424763517796686</v>
      </c>
      <c r="GC589">
        <v>0.97528742838337235</v>
      </c>
      <c r="GD589">
        <v>1.5167523411580524</v>
      </c>
      <c r="GE589">
        <v>4.2968899672251526</v>
      </c>
      <c r="GF589">
        <v>8.3545945278469986</v>
      </c>
      <c r="GG589">
        <v>6.0749789039498125</v>
      </c>
      <c r="GH589">
        <v>5.1389885348215643</v>
      </c>
      <c r="GI589">
        <v>7.0559809251607444</v>
      </c>
      <c r="GJ589"/>
      <c r="GK589"/>
      <c r="GL589"/>
      <c r="GM589"/>
    </row>
    <row r="590" spans="1:195" s="7" customForma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81"/>
      <c r="AG590" s="81"/>
      <c r="AH590" s="81"/>
      <c r="AI590" s="4"/>
      <c r="AJ590" s="81"/>
      <c r="AK590" s="81"/>
      <c r="AL590" s="81"/>
      <c r="AM590" s="43">
        <v>574</v>
      </c>
      <c r="AN590">
        <v>95.907055384834621</v>
      </c>
      <c r="AO590">
        <v>4.7258704915583563</v>
      </c>
      <c r="AP590">
        <v>36.936650604438583</v>
      </c>
      <c r="AQ590">
        <v>31.666657580575272</v>
      </c>
      <c r="AR590">
        <v>4.6671719686692681</v>
      </c>
      <c r="AS590">
        <v>104.42212125400481</v>
      </c>
      <c r="AT590">
        <v>2.6891491240668373</v>
      </c>
      <c r="AU590">
        <v>0.29939499460898089</v>
      </c>
      <c r="AV590"/>
      <c r="AW590"/>
      <c r="FY590" s="210">
        <v>585</v>
      </c>
      <c r="FZ590">
        <v>13.164228914542623</v>
      </c>
      <c r="GA590">
        <v>14.724053519149797</v>
      </c>
      <c r="GB590">
        <v>3.4348297855952401</v>
      </c>
      <c r="GC590">
        <v>1.7525400673881726</v>
      </c>
      <c r="GD590">
        <v>0.98579331402341297</v>
      </c>
      <c r="GE590">
        <v>2.8905656403932012</v>
      </c>
      <c r="GF590">
        <v>8.9319088110075313</v>
      </c>
      <c r="GG590">
        <v>10.622028148930672</v>
      </c>
      <c r="GH590">
        <v>10.625656301269903</v>
      </c>
      <c r="GI590">
        <v>6.6629927407161942</v>
      </c>
      <c r="GJ590"/>
      <c r="GK590"/>
      <c r="GL590"/>
      <c r="GM590"/>
    </row>
    <row r="591" spans="1:195" s="7" customForma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81"/>
      <c r="AG591" s="81"/>
      <c r="AH591" s="81"/>
      <c r="AI591" s="4"/>
      <c r="AJ591" s="81"/>
      <c r="AK591" s="81"/>
      <c r="AL591" s="81"/>
      <c r="AM591" s="43">
        <v>575</v>
      </c>
      <c r="AN591">
        <v>159.40972515380292</v>
      </c>
      <c r="AO591">
        <v>12.931777476283642</v>
      </c>
      <c r="AP591">
        <v>128.03993420800609</v>
      </c>
      <c r="AQ591">
        <v>107.22152900017599</v>
      </c>
      <c r="AR591">
        <v>12.287162213216853</v>
      </c>
      <c r="AS591">
        <v>209.97719838516565</v>
      </c>
      <c r="AT591">
        <v>8.1021584179703616</v>
      </c>
      <c r="AU591">
        <v>23.071237397753201</v>
      </c>
      <c r="AV591"/>
      <c r="AW591"/>
      <c r="FY591" s="210">
        <v>586</v>
      </c>
      <c r="FZ591">
        <v>24.006915219693262</v>
      </c>
      <c r="GA591">
        <v>28.77531381577505</v>
      </c>
      <c r="GB591">
        <v>3.8601085806071658</v>
      </c>
      <c r="GC591">
        <v>1.5962286919943214</v>
      </c>
      <c r="GD591">
        <v>0.92039289385551593</v>
      </c>
      <c r="GE591">
        <v>1.7245062997617207</v>
      </c>
      <c r="GF591">
        <v>3.7730837332208718</v>
      </c>
      <c r="GG591">
        <v>12.292530269130296</v>
      </c>
      <c r="GH591">
        <v>15.792380198482309</v>
      </c>
      <c r="GI591">
        <v>8.2155502011743096</v>
      </c>
      <c r="GJ591"/>
      <c r="GK591"/>
      <c r="GL591"/>
      <c r="GM591"/>
    </row>
    <row r="592" spans="1:195" s="7" customForma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81"/>
      <c r="AG592" s="81"/>
      <c r="AH592" s="81"/>
      <c r="AI592" s="4"/>
      <c r="AJ592" s="81"/>
      <c r="AK592" s="81"/>
      <c r="AL592" s="81"/>
      <c r="AM592" s="43">
        <v>576</v>
      </c>
      <c r="AN592">
        <v>160.13888793096737</v>
      </c>
      <c r="AO592">
        <v>12.340806859976745</v>
      </c>
      <c r="AP592">
        <v>125.35800999571434</v>
      </c>
      <c r="AQ592">
        <v>105.52283832140833</v>
      </c>
      <c r="AR592">
        <v>11.800914867246155</v>
      </c>
      <c r="AS592">
        <v>191.92979033595211</v>
      </c>
      <c r="AT592">
        <v>7.4457041024105557</v>
      </c>
      <c r="AU592">
        <v>31.804684273912123</v>
      </c>
      <c r="AV592"/>
      <c r="AW592"/>
      <c r="FY592" s="210">
        <v>587</v>
      </c>
      <c r="FZ592">
        <v>14.648367614312056</v>
      </c>
      <c r="GA592">
        <v>14.502238541339846</v>
      </c>
      <c r="GB592">
        <v>1.3016461707398241</v>
      </c>
      <c r="GC592">
        <v>0.53841989913818511</v>
      </c>
      <c r="GD592">
        <v>0.69251532414598505</v>
      </c>
      <c r="GE592">
        <v>1.9347468283001954</v>
      </c>
      <c r="GF592">
        <v>9.9884248063640619</v>
      </c>
      <c r="GG592">
        <v>11.902104082184435</v>
      </c>
      <c r="GH592">
        <v>8.7857572170107616</v>
      </c>
      <c r="GI592">
        <v>6.0819758708497984</v>
      </c>
      <c r="GJ592"/>
      <c r="GK592"/>
      <c r="GL592"/>
      <c r="GM592"/>
    </row>
    <row r="593" spans="1:195" s="7" customForma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81"/>
      <c r="AG593" s="81"/>
      <c r="AH593" s="81"/>
      <c r="AI593" s="4"/>
      <c r="AJ593" s="81"/>
      <c r="AK593" s="81"/>
      <c r="AL593" s="81"/>
      <c r="AM593" s="43">
        <v>577</v>
      </c>
      <c r="AN593">
        <v>103.73880586255919</v>
      </c>
      <c r="AO593">
        <v>9.8180229996357475</v>
      </c>
      <c r="AP593">
        <v>100.05989117238104</v>
      </c>
      <c r="AQ593">
        <v>84.728598465983538</v>
      </c>
      <c r="AR593">
        <v>9.2738738902601927</v>
      </c>
      <c r="AS593">
        <v>124.13911556700994</v>
      </c>
      <c r="AT593">
        <v>5.6513221016430215</v>
      </c>
      <c r="AU593">
        <v>41.768027700693679</v>
      </c>
      <c r="AV593"/>
      <c r="AW593"/>
      <c r="FY593" s="210">
        <v>588</v>
      </c>
      <c r="FZ593">
        <v>21.555561119133536</v>
      </c>
      <c r="GA593">
        <v>28.237948096181434</v>
      </c>
      <c r="GB593">
        <v>2.1864130820997665</v>
      </c>
      <c r="GC593">
        <v>0.69433706459398825</v>
      </c>
      <c r="GD593">
        <v>1.3934833092797407</v>
      </c>
      <c r="GE593">
        <v>3.6181218757598015</v>
      </c>
      <c r="GF593">
        <v>6.444448538061903</v>
      </c>
      <c r="GG593">
        <v>6.2359681971294627</v>
      </c>
      <c r="GH593">
        <v>6.5601595610522914</v>
      </c>
      <c r="GI593">
        <v>6.7506110210123049</v>
      </c>
      <c r="GJ593"/>
      <c r="GK593"/>
      <c r="GL593"/>
      <c r="GM593"/>
    </row>
    <row r="594" spans="1:195" s="7" customForma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81"/>
      <c r="AG594" s="81"/>
      <c r="AH594" s="81"/>
      <c r="AI594" s="4"/>
      <c r="AJ594" s="81"/>
      <c r="AK594" s="81"/>
      <c r="AL594" s="81"/>
      <c r="AM594" s="43">
        <v>578</v>
      </c>
      <c r="AN594">
        <v>124.20662743337436</v>
      </c>
      <c r="AO594">
        <v>7.6727943164014745</v>
      </c>
      <c r="AP594">
        <v>69.624179067218222</v>
      </c>
      <c r="AQ594">
        <v>55.196898334874881</v>
      </c>
      <c r="AR594">
        <v>7.3909521063941614</v>
      </c>
      <c r="AS594">
        <v>171.34631263452786</v>
      </c>
      <c r="AT594">
        <v>4.0712192887353531</v>
      </c>
      <c r="AU594">
        <v>11.003033645878075</v>
      </c>
      <c r="AV594"/>
      <c r="AW594"/>
      <c r="FY594" s="210">
        <v>589</v>
      </c>
      <c r="FZ594">
        <v>12.826585685469471</v>
      </c>
      <c r="GA594">
        <v>15.152330916595085</v>
      </c>
      <c r="GB594">
        <v>2.5837071384710266</v>
      </c>
      <c r="GC594">
        <v>1.1180570402311076</v>
      </c>
      <c r="GD594">
        <v>1.4874624211438405</v>
      </c>
      <c r="GE594">
        <v>3.550534968336005</v>
      </c>
      <c r="GF594">
        <v>3.0733440911435697</v>
      </c>
      <c r="GG594">
        <v>3.3230875956726633</v>
      </c>
      <c r="GH594">
        <v>6.061288749694401</v>
      </c>
      <c r="GI594">
        <v>4.9222871945019033</v>
      </c>
      <c r="GJ594"/>
      <c r="GK594"/>
      <c r="GL594"/>
      <c r="GM594"/>
    </row>
    <row r="595" spans="1:195" s="7" customForma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81"/>
      <c r="AG595" s="81"/>
      <c r="AH595" s="81"/>
      <c r="AI595" s="4"/>
      <c r="AJ595" s="81"/>
      <c r="AK595" s="81"/>
      <c r="AL595" s="81"/>
      <c r="AM595" s="43">
        <v>579</v>
      </c>
      <c r="AN595">
        <v>109.62148644040413</v>
      </c>
      <c r="AO595">
        <v>10.805253066706083</v>
      </c>
      <c r="AP595">
        <v>107.47964605242829</v>
      </c>
      <c r="AQ595">
        <v>91.770650631221031</v>
      </c>
      <c r="AR595">
        <v>10.380646741346288</v>
      </c>
      <c r="AS595">
        <v>157.52481400687796</v>
      </c>
      <c r="AT595">
        <v>6.8482763617943982</v>
      </c>
      <c r="AU595">
        <v>9.7415032111907003</v>
      </c>
      <c r="AV595"/>
      <c r="AW595"/>
      <c r="FY595" s="210">
        <v>590</v>
      </c>
      <c r="FZ595">
        <v>25.553411564067979</v>
      </c>
      <c r="GA595">
        <v>28.906866389133292</v>
      </c>
      <c r="GB595">
        <v>4.0347976824679952</v>
      </c>
      <c r="GC595">
        <v>1.8411431660048787</v>
      </c>
      <c r="GD595">
        <v>1.4122158945822001</v>
      </c>
      <c r="GE595">
        <v>2.823783732791048</v>
      </c>
      <c r="GF595">
        <v>4.4218646477535</v>
      </c>
      <c r="GG595">
        <v>5.2702689322942193</v>
      </c>
      <c r="GH595">
        <v>4.7564557805714163</v>
      </c>
      <c r="GI595">
        <v>7.1526707000942142</v>
      </c>
      <c r="GJ595"/>
      <c r="GK595"/>
      <c r="GL595"/>
      <c r="GM595"/>
    </row>
    <row r="596" spans="1:195" s="7" customForma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81"/>
      <c r="AG596" s="81"/>
      <c r="AH596" s="81"/>
      <c r="AI596" s="4"/>
      <c r="AJ596" s="81"/>
      <c r="AK596" s="81"/>
      <c r="AL596" s="81"/>
      <c r="AM596" s="43">
        <v>580</v>
      </c>
      <c r="AN596">
        <v>76.849948948108107</v>
      </c>
      <c r="AO596">
        <v>4.5149788400623958</v>
      </c>
      <c r="AP596">
        <v>39.535628259698854</v>
      </c>
      <c r="AQ596">
        <v>32.054788801423641</v>
      </c>
      <c r="AR596">
        <v>4.4768077691934511</v>
      </c>
      <c r="AS596">
        <v>88.076331514353399</v>
      </c>
      <c r="AT596">
        <v>2.7590399736112801</v>
      </c>
      <c r="AU596">
        <v>10.331863979921712</v>
      </c>
      <c r="AV596"/>
      <c r="AW596"/>
      <c r="FY596" s="210">
        <v>591</v>
      </c>
      <c r="FZ596">
        <v>35.719722224322759</v>
      </c>
      <c r="GA596">
        <v>40.167356847231957</v>
      </c>
      <c r="GB596">
        <v>3.2476119268929939</v>
      </c>
      <c r="GC596">
        <v>1.3465635927277626</v>
      </c>
      <c r="GD596">
        <v>0.47163522874548475</v>
      </c>
      <c r="GE596">
        <v>2.2877913944884893</v>
      </c>
      <c r="GF596">
        <v>7.5831200866290942</v>
      </c>
      <c r="GG596">
        <v>6.2942480642942025</v>
      </c>
      <c r="GH596">
        <v>6.2961136523162988</v>
      </c>
      <c r="GI596">
        <v>8.7124268777631482</v>
      </c>
      <c r="GJ596"/>
      <c r="GK596"/>
      <c r="GL596"/>
      <c r="GM596"/>
    </row>
    <row r="597" spans="1:195" s="7" customForma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81"/>
      <c r="AG597" s="81"/>
      <c r="AH597" s="81"/>
      <c r="AI597" s="4"/>
      <c r="AJ597" s="81"/>
      <c r="AK597" s="81"/>
      <c r="AL597" s="81"/>
      <c r="AM597" s="43">
        <v>581</v>
      </c>
      <c r="AN597">
        <v>101.81247175976748</v>
      </c>
      <c r="AO597">
        <v>8.3706996309625872</v>
      </c>
      <c r="AP597">
        <v>78.337847401238918</v>
      </c>
      <c r="AQ597">
        <v>66.563339482119289</v>
      </c>
      <c r="AR597">
        <v>8.3067768451572395</v>
      </c>
      <c r="AS597">
        <v>159.53774097672286</v>
      </c>
      <c r="AT597">
        <v>4.9729098383852302</v>
      </c>
      <c r="AU597">
        <v>13.169679385706822</v>
      </c>
      <c r="AV597"/>
      <c r="AW597"/>
      <c r="FY597" s="210">
        <v>592</v>
      </c>
      <c r="FZ597">
        <v>22.414970242045829</v>
      </c>
      <c r="GA597">
        <v>27.527441810754411</v>
      </c>
      <c r="GB597">
        <v>2.347252606222999</v>
      </c>
      <c r="GC597">
        <v>1.1732410895030509</v>
      </c>
      <c r="GD597">
        <v>0.38509931404677283</v>
      </c>
      <c r="GE597">
        <v>1.2114537150068019</v>
      </c>
      <c r="GF597">
        <v>1.7468870562359098</v>
      </c>
      <c r="GG597">
        <v>7.3044018997168711</v>
      </c>
      <c r="GH597">
        <v>12.347253528143579</v>
      </c>
      <c r="GI597">
        <v>6.3870533170961368</v>
      </c>
      <c r="GJ597"/>
      <c r="GK597"/>
      <c r="GL597"/>
      <c r="GM597"/>
    </row>
    <row r="598" spans="1:195" s="7" customForma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81"/>
      <c r="AG598" s="81"/>
      <c r="AH598" s="81"/>
      <c r="AI598" s="4"/>
      <c r="AJ598" s="81"/>
      <c r="AK598" s="81"/>
      <c r="AL598" s="81"/>
      <c r="AM598" s="43">
        <v>582</v>
      </c>
      <c r="AN598">
        <v>114.36625470817819</v>
      </c>
      <c r="AO598">
        <v>7.9451732071614929</v>
      </c>
      <c r="AP598">
        <v>79.746059759804695</v>
      </c>
      <c r="AQ598">
        <v>66.555677758183819</v>
      </c>
      <c r="AR598">
        <v>7.6442630246177785</v>
      </c>
      <c r="AS598">
        <v>126.45658477925261</v>
      </c>
      <c r="AT598">
        <v>4.5547400491903174</v>
      </c>
      <c r="AU598">
        <v>44.750392736201377</v>
      </c>
      <c r="AV598"/>
      <c r="AW598"/>
      <c r="FY598" s="210">
        <v>593</v>
      </c>
      <c r="FZ598">
        <v>17.40508888929282</v>
      </c>
      <c r="GA598">
        <v>16.893819414318205</v>
      </c>
      <c r="GB598">
        <v>2.9863235921318072</v>
      </c>
      <c r="GC598">
        <v>0.91308124575798533</v>
      </c>
      <c r="GD598">
        <v>0.96355894846254087</v>
      </c>
      <c r="GE598">
        <v>1.7865256493107826</v>
      </c>
      <c r="GF598">
        <v>3.1018897434965398</v>
      </c>
      <c r="GG598">
        <v>10.072923244971092</v>
      </c>
      <c r="GH598">
        <v>12.556804692722965</v>
      </c>
      <c r="GI598">
        <v>6.4243241181022857</v>
      </c>
      <c r="GJ598"/>
      <c r="GK598"/>
      <c r="GL598"/>
      <c r="GM598"/>
    </row>
    <row r="599" spans="1:195" s="7" customForma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81"/>
      <c r="AG599" s="81"/>
      <c r="AH599" s="81"/>
      <c r="AI599" s="4"/>
      <c r="AJ599" s="81"/>
      <c r="AK599" s="81"/>
      <c r="AL599" s="81"/>
      <c r="AM599" s="43">
        <v>583</v>
      </c>
      <c r="AN599">
        <v>80.961724125261313</v>
      </c>
      <c r="AO599">
        <v>6.5769942522595084</v>
      </c>
      <c r="AP599">
        <v>63.439744691423414</v>
      </c>
      <c r="AQ599">
        <v>53.861072160101799</v>
      </c>
      <c r="AR599">
        <v>6.3486260875688787</v>
      </c>
      <c r="AS599">
        <v>113.4475555801012</v>
      </c>
      <c r="AT599">
        <v>3.6698286935813873</v>
      </c>
      <c r="AU599">
        <v>8.4885549237601339</v>
      </c>
      <c r="AV599"/>
      <c r="AW599"/>
      <c r="FY599" s="210">
        <v>594</v>
      </c>
      <c r="FZ599">
        <v>0.76598446292405187</v>
      </c>
      <c r="GA599">
        <v>1.5659543236443698</v>
      </c>
      <c r="GB599">
        <v>2.3834787810128213</v>
      </c>
      <c r="GC599">
        <v>1.255598786407599</v>
      </c>
      <c r="GD599">
        <v>0.5571265819301966</v>
      </c>
      <c r="GE599">
        <v>1.5516294425711408</v>
      </c>
      <c r="GF599">
        <v>1.9969511023989535</v>
      </c>
      <c r="GG599">
        <v>5.2769254404980384</v>
      </c>
      <c r="GH599">
        <v>8.8177016219505155</v>
      </c>
      <c r="GI599">
        <v>2.785705426945809</v>
      </c>
      <c r="GJ599"/>
      <c r="GK599"/>
      <c r="GL599"/>
      <c r="GM599"/>
    </row>
    <row r="600" spans="1:195" s="7" customForma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81"/>
      <c r="AG600" s="81"/>
      <c r="AH600" s="81"/>
      <c r="AI600" s="4"/>
      <c r="AJ600" s="81"/>
      <c r="AK600" s="81"/>
      <c r="AL600" s="81"/>
      <c r="AM600" s="43">
        <v>584</v>
      </c>
      <c r="AN600">
        <v>117.4668988933025</v>
      </c>
      <c r="AO600">
        <v>10.33036095798963</v>
      </c>
      <c r="AP600">
        <v>101.04869999304725</v>
      </c>
      <c r="AQ600">
        <v>87.084538704223846</v>
      </c>
      <c r="AR600">
        <v>9.704072111228907</v>
      </c>
      <c r="AS600">
        <v>171.31572296988168</v>
      </c>
      <c r="AT600">
        <v>5.9583931198200126</v>
      </c>
      <c r="AU600">
        <v>15.369040943523981</v>
      </c>
      <c r="AV600"/>
      <c r="AW600"/>
      <c r="FY600" s="210">
        <v>595</v>
      </c>
      <c r="FZ600">
        <v>10.780893917655217</v>
      </c>
      <c r="GA600">
        <v>17.126378192710831</v>
      </c>
      <c r="GB600">
        <v>4.2492214501040593</v>
      </c>
      <c r="GC600">
        <v>1.4309118444729114</v>
      </c>
      <c r="GD600">
        <v>0.76557300577727561</v>
      </c>
      <c r="GE600">
        <v>2.5080243482858533</v>
      </c>
      <c r="GF600">
        <v>4.3289953441902451</v>
      </c>
      <c r="GG600">
        <v>4.3071035195220855</v>
      </c>
      <c r="GH600">
        <v>6.7032900622791276</v>
      </c>
      <c r="GI600">
        <v>4.9392786493026186</v>
      </c>
      <c r="GJ600"/>
      <c r="GK600"/>
      <c r="GL600"/>
      <c r="GM600"/>
    </row>
    <row r="601" spans="1:195" s="7" customForma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81"/>
      <c r="AG601" s="81"/>
      <c r="AH601" s="81"/>
      <c r="AI601" s="4"/>
      <c r="AJ601" s="81"/>
      <c r="AK601" s="81"/>
      <c r="AL601" s="81"/>
      <c r="AM601" s="43">
        <v>585</v>
      </c>
      <c r="AN601">
        <v>133.42239254910055</v>
      </c>
      <c r="AO601">
        <v>9.3260433904202689</v>
      </c>
      <c r="AP601">
        <v>88.449317802077275</v>
      </c>
      <c r="AQ601">
        <v>73.794597243016739</v>
      </c>
      <c r="AR601">
        <v>9.1887762763357745</v>
      </c>
      <c r="AS601">
        <v>159.15805219863739</v>
      </c>
      <c r="AT601">
        <v>5.7991492836263001</v>
      </c>
      <c r="AU601">
        <v>-4.7656177621069311</v>
      </c>
      <c r="AV601"/>
      <c r="AW601"/>
      <c r="FY601" s="210">
        <v>596</v>
      </c>
      <c r="FZ601">
        <v>23.678491015163939</v>
      </c>
      <c r="GA601">
        <v>25.5982062962903</v>
      </c>
      <c r="GB601">
        <v>2.3597785166844769</v>
      </c>
      <c r="GC601">
        <v>1.563873233568406</v>
      </c>
      <c r="GD601">
        <v>1.0144242856642087</v>
      </c>
      <c r="GE601">
        <v>4.3616585413301312</v>
      </c>
      <c r="GF601">
        <v>8.9259584740411864</v>
      </c>
      <c r="GG601">
        <v>8.0844660489210121</v>
      </c>
      <c r="GH601">
        <v>7.9532800305895055</v>
      </c>
      <c r="GI601">
        <v>7.5352838608141646</v>
      </c>
      <c r="GJ601"/>
      <c r="GK601"/>
      <c r="GL601"/>
      <c r="GM601"/>
    </row>
    <row r="602" spans="1:195" s="7" customForma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81"/>
      <c r="AG602" s="81"/>
      <c r="AH602" s="81"/>
      <c r="AI602" s="4"/>
      <c r="AJ602" s="81"/>
      <c r="AK602" s="81"/>
      <c r="AL602" s="81"/>
      <c r="AM602" s="43">
        <v>586</v>
      </c>
      <c r="AN602">
        <v>138.27472205853101</v>
      </c>
      <c r="AO602">
        <v>11.801399432150442</v>
      </c>
      <c r="AP602">
        <v>119.69759439424689</v>
      </c>
      <c r="AQ602">
        <v>100.95700990369481</v>
      </c>
      <c r="AR602">
        <v>11.466856409536861</v>
      </c>
      <c r="AS602">
        <v>166.09660389143625</v>
      </c>
      <c r="AT602">
        <v>6.5434328237530321</v>
      </c>
      <c r="AU602">
        <v>29.759179467235398</v>
      </c>
      <c r="AV602"/>
      <c r="AW602"/>
      <c r="FY602" s="210">
        <v>597</v>
      </c>
      <c r="FZ602">
        <v>23.976937391059863</v>
      </c>
      <c r="GA602">
        <v>26.988894195084121</v>
      </c>
      <c r="GB602">
        <v>2.4583714366333345</v>
      </c>
      <c r="GC602">
        <v>1.3491664655195563</v>
      </c>
      <c r="GD602">
        <v>0.34022298438767629</v>
      </c>
      <c r="GE602">
        <v>2.3810714246941789</v>
      </c>
      <c r="GF602">
        <v>3.8302607460082938</v>
      </c>
      <c r="GG602">
        <v>4.8271792900448514</v>
      </c>
      <c r="GH602">
        <v>8.9410263437294901</v>
      </c>
      <c r="GI602">
        <v>6.4478991533023748</v>
      </c>
      <c r="GJ602"/>
      <c r="GK602"/>
      <c r="GL602"/>
      <c r="GM602"/>
    </row>
    <row r="603" spans="1:195" s="7" customForma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81"/>
      <c r="AG603" s="81"/>
      <c r="AH603" s="81"/>
      <c r="AI603" s="4"/>
      <c r="AJ603" s="81"/>
      <c r="AK603" s="81"/>
      <c r="AL603" s="81"/>
      <c r="AM603" s="43">
        <v>587</v>
      </c>
      <c r="AN603">
        <v>121.38735648151518</v>
      </c>
      <c r="AO603">
        <v>8.4527322036663861</v>
      </c>
      <c r="AP603">
        <v>84.160323892516615</v>
      </c>
      <c r="AQ603">
        <v>70.376196354385158</v>
      </c>
      <c r="AR603">
        <v>8.4092491600524486</v>
      </c>
      <c r="AS603">
        <v>134.54751328646017</v>
      </c>
      <c r="AT603">
        <v>5.0105001960620035</v>
      </c>
      <c r="AU603">
        <v>36.634085210474431</v>
      </c>
      <c r="AV603"/>
      <c r="AW603"/>
      <c r="FY603" s="210">
        <v>598</v>
      </c>
      <c r="FZ603">
        <v>13.60514009997326</v>
      </c>
      <c r="GA603">
        <v>15.764894975737683</v>
      </c>
      <c r="GB603">
        <v>2.5566672162069795</v>
      </c>
      <c r="GC603">
        <v>1.3694497158598675</v>
      </c>
      <c r="GD603">
        <v>1.7649897265665087</v>
      </c>
      <c r="GE603">
        <v>3.2677290276542692</v>
      </c>
      <c r="GF603">
        <v>8.4526088026546926</v>
      </c>
      <c r="GG603">
        <v>8.4871820857319982</v>
      </c>
      <c r="GH603">
        <v>3.7866933046421356</v>
      </c>
      <c r="GI603">
        <v>5.8049221368835271</v>
      </c>
      <c r="GJ603"/>
      <c r="GK603"/>
      <c r="GL603"/>
      <c r="GM603"/>
    </row>
    <row r="604" spans="1:195" s="7" customForma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81"/>
      <c r="AG604" s="81"/>
      <c r="AH604" s="81"/>
      <c r="AI604" s="4"/>
      <c r="AJ604" s="81"/>
      <c r="AK604" s="81"/>
      <c r="AL604" s="81"/>
      <c r="AM604" s="43">
        <v>588</v>
      </c>
      <c r="AN604">
        <v>82.709715876628721</v>
      </c>
      <c r="AO604">
        <v>9.8170268058898493</v>
      </c>
      <c r="AP604">
        <v>97.36737367834742</v>
      </c>
      <c r="AQ604">
        <v>83.677051864304232</v>
      </c>
      <c r="AR604">
        <v>9.3498191421097125</v>
      </c>
      <c r="AS604">
        <v>161.74103336610466</v>
      </c>
      <c r="AT604">
        <v>6.3939985362715817</v>
      </c>
      <c r="AU604">
        <v>30.763248623587138</v>
      </c>
      <c r="AV604"/>
      <c r="AW604"/>
      <c r="FY604" s="210">
        <v>599</v>
      </c>
      <c r="FZ604">
        <v>45.042082260292155</v>
      </c>
      <c r="GA604">
        <v>51.432402431534001</v>
      </c>
      <c r="GB604">
        <v>2.1891693198797877</v>
      </c>
      <c r="GC604">
        <v>1.2844748399984505</v>
      </c>
      <c r="GD604">
        <v>0.60534566368809828</v>
      </c>
      <c r="GE604">
        <v>1.7305812409470658</v>
      </c>
      <c r="GF604">
        <v>5.9718075875861549</v>
      </c>
      <c r="GG604">
        <v>8.6893868959390499</v>
      </c>
      <c r="GH604">
        <v>9.596263817560299</v>
      </c>
      <c r="GI604">
        <v>10.13912562996541</v>
      </c>
      <c r="GJ604"/>
      <c r="GK604"/>
      <c r="GL604"/>
      <c r="GM604"/>
    </row>
    <row r="605" spans="1:195" s="7" customForma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81"/>
      <c r="AG605" s="81"/>
      <c r="AH605" s="81"/>
      <c r="AI605" s="4"/>
      <c r="AJ605" s="81"/>
      <c r="AK605" s="81"/>
      <c r="AL605" s="81"/>
      <c r="AM605" s="43">
        <v>589</v>
      </c>
      <c r="AN605">
        <v>72.200689594875485</v>
      </c>
      <c r="AO605">
        <v>6.8694325391306972</v>
      </c>
      <c r="AP605">
        <v>62.130698824193978</v>
      </c>
      <c r="AQ605">
        <v>54.098685801259066</v>
      </c>
      <c r="AR605">
        <v>6.8095897360238986</v>
      </c>
      <c r="AS605">
        <v>95.651997049780547</v>
      </c>
      <c r="AT605">
        <v>4.3073017197242258</v>
      </c>
      <c r="AU605">
        <v>6.9460635228997356</v>
      </c>
      <c r="AV605"/>
      <c r="AW605"/>
      <c r="FY605" s="210">
        <v>600</v>
      </c>
      <c r="FZ605">
        <v>22.272679630360205</v>
      </c>
      <c r="GA605">
        <v>27.526024849172941</v>
      </c>
      <c r="GB605">
        <v>1.6493856433945664</v>
      </c>
      <c r="GC605">
        <v>0.89379875990100532</v>
      </c>
      <c r="GD605">
        <v>1.0475371727822953</v>
      </c>
      <c r="GE605">
        <v>2.3558476088907021</v>
      </c>
      <c r="GF605">
        <v>1.7073988078347742</v>
      </c>
      <c r="GG605">
        <v>2.5405021921331987</v>
      </c>
      <c r="GH605">
        <v>6.3828969646399489</v>
      </c>
      <c r="GI605">
        <v>5.623481900078918</v>
      </c>
      <c r="GJ605"/>
      <c r="GK605"/>
      <c r="GL605"/>
      <c r="GM605"/>
    </row>
    <row r="606" spans="1:195" s="7" customForma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81"/>
      <c r="AG606" s="81"/>
      <c r="AH606" s="81"/>
      <c r="AI606" s="4"/>
      <c r="AJ606" s="81"/>
      <c r="AK606" s="81"/>
      <c r="AL606" s="81"/>
      <c r="AM606" s="43">
        <v>590</v>
      </c>
      <c r="AN606">
        <v>88.331039439131132</v>
      </c>
      <c r="AO606">
        <v>10.251018983011399</v>
      </c>
      <c r="AP606">
        <v>99.997494103683593</v>
      </c>
      <c r="AQ606">
        <v>86.173478489760726</v>
      </c>
      <c r="AR606">
        <v>9.9542533959548969</v>
      </c>
      <c r="AS606">
        <v>181.21171350353234</v>
      </c>
      <c r="AT606">
        <v>5.8924856905350369</v>
      </c>
      <c r="AU606">
        <v>10.346845004115323</v>
      </c>
      <c r="AV606"/>
      <c r="AW606"/>
      <c r="FY606" s="210">
        <v>601</v>
      </c>
      <c r="FZ606">
        <v>46.094545774573263</v>
      </c>
      <c r="GA606">
        <v>53.058320310519818</v>
      </c>
      <c r="GB606">
        <v>4.3551517747665285</v>
      </c>
      <c r="GC606">
        <v>1.9270653802161304</v>
      </c>
      <c r="GD606">
        <v>0.92726866210385861</v>
      </c>
      <c r="GE606">
        <v>2.5722008966185608</v>
      </c>
      <c r="GF606">
        <v>4.0094050065981834</v>
      </c>
      <c r="GG606">
        <v>7.0369184987793645</v>
      </c>
      <c r="GH606">
        <v>10.860529397754387</v>
      </c>
      <c r="GI606">
        <v>10.864744581877556</v>
      </c>
      <c r="GJ606"/>
      <c r="GK606"/>
      <c r="GL606"/>
      <c r="GM606"/>
    </row>
    <row r="607" spans="1:195" s="7" customForma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81"/>
      <c r="AG607" s="81"/>
      <c r="AH607" s="81"/>
      <c r="AI607" s="4"/>
      <c r="AJ607" s="81"/>
      <c r="AK607" s="81"/>
      <c r="AL607" s="81"/>
      <c r="AM607" s="43">
        <v>591</v>
      </c>
      <c r="AN607">
        <v>122.13419354451312</v>
      </c>
      <c r="AO607">
        <v>12.382003393513292</v>
      </c>
      <c r="AP607">
        <v>131.47673659524733</v>
      </c>
      <c r="AQ607">
        <v>112.12658989541221</v>
      </c>
      <c r="AR607">
        <v>12.066768390107415</v>
      </c>
      <c r="AS607">
        <v>177.95224638843902</v>
      </c>
      <c r="AT607">
        <v>8.2843550116797591</v>
      </c>
      <c r="AU607">
        <v>17.299825876604864</v>
      </c>
      <c r="AV607"/>
      <c r="AW607"/>
      <c r="FY607" s="210">
        <v>602</v>
      </c>
      <c r="FZ607">
        <v>23.378997491835541</v>
      </c>
      <c r="GA607">
        <v>26.949791580899234</v>
      </c>
      <c r="GB607">
        <v>3.7521687578976142</v>
      </c>
      <c r="GC607">
        <v>1.9695490056684295</v>
      </c>
      <c r="GD607">
        <v>1.107348815712228</v>
      </c>
      <c r="GE607">
        <v>2.9644819714080697</v>
      </c>
      <c r="GF607">
        <v>4.7597257891424958</v>
      </c>
      <c r="GG607">
        <v>6.6568605976340987</v>
      </c>
      <c r="GH607">
        <v>8.6824392406626405</v>
      </c>
      <c r="GI607">
        <v>7.2439282357937209</v>
      </c>
      <c r="GJ607"/>
      <c r="GK607"/>
      <c r="GL607"/>
      <c r="GM607"/>
    </row>
    <row r="608" spans="1:195" s="7" customForma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81"/>
      <c r="AG608" s="81"/>
      <c r="AH608" s="81"/>
      <c r="AI608" s="4"/>
      <c r="AJ608" s="81"/>
      <c r="AK608" s="81"/>
      <c r="AL608" s="81"/>
      <c r="AM608" s="43">
        <v>592</v>
      </c>
      <c r="AN608">
        <v>81.839477744336733</v>
      </c>
      <c r="AO608">
        <v>9.276263959975747</v>
      </c>
      <c r="AP608">
        <v>97.66417991867948</v>
      </c>
      <c r="AQ608">
        <v>82.845054578772363</v>
      </c>
      <c r="AR608">
        <v>8.8710045964158244</v>
      </c>
      <c r="AS608">
        <v>148.45953027478311</v>
      </c>
      <c r="AT608">
        <v>5.3152317047598912</v>
      </c>
      <c r="AU608">
        <v>55.600895683796985</v>
      </c>
      <c r="AV608"/>
      <c r="AW608"/>
      <c r="FY608" s="210">
        <v>603</v>
      </c>
      <c r="FZ608">
        <v>23.133407107446139</v>
      </c>
      <c r="GA608">
        <v>28.564145620545023</v>
      </c>
      <c r="GB608">
        <v>3.1371921365535957</v>
      </c>
      <c r="GC608">
        <v>1.2979682683317302</v>
      </c>
      <c r="GD608">
        <v>1.303528561567695</v>
      </c>
      <c r="GE608">
        <v>2.2662195787061044</v>
      </c>
      <c r="GF608">
        <v>2.0519682862240058</v>
      </c>
      <c r="GG608">
        <v>11.100590507613987</v>
      </c>
      <c r="GH608">
        <v>16.045485384006433</v>
      </c>
      <c r="GI608">
        <v>7.865573570056462</v>
      </c>
      <c r="GJ608"/>
      <c r="GK608"/>
      <c r="GL608"/>
      <c r="GM608"/>
    </row>
    <row r="609" spans="1:195" s="7" customForma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81"/>
      <c r="AG609" s="81"/>
      <c r="AH609" s="81"/>
      <c r="AI609" s="4"/>
      <c r="AJ609" s="81"/>
      <c r="AK609" s="81"/>
      <c r="AL609" s="81"/>
      <c r="AM609" s="43">
        <v>593</v>
      </c>
      <c r="AN609">
        <v>91.506895111669252</v>
      </c>
      <c r="AO609">
        <v>8.8137711608528342</v>
      </c>
      <c r="AP609">
        <v>86.908626755986518</v>
      </c>
      <c r="AQ609">
        <v>73.104339538567046</v>
      </c>
      <c r="AR609">
        <v>8.9551808317917629</v>
      </c>
      <c r="AS609">
        <v>128.87984656280639</v>
      </c>
      <c r="AT609">
        <v>5.2009342316442106</v>
      </c>
      <c r="AU609">
        <v>23.899303240325359</v>
      </c>
      <c r="AV609"/>
      <c r="AW609"/>
      <c r="FY609" s="210">
        <v>604</v>
      </c>
      <c r="FZ609">
        <v>50.346001258557834</v>
      </c>
      <c r="GA609">
        <v>52.770536841006347</v>
      </c>
      <c r="GB609">
        <v>1.8190080813189429</v>
      </c>
      <c r="GC609">
        <v>0.71221818389629665</v>
      </c>
      <c r="GD609">
        <v>0.41514560178198473</v>
      </c>
      <c r="GE609">
        <v>1.1905567722756587</v>
      </c>
      <c r="GF609">
        <v>7.3780649000624852</v>
      </c>
      <c r="GG609">
        <v>13.146459195592733</v>
      </c>
      <c r="GH609">
        <v>12.716313278041365</v>
      </c>
      <c r="GI609">
        <v>11.471795581327276</v>
      </c>
      <c r="GJ609"/>
      <c r="GK609"/>
      <c r="GL609"/>
      <c r="GM609"/>
    </row>
    <row r="610" spans="1:195" s="7" customForma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81"/>
      <c r="AG610" s="81"/>
      <c r="AH610" s="81"/>
      <c r="AI610" s="4"/>
      <c r="AJ610" s="81"/>
      <c r="AK610" s="81"/>
      <c r="AL610" s="81"/>
      <c r="AM610" s="43">
        <v>594</v>
      </c>
      <c r="AN610">
        <v>66.825721704846487</v>
      </c>
      <c r="AO610">
        <v>3.8411367286834777</v>
      </c>
      <c r="AP610">
        <v>32.955706063947602</v>
      </c>
      <c r="AQ610">
        <v>26.957055970283498</v>
      </c>
      <c r="AR610">
        <v>3.8008201044646373</v>
      </c>
      <c r="AS610">
        <v>76.818243983046415</v>
      </c>
      <c r="AT610">
        <v>2.1467875728867885</v>
      </c>
      <c r="AU610">
        <v>22.33095475069986</v>
      </c>
      <c r="AV610"/>
      <c r="AW610"/>
      <c r="FY610" s="210">
        <v>605</v>
      </c>
      <c r="FZ610">
        <v>14.941776802966363</v>
      </c>
      <c r="GA610">
        <v>18.348957206950359</v>
      </c>
      <c r="GB610">
        <v>3.8370919984690888</v>
      </c>
      <c r="GC610">
        <v>1.0030757615576891</v>
      </c>
      <c r="GD610">
        <v>1.263220384457139</v>
      </c>
      <c r="GE610">
        <v>3.9652746992834373</v>
      </c>
      <c r="GF610">
        <v>7.9682546680215252</v>
      </c>
      <c r="GG610">
        <v>6.7117562560943158</v>
      </c>
      <c r="GH610">
        <v>6.4995184029926065</v>
      </c>
      <c r="GI610">
        <v>6.3741764768344762</v>
      </c>
      <c r="GJ610"/>
      <c r="GK610"/>
      <c r="GL610"/>
      <c r="GM610"/>
    </row>
    <row r="611" spans="1:195" s="7" customForma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81"/>
      <c r="AG611" s="81"/>
      <c r="AH611" s="81"/>
      <c r="AI611" s="4"/>
      <c r="AJ611" s="81"/>
      <c r="AK611" s="81"/>
      <c r="AL611" s="81"/>
      <c r="AM611" s="43">
        <v>595</v>
      </c>
      <c r="AN611">
        <v>77.430032392252187</v>
      </c>
      <c r="AO611">
        <v>7.0810956948399326</v>
      </c>
      <c r="AP611">
        <v>69.002796699914398</v>
      </c>
      <c r="AQ611">
        <v>57.139670334300234</v>
      </c>
      <c r="AR611">
        <v>6.8002811605301066</v>
      </c>
      <c r="AS611">
        <v>90.107168497777195</v>
      </c>
      <c r="AT611">
        <v>4.5067728989534288</v>
      </c>
      <c r="AU611">
        <v>-22.520288752342992</v>
      </c>
      <c r="AV611"/>
      <c r="AW611"/>
      <c r="FY611" s="210">
        <v>606</v>
      </c>
      <c r="FZ611">
        <v>36.003336908352594</v>
      </c>
      <c r="GA611">
        <v>40.148702307084015</v>
      </c>
      <c r="GB611">
        <v>3.0217672528701622</v>
      </c>
      <c r="GC611">
        <v>1.2883243119375927</v>
      </c>
      <c r="GD611">
        <v>0.24509037859211147</v>
      </c>
      <c r="GE611">
        <v>0.91185206570101052</v>
      </c>
      <c r="GF611">
        <v>3.4657002705188034</v>
      </c>
      <c r="GG611">
        <v>5.8102813355369447</v>
      </c>
      <c r="GH611">
        <v>8.7802494450767909</v>
      </c>
      <c r="GI611">
        <v>8.2238062965594878</v>
      </c>
      <c r="GJ611"/>
      <c r="GK611"/>
      <c r="GL611"/>
      <c r="GM611"/>
    </row>
    <row r="612" spans="1:195" s="7" customForma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81"/>
      <c r="AG612" s="81"/>
      <c r="AH612" s="81"/>
      <c r="AI612" s="4"/>
      <c r="AJ612" s="81"/>
      <c r="AK612" s="81"/>
      <c r="AL612" s="81"/>
      <c r="AM612" s="43">
        <v>596</v>
      </c>
      <c r="AN612">
        <v>136.00897467352334</v>
      </c>
      <c r="AO612">
        <v>10.850632217378266</v>
      </c>
      <c r="AP612">
        <v>105.58533310360224</v>
      </c>
      <c r="AQ612">
        <v>91.075420303067332</v>
      </c>
      <c r="AR612">
        <v>10.294432890057653</v>
      </c>
      <c r="AS612">
        <v>183.26279886649439</v>
      </c>
      <c r="AT612">
        <v>6.7767869770848348</v>
      </c>
      <c r="AU612">
        <v>19.11778758502625</v>
      </c>
      <c r="AV612"/>
      <c r="AW612"/>
      <c r="FY612" s="210">
        <v>607</v>
      </c>
      <c r="FZ612">
        <v>14.712097074221822</v>
      </c>
      <c r="GA612">
        <v>15.113952410817761</v>
      </c>
      <c r="GB612">
        <v>3.1485808444227299</v>
      </c>
      <c r="GC612">
        <v>1.3768823611831176</v>
      </c>
      <c r="GD612">
        <v>0.91562972677994359</v>
      </c>
      <c r="GE612">
        <v>4.3914938906009739</v>
      </c>
      <c r="GF612">
        <v>11.800509362629093</v>
      </c>
      <c r="GG612">
        <v>7.9558650485953555</v>
      </c>
      <c r="GH612">
        <v>6.7437199415552644</v>
      </c>
      <c r="GI612">
        <v>6.6857322281315854</v>
      </c>
      <c r="GJ612"/>
      <c r="GK612"/>
      <c r="GL612"/>
      <c r="GM612"/>
    </row>
    <row r="613" spans="1:195" s="7" customForma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81"/>
      <c r="AG613" s="81"/>
      <c r="AH613" s="81"/>
      <c r="AI613" s="4"/>
      <c r="AJ613" s="81"/>
      <c r="AK613" s="81"/>
      <c r="AL613" s="81"/>
      <c r="AM613" s="43">
        <v>597</v>
      </c>
      <c r="AN613">
        <v>112.55682684167998</v>
      </c>
      <c r="AO613">
        <v>9.1733634298373374</v>
      </c>
      <c r="AP613">
        <v>95.067642287172973</v>
      </c>
      <c r="AQ613">
        <v>81.541029430463738</v>
      </c>
      <c r="AR613">
        <v>8.8482267613965231</v>
      </c>
      <c r="AS613">
        <v>150.37222529243118</v>
      </c>
      <c r="AT613">
        <v>5.1727647172062552</v>
      </c>
      <c r="AU613">
        <v>18.982365531476663</v>
      </c>
      <c r="AV613"/>
      <c r="AW613"/>
      <c r="FY613" s="210">
        <v>608</v>
      </c>
      <c r="FZ613">
        <v>43.816152688236627</v>
      </c>
      <c r="GA613">
        <v>52.069855001495398</v>
      </c>
      <c r="GB613">
        <v>2.0067619659511866</v>
      </c>
      <c r="GC613">
        <v>1.1223401126905876</v>
      </c>
      <c r="GD613">
        <v>0.7486968512381732</v>
      </c>
      <c r="GE613">
        <v>3.0259107782627828</v>
      </c>
      <c r="GF613">
        <v>6.5032265689120932</v>
      </c>
      <c r="GG613">
        <v>5.1597060652134816</v>
      </c>
      <c r="GH613">
        <v>5.48223313147348</v>
      </c>
      <c r="GI613">
        <v>9.4419904993340289</v>
      </c>
      <c r="GJ613"/>
      <c r="GK613"/>
      <c r="GL613"/>
      <c r="GM613"/>
    </row>
    <row r="614" spans="1:195" s="7" customForma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81"/>
      <c r="AG614" s="81"/>
      <c r="AH614" s="81"/>
      <c r="AI614" s="4"/>
      <c r="AJ614" s="81"/>
      <c r="AK614" s="81"/>
      <c r="AL614" s="81"/>
      <c r="AM614" s="43">
        <v>598</v>
      </c>
      <c r="AN614">
        <v>110.36253538115811</v>
      </c>
      <c r="AO614">
        <v>8.3796143900899338</v>
      </c>
      <c r="AP614">
        <v>75.439684447963756</v>
      </c>
      <c r="AQ614">
        <v>64.86027709191093</v>
      </c>
      <c r="AR614">
        <v>8.0528062337122677</v>
      </c>
      <c r="AS614">
        <v>146.95843183001412</v>
      </c>
      <c r="AT614">
        <v>4.7801554700052602</v>
      </c>
      <c r="AU614">
        <v>23.741651456797104</v>
      </c>
      <c r="AV614"/>
      <c r="AW614"/>
      <c r="FY614" s="210">
        <v>609</v>
      </c>
      <c r="FZ614">
        <v>23.608069924153142</v>
      </c>
      <c r="GA614">
        <v>25.96789238070717</v>
      </c>
      <c r="GB614">
        <v>2.8974765168866035</v>
      </c>
      <c r="GC614">
        <v>1.9434850550900626</v>
      </c>
      <c r="GD614">
        <v>0.79749086942808445</v>
      </c>
      <c r="GE614">
        <v>1.692554171915388</v>
      </c>
      <c r="GF614">
        <v>8.5246502842871568</v>
      </c>
      <c r="GG614">
        <v>10.750395890472955</v>
      </c>
      <c r="GH614">
        <v>8.4741352383251964</v>
      </c>
      <c r="GI614">
        <v>7.5478251462870745</v>
      </c>
      <c r="GJ614"/>
      <c r="GK614"/>
      <c r="GL614"/>
      <c r="GM614"/>
    </row>
    <row r="615" spans="1:195" s="7" customForma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81"/>
      <c r="AG615" s="81"/>
      <c r="AH615" s="81"/>
      <c r="AI615" s="4"/>
      <c r="AJ615" s="81"/>
      <c r="AK615" s="81"/>
      <c r="AL615" s="81"/>
      <c r="AM615" s="43">
        <v>599</v>
      </c>
      <c r="AN615">
        <v>121.18669472989302</v>
      </c>
      <c r="AO615">
        <v>14.759309030243923</v>
      </c>
      <c r="AP615">
        <v>158.82907141458361</v>
      </c>
      <c r="AQ615">
        <v>136.68063968739045</v>
      </c>
      <c r="AR615">
        <v>14.140824695610126</v>
      </c>
      <c r="AS615">
        <v>252.63537955789434</v>
      </c>
      <c r="AT615">
        <v>8.7159642964976971</v>
      </c>
      <c r="AU615">
        <v>88.024195669387439</v>
      </c>
      <c r="AV615"/>
      <c r="AW615"/>
      <c r="FY615" s="210">
        <v>610</v>
      </c>
      <c r="FZ615">
        <v>22.546827236333744</v>
      </c>
      <c r="GA615">
        <v>25.989992628657333</v>
      </c>
      <c r="GB615">
        <v>2.875018420364305</v>
      </c>
      <c r="GC615">
        <v>1.6818953012865907</v>
      </c>
      <c r="GD615">
        <v>0.399466309173787</v>
      </c>
      <c r="GE615">
        <v>1.0838683454347013</v>
      </c>
      <c r="GF615">
        <v>3.5370330863073303</v>
      </c>
      <c r="GG615">
        <v>5.1969054539395554</v>
      </c>
      <c r="GH615">
        <v>7.9804647823154449</v>
      </c>
      <c r="GI615">
        <v>6.1697798821262939</v>
      </c>
      <c r="GJ615"/>
      <c r="GK615"/>
      <c r="GL615"/>
      <c r="GM615"/>
    </row>
    <row r="616" spans="1:195" s="7" customForma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81"/>
      <c r="AG616" s="81"/>
      <c r="AH616" s="81"/>
      <c r="AI616" s="4"/>
      <c r="AJ616" s="81"/>
      <c r="AK616" s="81"/>
      <c r="AL616" s="81"/>
      <c r="AM616" s="43">
        <v>600</v>
      </c>
      <c r="AN616">
        <v>68.051916744144634</v>
      </c>
      <c r="AO616">
        <v>8.0978001542346139</v>
      </c>
      <c r="AP616">
        <v>82.477134924884382</v>
      </c>
      <c r="AQ616">
        <v>71.999553529188546</v>
      </c>
      <c r="AR616">
        <v>7.7881921116135437</v>
      </c>
      <c r="AS616">
        <v>116.78951974650474</v>
      </c>
      <c r="AT616">
        <v>4.5747429535900661</v>
      </c>
      <c r="AU616">
        <v>17.317824474660569</v>
      </c>
      <c r="AV616"/>
      <c r="AW616"/>
      <c r="FY616" s="210">
        <v>611</v>
      </c>
      <c r="FZ616">
        <v>43.313009264305038</v>
      </c>
      <c r="GA616">
        <v>52.72371395589326</v>
      </c>
      <c r="GB616">
        <v>2.4239585292765553</v>
      </c>
      <c r="GC616">
        <v>1.1459258307514004</v>
      </c>
      <c r="GD616">
        <v>0.68356300140875859</v>
      </c>
      <c r="GE616">
        <v>2.9813309961258621</v>
      </c>
      <c r="GF616">
        <v>5.3246905316189768</v>
      </c>
      <c r="GG616">
        <v>5.8666377461320494</v>
      </c>
      <c r="GH616">
        <v>7.9909302722604671</v>
      </c>
      <c r="GI616">
        <v>9.622612896645709</v>
      </c>
      <c r="GJ616"/>
      <c r="GK616"/>
      <c r="GL616"/>
      <c r="GM616"/>
    </row>
    <row r="617" spans="1:195" s="7" customForma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81"/>
      <c r="AG617" s="81"/>
      <c r="AH617" s="81"/>
      <c r="AI617" s="4"/>
      <c r="AJ617" s="81"/>
      <c r="AK617" s="81"/>
      <c r="AL617" s="81"/>
      <c r="AM617" s="43">
        <v>601</v>
      </c>
      <c r="AN617">
        <v>136.75654785849417</v>
      </c>
      <c r="AO617">
        <v>15.635353946217634</v>
      </c>
      <c r="AP617">
        <v>164.92253485076242</v>
      </c>
      <c r="AQ617">
        <v>141.70615028380763</v>
      </c>
      <c r="AR617">
        <v>15.144219794051063</v>
      </c>
      <c r="AS617">
        <v>211.03297169924215</v>
      </c>
      <c r="AT617">
        <v>9.4014697012342534</v>
      </c>
      <c r="AU617">
        <v>8.4630549614880106</v>
      </c>
      <c r="AV617"/>
      <c r="AW617"/>
      <c r="FY617" s="210">
        <v>612</v>
      </c>
      <c r="FZ617">
        <v>13.009926855959424</v>
      </c>
      <c r="GA617">
        <v>15.278808234053086</v>
      </c>
      <c r="GB617">
        <v>2.9776619846605268</v>
      </c>
      <c r="GC617">
        <v>1.4160256512828588</v>
      </c>
      <c r="GD617">
        <v>0.63698602617804223</v>
      </c>
      <c r="GE617">
        <v>1.0459083712703772</v>
      </c>
      <c r="GF617">
        <v>6.0874186573571798</v>
      </c>
      <c r="GG617">
        <v>14.83929922811503</v>
      </c>
      <c r="GH617">
        <v>16.607339529583715</v>
      </c>
      <c r="GI617">
        <v>6.7559862870866416</v>
      </c>
      <c r="GJ617"/>
      <c r="GK617"/>
      <c r="GL617"/>
      <c r="GM617"/>
    </row>
    <row r="618" spans="1:195" s="7" customForma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81"/>
      <c r="AG618" s="81"/>
      <c r="AH618" s="81"/>
      <c r="AI618" s="4"/>
      <c r="AJ618" s="81"/>
      <c r="AK618" s="81"/>
      <c r="AL618" s="81"/>
      <c r="AM618" s="43">
        <v>602</v>
      </c>
      <c r="AN618">
        <v>107.06604975272334</v>
      </c>
      <c r="AO618">
        <v>10.386775015326544</v>
      </c>
      <c r="AP618">
        <v>102.03428830615816</v>
      </c>
      <c r="AQ618">
        <v>87.465291486654067</v>
      </c>
      <c r="AR618">
        <v>10.021497606931463</v>
      </c>
      <c r="AS618">
        <v>164.14239829989572</v>
      </c>
      <c r="AT618">
        <v>6.5888094885837978</v>
      </c>
      <c r="AU618">
        <v>14.926953366528789</v>
      </c>
      <c r="AV618"/>
      <c r="AW618"/>
      <c r="FY618" s="210">
        <v>613</v>
      </c>
      <c r="FZ618">
        <v>32.877465537910183</v>
      </c>
      <c r="GA618">
        <v>40.771210173458854</v>
      </c>
      <c r="GB618">
        <v>2.092336587684807</v>
      </c>
      <c r="GC618">
        <v>0.94080399533929704</v>
      </c>
      <c r="GD618">
        <v>1.0303211456855847</v>
      </c>
      <c r="GE618">
        <v>3.6504467332278931</v>
      </c>
      <c r="GF618">
        <v>7.8174933773232214</v>
      </c>
      <c r="GG618">
        <v>8.8062943093190249</v>
      </c>
      <c r="GH618">
        <v>9.1216422998839519</v>
      </c>
      <c r="GI618">
        <v>8.8342699962124733</v>
      </c>
      <c r="GJ618"/>
      <c r="GK618"/>
      <c r="GL618"/>
      <c r="GM618"/>
    </row>
    <row r="619" spans="1:195" s="7" customForma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81"/>
      <c r="AG619" s="81"/>
      <c r="AH619" s="81"/>
      <c r="AI619" s="4"/>
      <c r="AJ619" s="81"/>
      <c r="AK619" s="81"/>
      <c r="AL619" s="81"/>
      <c r="AM619" s="43">
        <v>603</v>
      </c>
      <c r="AN619">
        <v>111.41006783006738</v>
      </c>
      <c r="AO619">
        <v>11.369623802502741</v>
      </c>
      <c r="AP619">
        <v>113.61517031580836</v>
      </c>
      <c r="AQ619">
        <v>96.766079021051183</v>
      </c>
      <c r="AR619">
        <v>10.979302663705564</v>
      </c>
      <c r="AS619">
        <v>210.16024058517968</v>
      </c>
      <c r="AT619">
        <v>7.0706307797893286</v>
      </c>
      <c r="AU619">
        <v>37.656159103428109</v>
      </c>
      <c r="AV619"/>
      <c r="AW619"/>
      <c r="FY619" s="210">
        <v>614</v>
      </c>
      <c r="FZ619">
        <v>33.401524988381958</v>
      </c>
      <c r="GA619">
        <v>40.114565181013134</v>
      </c>
      <c r="GB619">
        <v>3.0350796303251464</v>
      </c>
      <c r="GC619">
        <v>1.6431762696718719</v>
      </c>
      <c r="GD619">
        <v>0.6720696429668912</v>
      </c>
      <c r="GE619">
        <v>1.0281718234569546</v>
      </c>
      <c r="GF619">
        <v>4.6633938158894734</v>
      </c>
      <c r="GG619">
        <v>12.167486596455902</v>
      </c>
      <c r="GH619">
        <v>14.056272911570284</v>
      </c>
      <c r="GI619">
        <v>9.1352651949128028</v>
      </c>
      <c r="GJ619"/>
      <c r="GK619"/>
      <c r="GL619"/>
      <c r="GM619"/>
    </row>
    <row r="620" spans="1:195" s="7" customForma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81"/>
      <c r="AG620" s="81"/>
      <c r="AH620" s="81"/>
      <c r="AI620" s="4"/>
      <c r="AJ620" s="81"/>
      <c r="AK620" s="81"/>
      <c r="AL620" s="81"/>
      <c r="AM620" s="43">
        <v>604</v>
      </c>
      <c r="AN620">
        <v>140.88085754347333</v>
      </c>
      <c r="AO620">
        <v>16.321536754068237</v>
      </c>
      <c r="AP620">
        <v>177.45944449997901</v>
      </c>
      <c r="AQ620">
        <v>151.96609969386091</v>
      </c>
      <c r="AR620">
        <v>16.020217100804679</v>
      </c>
      <c r="AS620">
        <v>221.37239261477686</v>
      </c>
      <c r="AT620">
        <v>9.6378951068922785</v>
      </c>
      <c r="AU620">
        <v>98.186026378481969</v>
      </c>
      <c r="AV620"/>
      <c r="AW620"/>
      <c r="FY620" s="210">
        <v>615</v>
      </c>
      <c r="FZ620">
        <v>32.01230350062351</v>
      </c>
      <c r="GA620">
        <v>38.000359090644928</v>
      </c>
      <c r="GB620">
        <v>2.1366275791966634</v>
      </c>
      <c r="GC620">
        <v>1.1929731972997386</v>
      </c>
      <c r="GD620">
        <v>1.3145572719077103</v>
      </c>
      <c r="GE620">
        <v>2.8216260878312438</v>
      </c>
      <c r="GF620">
        <v>3.0347648433547265</v>
      </c>
      <c r="GG620">
        <v>7.7493702449055784</v>
      </c>
      <c r="GH620">
        <v>9.9508874501275457</v>
      </c>
      <c r="GI620">
        <v>8.1583924993971682</v>
      </c>
      <c r="GJ620"/>
      <c r="GK620"/>
      <c r="GL620"/>
      <c r="GM620"/>
    </row>
    <row r="621" spans="1:195" s="7" customForma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81"/>
      <c r="AG621" s="81"/>
      <c r="AH621" s="81"/>
      <c r="AI621" s="4"/>
      <c r="AJ621" s="81"/>
      <c r="AK621" s="81"/>
      <c r="AL621" s="81"/>
      <c r="AM621" s="43">
        <v>605</v>
      </c>
      <c r="AN621">
        <v>103.37642094160205</v>
      </c>
      <c r="AO621">
        <v>8.8538219029933405</v>
      </c>
      <c r="AP621">
        <v>84.279050624067068</v>
      </c>
      <c r="AQ621">
        <v>70.913102657626993</v>
      </c>
      <c r="AR621">
        <v>8.7787955029333755</v>
      </c>
      <c r="AS621">
        <v>164.36438531139609</v>
      </c>
      <c r="AT621">
        <v>5.2724787645739912</v>
      </c>
      <c r="AU621">
        <v>8.1072680651967541</v>
      </c>
      <c r="AV621"/>
      <c r="AW621"/>
      <c r="FY621" s="210">
        <v>616</v>
      </c>
      <c r="FZ621">
        <v>32.262882280509743</v>
      </c>
      <c r="GA621">
        <v>39.652583624477593</v>
      </c>
      <c r="GB621">
        <v>2.3537981431098203</v>
      </c>
      <c r="GC621">
        <v>1.016207549171833</v>
      </c>
      <c r="GD621">
        <v>0.29587961033513105</v>
      </c>
      <c r="GE621">
        <v>1.3436836405565002</v>
      </c>
      <c r="GF621">
        <v>7.296040158433005</v>
      </c>
      <c r="GG621">
        <v>7.1458081764702817</v>
      </c>
      <c r="GH621">
        <v>4.7098699087601918</v>
      </c>
      <c r="GI621">
        <v>7.580006152493926</v>
      </c>
      <c r="GJ621"/>
      <c r="GK621"/>
      <c r="GL621"/>
      <c r="GM621"/>
    </row>
    <row r="622" spans="1:195" s="7" customForma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81"/>
      <c r="AG622" s="81"/>
      <c r="AH622" s="81"/>
      <c r="AI622" s="4"/>
      <c r="AJ622" s="81"/>
      <c r="AK622" s="81"/>
      <c r="AL622" s="81"/>
      <c r="AM622" s="43">
        <v>606</v>
      </c>
      <c r="AN622">
        <v>95.078015671936114</v>
      </c>
      <c r="AO622">
        <v>11.654221169130587</v>
      </c>
      <c r="AP622">
        <v>126.68591110100974</v>
      </c>
      <c r="AQ622">
        <v>107.89911057222952</v>
      </c>
      <c r="AR622">
        <v>11.462517451263738</v>
      </c>
      <c r="AS622">
        <v>157.56845671346454</v>
      </c>
      <c r="AT622">
        <v>7.1427969967190537</v>
      </c>
      <c r="AU622">
        <v>21.53562735443014</v>
      </c>
      <c r="AV622"/>
      <c r="AW622"/>
      <c r="FY622" s="210">
        <v>617</v>
      </c>
      <c r="FZ622">
        <v>13.545184442706461</v>
      </c>
      <c r="GA622">
        <v>15.563841214591495</v>
      </c>
      <c r="GB622">
        <v>2.5439460583669544</v>
      </c>
      <c r="GC622">
        <v>1.1059846981502279</v>
      </c>
      <c r="GD622">
        <v>0.45314495390746423</v>
      </c>
      <c r="GE622">
        <v>1.0359745436431718</v>
      </c>
      <c r="GF622">
        <v>9.5323630587008257</v>
      </c>
      <c r="GG622">
        <v>17.494827317765481</v>
      </c>
      <c r="GH622">
        <v>17.801581970246065</v>
      </c>
      <c r="GI622">
        <v>7.4362100713623693</v>
      </c>
      <c r="GJ622"/>
      <c r="GK622"/>
      <c r="GL622"/>
      <c r="GM622"/>
    </row>
    <row r="623" spans="1:195" s="7" customForma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81"/>
      <c r="AG623" s="81"/>
      <c r="AH623" s="81"/>
      <c r="AI623" s="4"/>
      <c r="AJ623" s="81"/>
      <c r="AK623" s="81"/>
      <c r="AL623" s="81"/>
      <c r="AM623" s="43">
        <v>607</v>
      </c>
      <c r="AN623">
        <v>123.76111169190656</v>
      </c>
      <c r="AO623">
        <v>9.1660891080221916</v>
      </c>
      <c r="AP623">
        <v>86.647031757757858</v>
      </c>
      <c r="AQ623">
        <v>72.844462888937656</v>
      </c>
      <c r="AR623">
        <v>9.0922904484430926</v>
      </c>
      <c r="AS623">
        <v>169.34460169600933</v>
      </c>
      <c r="AT623">
        <v>5.9014406181472152</v>
      </c>
      <c r="AU623">
        <v>1.7089109044718125</v>
      </c>
      <c r="AV623"/>
      <c r="AW623"/>
      <c r="FY623" s="210">
        <v>618</v>
      </c>
      <c r="FZ623">
        <v>35.966559017912331</v>
      </c>
      <c r="GA623">
        <v>40.257736111471871</v>
      </c>
      <c r="GB623">
        <v>3.1875940990478813</v>
      </c>
      <c r="GC623">
        <v>1.6159904360180184</v>
      </c>
      <c r="GD623">
        <v>0.80369237099661706</v>
      </c>
      <c r="GE623">
        <v>3.4532731900180029</v>
      </c>
      <c r="GF623">
        <v>8.2201263107380402</v>
      </c>
      <c r="GG623">
        <v>5.8122675453760024</v>
      </c>
      <c r="GH623">
        <v>6.3531226741645348</v>
      </c>
      <c r="GI623">
        <v>9.053323407427305</v>
      </c>
      <c r="GJ623"/>
      <c r="GK623"/>
      <c r="GL623"/>
      <c r="GM623"/>
    </row>
    <row r="624" spans="1:195" s="7" customForma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81"/>
      <c r="AG624" s="81"/>
      <c r="AH624" s="81"/>
      <c r="AI624" s="4"/>
      <c r="AJ624" s="81"/>
      <c r="AK624" s="81"/>
      <c r="AL624" s="81"/>
      <c r="AM624" s="43">
        <v>608</v>
      </c>
      <c r="AN624">
        <v>122.61687899803192</v>
      </c>
      <c r="AO624">
        <v>13.9326873994622</v>
      </c>
      <c r="AP624">
        <v>149.0267539332751</v>
      </c>
      <c r="AQ624">
        <v>129.37687366280787</v>
      </c>
      <c r="AR624">
        <v>13.068902086980167</v>
      </c>
      <c r="AS624">
        <v>194.73933390869047</v>
      </c>
      <c r="AT624">
        <v>7.9408772465159965</v>
      </c>
      <c r="AU624">
        <v>22.280966579911698</v>
      </c>
      <c r="AV624"/>
      <c r="AW624"/>
      <c r="FY624" s="210">
        <v>619</v>
      </c>
      <c r="FZ624">
        <v>2.8820655054028101</v>
      </c>
      <c r="GA624">
        <v>3.8696091084190951</v>
      </c>
      <c r="GB624">
        <v>3.2158543954016698</v>
      </c>
      <c r="GC624">
        <v>1.5645892603566172</v>
      </c>
      <c r="GD624">
        <v>1.1721441288009871</v>
      </c>
      <c r="GE624">
        <v>3.9208129074553675</v>
      </c>
      <c r="GF624">
        <v>6.2094157453416372</v>
      </c>
      <c r="GG624">
        <v>4.4875868895612276</v>
      </c>
      <c r="GH624">
        <v>7.5179589384407777</v>
      </c>
      <c r="GI624">
        <v>4.2137185958073511</v>
      </c>
      <c r="GJ624"/>
      <c r="GK624"/>
      <c r="GL624"/>
      <c r="GM624"/>
    </row>
    <row r="625" spans="1:195" s="7" customForma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81"/>
      <c r="AG625" s="81"/>
      <c r="AH625" s="81"/>
      <c r="AI625" s="4"/>
      <c r="AJ625" s="81"/>
      <c r="AK625" s="81"/>
      <c r="AL625" s="81"/>
      <c r="AM625" s="43">
        <v>609</v>
      </c>
      <c r="AN625">
        <v>112.71715227438241</v>
      </c>
      <c r="AO625">
        <v>10.882688077659195</v>
      </c>
      <c r="AP625">
        <v>108.9031840748811</v>
      </c>
      <c r="AQ625">
        <v>92.203975477552831</v>
      </c>
      <c r="AR625">
        <v>10.476312667233868</v>
      </c>
      <c r="AS625">
        <v>177.61151053713087</v>
      </c>
      <c r="AT625">
        <v>6.7787076811841116</v>
      </c>
      <c r="AU625">
        <v>17.795693315321024</v>
      </c>
      <c r="AV625"/>
      <c r="AW625"/>
      <c r="FY625" s="210">
        <v>620</v>
      </c>
      <c r="FZ625">
        <v>34.131159990057526</v>
      </c>
      <c r="GA625">
        <v>38.074854454846225</v>
      </c>
      <c r="GB625">
        <v>1.3288867412157022</v>
      </c>
      <c r="GC625">
        <v>1.0890795835719154</v>
      </c>
      <c r="GD625">
        <v>0.92568438162005884</v>
      </c>
      <c r="GE625">
        <v>2.7286515287639372</v>
      </c>
      <c r="GF625">
        <v>6.4835616705970933</v>
      </c>
      <c r="GG625">
        <v>13.858621579441369</v>
      </c>
      <c r="GH625">
        <v>17.129971998730628</v>
      </c>
      <c r="GI625">
        <v>9.7897416209512489</v>
      </c>
      <c r="GJ625"/>
      <c r="GK625"/>
      <c r="GL625"/>
      <c r="GM625"/>
    </row>
    <row r="626" spans="1:195" s="7" customForma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81"/>
      <c r="AG626" s="81"/>
      <c r="AH626" s="81"/>
      <c r="AI626" s="4"/>
      <c r="AJ626" s="81"/>
      <c r="AK626" s="81"/>
      <c r="AL626" s="81"/>
      <c r="AM626" s="43">
        <v>610</v>
      </c>
      <c r="AN626">
        <v>71.617454353900982</v>
      </c>
      <c r="AO626">
        <v>8.7743850526829945</v>
      </c>
      <c r="AP626">
        <v>91.188970369738414</v>
      </c>
      <c r="AQ626">
        <v>77.461251445939084</v>
      </c>
      <c r="AR626">
        <v>8.580765671011072</v>
      </c>
      <c r="AS626">
        <v>135.1670493175464</v>
      </c>
      <c r="AT626">
        <v>5.8095989406585398</v>
      </c>
      <c r="AU626">
        <v>10.207433967572815</v>
      </c>
      <c r="AV626"/>
      <c r="AW626"/>
      <c r="FY626" s="210">
        <v>621</v>
      </c>
      <c r="FZ626">
        <v>2.8475323798504126</v>
      </c>
      <c r="GA626">
        <v>3.2785681206343034</v>
      </c>
      <c r="GB626">
        <v>2.4148313317358645</v>
      </c>
      <c r="GC626">
        <v>0.96388954415340855</v>
      </c>
      <c r="GD626">
        <v>1.2077860933843811</v>
      </c>
      <c r="GE626">
        <v>3.4104671977941279</v>
      </c>
      <c r="GF626">
        <v>7.2731863231234133</v>
      </c>
      <c r="GG626">
        <v>12.994506552155091</v>
      </c>
      <c r="GH626">
        <v>16.032761218451608</v>
      </c>
      <c r="GI626">
        <v>5.571266322203706</v>
      </c>
      <c r="GJ626"/>
      <c r="GK626"/>
      <c r="GL626"/>
      <c r="GM626"/>
    </row>
    <row r="627" spans="1:195" s="7" customForma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81"/>
      <c r="AG627" s="81"/>
      <c r="AH627" s="81"/>
      <c r="AI627" s="4"/>
      <c r="AJ627" s="81"/>
      <c r="AK627" s="81"/>
      <c r="AL627" s="81"/>
      <c r="AM627" s="43">
        <v>611</v>
      </c>
      <c r="AN627">
        <v>132.45069024256199</v>
      </c>
      <c r="AO627">
        <v>14.246026012870825</v>
      </c>
      <c r="AP627">
        <v>152.65105596390191</v>
      </c>
      <c r="AQ627">
        <v>132.07637302441807</v>
      </c>
      <c r="AR627">
        <v>13.324757900822554</v>
      </c>
      <c r="AS627">
        <v>213.89930957064718</v>
      </c>
      <c r="AT627">
        <v>8.1145196475332177</v>
      </c>
      <c r="AU627">
        <v>11.274799403232146</v>
      </c>
      <c r="AV627"/>
      <c r="AW627"/>
      <c r="FY627" s="210">
        <v>622</v>
      </c>
      <c r="FZ627">
        <v>2.7839601423912574</v>
      </c>
      <c r="GA627">
        <v>2.4585043908219846</v>
      </c>
      <c r="GB627">
        <v>2.6094323820537308</v>
      </c>
      <c r="GC627">
        <v>1.4501993413429455</v>
      </c>
      <c r="GD627">
        <v>0.94262542555796247</v>
      </c>
      <c r="GE627">
        <v>2.0564754852451466</v>
      </c>
      <c r="GF627">
        <v>6.0530013592989595</v>
      </c>
      <c r="GG627">
        <v>13.785252348165692</v>
      </c>
      <c r="GH627">
        <v>14.10985348337462</v>
      </c>
      <c r="GI627">
        <v>4.93645416607702</v>
      </c>
      <c r="GJ627"/>
      <c r="GK627"/>
      <c r="GL627"/>
      <c r="GM627"/>
    </row>
    <row r="628" spans="1:195" s="7" customForma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81"/>
      <c r="AG628" s="81"/>
      <c r="AH628" s="81"/>
      <c r="AI628" s="4"/>
      <c r="AJ628" s="81"/>
      <c r="AK628" s="81"/>
      <c r="AL628" s="81"/>
      <c r="AM628" s="43">
        <v>612</v>
      </c>
      <c r="AN628">
        <v>132.49163146617951</v>
      </c>
      <c r="AO628">
        <v>9.5925953484420656</v>
      </c>
      <c r="AP628">
        <v>95.299371043042186</v>
      </c>
      <c r="AQ628">
        <v>78.655360825546893</v>
      </c>
      <c r="AR628">
        <v>9.3937083938293746</v>
      </c>
      <c r="AS628">
        <v>167.00009774341345</v>
      </c>
      <c r="AT628">
        <v>5.5563884567845747</v>
      </c>
      <c r="AU628">
        <v>30.173310139244617</v>
      </c>
      <c r="AV628"/>
      <c r="AW628"/>
      <c r="FY628" s="210">
        <v>623</v>
      </c>
      <c r="FZ628">
        <v>43.026525543561917</v>
      </c>
      <c r="GA628">
        <v>51.207645436066052</v>
      </c>
      <c r="GB628">
        <v>2.0437750554884597</v>
      </c>
      <c r="GC628">
        <v>0.99957119636759395</v>
      </c>
      <c r="GD628">
        <v>1.1804718250324731</v>
      </c>
      <c r="GE628">
        <v>3.8375891645768405</v>
      </c>
      <c r="GF628">
        <v>7.7635183176497948</v>
      </c>
      <c r="GG628">
        <v>11.696313152486049</v>
      </c>
      <c r="GH628">
        <v>12.680657008356681</v>
      </c>
      <c r="GI628">
        <v>10.969031544839829</v>
      </c>
      <c r="GJ628"/>
      <c r="GK628"/>
      <c r="GL628"/>
      <c r="GM628"/>
    </row>
    <row r="629" spans="1:195" s="7" customForma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81"/>
      <c r="AG629" s="81"/>
      <c r="AH629" s="81"/>
      <c r="AI629" s="4"/>
      <c r="AJ629" s="81"/>
      <c r="AK629" s="81"/>
      <c r="AL629" s="81"/>
      <c r="AM629" s="43">
        <v>613</v>
      </c>
      <c r="AN629">
        <v>135.37913845344124</v>
      </c>
      <c r="AO629">
        <v>13.035553989877608</v>
      </c>
      <c r="AP629">
        <v>134.69485738424186</v>
      </c>
      <c r="AQ629">
        <v>115.9422841560453</v>
      </c>
      <c r="AR629">
        <v>12.181923059479919</v>
      </c>
      <c r="AS629">
        <v>203.24420833658806</v>
      </c>
      <c r="AT629">
        <v>7.2913671728466021</v>
      </c>
      <c r="AU629">
        <v>43.75806887415348</v>
      </c>
      <c r="AV629"/>
      <c r="AW629"/>
      <c r="FY629" s="210">
        <v>624</v>
      </c>
      <c r="FZ629">
        <v>36.104343124423728</v>
      </c>
      <c r="GA629">
        <v>39.97599511079332</v>
      </c>
      <c r="GB629">
        <v>3.2224600938356769</v>
      </c>
      <c r="GC629">
        <v>1.5057399951198116</v>
      </c>
      <c r="GD629">
        <v>0.75192862962692208</v>
      </c>
      <c r="GE629">
        <v>3.0983453297006487</v>
      </c>
      <c r="GF629">
        <v>10.194303320107238</v>
      </c>
      <c r="GG629">
        <v>10.377264896305118</v>
      </c>
      <c r="GH629">
        <v>8.7334900592258773</v>
      </c>
      <c r="GI629">
        <v>9.7977912866805195</v>
      </c>
      <c r="GJ629"/>
      <c r="GK629"/>
      <c r="GL629"/>
      <c r="GM629"/>
    </row>
    <row r="630" spans="1:195" s="7" customForma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81"/>
      <c r="AG630" s="81"/>
      <c r="AH630" s="81"/>
      <c r="AI630" s="4"/>
      <c r="AJ630" s="81"/>
      <c r="AK630" s="81"/>
      <c r="AL630" s="81"/>
      <c r="AM630" s="43">
        <v>614</v>
      </c>
      <c r="AN630">
        <v>139.04975984086408</v>
      </c>
      <c r="AO630">
        <v>13.393990076485276</v>
      </c>
      <c r="AP630">
        <v>141.01465058505303</v>
      </c>
      <c r="AQ630">
        <v>119.91700605464442</v>
      </c>
      <c r="AR630">
        <v>12.744500044405266</v>
      </c>
      <c r="AS630">
        <v>214.70184274127882</v>
      </c>
      <c r="AT630">
        <v>7.4874026266665439</v>
      </c>
      <c r="AU630">
        <v>74.697454874767629</v>
      </c>
      <c r="AV630"/>
      <c r="AW630"/>
      <c r="FY630" s="210">
        <v>625</v>
      </c>
      <c r="FZ630">
        <v>32.872910240991189</v>
      </c>
      <c r="GA630">
        <v>39.365373010110261</v>
      </c>
      <c r="GB630">
        <v>2.0061366410918362</v>
      </c>
      <c r="GC630">
        <v>1.2661403435072998</v>
      </c>
      <c r="GD630">
        <v>0.81815298998711916</v>
      </c>
      <c r="GE630">
        <v>1.3887453065770972</v>
      </c>
      <c r="GF630">
        <v>1.088557039799253</v>
      </c>
      <c r="GG630">
        <v>7.9414674646065233</v>
      </c>
      <c r="GH630">
        <v>11.906557901907547</v>
      </c>
      <c r="GI630">
        <v>7.9041503263281516</v>
      </c>
      <c r="GJ630"/>
      <c r="GK630"/>
      <c r="GL630"/>
      <c r="GM630"/>
    </row>
    <row r="631" spans="1:195" s="7" customForma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81"/>
      <c r="AG631" s="81"/>
      <c r="AH631" s="81"/>
      <c r="AI631" s="4"/>
      <c r="AJ631" s="81"/>
      <c r="AK631" s="81"/>
      <c r="AL631" s="81"/>
      <c r="AM631" s="43">
        <v>615</v>
      </c>
      <c r="AN631">
        <v>77.38246138652228</v>
      </c>
      <c r="AO631">
        <v>12.05896967541204</v>
      </c>
      <c r="AP631">
        <v>122.56940150228053</v>
      </c>
      <c r="AQ631">
        <v>106.37186176528883</v>
      </c>
      <c r="AR631">
        <v>11.409978316471165</v>
      </c>
      <c r="AS631">
        <v>146.5658549819214</v>
      </c>
      <c r="AT631">
        <v>7.6638994671106806</v>
      </c>
      <c r="AU631">
        <v>19.525688223630553</v>
      </c>
      <c r="AV631"/>
      <c r="AW631"/>
      <c r="FY631" s="210">
        <v>626</v>
      </c>
      <c r="FZ631">
        <v>13.010691374836973</v>
      </c>
      <c r="GA631">
        <v>15.62377600275325</v>
      </c>
      <c r="GB631">
        <v>2.9879455651283426</v>
      </c>
      <c r="GC631">
        <v>1.3595861353353729</v>
      </c>
      <c r="GD631">
        <v>1.0997735509913864</v>
      </c>
      <c r="GE631">
        <v>1.9003467056376324</v>
      </c>
      <c r="GF631">
        <v>1.0797792652109288</v>
      </c>
      <c r="GG631">
        <v>2.5658085622505524</v>
      </c>
      <c r="GH631">
        <v>6.6304675457502036</v>
      </c>
      <c r="GI631">
        <v>4.5379636034387847</v>
      </c>
      <c r="GJ631"/>
      <c r="GK631"/>
      <c r="GL631"/>
      <c r="GM631"/>
    </row>
    <row r="632" spans="1:195" s="7" customForma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81"/>
      <c r="AG632" s="81"/>
      <c r="AH632" s="81"/>
      <c r="AI632" s="4"/>
      <c r="AJ632" s="81"/>
      <c r="AK632" s="81"/>
      <c r="AL632" s="81"/>
      <c r="AM632" s="43">
        <v>616</v>
      </c>
      <c r="AN632">
        <v>98.998969366652304</v>
      </c>
      <c r="AO632">
        <v>11.247080611196385</v>
      </c>
      <c r="AP632">
        <v>121.74613540279684</v>
      </c>
      <c r="AQ632">
        <v>103.65675924431805</v>
      </c>
      <c r="AR632">
        <v>10.533379684433559</v>
      </c>
      <c r="AS632">
        <v>164.14740355065038</v>
      </c>
      <c r="AT632">
        <v>6.8323945725734001</v>
      </c>
      <c r="AU632">
        <v>19.273723447197565</v>
      </c>
      <c r="AV632"/>
      <c r="AW632"/>
      <c r="FY632" s="210">
        <v>627</v>
      </c>
      <c r="FZ632">
        <v>23.487411066140478</v>
      </c>
      <c r="GA632">
        <v>28.775128946584502</v>
      </c>
      <c r="GB632">
        <v>4.4399434346947384</v>
      </c>
      <c r="GC632">
        <v>1.846405766790745</v>
      </c>
      <c r="GD632">
        <v>0.21356587385035142</v>
      </c>
      <c r="GE632">
        <v>1.2195245651651265</v>
      </c>
      <c r="GF632">
        <v>12.846252033175189</v>
      </c>
      <c r="GG632">
        <v>17.018577761193164</v>
      </c>
      <c r="GH632">
        <v>13.895440500405609</v>
      </c>
      <c r="GI632">
        <v>9.2135288796573729</v>
      </c>
      <c r="GJ632"/>
      <c r="GK632"/>
      <c r="GL632"/>
      <c r="GM632"/>
    </row>
    <row r="633" spans="1:195" s="7" customForma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81"/>
      <c r="AG633" s="81"/>
      <c r="AH633" s="81"/>
      <c r="AI633" s="4"/>
      <c r="AJ633" s="81"/>
      <c r="AK633" s="81"/>
      <c r="AL633" s="81"/>
      <c r="AM633" s="43">
        <v>617</v>
      </c>
      <c r="AN633">
        <v>134.39295648055952</v>
      </c>
      <c r="AO633">
        <v>10.44852005299964</v>
      </c>
      <c r="AP633">
        <v>105.75470978374224</v>
      </c>
      <c r="AQ633">
        <v>86.513058329440511</v>
      </c>
      <c r="AR633">
        <v>10.314542919931382</v>
      </c>
      <c r="AS633">
        <v>163.97475621237933</v>
      </c>
      <c r="AT633">
        <v>5.8275636512089095</v>
      </c>
      <c r="AU633">
        <v>33.836430837823535</v>
      </c>
      <c r="AV633"/>
      <c r="AW633"/>
      <c r="FY633" s="210">
        <v>628</v>
      </c>
      <c r="FZ633">
        <v>46.609494631207049</v>
      </c>
      <c r="GA633">
        <v>53.254899040129899</v>
      </c>
      <c r="GB633">
        <v>2.4321336565094795</v>
      </c>
      <c r="GC633">
        <v>1.0750273485505477</v>
      </c>
      <c r="GD633">
        <v>1.3666022816337731</v>
      </c>
      <c r="GE633">
        <v>3.949133446750047</v>
      </c>
      <c r="GF633">
        <v>3.506412741826344</v>
      </c>
      <c r="GG633">
        <v>4.3644341933359456</v>
      </c>
      <c r="GH633">
        <v>9.0522409460395785</v>
      </c>
      <c r="GI633">
        <v>10.352476631447583</v>
      </c>
      <c r="GJ633"/>
      <c r="GK633"/>
      <c r="GL633"/>
      <c r="GM633"/>
    </row>
    <row r="634" spans="1:195" s="7" customForma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81"/>
      <c r="AG634" s="81"/>
      <c r="AH634" s="81"/>
      <c r="AI634" s="4"/>
      <c r="AJ634" s="81"/>
      <c r="AK634" s="81"/>
      <c r="AL634" s="81"/>
      <c r="AM634" s="43">
        <v>618</v>
      </c>
      <c r="AN634">
        <v>144.57914730112822</v>
      </c>
      <c r="AO634">
        <v>12.892711378637657</v>
      </c>
      <c r="AP634">
        <v>133.24055073978801</v>
      </c>
      <c r="AQ634">
        <v>114.72368516317061</v>
      </c>
      <c r="AR634">
        <v>12.457995785612002</v>
      </c>
      <c r="AS634">
        <v>213.95367877717149</v>
      </c>
      <c r="AT634">
        <v>7.8273369589568871</v>
      </c>
      <c r="AU634">
        <v>-5.165276328746442</v>
      </c>
      <c r="AV634"/>
      <c r="AW634"/>
      <c r="FY634" s="210">
        <v>629</v>
      </c>
      <c r="FZ634">
        <v>23.492730881937025</v>
      </c>
      <c r="GA634">
        <v>27.898631644513969</v>
      </c>
      <c r="GB634">
        <v>3.5444565138181425</v>
      </c>
      <c r="GC634">
        <v>1.5569142000930163</v>
      </c>
      <c r="GD634">
        <v>0.67904480302073544</v>
      </c>
      <c r="GE634">
        <v>2.8910758124239591</v>
      </c>
      <c r="GF634">
        <v>3.2096127156557226</v>
      </c>
      <c r="GG634">
        <v>2.3559746184043679</v>
      </c>
      <c r="GH634">
        <v>7.2005547148679128</v>
      </c>
      <c r="GI634">
        <v>6.4635746678645596</v>
      </c>
      <c r="GJ634"/>
      <c r="GK634"/>
      <c r="GL634"/>
      <c r="GM634"/>
    </row>
    <row r="635" spans="1:195" s="7" customForma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81"/>
      <c r="AG635" s="81"/>
      <c r="AH635" s="81"/>
      <c r="AI635" s="4"/>
      <c r="AJ635" s="81"/>
      <c r="AK635" s="81"/>
      <c r="AL635" s="81"/>
      <c r="AM635" s="43">
        <v>619</v>
      </c>
      <c r="AN635">
        <v>94.989711247293101</v>
      </c>
      <c r="AO635">
        <v>5.6331266839914322</v>
      </c>
      <c r="AP635">
        <v>46.561773603043001</v>
      </c>
      <c r="AQ635">
        <v>39.05375547498754</v>
      </c>
      <c r="AR635">
        <v>5.6615244749168019</v>
      </c>
      <c r="AS635">
        <v>115.57833553113581</v>
      </c>
      <c r="AT635">
        <v>3.8051284654355491</v>
      </c>
      <c r="AU635">
        <v>-24.562992168603841</v>
      </c>
      <c r="AV635"/>
      <c r="AW635"/>
      <c r="FY635" s="210">
        <v>630</v>
      </c>
      <c r="FZ635">
        <v>33.796651450854114</v>
      </c>
      <c r="GA635">
        <v>40.128978341454641</v>
      </c>
      <c r="GB635">
        <v>2.8225850356187054</v>
      </c>
      <c r="GC635">
        <v>1.1273642068730985</v>
      </c>
      <c r="GD635">
        <v>0.36900377071128604</v>
      </c>
      <c r="GE635">
        <v>1.5144242680427178</v>
      </c>
      <c r="GF635">
        <v>4.9753314432263842</v>
      </c>
      <c r="GG635">
        <v>5.4549400124604217</v>
      </c>
      <c r="GH635">
        <v>5.7601783453302966</v>
      </c>
      <c r="GI635">
        <v>7.7121774292912502</v>
      </c>
      <c r="GJ635"/>
      <c r="GK635"/>
      <c r="GL635"/>
      <c r="GM635"/>
    </row>
    <row r="636" spans="1:195" s="7" customForma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81"/>
      <c r="AG636" s="81"/>
      <c r="AH636" s="81"/>
      <c r="AI636" s="4"/>
      <c r="AJ636" s="81"/>
      <c r="AK636" s="81"/>
      <c r="AL636" s="81"/>
      <c r="AM636" s="43">
        <v>620</v>
      </c>
      <c r="AN636">
        <v>147.11448713248501</v>
      </c>
      <c r="AO636">
        <v>14.171936099784284</v>
      </c>
      <c r="AP636">
        <v>146.29293387478702</v>
      </c>
      <c r="AQ636">
        <v>125.54021354979569</v>
      </c>
      <c r="AR636">
        <v>13.578257419523467</v>
      </c>
      <c r="AS636">
        <v>238.90382900565842</v>
      </c>
      <c r="AT636">
        <v>7.9158853220054937</v>
      </c>
      <c r="AU636">
        <v>22.28760891669182</v>
      </c>
      <c r="AV636"/>
      <c r="AW636"/>
      <c r="FY636" s="210">
        <v>631</v>
      </c>
      <c r="FZ636">
        <v>24.005543404388778</v>
      </c>
      <c r="GA636">
        <v>28.734047810100186</v>
      </c>
      <c r="GB636">
        <v>3.0903336290699137</v>
      </c>
      <c r="GC636">
        <v>1.2776259147287756</v>
      </c>
      <c r="GD636">
        <v>1.2456965522703243</v>
      </c>
      <c r="GE636">
        <v>2.4132827697878789</v>
      </c>
      <c r="GF636">
        <v>3.0347648433547265</v>
      </c>
      <c r="GG636">
        <v>6.9811607809863609</v>
      </c>
      <c r="GH636">
        <v>8.286855095005123</v>
      </c>
      <c r="GI636">
        <v>6.8880532440892441</v>
      </c>
      <c r="GJ636"/>
      <c r="GK636"/>
      <c r="GL636"/>
      <c r="GM636"/>
    </row>
    <row r="637" spans="1:195" s="7" customForma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81"/>
      <c r="AG637" s="81"/>
      <c r="AH637" s="81"/>
      <c r="AI637" s="4"/>
      <c r="AJ637" s="81"/>
      <c r="AK637" s="81"/>
      <c r="AL637" s="81"/>
      <c r="AM637" s="43">
        <v>621</v>
      </c>
      <c r="AN637">
        <v>121.97829968042622</v>
      </c>
      <c r="AO637">
        <v>7.6271888896657316</v>
      </c>
      <c r="AP637">
        <v>67.887495985162374</v>
      </c>
      <c r="AQ637">
        <v>55.994795083486316</v>
      </c>
      <c r="AR637">
        <v>7.6422680762420656</v>
      </c>
      <c r="AS637">
        <v>131.84002237576436</v>
      </c>
      <c r="AT637">
        <v>4.2616508812844822</v>
      </c>
      <c r="AU637">
        <v>22.543271703631</v>
      </c>
      <c r="AV637"/>
      <c r="AW637"/>
      <c r="FY637" s="210">
        <v>632</v>
      </c>
      <c r="FZ637">
        <v>11.331730739747405</v>
      </c>
      <c r="GA637">
        <v>17.499040661411904</v>
      </c>
      <c r="GB637">
        <v>3.6378168856712634</v>
      </c>
      <c r="GC637">
        <v>1.0347404848317954</v>
      </c>
      <c r="GD637">
        <v>1.2715071219893788</v>
      </c>
      <c r="GE637">
        <v>3.1745549175351733</v>
      </c>
      <c r="GF637">
        <v>7.9797422462033376</v>
      </c>
      <c r="GG637">
        <v>12.423512291483439</v>
      </c>
      <c r="GH637">
        <v>11.727103580738243</v>
      </c>
      <c r="GI637">
        <v>6.6135738737368408</v>
      </c>
      <c r="GJ637"/>
      <c r="GK637"/>
      <c r="GL637"/>
      <c r="GM637"/>
    </row>
    <row r="638" spans="1:195" s="7" customForma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81"/>
      <c r="AG638" s="81"/>
      <c r="AH638" s="81"/>
      <c r="AI638" s="4"/>
      <c r="AJ638" s="81"/>
      <c r="AK638" s="81"/>
      <c r="AL638" s="81"/>
      <c r="AM638" s="43">
        <v>622</v>
      </c>
      <c r="AN638">
        <v>121.9400519721456</v>
      </c>
      <c r="AO638">
        <v>7.0406899588910266</v>
      </c>
      <c r="AP638">
        <v>62.347564997091119</v>
      </c>
      <c r="AQ638">
        <v>51.185758524329323</v>
      </c>
      <c r="AR638">
        <v>6.7893043887217663</v>
      </c>
      <c r="AS638">
        <v>141.88885927548426</v>
      </c>
      <c r="AT638">
        <v>3.5136778649675153</v>
      </c>
      <c r="AU638">
        <v>22.101022542721434</v>
      </c>
      <c r="AV638"/>
      <c r="AW638"/>
      <c r="FY638" s="210">
        <v>633</v>
      </c>
      <c r="FZ638">
        <v>21.681257164387819</v>
      </c>
      <c r="GA638">
        <v>28.542631354620042</v>
      </c>
      <c r="GB638">
        <v>3.0749701135472858</v>
      </c>
      <c r="GC638">
        <v>1.3407908767074515</v>
      </c>
      <c r="GD638">
        <v>0.66328879296593979</v>
      </c>
      <c r="GE638">
        <v>2.5812105431940777</v>
      </c>
      <c r="GF638">
        <v>3.3279925030556909</v>
      </c>
      <c r="GG638">
        <v>5.2901306639743009</v>
      </c>
      <c r="GH638">
        <v>10.906421702124669</v>
      </c>
      <c r="GI638">
        <v>6.6729782537787496</v>
      </c>
      <c r="GJ638"/>
      <c r="GK638"/>
      <c r="GL638"/>
      <c r="GM638"/>
    </row>
    <row r="639" spans="1:195" s="7" customForma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81"/>
      <c r="AG639" s="81"/>
      <c r="AH639" s="81"/>
      <c r="AI639" s="4"/>
      <c r="AJ639" s="81"/>
      <c r="AK639" s="81"/>
      <c r="AL639" s="81"/>
      <c r="AM639" s="43">
        <v>623</v>
      </c>
      <c r="AN639">
        <v>142.89967139124266</v>
      </c>
      <c r="AO639">
        <v>16.196969247652341</v>
      </c>
      <c r="AP639">
        <v>168.61425144988686</v>
      </c>
      <c r="AQ639">
        <v>145.40509824442569</v>
      </c>
      <c r="AR639">
        <v>15.24613230900945</v>
      </c>
      <c r="AS639">
        <v>235.94007093149699</v>
      </c>
      <c r="AT639">
        <v>9.5521445962733349</v>
      </c>
      <c r="AU639">
        <v>86.723828668627803</v>
      </c>
      <c r="AV639"/>
      <c r="AW639"/>
      <c r="FY639" s="210">
        <v>634</v>
      </c>
      <c r="FZ639">
        <v>0.33990496935950343</v>
      </c>
      <c r="GA639">
        <v>2.6125718954872368</v>
      </c>
      <c r="GB639">
        <v>2.4735522899892071</v>
      </c>
      <c r="GC639">
        <v>0.85128413687795867</v>
      </c>
      <c r="GD639">
        <v>0.61070127575817912</v>
      </c>
      <c r="GE639">
        <v>3.0980495163360424</v>
      </c>
      <c r="GF639">
        <v>12.64703789562159</v>
      </c>
      <c r="GG639">
        <v>20.518678284297575</v>
      </c>
      <c r="GH639">
        <v>19.775225513938949</v>
      </c>
      <c r="GI639">
        <v>6.4474618226568117</v>
      </c>
      <c r="GJ639"/>
      <c r="GK639"/>
      <c r="GL639"/>
      <c r="GM639"/>
    </row>
    <row r="640" spans="1:195" s="7" customForma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81"/>
      <c r="AG640" s="81"/>
      <c r="AH640" s="81"/>
      <c r="AI640" s="4"/>
      <c r="AJ640" s="81"/>
      <c r="AK640" s="81"/>
      <c r="AL640" s="81"/>
      <c r="AM640" s="43">
        <v>624</v>
      </c>
      <c r="AN640">
        <v>145.20842316741889</v>
      </c>
      <c r="AO640">
        <v>14.042397753303121</v>
      </c>
      <c r="AP640">
        <v>145.17286981509858</v>
      </c>
      <c r="AQ640">
        <v>123.76166184581886</v>
      </c>
      <c r="AR640">
        <v>13.545350858879985</v>
      </c>
      <c r="AS640">
        <v>195.43337341530372</v>
      </c>
      <c r="AT640">
        <v>8.0433349289935627</v>
      </c>
      <c r="AU640">
        <v>19.207381592995109</v>
      </c>
      <c r="AV640"/>
      <c r="AW640"/>
      <c r="FY640" s="210">
        <v>635</v>
      </c>
      <c r="FZ640">
        <v>24.016741540664029</v>
      </c>
      <c r="GA640">
        <v>26.824986414814759</v>
      </c>
      <c r="GB640">
        <v>1.9419336333324293</v>
      </c>
      <c r="GC640">
        <v>1.283348166331276</v>
      </c>
      <c r="GD640">
        <v>1.1161166590449045</v>
      </c>
      <c r="GE640">
        <v>3.3667093740965073</v>
      </c>
      <c r="GF640">
        <v>11.919938274728612</v>
      </c>
      <c r="GG640">
        <v>14.611055835320791</v>
      </c>
      <c r="GH640">
        <v>13.795203314979814</v>
      </c>
      <c r="GI640">
        <v>9.012906480553065</v>
      </c>
      <c r="GJ640"/>
      <c r="GK640"/>
      <c r="GL640"/>
      <c r="GM640"/>
    </row>
    <row r="641" spans="1:195" s="7" customForma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81"/>
      <c r="AG641" s="81"/>
      <c r="AH641" s="81"/>
      <c r="AI641" s="4"/>
      <c r="AJ641" s="81"/>
      <c r="AK641" s="81"/>
      <c r="AL641" s="81"/>
      <c r="AM641" s="43">
        <v>625</v>
      </c>
      <c r="AN641">
        <v>107.62080350223303</v>
      </c>
      <c r="AO641">
        <v>11.6941945527313</v>
      </c>
      <c r="AP641">
        <v>123.17042708557264</v>
      </c>
      <c r="AQ641">
        <v>106.55819126490627</v>
      </c>
      <c r="AR641">
        <v>11.040463659460521</v>
      </c>
      <c r="AS641">
        <v>155.60964068167721</v>
      </c>
      <c r="AT641">
        <v>6.5309251528057581</v>
      </c>
      <c r="AU641">
        <v>61.17709963196986</v>
      </c>
      <c r="AV641"/>
      <c r="AW641"/>
      <c r="FY641" s="210">
        <v>636</v>
      </c>
      <c r="FZ641">
        <v>14.676973627640971</v>
      </c>
      <c r="GA641">
        <v>16.515128719121165</v>
      </c>
      <c r="GB641">
        <v>2.6119212149517459</v>
      </c>
      <c r="GC641">
        <v>0.71603490846412043</v>
      </c>
      <c r="GD641">
        <v>0.72741592612239558</v>
      </c>
      <c r="GE641">
        <v>2.9279005155790379</v>
      </c>
      <c r="GF641">
        <v>6.1238654105081682</v>
      </c>
      <c r="GG641">
        <v>5.5534295958671649</v>
      </c>
      <c r="GH641">
        <v>6.2397843560325725</v>
      </c>
      <c r="GI641">
        <v>5.3477401341052611</v>
      </c>
      <c r="GJ641"/>
      <c r="GK641"/>
      <c r="GL641"/>
      <c r="GM641"/>
    </row>
    <row r="642" spans="1:195" s="7" customForma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81"/>
      <c r="AG642" s="81"/>
      <c r="AH642" s="81"/>
      <c r="AI642" s="4"/>
      <c r="AJ642" s="81"/>
      <c r="AK642" s="81"/>
      <c r="AL642" s="81"/>
      <c r="AM642" s="43">
        <v>626</v>
      </c>
      <c r="AN642">
        <v>57.256902006979146</v>
      </c>
      <c r="AO642">
        <v>6.2231527812524181</v>
      </c>
      <c r="AP642">
        <v>59.295105688459124</v>
      </c>
      <c r="AQ642">
        <v>50.796138311333422</v>
      </c>
      <c r="AR642">
        <v>6.3282325514767237</v>
      </c>
      <c r="AS642">
        <v>102.17417304754166</v>
      </c>
      <c r="AT642">
        <v>3.8846340399638972</v>
      </c>
      <c r="AU642">
        <v>5.2291406794365916</v>
      </c>
      <c r="AV642"/>
      <c r="AW642"/>
      <c r="FY642" s="210">
        <v>637</v>
      </c>
      <c r="FZ642">
        <v>23.503929018212276</v>
      </c>
      <c r="GA642">
        <v>27.336025355274266</v>
      </c>
      <c r="GB642">
        <v>1.8034111835853024</v>
      </c>
      <c r="GC642">
        <v>0.86671372471173924</v>
      </c>
      <c r="GD642">
        <v>0.31634158158172732</v>
      </c>
      <c r="GE642">
        <v>0.90575371005826821</v>
      </c>
      <c r="GF642">
        <v>5.790505094312774</v>
      </c>
      <c r="GG642">
        <v>11.756227814784936</v>
      </c>
      <c r="GH642">
        <v>12.043132297386776</v>
      </c>
      <c r="GI642">
        <v>7.0510095802856414</v>
      </c>
      <c r="GJ642"/>
      <c r="GK642"/>
      <c r="GL642"/>
      <c r="GM642"/>
    </row>
    <row r="643" spans="1:195" s="7" customForma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81"/>
      <c r="AG643" s="81"/>
      <c r="AH643" s="81"/>
      <c r="AI643" s="4"/>
      <c r="AJ643" s="81"/>
      <c r="AK643" s="81"/>
      <c r="AL643" s="81"/>
      <c r="AM643" s="43">
        <v>627</v>
      </c>
      <c r="AN643">
        <v>160.36177563764224</v>
      </c>
      <c r="AO643">
        <v>13.243216388962612</v>
      </c>
      <c r="AP643">
        <v>137.45083956366909</v>
      </c>
      <c r="AQ643">
        <v>112.95577882765728</v>
      </c>
      <c r="AR643">
        <v>12.765023058280292</v>
      </c>
      <c r="AS643">
        <v>217.15894853785414</v>
      </c>
      <c r="AT643">
        <v>7.8752384373472379</v>
      </c>
      <c r="AU643">
        <v>20.463131158784446</v>
      </c>
      <c r="AV643"/>
      <c r="AW643"/>
      <c r="FY643" s="210">
        <v>638</v>
      </c>
      <c r="FZ643">
        <v>36.29811791231139</v>
      </c>
      <c r="GA643">
        <v>41.309938336873472</v>
      </c>
      <c r="GB643">
        <v>2.9671713129839281</v>
      </c>
      <c r="GC643">
        <v>1.1641022097417615</v>
      </c>
      <c r="GD643">
        <v>0.26687890793264302</v>
      </c>
      <c r="GE643">
        <v>1.702374576203719</v>
      </c>
      <c r="GF643">
        <v>11.134311172590335</v>
      </c>
      <c r="GG643">
        <v>19.480351702230138</v>
      </c>
      <c r="GH643">
        <v>19.797769285417221</v>
      </c>
      <c r="GI643">
        <v>11.400985836708557</v>
      </c>
      <c r="GJ643"/>
      <c r="GK643"/>
      <c r="GL643"/>
      <c r="GM643"/>
    </row>
    <row r="644" spans="1:195" s="7" customForma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81"/>
      <c r="AG644" s="81"/>
      <c r="AH644" s="81"/>
      <c r="AI644" s="4"/>
      <c r="AJ644" s="81"/>
      <c r="AK644" s="81"/>
      <c r="AL644" s="81"/>
      <c r="AM644" s="43">
        <v>628</v>
      </c>
      <c r="AN644">
        <v>116.59325871921017</v>
      </c>
      <c r="AO644">
        <v>14.872373122534295</v>
      </c>
      <c r="AP644">
        <v>155.6166658461114</v>
      </c>
      <c r="AQ644">
        <v>135.96285491743026</v>
      </c>
      <c r="AR644">
        <v>14.371981145670475</v>
      </c>
      <c r="AS644">
        <v>182.65014627042197</v>
      </c>
      <c r="AT644">
        <v>8.7137800818369797</v>
      </c>
      <c r="AU644">
        <v>10.016498195218931</v>
      </c>
      <c r="AV644"/>
      <c r="AW644"/>
      <c r="FY644" s="210">
        <v>639</v>
      </c>
      <c r="FZ644">
        <v>34.098281308364548</v>
      </c>
      <c r="GA644">
        <v>39.970944018124761</v>
      </c>
      <c r="GB644">
        <v>2.4098767436805599</v>
      </c>
      <c r="GC644">
        <v>1.3471947520642564</v>
      </c>
      <c r="GD644">
        <v>1.0850004442980485</v>
      </c>
      <c r="GE644">
        <v>3.2923443482070809</v>
      </c>
      <c r="GF644">
        <v>13.175596116551635</v>
      </c>
      <c r="GG644">
        <v>15.577964544076334</v>
      </c>
      <c r="GH644">
        <v>10.838589228216714</v>
      </c>
      <c r="GI644">
        <v>10.345069336873289</v>
      </c>
      <c r="GJ644"/>
      <c r="GK644"/>
      <c r="GL644"/>
      <c r="GM644"/>
    </row>
    <row r="645" spans="1:195" s="7" customForma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81"/>
      <c r="AG645" s="81"/>
      <c r="AH645" s="81"/>
      <c r="AI645" s="4"/>
      <c r="AJ645" s="81"/>
      <c r="AK645" s="81"/>
      <c r="AL645" s="81"/>
      <c r="AM645" s="43">
        <v>629</v>
      </c>
      <c r="AN645">
        <v>88.618718698472023</v>
      </c>
      <c r="AO645">
        <v>9.1092025951935085</v>
      </c>
      <c r="AP645">
        <v>92.640029305271767</v>
      </c>
      <c r="AQ645">
        <v>79.292570572599416</v>
      </c>
      <c r="AR645">
        <v>8.9052097813169731</v>
      </c>
      <c r="AS645">
        <v>129.89057436611614</v>
      </c>
      <c r="AT645">
        <v>5.3381203977822453</v>
      </c>
      <c r="AU645">
        <v>0.91614917451658551</v>
      </c>
      <c r="AV645"/>
      <c r="AW645"/>
      <c r="FY645" s="210">
        <v>640</v>
      </c>
      <c r="FZ645">
        <v>12.769656287366573</v>
      </c>
      <c r="GA645">
        <v>15.175715678071191</v>
      </c>
      <c r="GB645">
        <v>2.9951043483448441</v>
      </c>
      <c r="GC645">
        <v>1.0900567491116275</v>
      </c>
      <c r="GD645">
        <v>0.11014385188243722</v>
      </c>
      <c r="GE645">
        <v>1.0784567201296194</v>
      </c>
      <c r="GF645">
        <v>3.9837801234712988</v>
      </c>
      <c r="GG645">
        <v>4.8172249300906227</v>
      </c>
      <c r="GH645">
        <v>6.6283615208970472</v>
      </c>
      <c r="GI645">
        <v>4.4584152456131196</v>
      </c>
      <c r="GJ645"/>
      <c r="GK645"/>
      <c r="GL645"/>
      <c r="GM645"/>
    </row>
    <row r="646" spans="1:195" s="7" customForma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81"/>
      <c r="AG646" s="81"/>
      <c r="AH646" s="81"/>
      <c r="AI646" s="4"/>
      <c r="AJ646" s="81"/>
      <c r="AK646" s="81"/>
      <c r="AL646" s="81"/>
      <c r="AM646" s="43">
        <v>630</v>
      </c>
      <c r="AN646">
        <v>89.550386902206228</v>
      </c>
      <c r="AO646">
        <v>11.241705126338159</v>
      </c>
      <c r="AP646">
        <v>121.39338338785666</v>
      </c>
      <c r="AQ646">
        <v>103.66163430386291</v>
      </c>
      <c r="AR646">
        <v>10.72570885734611</v>
      </c>
      <c r="AS646">
        <v>158.97079458957512</v>
      </c>
      <c r="AT646">
        <v>7.3736980093878914</v>
      </c>
      <c r="AU646">
        <v>11.187196266284486</v>
      </c>
      <c r="AV646"/>
      <c r="AW646"/>
      <c r="FY646" s="210">
        <v>641</v>
      </c>
      <c r="FZ646">
        <v>12.284082632325312</v>
      </c>
      <c r="GA646">
        <v>16.403443635940139</v>
      </c>
      <c r="GB646">
        <v>2.8482643301267823</v>
      </c>
      <c r="GC646">
        <v>1.3237626519601926</v>
      </c>
      <c r="GD646">
        <v>0.42464107001450824</v>
      </c>
      <c r="GE646">
        <v>1.4120605145305973</v>
      </c>
      <c r="GF646">
        <v>13.119878580491763</v>
      </c>
      <c r="GG646">
        <v>16.88645503217742</v>
      </c>
      <c r="GH646">
        <v>13.656935379658229</v>
      </c>
      <c r="GI646">
        <v>7.3016335588490966</v>
      </c>
      <c r="GJ646"/>
      <c r="GK646"/>
      <c r="GL646"/>
      <c r="GM646"/>
    </row>
    <row r="647" spans="1:195" s="7" customForma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81"/>
      <c r="AG647" s="81"/>
      <c r="AH647" s="81"/>
      <c r="AI647" s="4"/>
      <c r="AJ647" s="81"/>
      <c r="AK647" s="81"/>
      <c r="AL647" s="81"/>
      <c r="AM647" s="43">
        <v>631</v>
      </c>
      <c r="AN647">
        <v>89.176090596873834</v>
      </c>
      <c r="AO647">
        <v>9.999257983908624</v>
      </c>
      <c r="AP647">
        <v>99.99728065049672</v>
      </c>
      <c r="AQ647">
        <v>85.957364043781325</v>
      </c>
      <c r="AR647">
        <v>9.5978568517175606</v>
      </c>
      <c r="AS647">
        <v>143.01883896989418</v>
      </c>
      <c r="AT647">
        <v>6.007118721933999</v>
      </c>
      <c r="AU647">
        <v>49.863582415803499</v>
      </c>
      <c r="AV647"/>
      <c r="AW647"/>
      <c r="FY647" s="210">
        <v>642</v>
      </c>
      <c r="FZ647">
        <v>55.802542041729808</v>
      </c>
      <c r="GA647">
        <v>64.945330200533462</v>
      </c>
      <c r="GB647">
        <v>1.88116491887293</v>
      </c>
      <c r="GC647">
        <v>1.0889795049168027</v>
      </c>
      <c r="GD647">
        <v>1.5578041877243183</v>
      </c>
      <c r="GE647">
        <v>4.0904658178088606</v>
      </c>
      <c r="GF647">
        <v>6.6689600104153657</v>
      </c>
      <c r="GG647">
        <v>7.8610113958141472</v>
      </c>
      <c r="GH647">
        <v>7.8105157389470712</v>
      </c>
      <c r="GI647">
        <v>12.058226040217088</v>
      </c>
      <c r="GJ647"/>
      <c r="GK647"/>
      <c r="GL647"/>
      <c r="GM647"/>
    </row>
    <row r="648" spans="1:195" s="7" customForma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81"/>
      <c r="AG648" s="81"/>
      <c r="AH648" s="81"/>
      <c r="AI648" s="4"/>
      <c r="AJ648" s="81"/>
      <c r="AK648" s="81"/>
      <c r="AL648" s="81"/>
      <c r="AM648" s="43">
        <v>632</v>
      </c>
      <c r="AN648">
        <v>134.47507594067125</v>
      </c>
      <c r="AO648">
        <v>9.6184554028210059</v>
      </c>
      <c r="AP648">
        <v>92.217390295287842</v>
      </c>
      <c r="AQ648">
        <v>76.693322803348778</v>
      </c>
      <c r="AR648">
        <v>9.142040689420762</v>
      </c>
      <c r="AS648">
        <v>154.88792256921994</v>
      </c>
      <c r="AT648">
        <v>5.2865124559800893</v>
      </c>
      <c r="AU648">
        <v>35.299997590471243</v>
      </c>
      <c r="AV648"/>
      <c r="AW648"/>
      <c r="FY648" s="210">
        <v>643</v>
      </c>
      <c r="FZ648">
        <v>11.211354510289667</v>
      </c>
      <c r="GA648">
        <v>16.265772769252671</v>
      </c>
      <c r="GB648">
        <v>3.8152716061179257</v>
      </c>
      <c r="GC648">
        <v>1.3442884505477297</v>
      </c>
      <c r="GD648">
        <v>0.63007876337392132</v>
      </c>
      <c r="GE648">
        <v>1.600616885885451</v>
      </c>
      <c r="GF648">
        <v>3.3104535106021977</v>
      </c>
      <c r="GG648">
        <v>6.7460804719241825</v>
      </c>
      <c r="GH648">
        <v>8.1446396324316073</v>
      </c>
      <c r="GI648">
        <v>4.8513667807276599</v>
      </c>
      <c r="GJ648"/>
      <c r="GK648"/>
      <c r="GL648"/>
      <c r="GM648"/>
    </row>
    <row r="649" spans="1:195" s="7" customForma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81"/>
      <c r="AG649" s="81"/>
      <c r="AH649" s="81"/>
      <c r="AI649" s="4"/>
      <c r="AJ649" s="81"/>
      <c r="AK649" s="81"/>
      <c r="AL649" s="81"/>
      <c r="AM649" s="43">
        <v>633</v>
      </c>
      <c r="AN649">
        <v>107.19691874801376</v>
      </c>
      <c r="AO649">
        <v>9.6140457073496499</v>
      </c>
      <c r="AP649">
        <v>98.917778755496997</v>
      </c>
      <c r="AQ649">
        <v>84.081671968356034</v>
      </c>
      <c r="AR649">
        <v>9.1770123190185018</v>
      </c>
      <c r="AS649">
        <v>131.11515502787964</v>
      </c>
      <c r="AT649">
        <v>5.4064956406679592</v>
      </c>
      <c r="AU649">
        <v>14.423675243801735</v>
      </c>
      <c r="AV649"/>
      <c r="AW649"/>
      <c r="FY649" s="210">
        <v>644</v>
      </c>
      <c r="FZ649">
        <v>24.762129975533838</v>
      </c>
      <c r="GA649">
        <v>27.652920687651164</v>
      </c>
      <c r="GB649">
        <v>2.0838809348765355</v>
      </c>
      <c r="GC649">
        <v>0.7317757647965959</v>
      </c>
      <c r="GD649">
        <v>1.0427195844438986</v>
      </c>
      <c r="GE649">
        <v>2.8370954062316218</v>
      </c>
      <c r="GF649">
        <v>6.8099029069822921</v>
      </c>
      <c r="GG649">
        <v>6.9217923979200853</v>
      </c>
      <c r="GH649">
        <v>5.648715051714456</v>
      </c>
      <c r="GI649">
        <v>6.9039734311443599</v>
      </c>
      <c r="GJ649"/>
      <c r="GK649"/>
      <c r="GL649"/>
      <c r="GM649"/>
    </row>
    <row r="650" spans="1:195" s="7" customForma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81"/>
      <c r="AG650" s="81"/>
      <c r="AH650" s="81"/>
      <c r="AI650" s="4"/>
      <c r="AJ650" s="81"/>
      <c r="AK650" s="81"/>
      <c r="AL650" s="81"/>
      <c r="AM650" s="43">
        <v>634</v>
      </c>
      <c r="AN650">
        <v>151.75001835959273</v>
      </c>
      <c r="AO650">
        <v>9.2640388723788192</v>
      </c>
      <c r="AP650">
        <v>86.719021862095389</v>
      </c>
      <c r="AQ650">
        <v>69.374467600323044</v>
      </c>
      <c r="AR650">
        <v>8.8026177441938831</v>
      </c>
      <c r="AS650">
        <v>164.77077555846665</v>
      </c>
      <c r="AT650">
        <v>4.9271845873159243</v>
      </c>
      <c r="AU650">
        <v>-2.0596770562383049</v>
      </c>
      <c r="AV650"/>
      <c r="AW650"/>
      <c r="FY650" s="210">
        <v>645</v>
      </c>
      <c r="FZ650">
        <v>2.4770592608290558</v>
      </c>
      <c r="GA650">
        <v>1.3960597839224473</v>
      </c>
      <c r="GB650">
        <v>1.8356670391452192</v>
      </c>
      <c r="GC650">
        <v>1.3132595512604603</v>
      </c>
      <c r="GD650">
        <v>1.3147067457891777</v>
      </c>
      <c r="GE650">
        <v>3.1508237703316193</v>
      </c>
      <c r="GF650">
        <v>4.4631945311143104</v>
      </c>
      <c r="GG650">
        <v>9.0897053737090232</v>
      </c>
      <c r="GH650">
        <v>12.023396843707609</v>
      </c>
      <c r="GI650">
        <v>4.2825649149960423</v>
      </c>
      <c r="GJ650"/>
      <c r="GK650"/>
      <c r="GL650"/>
      <c r="GM650"/>
    </row>
    <row r="651" spans="1:195" s="7" customForma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81"/>
      <c r="AG651" s="81"/>
      <c r="AH651" s="81"/>
      <c r="AI651" s="4"/>
      <c r="AJ651" s="81"/>
      <c r="AK651" s="81"/>
      <c r="AL651" s="81"/>
      <c r="AM651" s="43">
        <v>635</v>
      </c>
      <c r="AN651">
        <v>166.30779322102552</v>
      </c>
      <c r="AO651">
        <v>12.81597242836113</v>
      </c>
      <c r="AP651">
        <v>127.39570988872961</v>
      </c>
      <c r="AQ651">
        <v>107.88893969386621</v>
      </c>
      <c r="AR651">
        <v>12.417048373606862</v>
      </c>
      <c r="AS651">
        <v>246.18795301791008</v>
      </c>
      <c r="AT651">
        <v>7.4642035703072418</v>
      </c>
      <c r="AU651">
        <v>22.293409918514968</v>
      </c>
      <c r="AV651"/>
      <c r="AW651"/>
      <c r="FY651" s="210">
        <v>646</v>
      </c>
      <c r="FZ651">
        <v>25.455274384710133</v>
      </c>
      <c r="GA651">
        <v>27.748367788426545</v>
      </c>
      <c r="GB651">
        <v>1.69667871678264</v>
      </c>
      <c r="GC651">
        <v>0.65124114865238869</v>
      </c>
      <c r="GD651">
        <v>0.15048763375933016</v>
      </c>
      <c r="GE651">
        <v>1.2338375074497261</v>
      </c>
      <c r="GF651">
        <v>6.3789897761498864</v>
      </c>
      <c r="GG651">
        <v>6.7756788199146438</v>
      </c>
      <c r="GH651">
        <v>7.0119537680134805</v>
      </c>
      <c r="GI651">
        <v>6.5308738523505152</v>
      </c>
      <c r="GJ651"/>
      <c r="GK651"/>
      <c r="GL651"/>
      <c r="GM651"/>
    </row>
    <row r="652" spans="1:195" s="7" customForma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81"/>
      <c r="AG652" s="81"/>
      <c r="AH652" s="81"/>
      <c r="AI652" s="4"/>
      <c r="AJ652" s="81"/>
      <c r="AK652" s="81"/>
      <c r="AL652" s="81"/>
      <c r="AM652" s="43">
        <v>636</v>
      </c>
      <c r="AN652">
        <v>68.147671797069961</v>
      </c>
      <c r="AO652">
        <v>7.4194046506101801</v>
      </c>
      <c r="AP652">
        <v>73.058766669400711</v>
      </c>
      <c r="AQ652">
        <v>61.4401944083926</v>
      </c>
      <c r="AR652">
        <v>7.3485062404512425</v>
      </c>
      <c r="AS652">
        <v>93.944380431725065</v>
      </c>
      <c r="AT652">
        <v>4.657218600256674</v>
      </c>
      <c r="AU652">
        <v>10.801705923831854</v>
      </c>
      <c r="AV652"/>
      <c r="AW652"/>
      <c r="FY652" s="210">
        <v>647</v>
      </c>
      <c r="FZ652">
        <v>23.94636924139801</v>
      </c>
      <c r="GA652">
        <v>28.264067785212291</v>
      </c>
      <c r="GB652">
        <v>3.1215445187756976</v>
      </c>
      <c r="GC652">
        <v>1.3014584977545136</v>
      </c>
      <c r="GD652">
        <v>0.96837348868537787</v>
      </c>
      <c r="GE652">
        <v>3.0086466626277155</v>
      </c>
      <c r="GF652">
        <v>8.6471184670392827</v>
      </c>
      <c r="GG652">
        <v>15.653268115804003</v>
      </c>
      <c r="GH652">
        <v>15.478343190473556</v>
      </c>
      <c r="GI652">
        <v>8.8871838737355286</v>
      </c>
      <c r="GJ652"/>
      <c r="GK652"/>
      <c r="GL652"/>
      <c r="GM652"/>
    </row>
    <row r="653" spans="1:195" s="7" customForma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81"/>
      <c r="AG653" s="81"/>
      <c r="AH653" s="81"/>
      <c r="AI653" s="4"/>
      <c r="AJ653" s="81"/>
      <c r="AK653" s="81"/>
      <c r="AL653" s="81"/>
      <c r="AM653" s="43">
        <v>637</v>
      </c>
      <c r="AN653">
        <v>109.22485110687225</v>
      </c>
      <c r="AO653">
        <v>10.260031562192079</v>
      </c>
      <c r="AP653">
        <v>108.43140609207023</v>
      </c>
      <c r="AQ653">
        <v>91.373049360193704</v>
      </c>
      <c r="AR653">
        <v>9.7878764419777777</v>
      </c>
      <c r="AS653">
        <v>155.57113132035923</v>
      </c>
      <c r="AT653">
        <v>5.7641722184034663</v>
      </c>
      <c r="AU653">
        <v>18.335254525947263</v>
      </c>
      <c r="AV653"/>
      <c r="AW653"/>
      <c r="FY653" s="210">
        <v>648</v>
      </c>
      <c r="FZ653">
        <v>1.1821888437730581</v>
      </c>
      <c r="GA653">
        <v>4.7869278620617006</v>
      </c>
      <c r="GB653">
        <v>2.6750692998096341</v>
      </c>
      <c r="GC653">
        <v>0.58837408918171397</v>
      </c>
      <c r="GD653">
        <v>0.80059820423259831</v>
      </c>
      <c r="GE653">
        <v>1.6901938998009878</v>
      </c>
      <c r="GF653">
        <v>1.2649649095821842</v>
      </c>
      <c r="GG653">
        <v>2.6197845320500361</v>
      </c>
      <c r="GH653">
        <v>6.3556436076666856</v>
      </c>
      <c r="GI653">
        <v>2.5443657592127003</v>
      </c>
      <c r="GJ653"/>
      <c r="GK653"/>
      <c r="GL653"/>
      <c r="GM653"/>
    </row>
    <row r="654" spans="1:195" s="7" customForma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81"/>
      <c r="AG654" s="81"/>
      <c r="AH654" s="81"/>
      <c r="AI654" s="4"/>
      <c r="AJ654" s="81"/>
      <c r="AK654" s="81"/>
      <c r="AL654" s="81"/>
      <c r="AM654" s="43">
        <v>638</v>
      </c>
      <c r="AN654">
        <v>191.49086470705947</v>
      </c>
      <c r="AO654">
        <v>16.386508934411488</v>
      </c>
      <c r="AP654">
        <v>173.82124925350647</v>
      </c>
      <c r="AQ654">
        <v>145.52200125299316</v>
      </c>
      <c r="AR654">
        <v>15.811072225167765</v>
      </c>
      <c r="AS654">
        <v>265.88502826961775</v>
      </c>
      <c r="AT654">
        <v>9.151906026189085</v>
      </c>
      <c r="AU654">
        <v>57.860781222353808</v>
      </c>
      <c r="AV654"/>
      <c r="AW654"/>
      <c r="FY654" s="210">
        <v>649</v>
      </c>
      <c r="FZ654">
        <v>11.959166577282508</v>
      </c>
      <c r="GA654">
        <v>16.635128061436404</v>
      </c>
      <c r="GB654">
        <v>3.2709351734826102</v>
      </c>
      <c r="GC654">
        <v>1.2651978759113891</v>
      </c>
      <c r="GD654">
        <v>0.95406089725063659</v>
      </c>
      <c r="GE654">
        <v>2.8844758768877785</v>
      </c>
      <c r="GF654">
        <v>3.5665589405466087</v>
      </c>
      <c r="GG654">
        <v>5.5080360327362659</v>
      </c>
      <c r="GH654">
        <v>9.0424065723536415</v>
      </c>
      <c r="GI654">
        <v>5.2026625816237546</v>
      </c>
      <c r="GJ654"/>
      <c r="GK654"/>
      <c r="GL654"/>
      <c r="GM654"/>
    </row>
    <row r="655" spans="1:195" s="7" customForma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81"/>
      <c r="AG655" s="81"/>
      <c r="AH655" s="81"/>
      <c r="AI655" s="4"/>
      <c r="AJ655" s="81"/>
      <c r="AK655" s="81"/>
      <c r="AL655" s="81"/>
      <c r="AM655" s="43">
        <v>639</v>
      </c>
      <c r="AN655">
        <v>192.23065221280825</v>
      </c>
      <c r="AO655">
        <v>15.18353703963947</v>
      </c>
      <c r="AP655">
        <v>155.21807695116394</v>
      </c>
      <c r="AQ655">
        <v>132.14086084045724</v>
      </c>
      <c r="AR655">
        <v>14.284619888926814</v>
      </c>
      <c r="AS655">
        <v>238.68577169930506</v>
      </c>
      <c r="AT655">
        <v>8.9927413837235424</v>
      </c>
      <c r="AU655">
        <v>43.004721766682721</v>
      </c>
      <c r="AV655"/>
      <c r="AW655"/>
      <c r="FY655" s="210">
        <v>650</v>
      </c>
      <c r="FZ655">
        <v>14.742839421732771</v>
      </c>
      <c r="GA655">
        <v>14.831263570794709</v>
      </c>
      <c r="GB655">
        <v>2.7841059001967938</v>
      </c>
      <c r="GC655">
        <v>1.3835039073838924</v>
      </c>
      <c r="GD655">
        <v>1.1537130411532019</v>
      </c>
      <c r="GE655">
        <v>3.209985409612107</v>
      </c>
      <c r="GF655">
        <v>9.2678728451153631</v>
      </c>
      <c r="GG655">
        <v>7.8305481573778914</v>
      </c>
      <c r="GH655">
        <v>6.6345042170724149</v>
      </c>
      <c r="GI655">
        <v>6.253987205289449</v>
      </c>
      <c r="GJ655"/>
      <c r="GK655"/>
      <c r="GL655"/>
      <c r="GM655"/>
    </row>
    <row r="656" spans="1:195" s="7" customForma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81"/>
      <c r="AG656" s="81"/>
      <c r="AH656" s="81"/>
      <c r="AI656" s="4"/>
      <c r="AJ656" s="81"/>
      <c r="AK656" s="81"/>
      <c r="AL656" s="81"/>
      <c r="AM656" s="43">
        <v>640</v>
      </c>
      <c r="AN656">
        <v>72.662932714315502</v>
      </c>
      <c r="AO656">
        <v>6.1977096978836883</v>
      </c>
      <c r="AP656">
        <v>64.329434457846133</v>
      </c>
      <c r="AQ656">
        <v>53.106915454978378</v>
      </c>
      <c r="AR656">
        <v>6.1617205902430596</v>
      </c>
      <c r="AS656">
        <v>101.41063094636108</v>
      </c>
      <c r="AT656">
        <v>3.9505945337568282</v>
      </c>
      <c r="AU656">
        <v>9.2853765700017075</v>
      </c>
      <c r="AV656"/>
      <c r="AW656"/>
      <c r="FY656" s="210">
        <v>651</v>
      </c>
      <c r="FZ656">
        <v>35.854961961992885</v>
      </c>
      <c r="GA656">
        <v>39.062900837947922</v>
      </c>
      <c r="GB656">
        <v>2.2631284466562502</v>
      </c>
      <c r="GC656">
        <v>1.0324194641761859</v>
      </c>
      <c r="GD656">
        <v>0.59501169956690869</v>
      </c>
      <c r="GE656">
        <v>2.0953322744418799</v>
      </c>
      <c r="GF656">
        <v>4.0263641842385676</v>
      </c>
      <c r="GG656">
        <v>5.8980677334417226</v>
      </c>
      <c r="GH656">
        <v>8.3138162244189502</v>
      </c>
      <c r="GI656">
        <v>8.2542596040435878</v>
      </c>
      <c r="GJ656"/>
      <c r="GK656"/>
      <c r="GL656"/>
      <c r="GM656"/>
    </row>
    <row r="657" spans="1:195" s="7" customForma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81"/>
      <c r="AG657" s="81"/>
      <c r="AH657" s="81"/>
      <c r="AI657" s="4"/>
      <c r="AJ657" s="81"/>
      <c r="AK657" s="81"/>
      <c r="AL657" s="81"/>
      <c r="AM657" s="43">
        <v>641</v>
      </c>
      <c r="AN657">
        <v>146.78626312628722</v>
      </c>
      <c r="AO657">
        <v>10.445205273785808</v>
      </c>
      <c r="AP657">
        <v>105.23330091117705</v>
      </c>
      <c r="AQ657">
        <v>85.661157386074024</v>
      </c>
      <c r="AR657">
        <v>10.045273165308558</v>
      </c>
      <c r="AS657">
        <v>181.51834140938152</v>
      </c>
      <c r="AT657">
        <v>6.1718930401793948</v>
      </c>
      <c r="AU657">
        <v>35.097091086436095</v>
      </c>
      <c r="AV657"/>
      <c r="AW657"/>
      <c r="FY657" s="210">
        <v>652</v>
      </c>
      <c r="FZ657">
        <v>34.3235629626407</v>
      </c>
      <c r="GA657">
        <v>41.829998833261101</v>
      </c>
      <c r="GB657">
        <v>4.1559027330543836</v>
      </c>
      <c r="GC657">
        <v>1.6463000125605944</v>
      </c>
      <c r="GD657">
        <v>1.0327684659280247</v>
      </c>
      <c r="GE657">
        <v>1.9437230365311164</v>
      </c>
      <c r="GF657">
        <v>7.5376765367088741</v>
      </c>
      <c r="GG657">
        <v>7.5691296585101213</v>
      </c>
      <c r="GH657">
        <v>6.3271218240903648</v>
      </c>
      <c r="GI657">
        <v>9.0612470979258077</v>
      </c>
      <c r="GJ657"/>
      <c r="GK657"/>
      <c r="GL657"/>
      <c r="GM657"/>
    </row>
    <row r="658" spans="1:195" s="7" customForma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81"/>
      <c r="AG658" s="81"/>
      <c r="AH658" s="81"/>
      <c r="AI658" s="4"/>
      <c r="AJ658" s="81"/>
      <c r="AK658" s="81"/>
      <c r="AL658" s="81"/>
      <c r="AM658" s="43">
        <v>642</v>
      </c>
      <c r="AN658">
        <v>139.91198429563656</v>
      </c>
      <c r="AO658">
        <v>17.810285169051976</v>
      </c>
      <c r="AP658">
        <v>187.29385574978286</v>
      </c>
      <c r="AQ658">
        <v>163.76499985697984</v>
      </c>
      <c r="AR658">
        <v>16.789141488333087</v>
      </c>
      <c r="AS658">
        <v>222.39484343663318</v>
      </c>
      <c r="AT658">
        <v>10.324737694511137</v>
      </c>
      <c r="AU658">
        <v>6.2971384848088849</v>
      </c>
      <c r="AV658"/>
      <c r="AW658"/>
      <c r="FY658" s="210">
        <v>653</v>
      </c>
      <c r="FZ658">
        <v>16.506162914717361</v>
      </c>
      <c r="GA658">
        <v>15.736464598638818</v>
      </c>
      <c r="GB658">
        <v>3.3486037826994739</v>
      </c>
      <c r="GC658">
        <v>1.604858856668087</v>
      </c>
      <c r="GD658">
        <v>1.0684604253775287</v>
      </c>
      <c r="GE658">
        <v>2.4121006474974185</v>
      </c>
      <c r="GF658">
        <v>5.8257356761240198</v>
      </c>
      <c r="GG658">
        <v>5.9793361253810309</v>
      </c>
      <c r="GH658">
        <v>6.1211493812456954</v>
      </c>
      <c r="GI658">
        <v>5.9087291921148264</v>
      </c>
      <c r="GJ658"/>
      <c r="GK658"/>
      <c r="GL658"/>
      <c r="GM658"/>
    </row>
    <row r="659" spans="1:195" s="7" customForma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81"/>
      <c r="AG659" s="81"/>
      <c r="AH659" s="81"/>
      <c r="AI659" s="4"/>
      <c r="AJ659" s="81"/>
      <c r="AK659" s="81"/>
      <c r="AL659" s="81"/>
      <c r="AM659" s="43">
        <v>643</v>
      </c>
      <c r="AN659">
        <v>86.360331715150366</v>
      </c>
      <c r="AO659">
        <v>7.0646907034224196</v>
      </c>
      <c r="AP659">
        <v>69.860903082441922</v>
      </c>
      <c r="AQ659">
        <v>57.919923381153005</v>
      </c>
      <c r="AR659">
        <v>6.7210703478980394</v>
      </c>
      <c r="AS659">
        <v>114.58839154628288</v>
      </c>
      <c r="AT659">
        <v>4.1453551291717483</v>
      </c>
      <c r="AU659">
        <v>12.206144436813302</v>
      </c>
      <c r="AV659"/>
      <c r="AW659"/>
      <c r="FY659" s="210">
        <v>654</v>
      </c>
      <c r="FZ659">
        <v>32.867031920512481</v>
      </c>
      <c r="GA659">
        <v>40.252200498627815</v>
      </c>
      <c r="GB659">
        <v>3.0431618620117038</v>
      </c>
      <c r="GC659">
        <v>1.3415302909166236</v>
      </c>
      <c r="GD659">
        <v>0.51364471879088192</v>
      </c>
      <c r="GE659">
        <v>2.613861111726635</v>
      </c>
      <c r="GF659">
        <v>10.084700706921664</v>
      </c>
      <c r="GG659">
        <v>12.992196066086375</v>
      </c>
      <c r="GH659">
        <v>12.669432825575612</v>
      </c>
      <c r="GI659">
        <v>9.7359168654870611</v>
      </c>
      <c r="GJ659"/>
      <c r="GK659"/>
      <c r="GL659"/>
      <c r="GM659"/>
    </row>
    <row r="660" spans="1:195" s="7" customForma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81"/>
      <c r="AG660" s="81"/>
      <c r="AH660" s="81"/>
      <c r="AI660" s="4"/>
      <c r="AJ660" s="81"/>
      <c r="AK660" s="81"/>
      <c r="AL660" s="81"/>
      <c r="AM660" s="43">
        <v>644</v>
      </c>
      <c r="AN660">
        <v>99.147009596409617</v>
      </c>
      <c r="AO660">
        <v>9.8291144025699104</v>
      </c>
      <c r="AP660">
        <v>99.448759498601675</v>
      </c>
      <c r="AQ660">
        <v>85.394906141294854</v>
      </c>
      <c r="AR660">
        <v>9.580453469576419</v>
      </c>
      <c r="AS660">
        <v>161.72714130720783</v>
      </c>
      <c r="AT660">
        <v>6.2399013262135297</v>
      </c>
      <c r="AU660">
        <v>12.262470814147933</v>
      </c>
      <c r="AV660"/>
      <c r="AW660"/>
      <c r="FY660" s="210">
        <v>655</v>
      </c>
      <c r="FZ660">
        <v>24.967151691441526</v>
      </c>
      <c r="GA660">
        <v>30.506552282166986</v>
      </c>
      <c r="GB660">
        <v>3.6791777599311155</v>
      </c>
      <c r="GC660">
        <v>1.1993684895015573</v>
      </c>
      <c r="GD660">
        <v>0.83525594506190359</v>
      </c>
      <c r="GE660">
        <v>1.872423117443236</v>
      </c>
      <c r="GF660">
        <v>9.8936586575620993</v>
      </c>
      <c r="GG660">
        <v>9.6293173502451808</v>
      </c>
      <c r="GH660">
        <v>6.0792764406999282</v>
      </c>
      <c r="GI660">
        <v>7.8394737457014374</v>
      </c>
      <c r="GJ660"/>
      <c r="GK660"/>
      <c r="GL660"/>
      <c r="GM660"/>
    </row>
    <row r="661" spans="1:195" s="7" customForma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81"/>
      <c r="AG661" s="81"/>
      <c r="AH661" s="81"/>
      <c r="AI661" s="4"/>
      <c r="AJ661" s="81"/>
      <c r="AK661" s="81"/>
      <c r="AL661" s="81"/>
      <c r="AM661" s="43">
        <v>645</v>
      </c>
      <c r="AN661">
        <v>115.24036472756094</v>
      </c>
      <c r="AO661">
        <v>5.8949943866859629</v>
      </c>
      <c r="AP661">
        <v>48.454814956173792</v>
      </c>
      <c r="AQ661">
        <v>41.346437814804965</v>
      </c>
      <c r="AR661">
        <v>5.8405591090917568</v>
      </c>
      <c r="AS661">
        <v>130.21145489215175</v>
      </c>
      <c r="AT661">
        <v>3.3100594509756562</v>
      </c>
      <c r="AU661">
        <v>18.310281542517092</v>
      </c>
      <c r="AV661"/>
      <c r="AW661"/>
      <c r="FY661" s="210">
        <v>656</v>
      </c>
      <c r="FZ661">
        <v>55.430697107403965</v>
      </c>
      <c r="GA661">
        <v>65.412294598914514</v>
      </c>
      <c r="GB661">
        <v>2.7862499338108053</v>
      </c>
      <c r="GC661">
        <v>0.88652187161961282</v>
      </c>
      <c r="GD661">
        <v>0.38308982440796563</v>
      </c>
      <c r="GE661">
        <v>1.9349802782215266</v>
      </c>
      <c r="GF661">
        <v>3.0871445329035967</v>
      </c>
      <c r="GG661">
        <v>8.442552984898132</v>
      </c>
      <c r="GH661">
        <v>14.579671480007423</v>
      </c>
      <c r="GI661">
        <v>11.967496650722044</v>
      </c>
      <c r="GJ661"/>
      <c r="GK661"/>
      <c r="GL661"/>
      <c r="GM661"/>
    </row>
    <row r="662" spans="1:195" s="7" customForma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28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81"/>
      <c r="AG662" s="81"/>
      <c r="AH662" s="81"/>
      <c r="AI662" s="4"/>
      <c r="AJ662" s="81"/>
      <c r="AK662" s="81"/>
      <c r="AL662" s="81"/>
      <c r="AM662" s="43">
        <v>646</v>
      </c>
      <c r="AN662">
        <v>76.482482758760312</v>
      </c>
      <c r="AO662">
        <v>9.1636324258268953</v>
      </c>
      <c r="AP662">
        <v>98.782669653136395</v>
      </c>
      <c r="AQ662">
        <v>83.633383396209297</v>
      </c>
      <c r="AR662">
        <v>9.0434947188815222</v>
      </c>
      <c r="AS662">
        <v>129.45740333593022</v>
      </c>
      <c r="AT662">
        <v>5.8443774444716494</v>
      </c>
      <c r="AU662">
        <v>33.790134173772259</v>
      </c>
      <c r="AV662"/>
      <c r="AW662"/>
      <c r="FY662" s="210">
        <v>657</v>
      </c>
      <c r="FZ662">
        <v>47.317497879209668</v>
      </c>
      <c r="GA662">
        <v>52.617890793802822</v>
      </c>
      <c r="GB662">
        <v>3.0997871043679845</v>
      </c>
      <c r="GC662">
        <v>1.0997496995724643</v>
      </c>
      <c r="GD662">
        <v>1.4693990115337696</v>
      </c>
      <c r="GE662">
        <v>3.0280654203683115</v>
      </c>
      <c r="GF662">
        <v>1.913305326039382</v>
      </c>
      <c r="GG662">
        <v>5.5578337237604121</v>
      </c>
      <c r="GH662">
        <v>8.85285361693645</v>
      </c>
      <c r="GI662">
        <v>10.357248710275936</v>
      </c>
      <c r="GJ662"/>
      <c r="GK662"/>
      <c r="GL662"/>
      <c r="GM662"/>
    </row>
    <row r="663" spans="1:195" s="7" customForma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28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81"/>
      <c r="AG663" s="81"/>
      <c r="AH663" s="81"/>
      <c r="AI663" s="4"/>
      <c r="AJ663" s="81"/>
      <c r="AK663" s="81"/>
      <c r="AL663" s="81"/>
      <c r="AM663" s="43">
        <v>647</v>
      </c>
      <c r="AN663">
        <v>159.48146043094596</v>
      </c>
      <c r="AO663">
        <v>12.928181866356397</v>
      </c>
      <c r="AP663">
        <v>129.44755395062947</v>
      </c>
      <c r="AQ663">
        <v>109.27637384150599</v>
      </c>
      <c r="AR663">
        <v>12.281391291423416</v>
      </c>
      <c r="AS663">
        <v>261.77903355879943</v>
      </c>
      <c r="AT663">
        <v>6.9862164723127407</v>
      </c>
      <c r="AU663">
        <v>51.63057970504434</v>
      </c>
      <c r="AV663"/>
      <c r="AW663"/>
      <c r="FY663" s="210">
        <v>658</v>
      </c>
      <c r="FZ663">
        <v>12.625836637925854</v>
      </c>
      <c r="GA663">
        <v>14.821883448512956</v>
      </c>
      <c r="GB663">
        <v>1.6964453345716275</v>
      </c>
      <c r="GC663">
        <v>0.85315028248806446</v>
      </c>
      <c r="GD663">
        <v>0.78036682893482989</v>
      </c>
      <c r="GE663">
        <v>2.1735907049168817</v>
      </c>
      <c r="GF663">
        <v>5.2321614953639592</v>
      </c>
      <c r="GG663">
        <v>8.6708869763124738</v>
      </c>
      <c r="GH663">
        <v>10.087120611575534</v>
      </c>
      <c r="GI663">
        <v>5.27776674428031</v>
      </c>
      <c r="GJ663"/>
      <c r="GK663"/>
      <c r="GL663"/>
      <c r="GM663"/>
    </row>
    <row r="664" spans="1:195" s="7" customForma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28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81"/>
      <c r="AG664" s="81"/>
      <c r="AH664" s="81"/>
      <c r="AI664" s="4"/>
      <c r="AJ664" s="81"/>
      <c r="AK664" s="81"/>
      <c r="AL664" s="81"/>
      <c r="AM664" s="43">
        <v>648</v>
      </c>
      <c r="AN664">
        <v>37.733961291323169</v>
      </c>
      <c r="AO664">
        <v>3.3887412424236736</v>
      </c>
      <c r="AP664">
        <v>30.320138593826474</v>
      </c>
      <c r="AQ664">
        <v>24.508111007371298</v>
      </c>
      <c r="AR664">
        <v>3.5264644666180938</v>
      </c>
      <c r="AS664">
        <v>54.410078741274496</v>
      </c>
      <c r="AT664">
        <v>2.1864194368978422</v>
      </c>
      <c r="AU664">
        <v>-1.1124637808787918</v>
      </c>
      <c r="AV664"/>
      <c r="AW664"/>
      <c r="FY664" s="210">
        <v>659</v>
      </c>
      <c r="FZ664">
        <v>22.188034143910258</v>
      </c>
      <c r="GA664">
        <v>29.65612772503809</v>
      </c>
      <c r="GB664">
        <v>2.8783093954025123</v>
      </c>
      <c r="GC664">
        <v>0.92810418263831096</v>
      </c>
      <c r="GD664">
        <v>1.4519972705024076</v>
      </c>
      <c r="GE664">
        <v>3.4775045654278509</v>
      </c>
      <c r="GF664">
        <v>4.6413460017425274</v>
      </c>
      <c r="GG664">
        <v>4.5307145000292586</v>
      </c>
      <c r="GH664">
        <v>4.4940351621403254</v>
      </c>
      <c r="GI664">
        <v>6.3919780758096616</v>
      </c>
      <c r="GJ664"/>
      <c r="GK664"/>
      <c r="GL664"/>
      <c r="GM664"/>
    </row>
    <row r="665" spans="1:195" s="7" customForma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28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81"/>
      <c r="AG665" s="81"/>
      <c r="AH665" s="81"/>
      <c r="AI665" s="4"/>
      <c r="AJ665" s="81"/>
      <c r="AK665" s="81"/>
      <c r="AL665" s="81"/>
      <c r="AM665" s="43">
        <v>649</v>
      </c>
      <c r="AN665">
        <v>94.094748624605131</v>
      </c>
      <c r="AO665">
        <v>7.4245956697222057</v>
      </c>
      <c r="AP665">
        <v>71.300225601705563</v>
      </c>
      <c r="AQ665">
        <v>60.288628589511589</v>
      </c>
      <c r="AR665">
        <v>7.1377087961533734</v>
      </c>
      <c r="AS665">
        <v>121.54572669304008</v>
      </c>
      <c r="AT665">
        <v>4.4120987987357223</v>
      </c>
      <c r="AU665">
        <v>20.492740123505083</v>
      </c>
      <c r="AV665"/>
      <c r="AW665"/>
      <c r="FY665" s="210">
        <v>660</v>
      </c>
      <c r="FZ665">
        <v>34.634861918671284</v>
      </c>
      <c r="GA665">
        <v>42.811390021862735</v>
      </c>
      <c r="GB665">
        <v>3.4800557042268432</v>
      </c>
      <c r="GC665">
        <v>1.3073857214298805</v>
      </c>
      <c r="GD665">
        <v>0.71740083827877643</v>
      </c>
      <c r="GE665">
        <v>1.7635084027861112</v>
      </c>
      <c r="GF665">
        <v>4.0843367943000413</v>
      </c>
      <c r="GG665">
        <v>12.425696838712671</v>
      </c>
      <c r="GH665">
        <v>17.221817179680478</v>
      </c>
      <c r="GI665">
        <v>9.8595588400317347</v>
      </c>
      <c r="GJ665"/>
      <c r="GK665"/>
      <c r="GL665"/>
      <c r="GM665"/>
    </row>
    <row r="666" spans="1:195" s="7" customForma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28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81"/>
      <c r="AG666" s="81"/>
      <c r="AH666" s="81"/>
      <c r="AI666" s="4"/>
      <c r="AJ666" s="81"/>
      <c r="AK666" s="81"/>
      <c r="AL666" s="81"/>
      <c r="AM666" s="43">
        <v>650</v>
      </c>
      <c r="AN666">
        <v>102.05802994124129</v>
      </c>
      <c r="AO666">
        <v>8.5425145506703739</v>
      </c>
      <c r="AP666">
        <v>80.536369205453795</v>
      </c>
      <c r="AQ666">
        <v>68.092323675728593</v>
      </c>
      <c r="AR666">
        <v>8.5986437441539199</v>
      </c>
      <c r="AS666">
        <v>149.42941375139938</v>
      </c>
      <c r="AT666">
        <v>5.4299647091500924</v>
      </c>
      <c r="AU666">
        <v>13.071255083568895</v>
      </c>
      <c r="AV666"/>
      <c r="AW666"/>
      <c r="FY666" s="210">
        <v>661</v>
      </c>
      <c r="FZ666">
        <v>24.833158362971577</v>
      </c>
      <c r="GA666">
        <v>27.543804631522022</v>
      </c>
      <c r="GB666">
        <v>2.0755653209789657</v>
      </c>
      <c r="GC666">
        <v>0.99173783050367115</v>
      </c>
      <c r="GD666">
        <v>0.68487635274047964</v>
      </c>
      <c r="GE666">
        <v>3.0743853234302603</v>
      </c>
      <c r="GF666">
        <v>9.8116764777255217</v>
      </c>
      <c r="GG666">
        <v>7.4033704517318029</v>
      </c>
      <c r="GH666">
        <v>6.2461623402511872</v>
      </c>
      <c r="GI666">
        <v>7.3399330580460482</v>
      </c>
      <c r="GJ666"/>
      <c r="GK666"/>
      <c r="GL666"/>
      <c r="GM666"/>
    </row>
    <row r="667" spans="1:195" s="7" customForma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28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81"/>
      <c r="AG667" s="81"/>
      <c r="AH667" s="81"/>
      <c r="AI667" s="4"/>
      <c r="AJ667" s="81"/>
      <c r="AK667" s="81"/>
      <c r="AL667" s="81"/>
      <c r="AM667" s="43">
        <v>651</v>
      </c>
      <c r="AN667">
        <v>93.504560706793853</v>
      </c>
      <c r="AO667">
        <v>11.757393764671235</v>
      </c>
      <c r="AP667">
        <v>124.68752773791557</v>
      </c>
      <c r="AQ667">
        <v>107.39626243092486</v>
      </c>
      <c r="AR667">
        <v>11.504735513442201</v>
      </c>
      <c r="AS667">
        <v>178.9386168311762</v>
      </c>
      <c r="AT667">
        <v>6.7478128243440105</v>
      </c>
      <c r="AU667">
        <v>39.581999176727535</v>
      </c>
      <c r="AV667"/>
      <c r="AW667"/>
      <c r="FY667" s="210">
        <v>662</v>
      </c>
      <c r="FZ667">
        <v>11.744318540404057</v>
      </c>
      <c r="GA667">
        <v>15.718141255626509</v>
      </c>
      <c r="GB667">
        <v>3.4180163433872885</v>
      </c>
      <c r="GC667">
        <v>1.62628556046772</v>
      </c>
      <c r="GD667">
        <v>1.7400684155364585</v>
      </c>
      <c r="GE667">
        <v>4.2168622247715648</v>
      </c>
      <c r="GF667">
        <v>6.9980780159961702</v>
      </c>
      <c r="GG667">
        <v>6.5302289401466513</v>
      </c>
      <c r="GH667">
        <v>5.075510665471012</v>
      </c>
      <c r="GI667">
        <v>5.6735669026606725</v>
      </c>
      <c r="GJ667"/>
      <c r="GK667"/>
      <c r="GL667"/>
      <c r="GM667"/>
    </row>
    <row r="668" spans="1:195" s="7" customForma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28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81"/>
      <c r="AG668" s="81"/>
      <c r="AH668" s="81"/>
      <c r="AI668" s="4"/>
      <c r="AJ668" s="81"/>
      <c r="AK668" s="81"/>
      <c r="AL668" s="81"/>
      <c r="AM668" s="43">
        <v>652</v>
      </c>
      <c r="AN668">
        <v>95.370672512647488</v>
      </c>
      <c r="AO668">
        <v>13.027257279077308</v>
      </c>
      <c r="AP668">
        <v>135.9818737884066</v>
      </c>
      <c r="AQ668">
        <v>115.42743116121108</v>
      </c>
      <c r="AR668">
        <v>12.663656068015966</v>
      </c>
      <c r="AS668">
        <v>167.02181269218522</v>
      </c>
      <c r="AT668">
        <v>8.2480131130408463</v>
      </c>
      <c r="AU668">
        <v>21.144118543642211</v>
      </c>
      <c r="AV668"/>
      <c r="AW668"/>
      <c r="FY668" s="210">
        <v>663</v>
      </c>
      <c r="FZ668">
        <v>33.321560204955333</v>
      </c>
      <c r="GA668">
        <v>40.772089252703935</v>
      </c>
      <c r="GB668">
        <v>2.7256217060159509</v>
      </c>
      <c r="GC668">
        <v>1.0565657534243427</v>
      </c>
      <c r="GD668">
        <v>0.70299991794145766</v>
      </c>
      <c r="GE668">
        <v>3.6958052782495536</v>
      </c>
      <c r="GF668">
        <v>12.889684076524071</v>
      </c>
      <c r="GG668">
        <v>8.9516069905571367</v>
      </c>
      <c r="GH668">
        <v>4.6654211817673739</v>
      </c>
      <c r="GI668">
        <v>9.0763115354723887</v>
      </c>
      <c r="GJ668"/>
      <c r="GK668"/>
      <c r="GL668"/>
      <c r="GM668"/>
    </row>
    <row r="669" spans="1:195" s="7" customForma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28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81"/>
      <c r="AG669" s="81"/>
      <c r="AH669" s="81"/>
      <c r="AI669" s="4"/>
      <c r="AJ669" s="81"/>
      <c r="AK669" s="81"/>
      <c r="AL669" s="81"/>
      <c r="AM669" s="43">
        <v>653</v>
      </c>
      <c r="AN669">
        <v>84.211406704174379</v>
      </c>
      <c r="AO669">
        <v>8.0033704393182941</v>
      </c>
      <c r="AP669">
        <v>76.031535522304367</v>
      </c>
      <c r="AQ669">
        <v>64.51160160046426</v>
      </c>
      <c r="AR669">
        <v>8.1792331680539885</v>
      </c>
      <c r="AS669">
        <v>126.01089301069791</v>
      </c>
      <c r="AT669">
        <v>4.9623143875541658</v>
      </c>
      <c r="AU669">
        <v>-9.0260952488257011</v>
      </c>
      <c r="AV669"/>
      <c r="AW669"/>
      <c r="FY669" s="210">
        <v>664</v>
      </c>
      <c r="FZ669">
        <v>34.441851649661174</v>
      </c>
      <c r="GA669">
        <v>41.139567025081334</v>
      </c>
      <c r="GB669">
        <v>2.6870979927646208</v>
      </c>
      <c r="GC669">
        <v>0.7965735105810523</v>
      </c>
      <c r="GD669">
        <v>0.56798058390379436</v>
      </c>
      <c r="GE669">
        <v>1.271466665789146</v>
      </c>
      <c r="GF669">
        <v>4.5662234215270452</v>
      </c>
      <c r="GG669">
        <v>5.660720882859084</v>
      </c>
      <c r="GH669">
        <v>5.5098061526820867</v>
      </c>
      <c r="GI669">
        <v>7.7870416227607304</v>
      </c>
      <c r="GJ669"/>
      <c r="GK669"/>
      <c r="GL669"/>
      <c r="GM669"/>
    </row>
    <row r="670" spans="1:195" s="7" customForma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28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81"/>
      <c r="AG670" s="81"/>
      <c r="AH670" s="81"/>
      <c r="AI670" s="4"/>
      <c r="AJ670" s="81"/>
      <c r="AK670" s="81"/>
      <c r="AL670" s="81"/>
      <c r="AM670" s="43">
        <v>654</v>
      </c>
      <c r="AN670">
        <v>164.74522049230364</v>
      </c>
      <c r="AO670">
        <v>14.234622358719378</v>
      </c>
      <c r="AP670">
        <v>149.22738990116855</v>
      </c>
      <c r="AQ670">
        <v>126.11367686665686</v>
      </c>
      <c r="AR670">
        <v>13.457857464433195</v>
      </c>
      <c r="AS670">
        <v>242.34352620167581</v>
      </c>
      <c r="AT670">
        <v>8.2614922971832563</v>
      </c>
      <c r="AU670">
        <v>83.4738843923231</v>
      </c>
      <c r="AV670"/>
      <c r="AW670"/>
      <c r="FY670" s="210">
        <v>665</v>
      </c>
      <c r="FZ670">
        <v>23.490594547754988</v>
      </c>
      <c r="GA670">
        <v>27.807373502310011</v>
      </c>
      <c r="GB670">
        <v>2.8089414125441166</v>
      </c>
      <c r="GC670">
        <v>1.1192379795239005</v>
      </c>
      <c r="GD670">
        <v>0.46826240378256401</v>
      </c>
      <c r="GE670">
        <v>1.100326115800712</v>
      </c>
      <c r="GF670">
        <v>4.6002842861502247</v>
      </c>
      <c r="GG670">
        <v>8.6166472842312807</v>
      </c>
      <c r="GH670">
        <v>10.497612784883842</v>
      </c>
      <c r="GI670">
        <v>6.929047078226211</v>
      </c>
      <c r="GJ670"/>
      <c r="GK670"/>
      <c r="GL670"/>
      <c r="GM670"/>
    </row>
    <row r="671" spans="1:195" s="7" customForma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28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81"/>
      <c r="AG671" s="81"/>
      <c r="AH671" s="81"/>
      <c r="AI671" s="4"/>
      <c r="AJ671" s="81"/>
      <c r="AK671" s="81"/>
      <c r="AL671" s="81"/>
      <c r="AM671" s="43">
        <v>655</v>
      </c>
      <c r="AN671">
        <v>94.818551627950285</v>
      </c>
      <c r="AO671">
        <v>11.178758546608311</v>
      </c>
      <c r="AP671">
        <v>115.39623134522972</v>
      </c>
      <c r="AQ671">
        <v>96.501655479754973</v>
      </c>
      <c r="AR671">
        <v>10.882618063575977</v>
      </c>
      <c r="AS671">
        <v>169.00810919137024</v>
      </c>
      <c r="AT671">
        <v>6.9026060469380575</v>
      </c>
      <c r="AU671">
        <v>0.14109521528815971</v>
      </c>
      <c r="AV671"/>
      <c r="AW671"/>
      <c r="FY671" s="210">
        <v>666</v>
      </c>
      <c r="FZ671">
        <v>35.389360947379096</v>
      </c>
      <c r="GA671">
        <v>39.158307663301784</v>
      </c>
      <c r="GB671">
        <v>2.3796304947114502</v>
      </c>
      <c r="GC671">
        <v>1.3149656391143725</v>
      </c>
      <c r="GD671">
        <v>1.0555066759857863</v>
      </c>
      <c r="GE671">
        <v>2.0401736108264634</v>
      </c>
      <c r="GF671">
        <v>7.2673293177611749</v>
      </c>
      <c r="GG671">
        <v>7.2614335724932779</v>
      </c>
      <c r="GH671">
        <v>6.2603850132974106</v>
      </c>
      <c r="GI671">
        <v>8.743047109008776</v>
      </c>
      <c r="GJ671"/>
      <c r="GK671"/>
      <c r="GL671"/>
      <c r="GM671"/>
    </row>
    <row r="672" spans="1:195" s="7" customForma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28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81"/>
      <c r="AG672" s="81"/>
      <c r="AH672" s="81"/>
      <c r="AI672" s="4"/>
      <c r="AJ672" s="81"/>
      <c r="AK672" s="81"/>
      <c r="AL672" s="81"/>
      <c r="AM672" s="43">
        <v>656</v>
      </c>
      <c r="AN672">
        <v>126.17822642521762</v>
      </c>
      <c r="AO672">
        <v>17.391888393040233</v>
      </c>
      <c r="AP672">
        <v>191.93980342527831</v>
      </c>
      <c r="AQ672">
        <v>164.91069926290959</v>
      </c>
      <c r="AR672">
        <v>16.691177416699041</v>
      </c>
      <c r="AS672">
        <v>242.13917886398644</v>
      </c>
      <c r="AT672">
        <v>10.585552658754841</v>
      </c>
      <c r="AU672">
        <v>92.619596090199906</v>
      </c>
      <c r="AV672"/>
      <c r="AW672"/>
      <c r="FY672" s="210">
        <v>667</v>
      </c>
      <c r="FZ672">
        <v>21.085453599345534</v>
      </c>
      <c r="GA672">
        <v>27.23580717231086</v>
      </c>
      <c r="GB672">
        <v>1.7427763806045495</v>
      </c>
      <c r="GC672">
        <v>0.80248892797325566</v>
      </c>
      <c r="GD672">
        <v>1.664946155761029</v>
      </c>
      <c r="GE672">
        <v>2.7796041538943044</v>
      </c>
      <c r="GF672">
        <v>1.0612394312291016</v>
      </c>
      <c r="GG672">
        <v>8.0454974335473359</v>
      </c>
      <c r="GH672">
        <v>11.905916206251714</v>
      </c>
      <c r="GI672">
        <v>6.5867687871541092</v>
      </c>
      <c r="GJ672"/>
      <c r="GK672"/>
      <c r="GL672"/>
      <c r="GM672"/>
    </row>
    <row r="673" spans="1:195" s="7" customForma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28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81"/>
      <c r="AG673" s="81"/>
      <c r="AH673" s="81"/>
      <c r="AI673" s="4"/>
      <c r="AJ673" s="81"/>
      <c r="AK673" s="81"/>
      <c r="AL673" s="81"/>
      <c r="AM673" s="43">
        <v>657</v>
      </c>
      <c r="AN673">
        <v>100.68861132206808</v>
      </c>
      <c r="AO673">
        <v>14.826921890721541</v>
      </c>
      <c r="AP673">
        <v>155.23193833896156</v>
      </c>
      <c r="AQ673">
        <v>135.31363128586719</v>
      </c>
      <c r="AR673">
        <v>14.515026583098358</v>
      </c>
      <c r="AS673">
        <v>209.76485962042318</v>
      </c>
      <c r="AT673">
        <v>9.4659611835481172</v>
      </c>
      <c r="AU673">
        <v>59.778685841713923</v>
      </c>
      <c r="AV673"/>
      <c r="AW673"/>
      <c r="FY673" s="210">
        <v>668</v>
      </c>
      <c r="FZ673">
        <v>32.41476537635598</v>
      </c>
      <c r="GA673">
        <v>40.562055326511057</v>
      </c>
      <c r="GB673">
        <v>3.5714992824621281</v>
      </c>
      <c r="GC673">
        <v>1.6068432927031675</v>
      </c>
      <c r="GD673">
        <v>0.58650352569184649</v>
      </c>
      <c r="GE673">
        <v>1.9591705522659566</v>
      </c>
      <c r="GF673">
        <v>6.7192378020186183</v>
      </c>
      <c r="GG673">
        <v>6.1026805578413201</v>
      </c>
      <c r="GH673">
        <v>6.7346368703633841</v>
      </c>
      <c r="GI673">
        <v>8.2882312244118772</v>
      </c>
      <c r="GJ673"/>
      <c r="GK673"/>
      <c r="GL673"/>
      <c r="GM673"/>
    </row>
    <row r="674" spans="1:195" s="7" customForma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28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81"/>
      <c r="AG674" s="81"/>
      <c r="AH674" s="81"/>
      <c r="AI674" s="4"/>
      <c r="AJ674" s="81"/>
      <c r="AK674" s="81"/>
      <c r="AL674" s="81"/>
      <c r="AM674" s="43">
        <v>658</v>
      </c>
      <c r="AN674">
        <v>87.526191839368337</v>
      </c>
      <c r="AO674">
        <v>7.5162129962660256</v>
      </c>
      <c r="AP674">
        <v>73.599591439340372</v>
      </c>
      <c r="AQ674">
        <v>62.219209064882492</v>
      </c>
      <c r="AR674">
        <v>7.2650927310539402</v>
      </c>
      <c r="AS674">
        <v>135.42089338469688</v>
      </c>
      <c r="AT674">
        <v>4.3692984653573363</v>
      </c>
      <c r="AU674">
        <v>31.954204008737147</v>
      </c>
      <c r="AV674"/>
      <c r="AW674"/>
      <c r="FY674" s="210">
        <v>669</v>
      </c>
      <c r="FZ674">
        <v>26.678991008224077</v>
      </c>
      <c r="GA674">
        <v>28.399344719972667</v>
      </c>
      <c r="GB674">
        <v>3.4707241940667939</v>
      </c>
      <c r="GC674">
        <v>1.5320253372922448</v>
      </c>
      <c r="GD674">
        <v>0.70667052185665913</v>
      </c>
      <c r="GE674">
        <v>2.2600073209756246</v>
      </c>
      <c r="GF674">
        <v>7.1456542456431054</v>
      </c>
      <c r="GG674">
        <v>7.0894249250295118</v>
      </c>
      <c r="GH674">
        <v>6.9227819756177285</v>
      </c>
      <c r="GI674">
        <v>7.6038323908949197</v>
      </c>
      <c r="GJ674"/>
      <c r="GK674"/>
      <c r="GL674"/>
      <c r="GM674"/>
    </row>
    <row r="675" spans="1:195" s="7" customForma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28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81"/>
      <c r="AG675" s="81"/>
      <c r="AH675" s="81"/>
      <c r="AI675" s="4"/>
      <c r="AJ675" s="81"/>
      <c r="AK675" s="81"/>
      <c r="AL675" s="81"/>
      <c r="AM675" s="43">
        <v>659</v>
      </c>
      <c r="AN675">
        <v>86.729869124023125</v>
      </c>
      <c r="AO675">
        <v>9.4284403532640795</v>
      </c>
      <c r="AP675">
        <v>93.154508327517149</v>
      </c>
      <c r="AQ675">
        <v>80.638151022641196</v>
      </c>
      <c r="AR675">
        <v>8.8503192240893007</v>
      </c>
      <c r="AS675">
        <v>154.1783472604458</v>
      </c>
      <c r="AT675">
        <v>5.343452885604651</v>
      </c>
      <c r="AU675">
        <v>12.254248345102607</v>
      </c>
      <c r="AV675"/>
      <c r="AW675"/>
      <c r="FY675" s="210">
        <v>670</v>
      </c>
      <c r="FZ675">
        <v>14.587772844272026</v>
      </c>
      <c r="GA675">
        <v>15.755993896585627</v>
      </c>
      <c r="GB675">
        <v>1.2357086663487888</v>
      </c>
      <c r="GC675">
        <v>0.40816342813096795</v>
      </c>
      <c r="GD675">
        <v>0.82239453429673004</v>
      </c>
      <c r="GE675">
        <v>1.6039262162244206</v>
      </c>
      <c r="GF675">
        <v>6.0504936202882478</v>
      </c>
      <c r="GG675">
        <v>19.732809817191644</v>
      </c>
      <c r="GH675">
        <v>23.340934293784116</v>
      </c>
      <c r="GI675">
        <v>7.732712913508534</v>
      </c>
      <c r="GJ675"/>
      <c r="GK675"/>
      <c r="GL675"/>
      <c r="GM675"/>
    </row>
    <row r="676" spans="1:195" s="7" customForma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28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81"/>
      <c r="AG676" s="81"/>
      <c r="AH676" s="81"/>
      <c r="AI676" s="4"/>
      <c r="AJ676" s="81"/>
      <c r="AK676" s="81"/>
      <c r="AL676" s="81"/>
      <c r="AM676" s="43">
        <v>660</v>
      </c>
      <c r="AN676">
        <v>136.06083775078594</v>
      </c>
      <c r="AO676">
        <v>14.326751729871779</v>
      </c>
      <c r="AP676">
        <v>151.5071133072249</v>
      </c>
      <c r="AQ676">
        <v>128.30601225998055</v>
      </c>
      <c r="AR676">
        <v>13.717227706076693</v>
      </c>
      <c r="AS676">
        <v>173.32270912965069</v>
      </c>
      <c r="AT676">
        <v>8.0001027778903211</v>
      </c>
      <c r="AU676">
        <v>42.428846289747646</v>
      </c>
      <c r="AV676"/>
      <c r="AW676"/>
      <c r="FY676" s="210">
        <v>671</v>
      </c>
      <c r="FZ676">
        <v>34.537695272386379</v>
      </c>
      <c r="GA676">
        <v>41.431640915015919</v>
      </c>
      <c r="GB676">
        <v>3.8070171370030339</v>
      </c>
      <c r="GC676">
        <v>1.5619869191289137</v>
      </c>
      <c r="GD676">
        <v>1.0184361268956383</v>
      </c>
      <c r="GE676">
        <v>2.198084746790657</v>
      </c>
      <c r="GF676">
        <v>3.0291799744087862</v>
      </c>
      <c r="GG676">
        <v>4.2857552816876456</v>
      </c>
      <c r="GH676">
        <v>6.7569203371812154</v>
      </c>
      <c r="GI676">
        <v>8.262111639560846</v>
      </c>
      <c r="GJ676"/>
      <c r="GK676"/>
      <c r="GL676"/>
      <c r="GM676"/>
    </row>
    <row r="677" spans="1:195" s="7" customForma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28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81"/>
      <c r="AG677" s="81"/>
      <c r="AH677" s="81"/>
      <c r="AI677" s="4"/>
      <c r="AJ677" s="81"/>
      <c r="AK677" s="81"/>
      <c r="AL677" s="81"/>
      <c r="AM677" s="43">
        <v>661</v>
      </c>
      <c r="AN677">
        <v>117.73793494026913</v>
      </c>
      <c r="AO677">
        <v>10.350601378715591</v>
      </c>
      <c r="AP677">
        <v>105.79660728929885</v>
      </c>
      <c r="AQ677">
        <v>90.004670149901543</v>
      </c>
      <c r="AR677">
        <v>10.076899338468248</v>
      </c>
      <c r="AS677">
        <v>172.53157285560906</v>
      </c>
      <c r="AT677">
        <v>6.2383102215382875</v>
      </c>
      <c r="AU677">
        <v>7.2640753577422128</v>
      </c>
      <c r="AV677"/>
      <c r="AW677"/>
      <c r="FY677" s="210">
        <v>672</v>
      </c>
      <c r="FZ677">
        <v>13.45236707914516</v>
      </c>
      <c r="GA677">
        <v>15.34330054691296</v>
      </c>
      <c r="GB677">
        <v>3.848521687550627</v>
      </c>
      <c r="GC677">
        <v>2.0205288190707535</v>
      </c>
      <c r="GD677">
        <v>1.0263697226235287</v>
      </c>
      <c r="GE677">
        <v>3.7853780674240172</v>
      </c>
      <c r="GF677">
        <v>8.8250187274971257</v>
      </c>
      <c r="GG677">
        <v>6.3142945696857344</v>
      </c>
      <c r="GH677">
        <v>6.8874764895220277</v>
      </c>
      <c r="GI677">
        <v>6.2289216962557363</v>
      </c>
      <c r="GJ677"/>
      <c r="GK677"/>
      <c r="GL677"/>
      <c r="GM677"/>
    </row>
    <row r="678" spans="1:195" s="7" customForma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28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81"/>
      <c r="AG678" s="81"/>
      <c r="AH678" s="81"/>
      <c r="AI678" s="4"/>
      <c r="AJ678" s="81"/>
      <c r="AK678" s="81"/>
      <c r="AL678" s="81"/>
      <c r="AM678" s="43">
        <v>662</v>
      </c>
      <c r="AN678">
        <v>97.442495871037721</v>
      </c>
      <c r="AO678">
        <v>8.2555309840120081</v>
      </c>
      <c r="AP678">
        <v>72.884304697109528</v>
      </c>
      <c r="AQ678">
        <v>62.741076864468106</v>
      </c>
      <c r="AR678">
        <v>7.8002755460382271</v>
      </c>
      <c r="AS678">
        <v>138.86888480583934</v>
      </c>
      <c r="AT678">
        <v>4.8336188068856201</v>
      </c>
      <c r="AU678">
        <v>0.80640907016231644</v>
      </c>
      <c r="AV678"/>
      <c r="AW678"/>
      <c r="FY678" s="210">
        <v>673</v>
      </c>
      <c r="FZ678">
        <v>2.7719974872384583</v>
      </c>
      <c r="GA678">
        <v>2.2408658702824402</v>
      </c>
      <c r="GB678">
        <v>1.826476083440328</v>
      </c>
      <c r="GC678">
        <v>0.87079291467442699</v>
      </c>
      <c r="GD678">
        <v>0.21410318187607141</v>
      </c>
      <c r="GE678">
        <v>0.71949027360367657</v>
      </c>
      <c r="GF678">
        <v>10.268931420613866</v>
      </c>
      <c r="GG678">
        <v>10.439851164889317</v>
      </c>
      <c r="GH678">
        <v>4.416211172236399</v>
      </c>
      <c r="GI678">
        <v>3.5451409691165421</v>
      </c>
      <c r="GJ678"/>
      <c r="GK678"/>
      <c r="GL678"/>
      <c r="GM678"/>
    </row>
    <row r="679" spans="1:195" s="7" customForma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28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81"/>
      <c r="AG679" s="81"/>
      <c r="AH679" s="81"/>
      <c r="AI679" s="4"/>
      <c r="AJ679" s="81"/>
      <c r="AK679" s="81"/>
      <c r="AL679" s="81"/>
      <c r="AM679" s="43">
        <v>663</v>
      </c>
      <c r="AN679">
        <v>141.82656625768567</v>
      </c>
      <c r="AO679">
        <v>13.28335817616958</v>
      </c>
      <c r="AP679">
        <v>138.44043843774639</v>
      </c>
      <c r="AQ679">
        <v>117.85766589761154</v>
      </c>
      <c r="AR679">
        <v>12.486653800326669</v>
      </c>
      <c r="AS679">
        <v>222.13740383567384</v>
      </c>
      <c r="AT679">
        <v>8.0236309035019051</v>
      </c>
      <c r="AU679">
        <v>75.316838224780525</v>
      </c>
      <c r="AV679"/>
      <c r="AW679"/>
      <c r="FY679" s="210">
        <v>674</v>
      </c>
      <c r="FZ679">
        <v>11.337940480525816</v>
      </c>
      <c r="GA679">
        <v>14.854583488715113</v>
      </c>
      <c r="GB679">
        <v>2.7489235846990039</v>
      </c>
      <c r="GC679">
        <v>1.1863590111814906</v>
      </c>
      <c r="GD679">
        <v>1.3773010030135455</v>
      </c>
      <c r="GE679">
        <v>3.6114555540581059</v>
      </c>
      <c r="GF679">
        <v>6.2122628892442036</v>
      </c>
      <c r="GG679">
        <v>13.253583765451374</v>
      </c>
      <c r="GH679">
        <v>14.94974942615238</v>
      </c>
      <c r="GI679">
        <v>6.6470906875186024</v>
      </c>
      <c r="GJ679"/>
      <c r="GK679"/>
      <c r="GL679"/>
      <c r="GM679"/>
    </row>
    <row r="680" spans="1:195" s="7" customFormat="1">
      <c r="A680" s="4"/>
      <c r="B680" s="4"/>
      <c r="C680" s="105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28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81"/>
      <c r="AG680" s="81"/>
      <c r="AH680" s="81"/>
      <c r="AI680" s="4"/>
      <c r="AJ680" s="81"/>
      <c r="AK680" s="81"/>
      <c r="AL680" s="81"/>
      <c r="AM680" s="43">
        <v>664</v>
      </c>
      <c r="AN680">
        <v>90.298370207517038</v>
      </c>
      <c r="AO680">
        <v>11.277685552073603</v>
      </c>
      <c r="AP680">
        <v>122.15785844625674</v>
      </c>
      <c r="AQ680">
        <v>104.42832950761006</v>
      </c>
      <c r="AR680">
        <v>10.888965666134892</v>
      </c>
      <c r="AS680">
        <v>140.05193820800034</v>
      </c>
      <c r="AT680">
        <v>6.6004038473615374</v>
      </c>
      <c r="AU680">
        <v>25.907947095131124</v>
      </c>
      <c r="AV680"/>
      <c r="AW680"/>
      <c r="FY680" s="210">
        <v>675</v>
      </c>
      <c r="FZ680">
        <v>33.48962516318759</v>
      </c>
      <c r="GA680">
        <v>40.858246105925083</v>
      </c>
      <c r="GB680">
        <v>3.7819166827981316</v>
      </c>
      <c r="GC680">
        <v>1.4560104718621583</v>
      </c>
      <c r="GD680">
        <v>0.5760644851081681</v>
      </c>
      <c r="GE680">
        <v>1.7313758968130057</v>
      </c>
      <c r="GF680">
        <v>5.8604059012338077</v>
      </c>
      <c r="GG680">
        <v>10.706962755241065</v>
      </c>
      <c r="GH680">
        <v>12.162910347937085</v>
      </c>
      <c r="GI680">
        <v>9.2040455529516709</v>
      </c>
      <c r="GJ680"/>
      <c r="GK680"/>
      <c r="GL680"/>
      <c r="GM680"/>
    </row>
    <row r="681" spans="1:195" s="7" customFormat="1">
      <c r="A681" s="4"/>
      <c r="B681" s="4"/>
      <c r="C681" s="105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28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81"/>
      <c r="AG681" s="81"/>
      <c r="AH681" s="81"/>
      <c r="AI681" s="4"/>
      <c r="AJ681" s="81"/>
      <c r="AK681" s="81"/>
      <c r="AL681" s="81"/>
      <c r="AM681" s="43">
        <v>665</v>
      </c>
      <c r="AN681">
        <v>91.382668368710952</v>
      </c>
      <c r="AO681">
        <v>9.8891748622874651</v>
      </c>
      <c r="AP681">
        <v>104.00525032637476</v>
      </c>
      <c r="AQ681">
        <v>87.438327395207835</v>
      </c>
      <c r="AR681">
        <v>9.656667180068494</v>
      </c>
      <c r="AS681">
        <v>124.5124105072689</v>
      </c>
      <c r="AT681">
        <v>6.2329746215004533</v>
      </c>
      <c r="AU681">
        <v>20.414379807525325</v>
      </c>
      <c r="AV681"/>
      <c r="AW681"/>
      <c r="FY681" s="210">
        <v>676</v>
      </c>
      <c r="FZ681">
        <v>36.774152544322867</v>
      </c>
      <c r="GA681">
        <v>39.883893843319576</v>
      </c>
      <c r="GB681">
        <v>0.81938789258468558</v>
      </c>
      <c r="GC681">
        <v>0.54873320708209083</v>
      </c>
      <c r="GD681">
        <v>0.93599093188752125</v>
      </c>
      <c r="GE681">
        <v>3.307209289874971</v>
      </c>
      <c r="GF681">
        <v>9.4662485615595546</v>
      </c>
      <c r="GG681">
        <v>12.920028021665667</v>
      </c>
      <c r="GH681">
        <v>12.675353237403741</v>
      </c>
      <c r="GI681">
        <v>9.8919845401457263</v>
      </c>
      <c r="GJ681"/>
      <c r="GK681"/>
      <c r="GL681"/>
      <c r="GM681"/>
    </row>
    <row r="682" spans="1:195" s="7" customFormat="1">
      <c r="A682" s="4"/>
      <c r="B682" s="4"/>
      <c r="C682" s="105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28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81"/>
      <c r="AG682" s="81"/>
      <c r="AH682" s="81"/>
      <c r="AI682" s="4"/>
      <c r="AJ682" s="81"/>
      <c r="AK682" s="81"/>
      <c r="AL682" s="81"/>
      <c r="AM682" s="43">
        <v>666</v>
      </c>
      <c r="AN682">
        <v>97.12292057116008</v>
      </c>
      <c r="AO682">
        <v>12.430010210915812</v>
      </c>
      <c r="AP682">
        <v>129.06756354612813</v>
      </c>
      <c r="AQ682">
        <v>110.87014004387959</v>
      </c>
      <c r="AR682">
        <v>12.216775513463947</v>
      </c>
      <c r="AS682">
        <v>176.166397486081</v>
      </c>
      <c r="AT682">
        <v>7.6536165050518923</v>
      </c>
      <c r="AU682">
        <v>20.981839826654156</v>
      </c>
      <c r="AV682"/>
      <c r="AW682"/>
      <c r="FY682" s="210">
        <v>677</v>
      </c>
      <c r="FZ682">
        <v>35.619197898574242</v>
      </c>
      <c r="GA682">
        <v>42.941934233766993</v>
      </c>
      <c r="GB682">
        <v>5.0236860478390364</v>
      </c>
      <c r="GC682">
        <v>1.5832352895637718</v>
      </c>
      <c r="GD682">
        <v>0.47975323216768695</v>
      </c>
      <c r="GE682">
        <v>1.2237139088901716</v>
      </c>
      <c r="GF682">
        <v>3.3594913849922774</v>
      </c>
      <c r="GG682">
        <v>7.3359449950778535</v>
      </c>
      <c r="GH682">
        <v>9.865961352754395</v>
      </c>
      <c r="GI682">
        <v>8.9606145000617214</v>
      </c>
      <c r="GJ682"/>
      <c r="GK682"/>
      <c r="GL682"/>
      <c r="GM682"/>
    </row>
    <row r="683" spans="1:195" s="7" customFormat="1">
      <c r="A683" s="4"/>
      <c r="B683" s="4"/>
      <c r="C683" s="105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28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81"/>
      <c r="AG683" s="81"/>
      <c r="AH683" s="81"/>
      <c r="AI683" s="4"/>
      <c r="AJ683" s="81"/>
      <c r="AK683" s="81"/>
      <c r="AL683" s="81"/>
      <c r="AM683" s="43">
        <v>667</v>
      </c>
      <c r="AN683">
        <v>97.023246204859191</v>
      </c>
      <c r="AO683">
        <v>9.7176549703569837</v>
      </c>
      <c r="AP683">
        <v>95.283881863154235</v>
      </c>
      <c r="AQ683">
        <v>82.910498248071804</v>
      </c>
      <c r="AR683">
        <v>9.2039274384702114</v>
      </c>
      <c r="AS683">
        <v>160.38019536273362</v>
      </c>
      <c r="AT683">
        <v>5.8305462647097963</v>
      </c>
      <c r="AU683">
        <v>42.510576378558028</v>
      </c>
      <c r="AV683"/>
      <c r="AW683"/>
      <c r="FY683" s="210">
        <v>678</v>
      </c>
      <c r="FZ683">
        <v>13.057187155542172</v>
      </c>
      <c r="GA683">
        <v>16.855440908540885</v>
      </c>
      <c r="GB683">
        <v>2.0051585144812751</v>
      </c>
      <c r="GC683">
        <v>0.1219510527844621</v>
      </c>
      <c r="GD683">
        <v>0.81756426807888849</v>
      </c>
      <c r="GE683">
        <v>3.2401473950142918</v>
      </c>
      <c r="GF683">
        <v>9.5012941645777449</v>
      </c>
      <c r="GG683">
        <v>10.135367409978008</v>
      </c>
      <c r="GH683">
        <v>9.6823328370357924</v>
      </c>
      <c r="GI683">
        <v>6.1489156945963606</v>
      </c>
      <c r="GJ683"/>
      <c r="GK683"/>
      <c r="GL683"/>
      <c r="GM683"/>
    </row>
    <row r="684" spans="1:195" s="7" customFormat="1">
      <c r="A684" s="4"/>
      <c r="B684" s="4"/>
      <c r="C684" s="105"/>
      <c r="D684" s="4"/>
      <c r="E684" s="4"/>
      <c r="F684" s="28"/>
      <c r="G684" s="28"/>
      <c r="H684" s="83"/>
      <c r="I684" s="4"/>
      <c r="J684" s="4"/>
      <c r="K684" s="4"/>
      <c r="L684" s="4"/>
      <c r="M684" s="4"/>
      <c r="N684" s="28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81"/>
      <c r="AG684" s="81"/>
      <c r="AH684" s="81"/>
      <c r="AI684" s="4"/>
      <c r="AJ684" s="81"/>
      <c r="AK684" s="81"/>
      <c r="AL684" s="81"/>
      <c r="AM684" s="43">
        <v>668</v>
      </c>
      <c r="AN684">
        <v>111.75335934068558</v>
      </c>
      <c r="AO684">
        <v>12.054107778278651</v>
      </c>
      <c r="AP684">
        <v>127.66533072051934</v>
      </c>
      <c r="AQ684">
        <v>108.54562381062534</v>
      </c>
      <c r="AR684">
        <v>11.504116749873988</v>
      </c>
      <c r="AS684">
        <v>178.24716681528113</v>
      </c>
      <c r="AT684">
        <v>7.1620090776260552</v>
      </c>
      <c r="AU684">
        <v>34.625199254888564</v>
      </c>
      <c r="AV684"/>
      <c r="AW684"/>
      <c r="FY684" s="210">
        <v>679</v>
      </c>
      <c r="FZ684">
        <v>11.497356340710171</v>
      </c>
      <c r="GA684">
        <v>13.648921007267615</v>
      </c>
      <c r="GB684">
        <v>2.146141751523468</v>
      </c>
      <c r="GC684">
        <v>1.4219877989639411</v>
      </c>
      <c r="GD684">
        <v>0.88224862482000488</v>
      </c>
      <c r="GE684">
        <v>1.2576911488783358</v>
      </c>
      <c r="GF684">
        <v>0.75032052050185483</v>
      </c>
      <c r="GG684">
        <v>7.3683944465853575</v>
      </c>
      <c r="GH684">
        <v>11.012249796635762</v>
      </c>
      <c r="GI684">
        <v>4.6065717326865929</v>
      </c>
      <c r="GJ684"/>
      <c r="GK684"/>
      <c r="GL684"/>
      <c r="GM684"/>
    </row>
    <row r="685" spans="1:195" s="7" customFormat="1">
      <c r="A685" s="4"/>
      <c r="B685" s="4"/>
      <c r="C685" s="105"/>
      <c r="D685" s="4"/>
      <c r="E685" s="4"/>
      <c r="F685" s="28"/>
      <c r="G685" s="28"/>
      <c r="H685" s="83"/>
      <c r="I685" s="4"/>
      <c r="J685" s="4"/>
      <c r="K685" s="4"/>
      <c r="L685" s="4"/>
      <c r="M685" s="4"/>
      <c r="N685" s="28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81"/>
      <c r="AG685" s="81"/>
      <c r="AH685" s="81"/>
      <c r="AI685" s="4"/>
      <c r="AJ685" s="81"/>
      <c r="AK685" s="81"/>
      <c r="AL685" s="81"/>
      <c r="AM685" s="43">
        <v>669</v>
      </c>
      <c r="AN685">
        <v>91.184946194665912</v>
      </c>
      <c r="AO685">
        <v>10.622705365633546</v>
      </c>
      <c r="AP685">
        <v>108.30762949011668</v>
      </c>
      <c r="AQ685">
        <v>91.809456639573327</v>
      </c>
      <c r="AR685">
        <v>10.538651193010002</v>
      </c>
      <c r="AS685">
        <v>147.50998810034363</v>
      </c>
      <c r="AT685">
        <v>6.6710450761357523</v>
      </c>
      <c r="AU685">
        <v>12.681903221407484</v>
      </c>
      <c r="AV685"/>
      <c r="AW685"/>
      <c r="FY685" s="210">
        <v>680</v>
      </c>
      <c r="FZ685">
        <v>25.521140178801932</v>
      </c>
      <c r="GA685">
        <v>29.736594573154122</v>
      </c>
      <c r="GB685">
        <v>3.6231593209075608</v>
      </c>
      <c r="GC685">
        <v>1.1373232338181192</v>
      </c>
      <c r="GD685">
        <v>1.1334928002965854</v>
      </c>
      <c r="GE685">
        <v>2.6072059351803185</v>
      </c>
      <c r="GF685">
        <v>5.6150312343069304</v>
      </c>
      <c r="GG685">
        <v>12.30755636474399</v>
      </c>
      <c r="GH685">
        <v>13.695832612775037</v>
      </c>
      <c r="GI685">
        <v>8.5245671316474336</v>
      </c>
      <c r="GJ685"/>
      <c r="GK685"/>
      <c r="GL685"/>
      <c r="GM685"/>
    </row>
    <row r="686" spans="1:195" s="7" customFormat="1">
      <c r="A686" s="4"/>
      <c r="B686" s="4"/>
      <c r="C686" s="105"/>
      <c r="D686" s="4"/>
      <c r="E686" s="4"/>
      <c r="F686" s="28"/>
      <c r="G686" s="28"/>
      <c r="H686" s="83"/>
      <c r="I686" s="4"/>
      <c r="J686" s="4"/>
      <c r="K686" s="4"/>
      <c r="L686" s="4"/>
      <c r="M686" s="4"/>
      <c r="N686" s="28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81"/>
      <c r="AG686" s="81"/>
      <c r="AH686" s="81"/>
      <c r="AI686" s="4"/>
      <c r="AJ686" s="81"/>
      <c r="AK686" s="81"/>
      <c r="AL686" s="81"/>
      <c r="AM686" s="43">
        <v>670</v>
      </c>
      <c r="AN686">
        <v>147.35092612427678</v>
      </c>
      <c r="AO686">
        <v>10.958170906903621</v>
      </c>
      <c r="AP686">
        <v>109.85668394336098</v>
      </c>
      <c r="AQ686">
        <v>91.270910230631117</v>
      </c>
      <c r="AR686">
        <v>10.758291695322752</v>
      </c>
      <c r="AS686">
        <v>185.56485080561006</v>
      </c>
      <c r="AT686" t="e">
        <v>#DIV/0!</v>
      </c>
      <c r="AU686" t="e">
        <v>#DIV/0!</v>
      </c>
      <c r="AV686"/>
      <c r="AW686"/>
      <c r="FY686" s="210">
        <v>681</v>
      </c>
      <c r="FZ686">
        <v>14.821275167404307</v>
      </c>
      <c r="GA686">
        <v>16.134284634547619</v>
      </c>
      <c r="GB686">
        <v>3.0863622032779077</v>
      </c>
      <c r="GC686">
        <v>1.1617597130006951</v>
      </c>
      <c r="GD686">
        <v>1.2291673684809801</v>
      </c>
      <c r="GE686">
        <v>4.2998961032928991</v>
      </c>
      <c r="GF686">
        <v>5.6580887621637999</v>
      </c>
      <c r="GG686">
        <v>4.7122407871802796</v>
      </c>
      <c r="GH686">
        <v>6.0205445439810328</v>
      </c>
      <c r="GI686">
        <v>5.6615470757946538</v>
      </c>
      <c r="GJ686"/>
      <c r="GK686"/>
      <c r="GL686"/>
      <c r="GM686"/>
    </row>
    <row r="687" spans="1:195" s="7" customFormat="1">
      <c r="A687" s="4"/>
      <c r="B687" s="4"/>
      <c r="C687" s="105"/>
      <c r="D687" s="4"/>
      <c r="E687" s="4"/>
      <c r="F687" s="28"/>
      <c r="G687" s="28"/>
      <c r="H687" s="83"/>
      <c r="I687" s="4"/>
      <c r="J687" s="4"/>
      <c r="K687" s="4"/>
      <c r="L687" s="4"/>
      <c r="M687" s="4"/>
      <c r="N687" s="28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81"/>
      <c r="AG687" s="81"/>
      <c r="AH687" s="81"/>
      <c r="AI687" s="4"/>
      <c r="AJ687" s="81"/>
      <c r="AK687" s="81"/>
      <c r="AL687" s="81"/>
      <c r="AM687" s="43">
        <v>671</v>
      </c>
      <c r="AN687">
        <v>93.968031160841264</v>
      </c>
      <c r="AO687">
        <v>11.91684735379477</v>
      </c>
      <c r="AP687">
        <v>124.23452368059783</v>
      </c>
      <c r="AQ687">
        <v>106.88882835005901</v>
      </c>
      <c r="AR687">
        <v>11.530630159197118</v>
      </c>
      <c r="AS687">
        <v>180.09049869380843</v>
      </c>
      <c r="AT687">
        <v>6.99045343491278</v>
      </c>
      <c r="AU687">
        <v>37.689464274962205</v>
      </c>
      <c r="AV687"/>
      <c r="AW687"/>
      <c r="FY687" s="210">
        <v>682</v>
      </c>
      <c r="FZ687">
        <v>45.620647476743805</v>
      </c>
      <c r="GA687">
        <v>51.956916692863572</v>
      </c>
      <c r="GB687">
        <v>3.0045578236429149</v>
      </c>
      <c r="GC687">
        <v>1.3719305164061721</v>
      </c>
      <c r="GD687">
        <v>1.2638067692884567</v>
      </c>
      <c r="GE687">
        <v>4.0920583540023765</v>
      </c>
      <c r="GF687">
        <v>5.5214881839525303</v>
      </c>
      <c r="GG687">
        <v>6.2222628463412057</v>
      </c>
      <c r="GH687">
        <v>7.0650026567055431</v>
      </c>
      <c r="GI687">
        <v>10.333266116481473</v>
      </c>
      <c r="GJ687"/>
      <c r="GK687"/>
      <c r="GL687"/>
      <c r="GM687"/>
    </row>
    <row r="688" spans="1:195" s="7" customFormat="1">
      <c r="A688" s="4"/>
      <c r="B688" s="4"/>
      <c r="C688" s="105"/>
      <c r="D688" s="4"/>
      <c r="E688" s="4"/>
      <c r="F688" s="28"/>
      <c r="G688" s="28"/>
      <c r="H688" s="83"/>
      <c r="I688" s="4"/>
      <c r="J688" s="4"/>
      <c r="K688" s="4"/>
      <c r="L688" s="4"/>
      <c r="M688" s="4"/>
      <c r="N688" s="28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81"/>
      <c r="AG688" s="81"/>
      <c r="AH688" s="81"/>
      <c r="AI688" s="4"/>
      <c r="AJ688" s="81"/>
      <c r="AK688" s="81"/>
      <c r="AL688" s="81"/>
      <c r="AM688" s="43">
        <v>672</v>
      </c>
      <c r="AN688">
        <v>118.98433874100719</v>
      </c>
      <c r="AO688">
        <v>8.6697409291703913</v>
      </c>
      <c r="AP688">
        <v>80.362365802364693</v>
      </c>
      <c r="AQ688">
        <v>67.732177405687679</v>
      </c>
      <c r="AR688">
        <v>8.5092663968371181</v>
      </c>
      <c r="AS688">
        <v>131.54731842062628</v>
      </c>
      <c r="AT688">
        <v>4.8887582312089206</v>
      </c>
      <c r="AU688">
        <v>0.85975268418283379</v>
      </c>
      <c r="AV688"/>
      <c r="AW688"/>
      <c r="FY688" s="210">
        <v>683</v>
      </c>
      <c r="FZ688">
        <v>2.3092973256842546</v>
      </c>
      <c r="GA688">
        <v>4.6380985903150487</v>
      </c>
      <c r="GB688">
        <v>3.5313197556529792</v>
      </c>
      <c r="GC688">
        <v>1.2193698116880238</v>
      </c>
      <c r="GD688">
        <v>1.5416482989799527</v>
      </c>
      <c r="GE688">
        <v>3.540614018094038</v>
      </c>
      <c r="GF688">
        <v>3.7523622590135908</v>
      </c>
      <c r="GG688">
        <v>14.42902132063508</v>
      </c>
      <c r="GH688">
        <v>20.163568087484045</v>
      </c>
      <c r="GI688">
        <v>5.9914910937178893</v>
      </c>
      <c r="GJ688"/>
      <c r="GK688"/>
      <c r="GL688"/>
      <c r="GM688"/>
    </row>
    <row r="689" spans="1:195" s="7" customFormat="1">
      <c r="A689" s="4"/>
      <c r="B689" s="4"/>
      <c r="C689" s="105"/>
      <c r="D689" s="4"/>
      <c r="E689" s="4"/>
      <c r="F689" s="28"/>
      <c r="G689" s="28"/>
      <c r="H689" s="83"/>
      <c r="I689" s="4"/>
      <c r="J689" s="4"/>
      <c r="K689" s="4"/>
      <c r="L689" s="4"/>
      <c r="M689" s="4"/>
      <c r="N689" s="28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81"/>
      <c r="AG689" s="81"/>
      <c r="AH689" s="81"/>
      <c r="AI689" s="4"/>
      <c r="AJ689" s="81"/>
      <c r="AK689" s="81"/>
      <c r="AL689" s="81"/>
      <c r="AM689" s="43">
        <v>673</v>
      </c>
      <c r="AN689">
        <v>82.303859962746827</v>
      </c>
      <c r="AO689">
        <v>4.9585782751526235</v>
      </c>
      <c r="AP689">
        <v>47.26334469213645</v>
      </c>
      <c r="AQ689">
        <v>37.313860537971529</v>
      </c>
      <c r="AR689">
        <v>4.8641443897706695</v>
      </c>
      <c r="AS689">
        <v>107.14443220834667</v>
      </c>
      <c r="AT689">
        <v>2.9071527139555307</v>
      </c>
      <c r="AU689">
        <v>23.507578420653076</v>
      </c>
      <c r="AV689"/>
      <c r="AW689"/>
      <c r="FY689" s="210">
        <v>684</v>
      </c>
      <c r="FZ689">
        <v>24.289890790949862</v>
      </c>
      <c r="GA689">
        <v>30.682528168183637</v>
      </c>
      <c r="GB689">
        <v>4.1415335311321444</v>
      </c>
      <c r="GC689">
        <v>1.4735246430354414</v>
      </c>
      <c r="GD689">
        <v>0.6458002797027238</v>
      </c>
      <c r="GE689">
        <v>2.1952281492916419</v>
      </c>
      <c r="GF689">
        <v>5.9525431314111641</v>
      </c>
      <c r="GG689">
        <v>8.3527145749303688</v>
      </c>
      <c r="GH689">
        <v>10.61240459141316</v>
      </c>
      <c r="GI689">
        <v>7.7438121694653708</v>
      </c>
      <c r="GJ689"/>
      <c r="GK689"/>
      <c r="GL689"/>
      <c r="GM689"/>
    </row>
    <row r="690" spans="1:195" s="7" customFormat="1">
      <c r="A690" s="4"/>
      <c r="B690" s="4"/>
      <c r="C690" s="105"/>
      <c r="D690" s="4"/>
      <c r="E690" s="4"/>
      <c r="F690" s="28"/>
      <c r="G690" s="28"/>
      <c r="H690" s="83"/>
      <c r="I690" s="4"/>
      <c r="J690" s="4"/>
      <c r="K690" s="4"/>
      <c r="L690" s="4"/>
      <c r="M690" s="4"/>
      <c r="N690" s="28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81"/>
      <c r="AG690" s="81"/>
      <c r="AH690" s="81"/>
      <c r="AI690" s="4"/>
      <c r="AJ690" s="81"/>
      <c r="AK690" s="81"/>
      <c r="AL690" s="81"/>
      <c r="AM690" s="43">
        <v>674</v>
      </c>
      <c r="AN690">
        <v>136.6471411887876</v>
      </c>
      <c r="AO690">
        <v>9.6746704802705175</v>
      </c>
      <c r="AP690">
        <v>90.151972382638363</v>
      </c>
      <c r="AQ690">
        <v>76.179249890559632</v>
      </c>
      <c r="AR690">
        <v>9.1650631221329952</v>
      </c>
      <c r="AS690">
        <v>153.68174959408273</v>
      </c>
      <c r="AT690">
        <v>5.4954416509566251</v>
      </c>
      <c r="AU690">
        <v>74.819346887310743</v>
      </c>
      <c r="AV690"/>
      <c r="AW690"/>
      <c r="FY690" s="210">
        <v>685</v>
      </c>
      <c r="FZ690">
        <v>21.790560663674629</v>
      </c>
      <c r="GA690">
        <v>29.025652376516753</v>
      </c>
      <c r="GB690">
        <v>3.4376960839859274</v>
      </c>
      <c r="GC690">
        <v>1.5637876493273324</v>
      </c>
      <c r="GD690">
        <v>1.4178254116289213</v>
      </c>
      <c r="GE690">
        <v>3.9673114746407316</v>
      </c>
      <c r="GF690">
        <v>9.1170309314906355</v>
      </c>
      <c r="GG690">
        <v>9.9315089540445314</v>
      </c>
      <c r="GH690">
        <v>8.9207960942392432</v>
      </c>
      <c r="GI690">
        <v>7.9568496716642532</v>
      </c>
      <c r="GJ690"/>
      <c r="GK690"/>
      <c r="GL690"/>
      <c r="GM690"/>
    </row>
    <row r="691" spans="1:195" s="7" customFormat="1">
      <c r="A691" s="4"/>
      <c r="B691" s="4"/>
      <c r="C691" s="105"/>
      <c r="D691" s="4"/>
      <c r="E691" s="4"/>
      <c r="F691" s="28"/>
      <c r="G691" s="28"/>
      <c r="H691" s="83"/>
      <c r="I691" s="4"/>
      <c r="J691" s="4"/>
      <c r="K691" s="4"/>
      <c r="L691" s="4"/>
      <c r="M691" s="4"/>
      <c r="N691" s="28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81"/>
      <c r="AG691" s="81"/>
      <c r="AH691" s="81"/>
      <c r="AI691" s="4"/>
      <c r="AJ691" s="81"/>
      <c r="AK691" s="81"/>
      <c r="AL691" s="81"/>
      <c r="AM691" s="43">
        <v>675</v>
      </c>
      <c r="AN691">
        <v>134.32414561302272</v>
      </c>
      <c r="AO691">
        <v>13.419914494836965</v>
      </c>
      <c r="AP691">
        <v>141.75921593192288</v>
      </c>
      <c r="AQ691">
        <v>119.82756336305775</v>
      </c>
      <c r="AR691">
        <v>12.817561976378348</v>
      </c>
      <c r="AS691">
        <v>178.04444165092534</v>
      </c>
      <c r="AT691">
        <v>7.7012281041884343</v>
      </c>
      <c r="AU691">
        <v>20.058648671100705</v>
      </c>
      <c r="AV691"/>
      <c r="AW691"/>
      <c r="FY691" s="210">
        <v>686</v>
      </c>
      <c r="FZ691">
        <v>21.698507818990876</v>
      </c>
      <c r="GA691">
        <v>29.744492890298709</v>
      </c>
      <c r="GB691">
        <v>4.9202344965167075</v>
      </c>
      <c r="GC691">
        <v>1.7193605231879681</v>
      </c>
      <c r="GD691">
        <v>0.34765572673645778</v>
      </c>
      <c r="GE691">
        <v>0.67313013573300573</v>
      </c>
      <c r="GF691">
        <v>1.3966491683452598</v>
      </c>
      <c r="GG691">
        <v>7.9361109606871745</v>
      </c>
      <c r="GH691">
        <v>12.47465763127774</v>
      </c>
      <c r="GI691">
        <v>6.8472301439912808</v>
      </c>
      <c r="GJ691"/>
      <c r="GK691"/>
      <c r="GL691"/>
      <c r="GM691"/>
    </row>
    <row r="692" spans="1:195" s="7" customFormat="1">
      <c r="A692" s="4"/>
      <c r="B692" s="4"/>
      <c r="C692" s="105"/>
      <c r="D692" s="4"/>
      <c r="E692" s="4"/>
      <c r="F692" s="28"/>
      <c r="G692" s="28"/>
      <c r="H692" s="83"/>
      <c r="I692" s="4"/>
      <c r="J692" s="4"/>
      <c r="K692" s="4"/>
      <c r="L692" s="4"/>
      <c r="M692" s="4"/>
      <c r="N692" s="28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81"/>
      <c r="AG692" s="81"/>
      <c r="AH692" s="81"/>
      <c r="AI692" s="4"/>
      <c r="AJ692" s="81"/>
      <c r="AK692" s="81"/>
      <c r="AL692" s="81"/>
      <c r="AM692" s="43">
        <v>676</v>
      </c>
      <c r="AN692">
        <v>166.9080473666144</v>
      </c>
      <c r="AO692">
        <v>14.203507000487752</v>
      </c>
      <c r="AP692">
        <v>147.68742872598506</v>
      </c>
      <c r="AQ692">
        <v>127.22298206984641</v>
      </c>
      <c r="AR692">
        <v>13.679057817258554</v>
      </c>
      <c r="AS692">
        <v>207.80736100692022</v>
      </c>
      <c r="AT692">
        <v>8.1405966471726412</v>
      </c>
      <c r="AU692">
        <v>76.356611287854918</v>
      </c>
      <c r="AV692"/>
      <c r="AW692"/>
      <c r="FY692" s="210">
        <v>687</v>
      </c>
      <c r="FZ692">
        <v>14.446246751463955</v>
      </c>
      <c r="GA692">
        <v>14.793769621308272</v>
      </c>
      <c r="GB692">
        <v>3.5049901717619747</v>
      </c>
      <c r="GC692">
        <v>1.7312257081267708</v>
      </c>
      <c r="GD692">
        <v>1.1967825245215253</v>
      </c>
      <c r="GE692">
        <v>2.3124927405310811</v>
      </c>
      <c r="GF692">
        <v>9.0391962304265423</v>
      </c>
      <c r="GG692">
        <v>9.2935128948048114</v>
      </c>
      <c r="GH692">
        <v>4.9355960871658908</v>
      </c>
      <c r="GI692">
        <v>6.1090687180221002</v>
      </c>
      <c r="GJ692"/>
      <c r="GK692"/>
      <c r="GL692"/>
      <c r="GM692"/>
    </row>
    <row r="693" spans="1:195" s="7" customFormat="1">
      <c r="A693" s="4"/>
      <c r="B693" s="4"/>
      <c r="C693" s="105"/>
      <c r="D693" s="4"/>
      <c r="E693" s="4"/>
      <c r="F693" s="28"/>
      <c r="G693" s="28"/>
      <c r="H693" s="83"/>
      <c r="I693" s="4"/>
      <c r="J693" s="4"/>
      <c r="K693" s="4"/>
      <c r="L693" s="4"/>
      <c r="M693" s="4"/>
      <c r="N693" s="28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81"/>
      <c r="AG693" s="81"/>
      <c r="AH693" s="81"/>
      <c r="AI693" s="4"/>
      <c r="AJ693" s="81"/>
      <c r="AK693" s="81"/>
      <c r="AL693" s="81"/>
      <c r="AM693" s="43">
        <v>677</v>
      </c>
      <c r="AN693">
        <v>92.537632992699159</v>
      </c>
      <c r="AO693">
        <v>12.88237772660764</v>
      </c>
      <c r="AP693">
        <v>138.00103026436179</v>
      </c>
      <c r="AQ693">
        <v>116.39353284368816</v>
      </c>
      <c r="AR693">
        <v>12.527965305609069</v>
      </c>
      <c r="AS693">
        <v>146.41899851035984</v>
      </c>
      <c r="AT693">
        <v>7.6431268185486596</v>
      </c>
      <c r="AU693">
        <v>15.333574419295489</v>
      </c>
      <c r="AV693"/>
      <c r="AW693"/>
      <c r="FY693" s="210">
        <v>688</v>
      </c>
      <c r="FZ693">
        <v>11.483739241697958</v>
      </c>
      <c r="GA693">
        <v>14.483983958426958</v>
      </c>
      <c r="GB693">
        <v>1.82386977382788</v>
      </c>
      <c r="GC693">
        <v>1.0356159049980624</v>
      </c>
      <c r="GD693">
        <v>1.2266909401176833</v>
      </c>
      <c r="GE693">
        <v>5.0687550175713447</v>
      </c>
      <c r="GF693">
        <v>8.8335200207078231</v>
      </c>
      <c r="GG693">
        <v>10.680081109699721</v>
      </c>
      <c r="GH693">
        <v>13.623840600964364</v>
      </c>
      <c r="GI693">
        <v>6.6165653862265685</v>
      </c>
      <c r="GJ693"/>
      <c r="GK693"/>
      <c r="GL693"/>
      <c r="GM693"/>
    </row>
    <row r="694" spans="1:195" s="7" customFormat="1">
      <c r="A694" s="4"/>
      <c r="B694" s="4"/>
      <c r="C694" s="105"/>
      <c r="D694" s="4"/>
      <c r="E694" s="4"/>
      <c r="F694" s="28"/>
      <c r="G694" s="28"/>
      <c r="H694" s="83"/>
      <c r="I694" s="4"/>
      <c r="J694" s="4"/>
      <c r="K694" s="4"/>
      <c r="L694" s="4"/>
      <c r="M694" s="4"/>
      <c r="N694" s="28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81"/>
      <c r="AG694" s="81"/>
      <c r="AH694" s="81"/>
      <c r="AI694" s="4"/>
      <c r="AJ694" s="81"/>
      <c r="AK694" s="81"/>
      <c r="AL694" s="81"/>
      <c r="AM694" s="43">
        <v>678</v>
      </c>
      <c r="AN694">
        <v>122.65566254043954</v>
      </c>
      <c r="AO694">
        <v>8.5967647880558786</v>
      </c>
      <c r="AP694">
        <v>86.017315390202782</v>
      </c>
      <c r="AQ694">
        <v>71.565359400629873</v>
      </c>
      <c r="AR694">
        <v>8.4486756124247044</v>
      </c>
      <c r="AS694">
        <v>145.58614243334137</v>
      </c>
      <c r="AT694" t="e">
        <v>#DIV/0!</v>
      </c>
      <c r="AU694" t="e">
        <v>#DIV/0!</v>
      </c>
      <c r="AV694"/>
      <c r="AW694"/>
      <c r="FY694" s="210">
        <v>689</v>
      </c>
      <c r="FZ694">
        <v>21.52860954966404</v>
      </c>
      <c r="GA694">
        <v>26.849264497874891</v>
      </c>
      <c r="GB694">
        <v>2.5149966789896152</v>
      </c>
      <c r="GC694">
        <v>1.3465230636260008</v>
      </c>
      <c r="GD694">
        <v>0.5516930992288499</v>
      </c>
      <c r="GE694">
        <v>0.58668742833160548</v>
      </c>
      <c r="GF694">
        <v>2.661672858112027</v>
      </c>
      <c r="GG694">
        <v>5.1304734992559595</v>
      </c>
      <c r="GH694">
        <v>7.290964568702023</v>
      </c>
      <c r="GI694">
        <v>5.7491902073380245</v>
      </c>
      <c r="GJ694"/>
      <c r="GK694"/>
      <c r="GL694"/>
      <c r="GM694"/>
    </row>
    <row r="695" spans="1:195" s="7" customFormat="1">
      <c r="A695" s="4"/>
      <c r="B695" s="4"/>
      <c r="C695" s="105"/>
      <c r="D695" s="4"/>
      <c r="E695" s="4"/>
      <c r="F695" s="28"/>
      <c r="G695" s="28"/>
      <c r="H695" s="83"/>
      <c r="I695" s="4"/>
      <c r="J695" s="4"/>
      <c r="K695" s="4"/>
      <c r="L695" s="4"/>
      <c r="M695" s="4"/>
      <c r="N695" s="28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81"/>
      <c r="AG695" s="81"/>
      <c r="AH695" s="81"/>
      <c r="AI695" s="4"/>
      <c r="AJ695" s="81"/>
      <c r="AK695" s="81"/>
      <c r="AL695" s="81"/>
      <c r="AM695" s="43">
        <v>679</v>
      </c>
      <c r="AN695">
        <v>92.027173662370643</v>
      </c>
      <c r="AO695">
        <v>6.6725931535940983</v>
      </c>
      <c r="AP695">
        <v>63.89293131533443</v>
      </c>
      <c r="AQ695">
        <v>54.591883168573105</v>
      </c>
      <c r="AR695">
        <v>6.418055165721043</v>
      </c>
      <c r="AS695">
        <v>116.56226083056308</v>
      </c>
      <c r="AT695">
        <v>3.9709378761029135</v>
      </c>
      <c r="AU695">
        <v>29.154181994057438</v>
      </c>
      <c r="AV695"/>
      <c r="AW695"/>
      <c r="FY695" s="210">
        <v>690</v>
      </c>
      <c r="FZ695">
        <v>33.650570061127041</v>
      </c>
      <c r="GA695">
        <v>39.278642119296379</v>
      </c>
      <c r="GB695">
        <v>2.1303946430762126</v>
      </c>
      <c r="GC695">
        <v>1.1061222975452847</v>
      </c>
      <c r="GD695">
        <v>0.43007502043623563</v>
      </c>
      <c r="GE695">
        <v>0.41890608059561824</v>
      </c>
      <c r="GF695">
        <v>2.7428666298248316</v>
      </c>
      <c r="GG695">
        <v>3.6612049580953867</v>
      </c>
      <c r="GH695">
        <v>5.5543523034933866</v>
      </c>
      <c r="GI695">
        <v>7.1166883983711067</v>
      </c>
      <c r="GJ695"/>
      <c r="GK695"/>
      <c r="GL695"/>
      <c r="GM695"/>
    </row>
    <row r="696" spans="1:195" s="7" customFormat="1">
      <c r="A696" s="4"/>
      <c r="B696" s="4"/>
      <c r="C696" s="105"/>
      <c r="D696" s="4"/>
      <c r="E696" s="4"/>
      <c r="F696" s="28"/>
      <c r="G696" s="28"/>
      <c r="H696" s="83"/>
      <c r="I696" s="4"/>
      <c r="J696" s="4"/>
      <c r="K696" s="4"/>
      <c r="L696" s="4"/>
      <c r="M696" s="4"/>
      <c r="N696" s="28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81"/>
      <c r="AG696" s="81"/>
      <c r="AH696" s="81"/>
      <c r="AI696" s="4"/>
      <c r="AJ696" s="81"/>
      <c r="AK696" s="81"/>
      <c r="AL696" s="81"/>
      <c r="AM696" s="43">
        <v>680</v>
      </c>
      <c r="AN696">
        <v>119.21090262870595</v>
      </c>
      <c r="AO696">
        <v>12.197576705670922</v>
      </c>
      <c r="AP696">
        <v>122.78054229444898</v>
      </c>
      <c r="AQ696">
        <v>103.90190338563202</v>
      </c>
      <c r="AR696">
        <v>11.884747977873623</v>
      </c>
      <c r="AS696">
        <v>210.19644891085474</v>
      </c>
      <c r="AT696">
        <v>7.0374241742587067</v>
      </c>
      <c r="AU696">
        <v>30.436361583204089</v>
      </c>
      <c r="AV696"/>
      <c r="AW696"/>
      <c r="FY696" s="210">
        <v>691</v>
      </c>
      <c r="FZ696">
        <v>34.101307567528444</v>
      </c>
      <c r="GA696">
        <v>38.883161701175666</v>
      </c>
      <c r="GB696">
        <v>2.2006123444101946</v>
      </c>
      <c r="GC696">
        <v>1.1547597074036078</v>
      </c>
      <c r="GD696">
        <v>0.79736335422921034</v>
      </c>
      <c r="GE696">
        <v>2.6227235613784732</v>
      </c>
      <c r="GF696">
        <v>8.9248743752220374</v>
      </c>
      <c r="GG696">
        <v>10.477507241106141</v>
      </c>
      <c r="GH696">
        <v>8.5969575543599497</v>
      </c>
      <c r="GI696">
        <v>9.0196099364322411</v>
      </c>
      <c r="GJ696"/>
      <c r="GK696"/>
      <c r="GL696"/>
      <c r="GM696"/>
    </row>
    <row r="697" spans="1:195" s="7" customFormat="1">
      <c r="A697" s="4"/>
      <c r="B697" s="4"/>
      <c r="C697" s="105"/>
      <c r="D697" s="4"/>
      <c r="E697" s="4"/>
      <c r="F697" s="28"/>
      <c r="G697" s="28"/>
      <c r="H697" s="83"/>
      <c r="I697" s="4"/>
      <c r="J697" s="4"/>
      <c r="K697" s="4"/>
      <c r="L697" s="4"/>
      <c r="M697" s="4"/>
      <c r="N697" s="28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81"/>
      <c r="AG697" s="81"/>
      <c r="AH697" s="81"/>
      <c r="AI697" s="4"/>
      <c r="AJ697" s="81"/>
      <c r="AK697" s="81"/>
      <c r="AL697" s="81"/>
      <c r="AM697" s="43">
        <v>681</v>
      </c>
      <c r="AN697">
        <v>92.757952877299246</v>
      </c>
      <c r="AO697">
        <v>7.9178361875514769</v>
      </c>
      <c r="AP697">
        <v>73.018860979176026</v>
      </c>
      <c r="AQ697">
        <v>62.785166359124176</v>
      </c>
      <c r="AR697">
        <v>7.7541562762690983</v>
      </c>
      <c r="AS697">
        <v>121.0205946426227</v>
      </c>
      <c r="AT697">
        <v>4.5219108848349316</v>
      </c>
      <c r="AU697">
        <v>9.8671421465359348</v>
      </c>
      <c r="AV697"/>
      <c r="AW697"/>
      <c r="FY697" s="210">
        <v>692</v>
      </c>
      <c r="FZ697">
        <v>31.557010697303106</v>
      </c>
      <c r="GA697">
        <v>37.797756860887596</v>
      </c>
      <c r="GB697">
        <v>3.6521860728106188</v>
      </c>
      <c r="GC697">
        <v>2.2718854784033882</v>
      </c>
      <c r="GD697">
        <v>0.36061211741337845</v>
      </c>
      <c r="GE697">
        <v>2.5317990521327252</v>
      </c>
      <c r="GF697">
        <v>8.094606001871524</v>
      </c>
      <c r="GG697">
        <v>11.562439807892801</v>
      </c>
      <c r="GH697">
        <v>13.182118101577025</v>
      </c>
      <c r="GI697">
        <v>9.3089971967223626</v>
      </c>
      <c r="GJ697"/>
      <c r="GK697"/>
      <c r="GL697"/>
      <c r="GM697"/>
    </row>
    <row r="698" spans="1:195" s="7" customFormat="1">
      <c r="A698" s="4"/>
      <c r="B698" s="4"/>
      <c r="C698" s="105"/>
      <c r="D698" s="4"/>
      <c r="E698" s="4"/>
      <c r="F698" s="28"/>
      <c r="G698" s="28"/>
      <c r="H698" s="83"/>
      <c r="I698" s="4"/>
      <c r="J698" s="4"/>
      <c r="K698" s="4"/>
      <c r="L698" s="4"/>
      <c r="M698" s="4"/>
      <c r="N698" s="28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81"/>
      <c r="AG698" s="81"/>
      <c r="AH698" s="81"/>
      <c r="AI698" s="4"/>
      <c r="AJ698" s="81"/>
      <c r="AK698" s="81"/>
      <c r="AL698" s="81"/>
      <c r="AM698" s="43">
        <v>682</v>
      </c>
      <c r="AN698">
        <v>124.61013108142281</v>
      </c>
      <c r="AO698">
        <v>15.11862708681684</v>
      </c>
      <c r="AP698">
        <v>156.69772593994057</v>
      </c>
      <c r="AQ698">
        <v>136.45193743642804</v>
      </c>
      <c r="AR698">
        <v>14.337829476179319</v>
      </c>
      <c r="AS698">
        <v>176.9833579346525</v>
      </c>
      <c r="AT698">
        <v>9.1321222887172393</v>
      </c>
      <c r="AU698">
        <v>24.571068923855911</v>
      </c>
      <c r="AV698"/>
      <c r="AW698"/>
      <c r="FY698" s="210">
        <v>693</v>
      </c>
      <c r="FZ698">
        <v>38.627436670167889</v>
      </c>
      <c r="GA698">
        <v>38.919606023445752</v>
      </c>
      <c r="GB698">
        <v>3.2451522313771459</v>
      </c>
      <c r="GC698">
        <v>1.6789738705984278</v>
      </c>
      <c r="GD698">
        <v>1.2483979918581953</v>
      </c>
      <c r="GE698">
        <v>2.4329688833080425</v>
      </c>
      <c r="GF698">
        <v>5.1446072966992604</v>
      </c>
      <c r="GG698">
        <v>8.8776173421425568</v>
      </c>
      <c r="GH698">
        <v>9.4632943123813433</v>
      </c>
      <c r="GI698">
        <v>9.6616952541552266</v>
      </c>
      <c r="GJ698"/>
      <c r="GK698"/>
      <c r="GL698"/>
      <c r="GM698"/>
    </row>
    <row r="699" spans="1:195" s="7" customFormat="1">
      <c r="A699" s="4"/>
      <c r="B699" s="4"/>
      <c r="C699" s="105"/>
      <c r="D699" s="4"/>
      <c r="E699" s="4"/>
      <c r="F699" s="28"/>
      <c r="G699" s="28"/>
      <c r="H699" s="83"/>
      <c r="I699" s="4"/>
      <c r="J699" s="4"/>
      <c r="K699" s="4"/>
      <c r="L699" s="4"/>
      <c r="M699" s="4"/>
      <c r="N699" s="28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81"/>
      <c r="AG699" s="81"/>
      <c r="AH699" s="81"/>
      <c r="AI699" s="4"/>
      <c r="AJ699" s="81"/>
      <c r="AK699" s="81"/>
      <c r="AL699" s="81"/>
      <c r="AM699" s="43">
        <v>683</v>
      </c>
      <c r="AN699">
        <v>140.80894406818442</v>
      </c>
      <c r="AO699">
        <v>8.4231265953081742</v>
      </c>
      <c r="AP699">
        <v>73.915060578448305</v>
      </c>
      <c r="AQ699">
        <v>61.116790561264907</v>
      </c>
      <c r="AR699">
        <v>8.2659699667824498</v>
      </c>
      <c r="AS699">
        <v>159.03654760595813</v>
      </c>
      <c r="AT699">
        <v>4.7717117715164745</v>
      </c>
      <c r="AU699">
        <v>52.858847330821483</v>
      </c>
      <c r="AV699"/>
      <c r="AW699"/>
      <c r="FY699" s="210">
        <v>694</v>
      </c>
      <c r="FZ699">
        <v>13.930533375952617</v>
      </c>
      <c r="GA699">
        <v>14.925326921015243</v>
      </c>
      <c r="GB699">
        <v>2.9528270077947525</v>
      </c>
      <c r="GC699">
        <v>1.6028713920140678</v>
      </c>
      <c r="GD699">
        <v>0.96477113159437655</v>
      </c>
      <c r="GE699">
        <v>1.4143378362606163</v>
      </c>
      <c r="GF699">
        <v>1.4036278697668083</v>
      </c>
      <c r="GG699">
        <v>4.8370798899616716</v>
      </c>
      <c r="GH699">
        <v>9.7986192410640385</v>
      </c>
      <c r="GI699">
        <v>5.1437588816436133</v>
      </c>
      <c r="GJ699"/>
      <c r="GK699"/>
      <c r="GL699"/>
      <c r="GM699"/>
    </row>
    <row r="700" spans="1:195" s="7" customFormat="1">
      <c r="A700" s="4"/>
      <c r="B700" s="4"/>
      <c r="C700" s="105"/>
      <c r="D700" s="4"/>
      <c r="E700" s="4"/>
      <c r="F700" s="28"/>
      <c r="G700" s="28"/>
      <c r="H700" s="83"/>
      <c r="I700" s="4"/>
      <c r="J700" s="4"/>
      <c r="K700" s="4"/>
      <c r="L700" s="4"/>
      <c r="M700" s="4"/>
      <c r="N700" s="28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81"/>
      <c r="AG700" s="81"/>
      <c r="AH700" s="81"/>
      <c r="AI700" s="4"/>
      <c r="AJ700" s="81"/>
      <c r="AK700" s="81"/>
      <c r="AL700" s="81"/>
      <c r="AM700" s="43">
        <v>684</v>
      </c>
      <c r="AN700">
        <v>124.47640891102742</v>
      </c>
      <c r="AO700">
        <v>11.065467898441799</v>
      </c>
      <c r="AP700">
        <v>114.39225979925146</v>
      </c>
      <c r="AQ700">
        <v>96.089980029515516</v>
      </c>
      <c r="AR700">
        <v>10.710232402111984</v>
      </c>
      <c r="AS700">
        <v>189.40132049061125</v>
      </c>
      <c r="AT700">
        <v>6.2249600529233691</v>
      </c>
      <c r="AU700">
        <v>20.451734436850387</v>
      </c>
      <c r="AV700"/>
      <c r="AW700"/>
      <c r="FY700" s="210">
        <v>695</v>
      </c>
      <c r="FZ700">
        <v>11.094437638573673</v>
      </c>
      <c r="GA700">
        <v>14.529873246534494</v>
      </c>
      <c r="GB700">
        <v>1.6495261300592119</v>
      </c>
      <c r="GC700">
        <v>0.77260041578717553</v>
      </c>
      <c r="GD700">
        <v>0.95197763569511995</v>
      </c>
      <c r="GE700">
        <v>2.5520908022264734</v>
      </c>
      <c r="GF700">
        <v>8.0535825389601214</v>
      </c>
      <c r="GG700">
        <v>10.747253528133831</v>
      </c>
      <c r="GH700">
        <v>10.264234241107919</v>
      </c>
      <c r="GI700">
        <v>5.6708014118599852</v>
      </c>
      <c r="GJ700"/>
      <c r="GK700"/>
      <c r="GL700"/>
      <c r="GM700"/>
    </row>
    <row r="701" spans="1:195" s="7" customFormat="1">
      <c r="A701" s="4"/>
      <c r="B701" s="4"/>
      <c r="C701" s="105"/>
      <c r="D701" s="4"/>
      <c r="E701" s="4"/>
      <c r="F701" s="28"/>
      <c r="G701" s="28"/>
      <c r="H701" s="83"/>
      <c r="I701" s="4"/>
      <c r="J701" s="4"/>
      <c r="K701" s="4"/>
      <c r="L701" s="4"/>
      <c r="M701" s="4"/>
      <c r="N701" s="28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81"/>
      <c r="AG701" s="81"/>
      <c r="AH701" s="81"/>
      <c r="AI701" s="4"/>
      <c r="AJ701" s="81"/>
      <c r="AK701" s="81"/>
      <c r="AL701" s="81"/>
      <c r="AM701" s="43">
        <v>685</v>
      </c>
      <c r="AN701">
        <v>152.61866773717634</v>
      </c>
      <c r="AO701">
        <v>11.697180779109024</v>
      </c>
      <c r="AP701">
        <v>114.11565388564519</v>
      </c>
      <c r="AQ701">
        <v>97.129019311212971</v>
      </c>
      <c r="AR701">
        <v>10.955991029904974</v>
      </c>
      <c r="AS701">
        <v>196.78124346717684</v>
      </c>
      <c r="AT701">
        <v>6.88395998735293</v>
      </c>
      <c r="AU701">
        <v>45.810874703986443</v>
      </c>
      <c r="AV701"/>
      <c r="AW701"/>
      <c r="FY701" s="210">
        <v>696</v>
      </c>
      <c r="FZ701">
        <v>13.099127639328373</v>
      </c>
      <c r="GA701">
        <v>15.02400655626024</v>
      </c>
      <c r="GB701">
        <v>2.0260644558126808</v>
      </c>
      <c r="GC701">
        <v>0.84983246926267819</v>
      </c>
      <c r="GD701">
        <v>1.3754008132571092</v>
      </c>
      <c r="GE701">
        <v>3.331885270562021</v>
      </c>
      <c r="GF701">
        <v>2.2396053348680987</v>
      </c>
      <c r="GG701">
        <v>5.1740483939422628</v>
      </c>
      <c r="GH701">
        <v>9.5099012387240034</v>
      </c>
      <c r="GI701">
        <v>5.1458678308790295</v>
      </c>
      <c r="GJ701"/>
      <c r="GK701"/>
      <c r="GL701"/>
      <c r="GM701"/>
    </row>
    <row r="702" spans="1:195" s="7" customFormat="1">
      <c r="A702" s="4"/>
      <c r="B702" s="4"/>
      <c r="C702" s="105"/>
      <c r="D702" s="4"/>
      <c r="E702" s="4"/>
      <c r="F702" s="28"/>
      <c r="G702" s="28"/>
      <c r="H702" s="83"/>
      <c r="I702" s="4"/>
      <c r="J702" s="4"/>
      <c r="K702" s="4"/>
      <c r="L702" s="4"/>
      <c r="M702" s="4"/>
      <c r="N702" s="28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81"/>
      <c r="AG702" s="81"/>
      <c r="AH702" s="81"/>
      <c r="AI702" s="4"/>
      <c r="AJ702" s="81"/>
      <c r="AK702" s="81"/>
      <c r="AL702" s="81"/>
      <c r="AM702" s="43">
        <v>686</v>
      </c>
      <c r="AN702">
        <v>99.588049683682314</v>
      </c>
      <c r="AO702">
        <v>9.988829133615452</v>
      </c>
      <c r="AP702">
        <v>105.49736792684671</v>
      </c>
      <c r="AQ702">
        <v>87.758029495765172</v>
      </c>
      <c r="AR702">
        <v>9.5747060312571719</v>
      </c>
      <c r="AS702">
        <v>171.26611496240017</v>
      </c>
      <c r="AT702">
        <v>5.6767026748278084</v>
      </c>
      <c r="AU702">
        <v>50.990430143434047</v>
      </c>
      <c r="AV702"/>
      <c r="AW702"/>
      <c r="FY702" s="210">
        <v>697</v>
      </c>
      <c r="FZ702">
        <v>33.854219961730237</v>
      </c>
      <c r="GA702">
        <v>40.751036054280178</v>
      </c>
      <c r="GB702">
        <v>2.2869703720018548</v>
      </c>
      <c r="GC702">
        <v>0.7358952865731796</v>
      </c>
      <c r="GD702">
        <v>0.94244830052843631</v>
      </c>
      <c r="GE702">
        <v>4.2955004454626469</v>
      </c>
      <c r="GF702">
        <v>8.6879289724612114</v>
      </c>
      <c r="GG702">
        <v>5.4436664794027001</v>
      </c>
      <c r="GH702">
        <v>6.5498672392632216</v>
      </c>
      <c r="GI702">
        <v>8.7273343446120606</v>
      </c>
      <c r="GJ702"/>
      <c r="GK702"/>
      <c r="GL702"/>
      <c r="GM702"/>
    </row>
    <row r="703" spans="1:195" s="7" customFormat="1">
      <c r="A703" s="4"/>
      <c r="B703" s="4"/>
      <c r="C703" s="105"/>
      <c r="D703" s="4"/>
      <c r="E703" s="4"/>
      <c r="F703" s="28"/>
      <c r="G703" s="28"/>
      <c r="H703" s="83"/>
      <c r="I703" s="4"/>
      <c r="J703" s="4"/>
      <c r="K703" s="4"/>
      <c r="L703" s="4"/>
      <c r="M703" s="4"/>
      <c r="N703" s="28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81"/>
      <c r="AG703" s="81"/>
      <c r="AH703" s="81"/>
      <c r="AI703" s="4"/>
      <c r="AJ703" s="81"/>
      <c r="AK703" s="81"/>
      <c r="AL703" s="81"/>
      <c r="AM703" s="43">
        <v>687</v>
      </c>
      <c r="AN703">
        <v>112.99923828732938</v>
      </c>
      <c r="AO703">
        <v>8.5612241867503336</v>
      </c>
      <c r="AP703">
        <v>80.062399283677379</v>
      </c>
      <c r="AQ703">
        <v>67.362881448132924</v>
      </c>
      <c r="AR703">
        <v>8.4850952966016671</v>
      </c>
      <c r="AS703">
        <v>141.92992131417211</v>
      </c>
      <c r="AT703">
        <v>5.0719657623039973</v>
      </c>
      <c r="AU703">
        <v>9.9998783057279894</v>
      </c>
      <c r="AV703"/>
      <c r="AW703"/>
      <c r="FY703" s="210">
        <v>698</v>
      </c>
      <c r="FZ703">
        <v>36.573686125334184</v>
      </c>
      <c r="GA703">
        <v>40.906915040855822</v>
      </c>
      <c r="GB703">
        <v>3.3192222397450517</v>
      </c>
      <c r="GC703">
        <v>1.5418438547755948</v>
      </c>
      <c r="GD703">
        <v>0.67623503746702918</v>
      </c>
      <c r="GE703">
        <v>2.0232134941804976</v>
      </c>
      <c r="GF703">
        <v>6.3880865939087359</v>
      </c>
      <c r="GG703">
        <v>8.7897095140444677</v>
      </c>
      <c r="GH703">
        <v>10.180629209596548</v>
      </c>
      <c r="GI703">
        <v>9.3846393378641757</v>
      </c>
      <c r="GJ703"/>
      <c r="GK703"/>
      <c r="GL703"/>
      <c r="GM703"/>
    </row>
    <row r="704" spans="1:195" s="7" customFormat="1">
      <c r="A704" s="4"/>
      <c r="B704" s="4"/>
      <c r="C704" s="105"/>
      <c r="D704" s="4"/>
      <c r="E704" s="4"/>
      <c r="F704" s="28"/>
      <c r="G704" s="28"/>
      <c r="H704" s="83"/>
      <c r="I704" s="4"/>
      <c r="J704" s="4"/>
      <c r="K704" s="4"/>
      <c r="L704" s="4"/>
      <c r="M704" s="4"/>
      <c r="N704" s="28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81"/>
      <c r="AG704" s="81"/>
      <c r="AH704" s="81"/>
      <c r="AI704" s="4"/>
      <c r="AJ704" s="81"/>
      <c r="AK704" s="81"/>
      <c r="AL704" s="81"/>
      <c r="AM704" s="43">
        <v>688</v>
      </c>
      <c r="AN704">
        <v>157.63732119757873</v>
      </c>
      <c r="AO704">
        <v>9.4726523100694315</v>
      </c>
      <c r="AP704">
        <v>87.759903250096755</v>
      </c>
      <c r="AQ704">
        <v>74.876661954238358</v>
      </c>
      <c r="AR704">
        <v>8.9640048742128062</v>
      </c>
      <c r="AS704">
        <v>177.35167106851071</v>
      </c>
      <c r="AT704">
        <v>5.2072263886084071</v>
      </c>
      <c r="AU704">
        <v>27.61521293261395</v>
      </c>
      <c r="AV704"/>
      <c r="AW704"/>
      <c r="FY704" s="210">
        <v>699</v>
      </c>
      <c r="FZ704">
        <v>44.747908552760293</v>
      </c>
      <c r="GA704">
        <v>51.76744219584296</v>
      </c>
      <c r="GB704">
        <v>2.433005401699786</v>
      </c>
      <c r="GC704">
        <v>1.40424991533845</v>
      </c>
      <c r="GD704">
        <v>0.92822543039327354</v>
      </c>
      <c r="GE704">
        <v>2.5218345452474402</v>
      </c>
      <c r="GF704">
        <v>6.8049027981847168</v>
      </c>
      <c r="GG704">
        <v>8.5659809023912299</v>
      </c>
      <c r="GH704">
        <v>9.260628498600612</v>
      </c>
      <c r="GI704">
        <v>10.446050666929056</v>
      </c>
      <c r="GJ704"/>
      <c r="GK704"/>
      <c r="GL704"/>
      <c r="GM704"/>
    </row>
    <row r="705" spans="1:195" s="7" customFormat="1">
      <c r="A705" s="4"/>
      <c r="B705" s="4"/>
      <c r="C705" s="105"/>
      <c r="D705" s="4"/>
      <c r="E705" s="4"/>
      <c r="F705" s="28"/>
      <c r="G705" s="28"/>
      <c r="H705" s="83"/>
      <c r="I705" s="4"/>
      <c r="J705" s="4"/>
      <c r="K705" s="4"/>
      <c r="L705" s="4"/>
      <c r="M705" s="4"/>
      <c r="N705" s="28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81"/>
      <c r="AG705" s="81"/>
      <c r="AH705" s="81"/>
      <c r="AI705" s="4"/>
      <c r="AJ705" s="81"/>
      <c r="AK705" s="81"/>
      <c r="AL705" s="81"/>
      <c r="AM705" s="43">
        <v>689</v>
      </c>
      <c r="AN705">
        <v>72.128687800956413</v>
      </c>
      <c r="AO705">
        <v>8.3045798362602206</v>
      </c>
      <c r="AP705">
        <v>87.442194384465282</v>
      </c>
      <c r="AQ705">
        <v>74.210075451123032</v>
      </c>
      <c r="AR705">
        <v>8.047389408109261</v>
      </c>
      <c r="AS705">
        <v>112.4560656384985</v>
      </c>
      <c r="AT705">
        <v>5.3606349840195016</v>
      </c>
      <c r="AU705">
        <v>4.8318971262727768</v>
      </c>
      <c r="AV705"/>
      <c r="AW705"/>
      <c r="FY705" s="210">
        <v>700</v>
      </c>
      <c r="FZ705">
        <v>4.3064057703560543</v>
      </c>
      <c r="GA705">
        <v>2.4170379443440768</v>
      </c>
      <c r="GB705">
        <v>1.6059668448269602</v>
      </c>
      <c r="GC705">
        <v>0.75298026858978928</v>
      </c>
      <c r="GD705">
        <v>1.0495057659846099</v>
      </c>
      <c r="GE705">
        <v>2.1414972265714165</v>
      </c>
      <c r="GF705">
        <v>9.3725387266074183</v>
      </c>
      <c r="GG705">
        <v>9.6437758330091103</v>
      </c>
      <c r="GH705">
        <v>7.4755474791344643</v>
      </c>
      <c r="GI705">
        <v>4.5336640258301308</v>
      </c>
      <c r="GJ705"/>
      <c r="GK705"/>
      <c r="GL705"/>
      <c r="GM705"/>
    </row>
    <row r="706" spans="1:195" s="7" customFormat="1">
      <c r="A706" s="4"/>
      <c r="B706" s="4"/>
      <c r="C706" s="105"/>
      <c r="D706" s="4"/>
      <c r="E706" s="4"/>
      <c r="F706" s="28"/>
      <c r="G706" s="28"/>
      <c r="H706" s="83"/>
      <c r="I706" s="4"/>
      <c r="J706" s="4"/>
      <c r="K706" s="4"/>
      <c r="L706" s="4"/>
      <c r="M706" s="4"/>
      <c r="N706" s="28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81"/>
      <c r="AG706" s="81"/>
      <c r="AH706" s="81"/>
      <c r="AI706" s="4"/>
      <c r="AJ706" s="81"/>
      <c r="AK706" s="81"/>
      <c r="AL706" s="81"/>
      <c r="AM706" s="43">
        <v>690</v>
      </c>
      <c r="AN706">
        <v>65.255708942006649</v>
      </c>
      <c r="AO706">
        <v>10.207108071311445</v>
      </c>
      <c r="AP706">
        <v>111.92200374842433</v>
      </c>
      <c r="AQ706">
        <v>96.089822511861485</v>
      </c>
      <c r="AR706">
        <v>9.9739365808082372</v>
      </c>
      <c r="AS706">
        <v>146.62934089542452</v>
      </c>
      <c r="AT706">
        <v>6.5677196799547639</v>
      </c>
      <c r="AU706">
        <v>36.596711740256673</v>
      </c>
      <c r="AV706"/>
      <c r="AW706"/>
      <c r="FY706" s="210">
        <v>701</v>
      </c>
      <c r="FZ706">
        <v>35.281711891951701</v>
      </c>
      <c r="GA706">
        <v>38.510588116861264</v>
      </c>
      <c r="GB706">
        <v>1.404034449436923</v>
      </c>
      <c r="GC706">
        <v>0.91964542422773499</v>
      </c>
      <c r="GD706">
        <v>1.4262903131949254</v>
      </c>
      <c r="GE706">
        <v>4.0142590503682509</v>
      </c>
      <c r="GF706">
        <v>9.7030087367334197</v>
      </c>
      <c r="GG706">
        <v>13.304068840890366</v>
      </c>
      <c r="GH706">
        <v>13.261653461254234</v>
      </c>
      <c r="GI706">
        <v>10.245678573909979</v>
      </c>
      <c r="GJ706"/>
      <c r="GK706"/>
      <c r="GL706"/>
      <c r="GM706"/>
    </row>
    <row r="707" spans="1:195" s="7" customFormat="1">
      <c r="A707" s="4"/>
      <c r="B707" s="4"/>
      <c r="C707" s="105"/>
      <c r="D707" s="4"/>
      <c r="E707" s="4"/>
      <c r="F707" s="28"/>
      <c r="G707" s="28"/>
      <c r="H707" s="83"/>
      <c r="I707" s="4"/>
      <c r="J707" s="4"/>
      <c r="K707" s="4"/>
      <c r="L707" s="4"/>
      <c r="M707" s="4"/>
      <c r="N707" s="28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81"/>
      <c r="AG707" s="81"/>
      <c r="AH707" s="81"/>
      <c r="AI707" s="4"/>
      <c r="AJ707" s="81"/>
      <c r="AK707" s="81"/>
      <c r="AL707" s="81"/>
      <c r="AM707" s="43">
        <v>691</v>
      </c>
      <c r="AN707">
        <v>146.36349423525425</v>
      </c>
      <c r="AO707">
        <v>13.124185468368617</v>
      </c>
      <c r="AP707">
        <v>136.30145180639425</v>
      </c>
      <c r="AQ707">
        <v>116.77887734324597</v>
      </c>
      <c r="AR707">
        <v>12.507217061141445</v>
      </c>
      <c r="AS707">
        <v>179.52816325625514</v>
      </c>
      <c r="AT707">
        <v>7.8374164188873694</v>
      </c>
      <c r="AU707">
        <v>9.8123400652935118</v>
      </c>
      <c r="AV707"/>
      <c r="AW707"/>
      <c r="FY707" s="210">
        <v>702</v>
      </c>
      <c r="FZ707">
        <v>26.304119814734335</v>
      </c>
      <c r="GA707">
        <v>28.971286412225684</v>
      </c>
      <c r="GB707">
        <v>3.0292106738234823</v>
      </c>
      <c r="GC707">
        <v>0.6842549076141442</v>
      </c>
      <c r="GD707">
        <v>1.1219798062070041</v>
      </c>
      <c r="GE707">
        <v>3.2773185906104367</v>
      </c>
      <c r="GF707">
        <v>8.6376245754142857</v>
      </c>
      <c r="GG707">
        <v>7.8002319936830142</v>
      </c>
      <c r="GH707">
        <v>5.7626376064496903</v>
      </c>
      <c r="GI707">
        <v>7.7662063185488863</v>
      </c>
      <c r="GJ707"/>
      <c r="GK707"/>
      <c r="GL707"/>
      <c r="GM707"/>
    </row>
    <row r="708" spans="1:195" s="7" customFormat="1">
      <c r="A708" s="4"/>
      <c r="B708" s="4"/>
      <c r="C708" s="105"/>
      <c r="D708" s="4"/>
      <c r="E708" s="4"/>
      <c r="F708" s="28"/>
      <c r="G708" s="28"/>
      <c r="H708" s="83"/>
      <c r="I708" s="4"/>
      <c r="J708" s="4"/>
      <c r="K708" s="4"/>
      <c r="L708" s="4"/>
      <c r="M708" s="4"/>
      <c r="N708" s="28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81"/>
      <c r="AG708" s="81"/>
      <c r="AH708" s="81"/>
      <c r="AI708" s="4"/>
      <c r="AJ708" s="81"/>
      <c r="AK708" s="81"/>
      <c r="AL708" s="81"/>
      <c r="AM708" s="43">
        <v>692</v>
      </c>
      <c r="AN708">
        <v>160.83233622514263</v>
      </c>
      <c r="AO708">
        <v>13.729308526644493</v>
      </c>
      <c r="AP708">
        <v>142.02729982601514</v>
      </c>
      <c r="AQ708">
        <v>120.31941138701454</v>
      </c>
      <c r="AR708">
        <v>12.830114131135369</v>
      </c>
      <c r="AS708">
        <v>212.37092200605804</v>
      </c>
      <c r="AT708">
        <v>8.6029393467583759</v>
      </c>
      <c r="AU708">
        <v>39.035266485171888</v>
      </c>
      <c r="AV708"/>
      <c r="AW708"/>
      <c r="FY708" s="210">
        <v>703</v>
      </c>
      <c r="FZ708">
        <v>31.869964097193112</v>
      </c>
      <c r="GA708">
        <v>39.112027386873798</v>
      </c>
      <c r="GB708">
        <v>1.9501087605653542</v>
      </c>
      <c r="GC708">
        <v>0.92745876813956984</v>
      </c>
      <c r="GD708">
        <v>1.2743123373638892</v>
      </c>
      <c r="GE708">
        <v>3.7804057928873132</v>
      </c>
      <c r="GF708">
        <v>9.1150274764859649</v>
      </c>
      <c r="GG708">
        <v>9.2032367119495468</v>
      </c>
      <c r="GH708">
        <v>8.7394980101067823</v>
      </c>
      <c r="GI708">
        <v>8.9790800357495737</v>
      </c>
      <c r="GJ708"/>
      <c r="GK708"/>
      <c r="GL708"/>
      <c r="GM708"/>
    </row>
    <row r="709" spans="1:195" s="7" customFormat="1">
      <c r="A709" s="4"/>
      <c r="B709" s="4"/>
      <c r="C709" s="105"/>
      <c r="D709" s="4"/>
      <c r="E709" s="4"/>
      <c r="F709" s="28"/>
      <c r="G709" s="28"/>
      <c r="H709" s="83"/>
      <c r="I709" s="4"/>
      <c r="J709" s="4"/>
      <c r="K709" s="4"/>
      <c r="L709" s="4"/>
      <c r="M709" s="4"/>
      <c r="N709" s="28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81"/>
      <c r="AG709" s="81"/>
      <c r="AH709" s="81"/>
      <c r="AI709" s="4"/>
      <c r="AJ709" s="81"/>
      <c r="AK709" s="81"/>
      <c r="AL709" s="81"/>
      <c r="AM709" s="43">
        <v>693</v>
      </c>
      <c r="AN709">
        <v>121.10788827152744</v>
      </c>
      <c r="AO709">
        <v>13.568421897167706</v>
      </c>
      <c r="AP709">
        <v>138.19237467727169</v>
      </c>
      <c r="AQ709">
        <v>119.29974987613383</v>
      </c>
      <c r="AR709">
        <v>13.505949687095953</v>
      </c>
      <c r="AS709">
        <v>203.04493359932383</v>
      </c>
      <c r="AT709">
        <v>8.2388824666010141</v>
      </c>
      <c r="AU709">
        <v>16.342608544043973</v>
      </c>
      <c r="AV709"/>
      <c r="AW709"/>
      <c r="FY709" s="210">
        <v>704</v>
      </c>
      <c r="FZ709">
        <v>21.694109744522486</v>
      </c>
      <c r="GA709">
        <v>28.643241844985251</v>
      </c>
      <c r="GB709">
        <v>5.0953897239284967</v>
      </c>
      <c r="GC709">
        <v>2.0163592332821492</v>
      </c>
      <c r="GD709">
        <v>1.113630280971956</v>
      </c>
      <c r="GE709">
        <v>4.1339138562518007</v>
      </c>
      <c r="GF709">
        <v>5.7928685712505521</v>
      </c>
      <c r="GG709">
        <v>6.8460168210598393</v>
      </c>
      <c r="GH709">
        <v>9.6055224828685706</v>
      </c>
      <c r="GI709">
        <v>7.6900197888209689</v>
      </c>
      <c r="GJ709"/>
      <c r="GK709"/>
      <c r="GL709"/>
      <c r="GM709"/>
    </row>
    <row r="710" spans="1:195" s="7" customFormat="1">
      <c r="A710" s="4"/>
      <c r="B710" s="4"/>
      <c r="C710" s="105"/>
      <c r="D710" s="4"/>
      <c r="E710" s="4"/>
      <c r="F710" s="28"/>
      <c r="G710" s="28"/>
      <c r="H710" s="83"/>
      <c r="I710" s="4"/>
      <c r="J710" s="4"/>
      <c r="K710" s="4"/>
      <c r="L710" s="4"/>
      <c r="M710" s="4"/>
      <c r="N710" s="28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81"/>
      <c r="AG710" s="81"/>
      <c r="AH710" s="81"/>
      <c r="AI710" s="4"/>
      <c r="AJ710" s="81"/>
      <c r="AK710" s="81"/>
      <c r="AL710" s="81"/>
      <c r="AM710" s="43">
        <v>694</v>
      </c>
      <c r="AN710">
        <v>80.337950676407246</v>
      </c>
      <c r="AO710">
        <v>6.960610360197717</v>
      </c>
      <c r="AP710">
        <v>67.13928114731209</v>
      </c>
      <c r="AQ710">
        <v>56.973753547067801</v>
      </c>
      <c r="AR710">
        <v>7.1553667364431739</v>
      </c>
      <c r="AS710">
        <v>119.29999876764941</v>
      </c>
      <c r="AT710">
        <v>4.3702324302230027</v>
      </c>
      <c r="AU710">
        <v>5.4007679364258667</v>
      </c>
      <c r="AV710"/>
      <c r="AW710"/>
      <c r="FY710" s="210">
        <v>705</v>
      </c>
      <c r="FZ710">
        <v>26.61251791770534</v>
      </c>
      <c r="GA710">
        <v>29.0404569301812</v>
      </c>
      <c r="GB710">
        <v>3.1367253721315702</v>
      </c>
      <c r="GC710">
        <v>1.0530273269722319</v>
      </c>
      <c r="GD710">
        <v>1.3165221392448982</v>
      </c>
      <c r="GE710">
        <v>3.1422384904834653</v>
      </c>
      <c r="GF710">
        <v>7.8986522299832362</v>
      </c>
      <c r="GG710">
        <v>8.8777153841961738</v>
      </c>
      <c r="GH710">
        <v>8.8596826975582186</v>
      </c>
      <c r="GI710">
        <v>8.3127791430754083</v>
      </c>
      <c r="GJ710"/>
      <c r="GK710"/>
      <c r="GL710"/>
      <c r="GM710"/>
    </row>
    <row r="711" spans="1:195" s="7" customFormat="1">
      <c r="A711" s="4"/>
      <c r="B711" s="4"/>
      <c r="C711" s="105"/>
      <c r="D711" s="4"/>
      <c r="E711" s="4"/>
      <c r="F711" s="28"/>
      <c r="G711" s="28"/>
      <c r="H711" s="83"/>
      <c r="I711" s="4"/>
      <c r="J711" s="4"/>
      <c r="K711" s="4"/>
      <c r="L711" s="4"/>
      <c r="M711" s="4"/>
      <c r="N711" s="28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81"/>
      <c r="AG711" s="81"/>
      <c r="AH711" s="81"/>
      <c r="AI711" s="4"/>
      <c r="AJ711" s="81"/>
      <c r="AK711" s="81"/>
      <c r="AL711" s="81"/>
      <c r="AM711" s="43">
        <v>695</v>
      </c>
      <c r="AN711">
        <v>102.86321433857265</v>
      </c>
      <c r="AO711">
        <v>8.1385297536566235</v>
      </c>
      <c r="AP711">
        <v>78.929499570505854</v>
      </c>
      <c r="AQ711">
        <v>66.286377588938009</v>
      </c>
      <c r="AR711">
        <v>7.8147160836116587</v>
      </c>
      <c r="AS711">
        <v>131.12756323229385</v>
      </c>
      <c r="AT711">
        <v>4.98677123409509</v>
      </c>
      <c r="AU711">
        <v>18.117193602695963</v>
      </c>
      <c r="AV711"/>
      <c r="AW711"/>
      <c r="FY711" s="210">
        <v>706</v>
      </c>
      <c r="FZ711">
        <v>11.48236742639347</v>
      </c>
      <c r="GA711">
        <v>14.524673902969367</v>
      </c>
      <c r="GB711">
        <v>2.2839640347004662</v>
      </c>
      <c r="GC711">
        <v>1.1205417489523646</v>
      </c>
      <c r="GD711">
        <v>0.36336164229010703</v>
      </c>
      <c r="GE711">
        <v>0.51855997732277481</v>
      </c>
      <c r="GF711">
        <v>3.3818417987122142</v>
      </c>
      <c r="GG711">
        <v>4.0687295678902977</v>
      </c>
      <c r="GH711">
        <v>4.6425758617435413</v>
      </c>
      <c r="GI711">
        <v>3.8154857135455025</v>
      </c>
      <c r="GJ711"/>
      <c r="GK711"/>
      <c r="GL711"/>
      <c r="GM711"/>
    </row>
    <row r="712" spans="1:195" s="7" customFormat="1">
      <c r="A712" s="4"/>
      <c r="B712" s="4"/>
      <c r="C712" s="105"/>
      <c r="D712" s="4"/>
      <c r="E712" s="4"/>
      <c r="F712" s="28"/>
      <c r="G712" s="28"/>
      <c r="H712" s="83"/>
      <c r="I712" s="4"/>
      <c r="J712" s="4"/>
      <c r="K712" s="4"/>
      <c r="L712" s="4"/>
      <c r="M712" s="4"/>
      <c r="N712" s="28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81"/>
      <c r="AG712" s="81"/>
      <c r="AH712" s="81"/>
      <c r="AI712" s="4"/>
      <c r="AJ712" s="81"/>
      <c r="AK712" s="81"/>
      <c r="AL712" s="81"/>
      <c r="AM712" s="43">
        <v>696</v>
      </c>
      <c r="AN712">
        <v>88.785828664249934</v>
      </c>
      <c r="AO712">
        <v>7.1637958182127432</v>
      </c>
      <c r="AP712">
        <v>66.434490469590841</v>
      </c>
      <c r="AQ712">
        <v>57.775740002896498</v>
      </c>
      <c r="AR712">
        <v>7.1052003858613793</v>
      </c>
      <c r="AS712">
        <v>103.81517256442922</v>
      </c>
      <c r="AT712">
        <v>4.4121734624817064</v>
      </c>
      <c r="AU712">
        <v>21.356941777465163</v>
      </c>
      <c r="AV712"/>
      <c r="AW712"/>
      <c r="FY712" s="210">
        <v>707</v>
      </c>
      <c r="FZ712">
        <v>23.358737553467073</v>
      </c>
      <c r="GA712">
        <v>26.662852392255139</v>
      </c>
      <c r="GB712">
        <v>1.3193219166351531</v>
      </c>
      <c r="GC712">
        <v>0.91372032098621792</v>
      </c>
      <c r="GD712">
        <v>1.0573967068644754</v>
      </c>
      <c r="GE712">
        <v>1.8358249050153821</v>
      </c>
      <c r="GF712">
        <v>6.002014901851771</v>
      </c>
      <c r="GG712">
        <v>8.5964144948935637</v>
      </c>
      <c r="GH712">
        <v>8.8720654289215979</v>
      </c>
      <c r="GI712">
        <v>6.8907003714551003</v>
      </c>
      <c r="GJ712"/>
      <c r="GK712"/>
      <c r="GL712"/>
      <c r="GM712"/>
    </row>
    <row r="713" spans="1:195" s="7" customFormat="1">
      <c r="A713" s="4"/>
      <c r="B713" s="4"/>
      <c r="C713" s="105"/>
      <c r="D713" s="4"/>
      <c r="E713" s="4"/>
      <c r="F713" s="28"/>
      <c r="G713" s="28"/>
      <c r="H713" s="83"/>
      <c r="I713" s="4"/>
      <c r="J713" s="4"/>
      <c r="K713" s="4"/>
      <c r="L713" s="4"/>
      <c r="M713" s="4"/>
      <c r="N713" s="28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81"/>
      <c r="AG713" s="81"/>
      <c r="AH713" s="81"/>
      <c r="AI713" s="4"/>
      <c r="AJ713" s="81"/>
      <c r="AK713" s="81"/>
      <c r="AL713" s="81"/>
      <c r="AM713" s="43">
        <v>697</v>
      </c>
      <c r="AN713">
        <v>125.90312365083192</v>
      </c>
      <c r="AO713">
        <v>12.546017619998612</v>
      </c>
      <c r="AP713">
        <v>130.49009088455583</v>
      </c>
      <c r="AQ713">
        <v>112.27486745631573</v>
      </c>
      <c r="AR713">
        <v>12.005072013608819</v>
      </c>
      <c r="AS713">
        <v>205.05114542126603</v>
      </c>
      <c r="AT713">
        <v>7.7164494387610567</v>
      </c>
      <c r="AU713">
        <v>61.213284108208939</v>
      </c>
      <c r="AV713"/>
      <c r="AW713"/>
      <c r="FY713" s="210">
        <v>708</v>
      </c>
      <c r="FZ713">
        <v>38.747812899625622</v>
      </c>
      <c r="GA713">
        <v>40.533945820752592</v>
      </c>
      <c r="GB713">
        <v>2.0786929646102181</v>
      </c>
      <c r="GC713">
        <v>0.61879421216944752</v>
      </c>
      <c r="GD713">
        <v>0.69200294494645465</v>
      </c>
      <c r="GE713">
        <v>3.0688478202267078</v>
      </c>
      <c r="GF713">
        <v>8.190251212214001</v>
      </c>
      <c r="GG713">
        <v>6.2157932796495787</v>
      </c>
      <c r="GH713">
        <v>6.3354183916850122</v>
      </c>
      <c r="GI713">
        <v>9.1262543752344207</v>
      </c>
      <c r="GJ713"/>
      <c r="GK713"/>
      <c r="GL713"/>
      <c r="GM713"/>
    </row>
    <row r="714" spans="1:195" s="7" customFormat="1">
      <c r="A714" s="4"/>
      <c r="B714" s="4"/>
      <c r="C714" s="105"/>
      <c r="D714" s="4"/>
      <c r="E714" s="4"/>
      <c r="F714" s="28"/>
      <c r="G714" s="28"/>
      <c r="H714" s="83"/>
      <c r="I714" s="4"/>
      <c r="J714" s="4"/>
      <c r="K714" s="4"/>
      <c r="L714" s="4"/>
      <c r="M714" s="4"/>
      <c r="N714" s="28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81"/>
      <c r="AG714" s="81"/>
      <c r="AH714" s="81"/>
      <c r="AI714" s="4"/>
      <c r="AJ714" s="81"/>
      <c r="AK714" s="81"/>
      <c r="AL714" s="81"/>
      <c r="AM714" s="43">
        <v>698</v>
      </c>
      <c r="AN714">
        <v>121.63255961895452</v>
      </c>
      <c r="AO714">
        <v>13.364374384487558</v>
      </c>
      <c r="AP714">
        <v>140.35675908555967</v>
      </c>
      <c r="AQ714">
        <v>119.7841804477721</v>
      </c>
      <c r="AR714">
        <v>13.03927625702239</v>
      </c>
      <c r="AS714">
        <v>185.61897350242828</v>
      </c>
      <c r="AT714">
        <v>7.8763422546065742</v>
      </c>
      <c r="AU714">
        <v>13.430557508292178</v>
      </c>
      <c r="AV714"/>
      <c r="AW714"/>
      <c r="FY714" s="210">
        <v>709</v>
      </c>
      <c r="FZ714">
        <v>0.8648543448131526</v>
      </c>
      <c r="GA714">
        <v>3.8845490856569258</v>
      </c>
      <c r="GB714">
        <v>2.6391945194268054</v>
      </c>
      <c r="GC714">
        <v>0.85350609690706847</v>
      </c>
      <c r="GD714">
        <v>1.0140188968187154</v>
      </c>
      <c r="GE714">
        <v>2.7903634151066736</v>
      </c>
      <c r="GF714">
        <v>4.9728162530229367</v>
      </c>
      <c r="GG714">
        <v>9.5381438559719776</v>
      </c>
      <c r="GH714">
        <v>12.918610175935832</v>
      </c>
      <c r="GI714">
        <v>4.3257614486539655</v>
      </c>
      <c r="GJ714"/>
      <c r="GK714"/>
      <c r="GL714"/>
      <c r="GM714"/>
    </row>
    <row r="715" spans="1:195" s="7" customFormat="1">
      <c r="A715" s="4"/>
      <c r="B715" s="4"/>
      <c r="C715" s="105"/>
      <c r="D715" s="4"/>
      <c r="E715" s="4"/>
      <c r="F715" s="28"/>
      <c r="G715" s="28"/>
      <c r="H715" s="83"/>
      <c r="I715" s="4"/>
      <c r="J715" s="4"/>
      <c r="K715" s="4"/>
      <c r="L715" s="4"/>
      <c r="M715" s="4"/>
      <c r="N715" s="28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81"/>
      <c r="AG715" s="81"/>
      <c r="AH715" s="81"/>
      <c r="AI715" s="4"/>
      <c r="AJ715" s="81"/>
      <c r="AK715" s="81"/>
      <c r="AL715" s="81"/>
      <c r="AM715" s="43">
        <v>699</v>
      </c>
      <c r="AN715">
        <v>127.89108212459526</v>
      </c>
      <c r="AO715">
        <v>15.215696466139482</v>
      </c>
      <c r="AP715">
        <v>161.05075801505288</v>
      </c>
      <c r="AQ715">
        <v>138.88022890738785</v>
      </c>
      <c r="AR715">
        <v>14.546756035482268</v>
      </c>
      <c r="AS715">
        <v>196.12427025471965</v>
      </c>
      <c r="AT715">
        <v>8.8209947112598446</v>
      </c>
      <c r="AU715">
        <v>0.26045422951910702</v>
      </c>
      <c r="AV715"/>
      <c r="AW715"/>
      <c r="FY715" s="210">
        <v>710</v>
      </c>
      <c r="FZ715">
        <v>2.1790947752557521</v>
      </c>
      <c r="GA715">
        <v>3.5991161478834668</v>
      </c>
      <c r="GB715">
        <v>3.846573436796711</v>
      </c>
      <c r="GC715">
        <v>1.3856734690337391</v>
      </c>
      <c r="GD715">
        <v>0.94497486550755028</v>
      </c>
      <c r="GE715">
        <v>4.2258655590159968</v>
      </c>
      <c r="GF715">
        <v>10.246657138074927</v>
      </c>
      <c r="GG715">
        <v>7.7494576614602639</v>
      </c>
      <c r="GH715">
        <v>5.5741289059680188</v>
      </c>
      <c r="GI715">
        <v>4.5647812381792905</v>
      </c>
      <c r="GJ715"/>
      <c r="GK715"/>
      <c r="GL715"/>
      <c r="GM715"/>
    </row>
    <row r="716" spans="1:195" s="7" customFormat="1">
      <c r="A716" s="4"/>
      <c r="B716" s="4"/>
      <c r="C716" s="105"/>
      <c r="D716" s="4"/>
      <c r="E716" s="4"/>
      <c r="F716" s="28"/>
      <c r="G716" s="28"/>
      <c r="H716" s="83"/>
      <c r="I716" s="4"/>
      <c r="J716" s="4"/>
      <c r="K716" s="4"/>
      <c r="L716" s="4"/>
      <c r="M716" s="4"/>
      <c r="N716" s="28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81"/>
      <c r="AG716" s="81"/>
      <c r="AH716" s="81"/>
      <c r="AI716" s="4"/>
      <c r="AJ716" s="81"/>
      <c r="AK716" s="81"/>
      <c r="AL716" s="81"/>
      <c r="AM716" s="43">
        <v>700</v>
      </c>
      <c r="AN716">
        <v>86.586429625642481</v>
      </c>
      <c r="AO716">
        <v>5.9273297947370871</v>
      </c>
      <c r="AP716">
        <v>52.762238765668165</v>
      </c>
      <c r="AQ716">
        <v>43.298919885254023</v>
      </c>
      <c r="AR716">
        <v>6.2497460049583582</v>
      </c>
      <c r="AS716">
        <v>113.51616749410148</v>
      </c>
      <c r="AT716">
        <v>3.5229336228750188</v>
      </c>
      <c r="AU716">
        <v>10.155287032239924</v>
      </c>
      <c r="AV716"/>
      <c r="AW716"/>
      <c r="FY716" s="210">
        <v>711</v>
      </c>
      <c r="FZ716">
        <v>11.644684139637409</v>
      </c>
      <c r="GA716">
        <v>14.532691581430111</v>
      </c>
      <c r="GB716">
        <v>2.886752462998992</v>
      </c>
      <c r="GC716">
        <v>1.4488998512993163</v>
      </c>
      <c r="GD716">
        <v>0.97061865071617737</v>
      </c>
      <c r="GE716">
        <v>2.983042422595632</v>
      </c>
      <c r="GF716">
        <v>11.987361805795626</v>
      </c>
      <c r="GG716">
        <v>10.652335080006939</v>
      </c>
      <c r="GH716">
        <v>5.8000852562292522</v>
      </c>
      <c r="GI716">
        <v>6.0827220566048004</v>
      </c>
      <c r="GJ716"/>
      <c r="GK716"/>
      <c r="GL716"/>
      <c r="GM716"/>
    </row>
    <row r="717" spans="1:195" s="7" customFormat="1">
      <c r="A717" s="4"/>
      <c r="B717" s="4"/>
      <c r="C717" s="105"/>
      <c r="D717" s="4"/>
      <c r="E717" s="4"/>
      <c r="F717" s="28"/>
      <c r="G717" s="28"/>
      <c r="H717" s="83"/>
      <c r="I717" s="4"/>
      <c r="J717" s="4"/>
      <c r="K717" s="4"/>
      <c r="L717" s="4"/>
      <c r="M717" s="4"/>
      <c r="N717" s="28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81"/>
      <c r="AG717" s="81"/>
      <c r="AH717" s="81"/>
      <c r="AI717" s="4"/>
      <c r="AJ717" s="81"/>
      <c r="AK717" s="81"/>
      <c r="AL717" s="81"/>
      <c r="AM717" s="43">
        <v>701</v>
      </c>
      <c r="AN717">
        <v>148.63862988064975</v>
      </c>
      <c r="AO717">
        <v>14.720519630207175</v>
      </c>
      <c r="AP717">
        <v>148.77022752579637</v>
      </c>
      <c r="AQ717">
        <v>128.07093885882878</v>
      </c>
      <c r="AR717">
        <v>14.185664848756918</v>
      </c>
      <c r="AS717">
        <v>209.63385037558623</v>
      </c>
      <c r="AT717">
        <v>9.0977034859532342</v>
      </c>
      <c r="AU717">
        <v>23.7090013257321</v>
      </c>
      <c r="AV717"/>
      <c r="AW717"/>
      <c r="FY717" s="210">
        <v>712</v>
      </c>
      <c r="FZ717">
        <v>59.101212534558641</v>
      </c>
      <c r="GA717">
        <v>64.552106782297713</v>
      </c>
      <c r="GB717">
        <v>2.7245226382560728</v>
      </c>
      <c r="GC717">
        <v>1.6011460450930894</v>
      </c>
      <c r="GD717">
        <v>0.63664692330074579</v>
      </c>
      <c r="GE717">
        <v>3.3594027443138015</v>
      </c>
      <c r="GF717">
        <v>6.2790483844941649</v>
      </c>
      <c r="GG717">
        <v>5.0011332284925292</v>
      </c>
      <c r="GH717">
        <v>6.4711610721465558</v>
      </c>
      <c r="GI717">
        <v>11.92585638226037</v>
      </c>
      <c r="GJ717"/>
      <c r="GK717"/>
      <c r="GL717"/>
      <c r="GM717"/>
    </row>
    <row r="718" spans="1:195" s="7" customFormat="1">
      <c r="A718" s="4"/>
      <c r="B718" s="4"/>
      <c r="C718" s="105"/>
      <c r="D718" s="4"/>
      <c r="E718" s="4"/>
      <c r="F718" s="28"/>
      <c r="G718" s="28"/>
      <c r="H718" s="83"/>
      <c r="I718" s="4"/>
      <c r="J718" s="4"/>
      <c r="K718" s="4"/>
      <c r="L718" s="4"/>
      <c r="M718" s="4"/>
      <c r="N718" s="28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81"/>
      <c r="AG718" s="81"/>
      <c r="AH718" s="81"/>
      <c r="AI718" s="4"/>
      <c r="AJ718" s="81"/>
      <c r="AK718" s="81"/>
      <c r="AL718" s="81"/>
      <c r="AM718" s="43">
        <v>702</v>
      </c>
      <c r="AN718">
        <v>105.34669352075318</v>
      </c>
      <c r="AO718">
        <v>10.85288176178349</v>
      </c>
      <c r="AP718">
        <v>109.82242825045564</v>
      </c>
      <c r="AQ718">
        <v>93.35487069931095</v>
      </c>
      <c r="AR718">
        <v>10.77160546431999</v>
      </c>
      <c r="AS718">
        <v>151.26526266019559</v>
      </c>
      <c r="AT718">
        <v>7.0403957053555795</v>
      </c>
      <c r="AU718">
        <v>25.73241439035959</v>
      </c>
      <c r="AV718"/>
      <c r="AW718"/>
      <c r="FY718" s="210">
        <v>713</v>
      </c>
      <c r="FZ718">
        <v>23.274092067017126</v>
      </c>
      <c r="GA718">
        <v>26.417731738863736</v>
      </c>
      <c r="GB718">
        <v>2.8412258700046524</v>
      </c>
      <c r="GC718">
        <v>1.6774998174690157</v>
      </c>
      <c r="GD718">
        <v>0.86318888281176798</v>
      </c>
      <c r="GE718">
        <v>4.6875733495266436</v>
      </c>
      <c r="GF718">
        <v>9.2822783728957532</v>
      </c>
      <c r="GG718">
        <v>5.027039552965479</v>
      </c>
      <c r="GH718">
        <v>6.438827378876951</v>
      </c>
      <c r="GI718">
        <v>7.3347986145764823</v>
      </c>
      <c r="GJ718"/>
      <c r="GK718"/>
      <c r="GL718"/>
      <c r="GM718"/>
    </row>
    <row r="719" spans="1:195" s="7" customFormat="1">
      <c r="A719" s="4"/>
      <c r="B719" s="4"/>
      <c r="C719" s="105"/>
      <c r="D719" s="4"/>
      <c r="E719" s="4"/>
      <c r="F719" s="28"/>
      <c r="G719" s="28"/>
      <c r="H719" s="83"/>
      <c r="I719" s="4"/>
      <c r="J719" s="4"/>
      <c r="K719" s="4"/>
      <c r="L719" s="4"/>
      <c r="M719" s="4"/>
      <c r="N719" s="28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81"/>
      <c r="AG719" s="81"/>
      <c r="AH719" s="81"/>
      <c r="AI719" s="4"/>
      <c r="AJ719" s="81"/>
      <c r="AK719" s="81"/>
      <c r="AL719" s="81"/>
      <c r="AM719" s="43">
        <v>703</v>
      </c>
      <c r="AN719">
        <v>107.8997264115488</v>
      </c>
      <c r="AO719">
        <v>13.123395913160184</v>
      </c>
      <c r="AP719">
        <v>133.8400405109949</v>
      </c>
      <c r="AQ719">
        <v>114.95111937731491</v>
      </c>
      <c r="AR719">
        <v>12.447484122626612</v>
      </c>
      <c r="AS719">
        <v>169.03930925304221</v>
      </c>
      <c r="AT719">
        <v>8.3248948971518217</v>
      </c>
      <c r="AU719">
        <v>4.0307276386008031</v>
      </c>
      <c r="AV719"/>
      <c r="AW719"/>
      <c r="FY719" s="210">
        <v>714</v>
      </c>
      <c r="FZ719">
        <v>25.081775006524875</v>
      </c>
      <c r="GA719">
        <v>27.229694382874438</v>
      </c>
      <c r="GB719">
        <v>1.97477105224885</v>
      </c>
      <c r="GC719">
        <v>0.88964061495381153</v>
      </c>
      <c r="GD719">
        <v>0.72280232593608096</v>
      </c>
      <c r="GE719">
        <v>2.8544031403488259</v>
      </c>
      <c r="GF719">
        <v>11.704071041652563</v>
      </c>
      <c r="GG719">
        <v>11.853193694850603</v>
      </c>
      <c r="GH719">
        <v>9.218758677572584</v>
      </c>
      <c r="GI719">
        <v>8.1885281992175774</v>
      </c>
      <c r="GJ719"/>
      <c r="GK719"/>
      <c r="GL719"/>
      <c r="GM719"/>
    </row>
    <row r="720" spans="1:195" s="7" customFormat="1">
      <c r="A720" s="4"/>
      <c r="B720" s="4"/>
      <c r="C720" s="105"/>
      <c r="D720" s="4"/>
      <c r="E720" s="4"/>
      <c r="F720" s="28"/>
      <c r="G720" s="28"/>
      <c r="H720" s="83"/>
      <c r="I720" s="4"/>
      <c r="J720" s="4"/>
      <c r="K720" s="4"/>
      <c r="L720" s="4"/>
      <c r="M720" s="4"/>
      <c r="N720" s="28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81"/>
      <c r="AG720" s="81"/>
      <c r="AH720" s="81"/>
      <c r="AI720" s="4"/>
      <c r="AJ720" s="81"/>
      <c r="AK720" s="81"/>
      <c r="AL720" s="81"/>
      <c r="AM720" s="43">
        <v>704</v>
      </c>
      <c r="AN720">
        <v>119.8040862556882</v>
      </c>
      <c r="AO720">
        <v>11.196680915683501</v>
      </c>
      <c r="AP720">
        <v>109.22691011747489</v>
      </c>
      <c r="AQ720">
        <v>92.631072347942052</v>
      </c>
      <c r="AR720">
        <v>10.582457617321056</v>
      </c>
      <c r="AS720">
        <v>194.41414502902853</v>
      </c>
      <c r="AT720">
        <v>6.6636344831188588</v>
      </c>
      <c r="AU720">
        <v>10.433475892917487</v>
      </c>
      <c r="AV720"/>
      <c r="AW720"/>
      <c r="FY720" s="210">
        <v>715</v>
      </c>
      <c r="FZ720">
        <v>22.664958700903615</v>
      </c>
      <c r="GA720">
        <v>28.936635797518562</v>
      </c>
      <c r="GB720">
        <v>2.2392711434928856</v>
      </c>
      <c r="GC720">
        <v>0.73882892702690661</v>
      </c>
      <c r="GD720">
        <v>0.79943698073978464</v>
      </c>
      <c r="GE720">
        <v>1.7933761698126043</v>
      </c>
      <c r="GF720">
        <v>9.2755327445207918</v>
      </c>
      <c r="GG720">
        <v>17.424829215326927</v>
      </c>
      <c r="GH720">
        <v>16.353834958481666</v>
      </c>
      <c r="GI720">
        <v>8.6416206540317759</v>
      </c>
      <c r="GJ720"/>
      <c r="GK720"/>
      <c r="GL720"/>
      <c r="GM720"/>
    </row>
    <row r="721" spans="1:195" s="7" customFormat="1">
      <c r="A721" s="4"/>
      <c r="B721" s="4"/>
      <c r="C721" s="105"/>
      <c r="D721" s="4"/>
      <c r="E721" s="4"/>
      <c r="F721" s="28"/>
      <c r="G721" s="28"/>
      <c r="H721" s="83"/>
      <c r="I721" s="4"/>
      <c r="J721" s="4"/>
      <c r="K721" s="4"/>
      <c r="L721" s="4"/>
      <c r="M721" s="4"/>
      <c r="N721" s="28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81"/>
      <c r="AG721" s="81"/>
      <c r="AH721" s="81"/>
      <c r="AI721" s="4"/>
      <c r="AJ721" s="81"/>
      <c r="AK721" s="81"/>
      <c r="AL721" s="81"/>
      <c r="AM721" s="43">
        <v>705</v>
      </c>
      <c r="AN721">
        <v>125.93381811781573</v>
      </c>
      <c r="AO721">
        <v>11.548525659089481</v>
      </c>
      <c r="AP721">
        <v>115.3499859046746</v>
      </c>
      <c r="AQ721">
        <v>98.250317631531743</v>
      </c>
      <c r="AR721">
        <v>11.55113399006509</v>
      </c>
      <c r="AS721">
        <v>188.51312634815389</v>
      </c>
      <c r="AT721">
        <v>7.6459022708401827</v>
      </c>
      <c r="AU721">
        <v>26.238832013272564</v>
      </c>
      <c r="AV721"/>
      <c r="AW721"/>
      <c r="FY721" s="210">
        <v>716</v>
      </c>
      <c r="FZ721">
        <v>44.518071601565147</v>
      </c>
      <c r="GA721">
        <v>52.24073432487797</v>
      </c>
      <c r="GB721">
        <v>2.3838853838876606</v>
      </c>
      <c r="GC721">
        <v>1.0776159735115161</v>
      </c>
      <c r="GD721">
        <v>0.34982520981932685</v>
      </c>
      <c r="GE721">
        <v>1.5991735957560615</v>
      </c>
      <c r="GF721">
        <v>6.6450784660913094</v>
      </c>
      <c r="GG721">
        <v>5.6597358671846463</v>
      </c>
      <c r="GH721">
        <v>5.5826365015003567</v>
      </c>
      <c r="GI721">
        <v>9.4504664719555507</v>
      </c>
      <c r="GJ721"/>
      <c r="GK721"/>
      <c r="GL721"/>
      <c r="GM721"/>
    </row>
    <row r="722" spans="1:195" s="7" customFormat="1">
      <c r="A722" s="4"/>
      <c r="B722" s="4"/>
      <c r="C722" s="105"/>
      <c r="D722" s="4"/>
      <c r="E722" s="4"/>
      <c r="F722" s="28"/>
      <c r="G722" s="28"/>
      <c r="H722" s="83"/>
      <c r="I722" s="4"/>
      <c r="J722" s="4"/>
      <c r="K722" s="4"/>
      <c r="L722" s="4"/>
      <c r="M722" s="4"/>
      <c r="N722" s="28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81"/>
      <c r="AG722" s="81"/>
      <c r="AH722" s="81"/>
      <c r="AI722" s="4"/>
      <c r="AJ722" s="81"/>
      <c r="AK722" s="81"/>
      <c r="AL722" s="81"/>
      <c r="AM722" s="43">
        <v>706</v>
      </c>
      <c r="AN722">
        <v>59.384715617642165</v>
      </c>
      <c r="AO722">
        <v>5.4049089705514</v>
      </c>
      <c r="AP722">
        <v>55.406207793916856</v>
      </c>
      <c r="AQ722">
        <v>46.202101674520094</v>
      </c>
      <c r="AR722">
        <v>5.3138308875670637</v>
      </c>
      <c r="AS722">
        <v>85.916835735459316</v>
      </c>
      <c r="AT722">
        <v>3.7236427947668385</v>
      </c>
      <c r="AU722">
        <v>5.7776813231197632</v>
      </c>
      <c r="AV722"/>
      <c r="AW722"/>
      <c r="FY722" s="210">
        <v>717</v>
      </c>
      <c r="FZ722">
        <v>54.353418357835395</v>
      </c>
      <c r="GA722">
        <v>67.584519269565718</v>
      </c>
      <c r="GB722">
        <v>3.708568491452958</v>
      </c>
      <c r="GC722">
        <v>1.2743215148233886</v>
      </c>
      <c r="GD722">
        <v>0.95229507361000199</v>
      </c>
      <c r="GE722">
        <v>3.0322570202914956</v>
      </c>
      <c r="GF722">
        <v>7.3567332029522099</v>
      </c>
      <c r="GG722">
        <v>9.966079629032599</v>
      </c>
      <c r="GH722">
        <v>9.8451442176930257</v>
      </c>
      <c r="GI722">
        <v>12.394595539842015</v>
      </c>
      <c r="GJ722"/>
      <c r="GK722"/>
      <c r="GL722"/>
      <c r="GM722"/>
    </row>
    <row r="723" spans="1:195" s="7" customFormat="1">
      <c r="A723" s="4"/>
      <c r="B723" s="4"/>
      <c r="C723" s="105"/>
      <c r="D723" s="4"/>
      <c r="E723" s="4"/>
      <c r="F723" s="28"/>
      <c r="G723" s="28"/>
      <c r="H723" s="83"/>
      <c r="I723" s="4"/>
      <c r="J723" s="4"/>
      <c r="K723" s="4"/>
      <c r="L723" s="4"/>
      <c r="M723" s="4"/>
      <c r="N723" s="28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81"/>
      <c r="AG723" s="81"/>
      <c r="AH723" s="81"/>
      <c r="AI723" s="4"/>
      <c r="AJ723" s="81"/>
      <c r="AK723" s="81"/>
      <c r="AL723" s="81"/>
      <c r="AM723" s="43">
        <v>707</v>
      </c>
      <c r="AN723">
        <v>92.5393311671166</v>
      </c>
      <c r="AO723">
        <v>9.8434867757521047</v>
      </c>
      <c r="AP723">
        <v>99.862031847536457</v>
      </c>
      <c r="AQ723">
        <v>85.50904899234547</v>
      </c>
      <c r="AR723">
        <v>9.6023109256108796</v>
      </c>
      <c r="AS723">
        <v>153.20170412350592</v>
      </c>
      <c r="AT723">
        <v>5.7575707292480409</v>
      </c>
      <c r="AU723">
        <v>42.186571410007851</v>
      </c>
      <c r="AV723"/>
      <c r="AW723"/>
      <c r="FY723" s="210">
        <v>718</v>
      </c>
      <c r="FZ723">
        <v>12.774976103163116</v>
      </c>
      <c r="GA723">
        <v>15.495364906690515</v>
      </c>
      <c r="GB723">
        <v>2.4938282180650297</v>
      </c>
      <c r="GC723">
        <v>0.874920878138709</v>
      </c>
      <c r="GD723">
        <v>0.50898517891858386</v>
      </c>
      <c r="GE723">
        <v>1.1085485479237513</v>
      </c>
      <c r="GF723">
        <v>1.5290420929522732</v>
      </c>
      <c r="GG723">
        <v>4.6363520897379082</v>
      </c>
      <c r="GH723">
        <v>8.7622386072078644</v>
      </c>
      <c r="GI723">
        <v>4.464212519643076</v>
      </c>
      <c r="GJ723"/>
      <c r="GK723"/>
      <c r="GL723"/>
      <c r="GM723"/>
    </row>
    <row r="724" spans="1:195" s="7" customFormat="1">
      <c r="A724" s="4"/>
      <c r="B724" s="4"/>
      <c r="C724" s="105"/>
      <c r="D724" s="4"/>
      <c r="E724" s="4"/>
      <c r="F724" s="28"/>
      <c r="G724" s="28"/>
      <c r="H724" s="83"/>
      <c r="I724" s="4"/>
      <c r="J724" s="4"/>
      <c r="K724" s="4"/>
      <c r="L724" s="4"/>
      <c r="M724" s="4"/>
      <c r="N724" s="28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81"/>
      <c r="AG724" s="81"/>
      <c r="AH724" s="81"/>
      <c r="AI724" s="4"/>
      <c r="AJ724" s="81"/>
      <c r="AK724" s="81"/>
      <c r="AL724" s="81"/>
      <c r="AM724" s="43">
        <v>708</v>
      </c>
      <c r="AN724">
        <v>120.37135739733112</v>
      </c>
      <c r="AO724">
        <v>12.684590226607767</v>
      </c>
      <c r="AP724">
        <v>134.38243877411847</v>
      </c>
      <c r="AQ724">
        <v>115.60781392111403</v>
      </c>
      <c r="AR724">
        <v>12.632492842284123</v>
      </c>
      <c r="AS724">
        <v>207.23657707760654</v>
      </c>
      <c r="AT724">
        <v>7.851149920411685</v>
      </c>
      <c r="AU724">
        <v>61.009138331053627</v>
      </c>
      <c r="AV724"/>
      <c r="AW724"/>
      <c r="FY724" s="210">
        <v>719</v>
      </c>
      <c r="FZ724">
        <v>34.685912996295478</v>
      </c>
      <c r="GA724">
        <v>40.117351219060993</v>
      </c>
      <c r="GB724">
        <v>2.0048738767444569</v>
      </c>
      <c r="GC724">
        <v>0.9774482306918687</v>
      </c>
      <c r="GD724">
        <v>0.85484097291727879</v>
      </c>
      <c r="GE724">
        <v>1.8612572985511657</v>
      </c>
      <c r="GF724">
        <v>7.6556815465743693</v>
      </c>
      <c r="GG724">
        <v>9.7642769168361863</v>
      </c>
      <c r="GH724">
        <v>8.422754202214696</v>
      </c>
      <c r="GI724">
        <v>8.8330853460368317</v>
      </c>
      <c r="GJ724"/>
      <c r="GK724"/>
      <c r="GL724"/>
      <c r="GM724"/>
    </row>
    <row r="725" spans="1:195" s="7" customFormat="1">
      <c r="A725" s="4"/>
      <c r="B725" s="4"/>
      <c r="C725" s="105"/>
      <c r="D725" s="4"/>
      <c r="E725" s="4"/>
      <c r="F725" s="28"/>
      <c r="G725" s="28"/>
      <c r="H725" s="83"/>
      <c r="I725" s="4"/>
      <c r="J725" s="4"/>
      <c r="K725" s="4"/>
      <c r="L725" s="4"/>
      <c r="M725" s="4"/>
      <c r="N725" s="28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81"/>
      <c r="AG725" s="81"/>
      <c r="AH725" s="81"/>
      <c r="AI725" s="4"/>
      <c r="AJ725" s="81"/>
      <c r="AK725" s="81"/>
      <c r="AL725" s="81"/>
      <c r="AM725" s="43">
        <v>709</v>
      </c>
      <c r="AN725">
        <v>102.09072370258787</v>
      </c>
      <c r="AO725">
        <v>6.0410345393589493</v>
      </c>
      <c r="AP725">
        <v>53.741757700971476</v>
      </c>
      <c r="AQ725">
        <v>43.801818092314051</v>
      </c>
      <c r="AR725">
        <v>5.9271958766520019</v>
      </c>
      <c r="AS725">
        <v>94.958997838994037</v>
      </c>
      <c r="AT725">
        <v>3.2210859051340797</v>
      </c>
      <c r="AU725">
        <v>16.578102358823653</v>
      </c>
      <c r="AV725"/>
      <c r="AW725"/>
      <c r="FY725" s="210">
        <v>720</v>
      </c>
      <c r="FZ725">
        <v>32.40280272120318</v>
      </c>
      <c r="GA725">
        <v>40.533941499306366</v>
      </c>
      <c r="GB725">
        <v>4.059757114526704</v>
      </c>
      <c r="GC725">
        <v>1.7690425997311641</v>
      </c>
      <c r="GD725">
        <v>0.89418212842781464</v>
      </c>
      <c r="GE725">
        <v>3.200700571138186</v>
      </c>
      <c r="GF725">
        <v>7.324279128294112</v>
      </c>
      <c r="GG725">
        <v>8.7374089067919716</v>
      </c>
      <c r="GH725">
        <v>9.54089090897582</v>
      </c>
      <c r="GI725">
        <v>9.1445446265666277</v>
      </c>
      <c r="GJ725"/>
      <c r="GK725"/>
      <c r="GL725"/>
      <c r="GM725"/>
    </row>
    <row r="726" spans="1:195" s="7" customFormat="1">
      <c r="A726" s="4"/>
      <c r="B726" s="4"/>
      <c r="C726" s="105"/>
      <c r="D726" s="4"/>
      <c r="E726" s="4"/>
      <c r="F726" s="28"/>
      <c r="G726" s="28"/>
      <c r="H726" s="83"/>
      <c r="I726" s="4"/>
      <c r="J726" s="4"/>
      <c r="K726" s="4"/>
      <c r="L726" s="4"/>
      <c r="M726" s="4"/>
      <c r="N726" s="28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81"/>
      <c r="AG726" s="81"/>
      <c r="AH726" s="81"/>
      <c r="AI726" s="4"/>
      <c r="AJ726" s="81"/>
      <c r="AK726" s="81"/>
      <c r="AL726" s="81"/>
      <c r="AM726" s="43">
        <v>710</v>
      </c>
      <c r="AN726">
        <v>118.19290031159366</v>
      </c>
      <c r="AO726">
        <v>6.3692841003183078</v>
      </c>
      <c r="AP726">
        <v>54.312899831113981</v>
      </c>
      <c r="AQ726">
        <v>44.31632319717572</v>
      </c>
      <c r="AR726">
        <v>6.1483936484120365</v>
      </c>
      <c r="AS726">
        <v>117.06356928872238</v>
      </c>
      <c r="AT726">
        <v>3.9878679611678556</v>
      </c>
      <c r="AU726">
        <v>-38.527743964185845</v>
      </c>
      <c r="AV726"/>
      <c r="AW726"/>
      <c r="FY726" s="210">
        <v>721</v>
      </c>
      <c r="FZ726">
        <v>2.3827446758589517</v>
      </c>
      <c r="GA726">
        <v>2.6405325441655805</v>
      </c>
      <c r="GB726">
        <v>2.7407775948482458</v>
      </c>
      <c r="GC726">
        <v>1.3003471815110494</v>
      </c>
      <c r="GD726">
        <v>1.1701257912135619</v>
      </c>
      <c r="GE726">
        <v>4.1158284669947518</v>
      </c>
      <c r="GF726">
        <v>10.32333226457961</v>
      </c>
      <c r="GG726">
        <v>13.913578226652133</v>
      </c>
      <c r="GH726">
        <v>14.012418843784248</v>
      </c>
      <c r="GI726">
        <v>5.7961855292286328</v>
      </c>
      <c r="GJ726"/>
      <c r="GK726"/>
      <c r="GL726"/>
      <c r="GM726"/>
    </row>
    <row r="727" spans="1:195" s="7" customFormat="1">
      <c r="A727" s="4"/>
      <c r="B727" s="4"/>
      <c r="C727" s="105"/>
      <c r="D727" s="4"/>
      <c r="E727" s="4"/>
      <c r="F727" s="28"/>
      <c r="G727" s="28"/>
      <c r="H727" s="83"/>
      <c r="I727" s="4"/>
      <c r="J727" s="4"/>
      <c r="K727" s="4"/>
      <c r="L727" s="4"/>
      <c r="M727" s="4"/>
      <c r="N727" s="28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81"/>
      <c r="AG727" s="81"/>
      <c r="AH727" s="81"/>
      <c r="AI727" s="4"/>
      <c r="AJ727" s="81"/>
      <c r="AK727" s="81"/>
      <c r="AL727" s="81"/>
      <c r="AM727" s="43">
        <v>711</v>
      </c>
      <c r="AN727">
        <v>128.10853130808135</v>
      </c>
      <c r="AO727">
        <v>8.7445373303139462</v>
      </c>
      <c r="AP727">
        <v>82.737000472549795</v>
      </c>
      <c r="AQ727">
        <v>68.989193307314238</v>
      </c>
      <c r="AR727">
        <v>8.3625201218610101</v>
      </c>
      <c r="AS727">
        <v>180.04227839052362</v>
      </c>
      <c r="AT727">
        <v>5.1971842509783004</v>
      </c>
      <c r="AU727">
        <v>15.901342945716937</v>
      </c>
      <c r="AV727"/>
      <c r="AW727"/>
      <c r="FY727" s="210">
        <v>722</v>
      </c>
      <c r="FZ727">
        <v>15.04668222778478</v>
      </c>
      <c r="GA727">
        <v>15.865570309658596</v>
      </c>
      <c r="GB727">
        <v>3.0866593436531202</v>
      </c>
      <c r="GC727">
        <v>1.4463494906253365</v>
      </c>
      <c r="GD727">
        <v>1.6113210144834444</v>
      </c>
      <c r="GE727">
        <v>3.1213447039178659</v>
      </c>
      <c r="GF727">
        <v>2.8608719017327844</v>
      </c>
      <c r="GG727">
        <v>6.0956283256906563</v>
      </c>
      <c r="GH727">
        <v>8.3240934559164081</v>
      </c>
      <c r="GI727">
        <v>5.7687041872213065</v>
      </c>
      <c r="GJ727"/>
      <c r="GK727"/>
      <c r="GL727"/>
      <c r="GM727"/>
    </row>
    <row r="728" spans="1:195" s="7" customFormat="1">
      <c r="A728" s="4"/>
      <c r="B728" s="4"/>
      <c r="C728" s="105"/>
      <c r="D728" s="4"/>
      <c r="E728" s="4"/>
      <c r="F728" s="28"/>
      <c r="G728" s="28"/>
      <c r="H728" s="83"/>
      <c r="I728" s="4"/>
      <c r="J728" s="4"/>
      <c r="K728" s="4"/>
      <c r="L728" s="4"/>
      <c r="M728" s="4"/>
      <c r="N728" s="28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81"/>
      <c r="AG728" s="81"/>
      <c r="AH728" s="81"/>
      <c r="AI728" s="4"/>
      <c r="AJ728" s="81"/>
      <c r="AK728" s="81"/>
      <c r="AL728" s="81"/>
      <c r="AM728" s="43">
        <v>712</v>
      </c>
      <c r="AN728">
        <v>153.64185121913118</v>
      </c>
      <c r="AO728">
        <v>17.250494578475148</v>
      </c>
      <c r="AP728">
        <v>185.56164593191349</v>
      </c>
      <c r="AQ728">
        <v>161.65223673521368</v>
      </c>
      <c r="AR728">
        <v>16.504547623557325</v>
      </c>
      <c r="AS728">
        <v>248.51658323279926</v>
      </c>
      <c r="AT728">
        <v>9.8943381202103406</v>
      </c>
      <c r="AU728">
        <v>-1.9615824961784316</v>
      </c>
      <c r="AV728"/>
      <c r="AW728"/>
      <c r="FY728" s="210">
        <v>723</v>
      </c>
      <c r="FZ728">
        <v>21.915774818606288</v>
      </c>
      <c r="GA728">
        <v>29.190769826983288</v>
      </c>
      <c r="GB728">
        <v>4.4498535940408397</v>
      </c>
      <c r="GC728">
        <v>1.7170838677484008</v>
      </c>
      <c r="GD728">
        <v>0.73763714907463163</v>
      </c>
      <c r="GE728">
        <v>1.7281204017160383</v>
      </c>
      <c r="GF728">
        <v>5.1730080866053658</v>
      </c>
      <c r="GG728">
        <v>6.1242252206120336</v>
      </c>
      <c r="GH728">
        <v>7.2083737108826025</v>
      </c>
      <c r="GI728">
        <v>6.8474903716226398</v>
      </c>
      <c r="GJ728"/>
      <c r="GK728"/>
      <c r="GL728"/>
      <c r="GM728"/>
    </row>
    <row r="729" spans="1:195" s="7" customFormat="1">
      <c r="A729" s="4"/>
      <c r="B729" s="4"/>
      <c r="C729" s="105"/>
      <c r="D729" s="4"/>
      <c r="E729" s="4"/>
      <c r="F729" s="28"/>
      <c r="G729" s="28"/>
      <c r="H729" s="83"/>
      <c r="I729" s="4"/>
      <c r="J729" s="4"/>
      <c r="K729" s="4"/>
      <c r="L729" s="4"/>
      <c r="M729" s="4"/>
      <c r="N729" s="28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81"/>
      <c r="AG729" s="81"/>
      <c r="AH729" s="81"/>
      <c r="AI729" s="4"/>
      <c r="AJ729" s="81"/>
      <c r="AK729" s="81"/>
      <c r="AL729" s="81"/>
      <c r="AM729" s="43">
        <v>713</v>
      </c>
      <c r="AN729">
        <v>133.7569374188285</v>
      </c>
      <c r="AO729">
        <v>10.42043478570935</v>
      </c>
      <c r="AP729">
        <v>102.09864928978679</v>
      </c>
      <c r="AQ729">
        <v>87.844255645007593</v>
      </c>
      <c r="AR729">
        <v>9.9638899858061318</v>
      </c>
      <c r="AS729">
        <v>175.01917445323591</v>
      </c>
      <c r="AT729">
        <v>6.1594206024797549</v>
      </c>
      <c r="AU729">
        <v>2.6788110463139652</v>
      </c>
      <c r="AV729"/>
      <c r="AW729"/>
      <c r="FY729" s="210">
        <v>724</v>
      </c>
      <c r="FZ729">
        <v>22.144721844819575</v>
      </c>
      <c r="GA729">
        <v>26.776767834714363</v>
      </c>
      <c r="GB729">
        <v>2.4320829364652221</v>
      </c>
      <c r="GC729">
        <v>1.32063300514069</v>
      </c>
      <c r="GD729">
        <v>0.97998333147809702</v>
      </c>
      <c r="GE729">
        <v>3.3453964950543846</v>
      </c>
      <c r="GF729">
        <v>5.4473843203467105</v>
      </c>
      <c r="GG729">
        <v>4.2044334735353655</v>
      </c>
      <c r="GH729">
        <v>5.7295854580766701</v>
      </c>
      <c r="GI729">
        <v>6.3272608992441057</v>
      </c>
      <c r="GJ729"/>
      <c r="GK729"/>
      <c r="GL729"/>
      <c r="GM729"/>
    </row>
    <row r="730" spans="1:195" s="7" customFormat="1">
      <c r="A730" s="4"/>
      <c r="B730" s="4"/>
      <c r="C730" s="105"/>
      <c r="D730" s="4"/>
      <c r="E730" s="4"/>
      <c r="F730" s="28"/>
      <c r="G730" s="28"/>
      <c r="H730" s="83"/>
      <c r="I730" s="4"/>
      <c r="J730" s="4"/>
      <c r="K730" s="4"/>
      <c r="L730" s="4"/>
      <c r="M730" s="4"/>
      <c r="N730" s="28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81"/>
      <c r="AG730" s="81"/>
      <c r="AH730" s="81"/>
      <c r="AI730" s="4"/>
      <c r="AJ730" s="81"/>
      <c r="AK730" s="81"/>
      <c r="AL730" s="81"/>
      <c r="AM730" s="43">
        <v>714</v>
      </c>
      <c r="AN730">
        <v>143.92139368200134</v>
      </c>
      <c r="AO730">
        <v>11.570779357141078</v>
      </c>
      <c r="AP730">
        <v>118.01234911178322</v>
      </c>
      <c r="AQ730">
        <v>99.717638136180199</v>
      </c>
      <c r="AR730">
        <v>11.296702223778691</v>
      </c>
      <c r="AS730">
        <v>174.37784438742702</v>
      </c>
      <c r="AT730">
        <v>6.9507161081661479</v>
      </c>
      <c r="AU730">
        <v>38.464068735015879</v>
      </c>
      <c r="AV730"/>
      <c r="AW730"/>
      <c r="FY730" s="210">
        <v>725</v>
      </c>
      <c r="FZ730">
        <v>22.818322042760165</v>
      </c>
      <c r="GA730">
        <v>30.281406231522247</v>
      </c>
      <c r="GB730">
        <v>2.6433053253213563</v>
      </c>
      <c r="GC730">
        <v>1.0252494054143435</v>
      </c>
      <c r="GD730">
        <v>1.522570559645064</v>
      </c>
      <c r="GE730">
        <v>2.6530208367211161</v>
      </c>
      <c r="GF730">
        <v>5.7192360644548561</v>
      </c>
      <c r="GG730">
        <v>8.455847456307982</v>
      </c>
      <c r="GH730">
        <v>10.136197765671316</v>
      </c>
      <c r="GI730">
        <v>7.5692930281378326</v>
      </c>
      <c r="GJ730"/>
      <c r="GK730"/>
      <c r="GL730"/>
      <c r="GM730"/>
    </row>
    <row r="731" spans="1:195" s="7" customFormat="1">
      <c r="A731" s="4"/>
      <c r="B731" s="4"/>
      <c r="C731" s="105"/>
      <c r="D731" s="4"/>
      <c r="E731" s="4"/>
      <c r="F731" s="28"/>
      <c r="G731" s="28"/>
      <c r="H731" s="83"/>
      <c r="I731" s="4"/>
      <c r="J731" s="4"/>
      <c r="K731" s="4"/>
      <c r="L731" s="4"/>
      <c r="M731" s="4"/>
      <c r="N731" s="28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81"/>
      <c r="AG731" s="81"/>
      <c r="AH731" s="81"/>
      <c r="AI731" s="4"/>
      <c r="AJ731" s="81"/>
      <c r="AK731" s="81"/>
      <c r="AL731" s="81"/>
      <c r="AM731" s="43">
        <v>715</v>
      </c>
      <c r="AN731">
        <v>154.24843281118729</v>
      </c>
      <c r="AO731">
        <v>12.637073161617121</v>
      </c>
      <c r="AP731">
        <v>130.02349390821621</v>
      </c>
      <c r="AQ731">
        <v>108.86832529185551</v>
      </c>
      <c r="AR731">
        <v>12.011948894052527</v>
      </c>
      <c r="AS731">
        <v>248.70330516653044</v>
      </c>
      <c r="AT731">
        <v>6.9379273286300247</v>
      </c>
      <c r="AU731">
        <v>55.960905817720544</v>
      </c>
      <c r="AV731"/>
      <c r="AW731"/>
      <c r="FY731" s="210">
        <v>726</v>
      </c>
      <c r="FZ731">
        <v>21.643232864747389</v>
      </c>
      <c r="GA731">
        <v>28.133887576567783</v>
      </c>
      <c r="GB731">
        <v>4.1155094373400631</v>
      </c>
      <c r="GC731">
        <v>1.7180511131310461</v>
      </c>
      <c r="GD731">
        <v>1.2937630323093177</v>
      </c>
      <c r="GE731">
        <v>5.4632919775387574</v>
      </c>
      <c r="GF731">
        <v>7.6843129070088212</v>
      </c>
      <c r="GG731">
        <v>9.453325950617554</v>
      </c>
      <c r="GH731">
        <v>12.041850343574723</v>
      </c>
      <c r="GI731">
        <v>8.2707450854538092</v>
      </c>
      <c r="GJ731"/>
      <c r="GK731"/>
      <c r="GL731"/>
      <c r="GM731"/>
    </row>
    <row r="732" spans="1:195" s="7" customFormat="1">
      <c r="A732" s="4"/>
      <c r="B732" s="4"/>
      <c r="C732" s="105"/>
      <c r="D732" s="4"/>
      <c r="E732" s="4"/>
      <c r="F732" s="28"/>
      <c r="G732" s="28"/>
      <c r="H732" s="83"/>
      <c r="I732" s="4"/>
      <c r="J732" s="4"/>
      <c r="K732" s="4"/>
      <c r="L732" s="4"/>
      <c r="M732" s="4"/>
      <c r="N732" s="28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81"/>
      <c r="AG732" s="81"/>
      <c r="AH732" s="81"/>
      <c r="AI732" s="4"/>
      <c r="AJ732" s="81"/>
      <c r="AK732" s="81"/>
      <c r="AL732" s="81"/>
      <c r="AM732" s="43">
        <v>716</v>
      </c>
      <c r="AN732">
        <v>110.90190785270315</v>
      </c>
      <c r="AO732">
        <v>13.747224329459545</v>
      </c>
      <c r="AP732">
        <v>150.83947743891852</v>
      </c>
      <c r="AQ732">
        <v>129.50722339614953</v>
      </c>
      <c r="AR732">
        <v>13.153249574511596</v>
      </c>
      <c r="AS732">
        <v>202.71747278732244</v>
      </c>
      <c r="AT732">
        <v>8.337187093965019</v>
      </c>
      <c r="AU732">
        <v>-4.688862956207883</v>
      </c>
      <c r="AV732"/>
      <c r="AW732"/>
      <c r="FY732" s="210">
        <v>727</v>
      </c>
      <c r="FZ732">
        <v>12.717889482609607</v>
      </c>
      <c r="GA732">
        <v>13.891524853461117</v>
      </c>
      <c r="GB732">
        <v>1.6262815665434061</v>
      </c>
      <c r="GC732">
        <v>1.1206258829993314</v>
      </c>
      <c r="GD732">
        <v>0.92614895255719698</v>
      </c>
      <c r="GE732">
        <v>2.413055507807186</v>
      </c>
      <c r="GF732">
        <v>5.0097895732630828</v>
      </c>
      <c r="GG732">
        <v>6.8007997745750526</v>
      </c>
      <c r="GH732">
        <v>9.0942041904565585</v>
      </c>
      <c r="GI732">
        <v>5.1525310555789812</v>
      </c>
      <c r="GJ732"/>
      <c r="GK732"/>
      <c r="GL732"/>
      <c r="GM732"/>
    </row>
    <row r="733" spans="1:195" s="7" customFormat="1">
      <c r="A733" s="4"/>
      <c r="B733" s="4"/>
      <c r="C733" s="105"/>
      <c r="D733" s="4"/>
      <c r="E733" s="4"/>
      <c r="F733" s="28"/>
      <c r="G733" s="28"/>
      <c r="H733" s="83"/>
      <c r="I733" s="4"/>
      <c r="J733" s="4"/>
      <c r="K733" s="4"/>
      <c r="L733" s="4"/>
      <c r="M733" s="4"/>
      <c r="N733" s="28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81"/>
      <c r="AG733" s="81"/>
      <c r="AH733" s="81"/>
      <c r="AI733" s="4"/>
      <c r="AJ733" s="81"/>
      <c r="AK733" s="81"/>
      <c r="AL733" s="81"/>
      <c r="AM733" s="43">
        <v>717</v>
      </c>
      <c r="AN733">
        <v>146.57033799532738</v>
      </c>
      <c r="AO733">
        <v>18.45534106771477</v>
      </c>
      <c r="AP733">
        <v>198.40217146246559</v>
      </c>
      <c r="AQ733">
        <v>170.46793231709879</v>
      </c>
      <c r="AR733">
        <v>17.257471542777491</v>
      </c>
      <c r="AS733">
        <v>249.75505358470261</v>
      </c>
      <c r="AT733">
        <v>10.329213203738055</v>
      </c>
      <c r="AU733">
        <v>35.009142670582143</v>
      </c>
      <c r="AV733"/>
      <c r="AW733"/>
      <c r="FY733" s="210">
        <v>728</v>
      </c>
      <c r="FZ733">
        <v>12.784645201683272</v>
      </c>
      <c r="GA733">
        <v>15.908628435547328</v>
      </c>
      <c r="GB733">
        <v>3.4905219468614135</v>
      </c>
      <c r="GC733">
        <v>1.4671323430483034</v>
      </c>
      <c r="GD733">
        <v>0.83962589802651078</v>
      </c>
      <c r="GE733">
        <v>1.3690487228598931</v>
      </c>
      <c r="GF733">
        <v>8.9272153847018227</v>
      </c>
      <c r="GG733">
        <v>10.485765260677038</v>
      </c>
      <c r="GH733">
        <v>7.5809670612676676</v>
      </c>
      <c r="GI733">
        <v>6.057175839554735</v>
      </c>
      <c r="GJ733"/>
      <c r="GK733"/>
      <c r="GL733"/>
      <c r="GM733"/>
    </row>
    <row r="734" spans="1:195" s="7" customFormat="1">
      <c r="A734" s="4"/>
      <c r="B734" s="4"/>
      <c r="C734" s="105"/>
      <c r="D734" s="4"/>
      <c r="E734" s="4"/>
      <c r="F734" s="28"/>
      <c r="G734" s="28"/>
      <c r="H734" s="83"/>
      <c r="I734" s="4"/>
      <c r="J734" s="4"/>
      <c r="K734" s="4"/>
      <c r="L734" s="4"/>
      <c r="M734" s="4"/>
      <c r="N734" s="28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81"/>
      <c r="AG734" s="81"/>
      <c r="AH734" s="81"/>
      <c r="AI734" s="4"/>
      <c r="AJ734" s="81"/>
      <c r="AK734" s="81"/>
      <c r="AL734" s="81"/>
      <c r="AM734" s="43">
        <v>718</v>
      </c>
      <c r="AN734">
        <v>57.338719811838033</v>
      </c>
      <c r="AO734">
        <v>6.1573489242331378</v>
      </c>
      <c r="AP734">
        <v>62.869010600897383</v>
      </c>
      <c r="AQ734">
        <v>52.648469142440824</v>
      </c>
      <c r="AR734">
        <v>6.1999760062664224</v>
      </c>
      <c r="AS734">
        <v>95.607646535147467</v>
      </c>
      <c r="AT734">
        <v>4.0614577404735268</v>
      </c>
      <c r="AU734">
        <v>23.49860243592342</v>
      </c>
      <c r="AV734"/>
      <c r="AW734"/>
      <c r="FY734" s="210">
        <v>729</v>
      </c>
      <c r="FZ734">
        <v>14.333277880240018</v>
      </c>
      <c r="GA734">
        <v>14.118837749101898</v>
      </c>
      <c r="GB734">
        <v>2.2872954754066201</v>
      </c>
      <c r="GC734">
        <v>1.0676166443984945</v>
      </c>
      <c r="GD734">
        <v>0.16829812034389474</v>
      </c>
      <c r="GE734">
        <v>2.4014160705011265</v>
      </c>
      <c r="GF734">
        <v>5.7838217664773337</v>
      </c>
      <c r="GG734">
        <v>9.8429466402197932</v>
      </c>
      <c r="GH734">
        <v>14.352771544781747</v>
      </c>
      <c r="GI734">
        <v>6.0944542230360064</v>
      </c>
      <c r="GJ734"/>
      <c r="GK734"/>
      <c r="GL734"/>
      <c r="GM734"/>
    </row>
    <row r="735" spans="1:195" s="7" customFormat="1">
      <c r="A735" s="4"/>
      <c r="B735" s="4"/>
      <c r="C735" s="105"/>
      <c r="D735" s="4"/>
      <c r="E735" s="4"/>
      <c r="F735" s="28"/>
      <c r="G735" s="28"/>
      <c r="H735" s="83"/>
      <c r="I735" s="4"/>
      <c r="J735" s="4"/>
      <c r="K735" s="4"/>
      <c r="L735" s="4"/>
      <c r="M735" s="4"/>
      <c r="N735" s="28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81"/>
      <c r="AG735" s="81"/>
      <c r="AH735" s="81"/>
      <c r="AI735" s="4"/>
      <c r="AJ735" s="81"/>
      <c r="AK735" s="81"/>
      <c r="AL735" s="81"/>
      <c r="AM735" s="43">
        <v>719</v>
      </c>
      <c r="AN735">
        <v>116.13768231851407</v>
      </c>
      <c r="AO735">
        <v>12.779583867615029</v>
      </c>
      <c r="AP735">
        <v>134.68177178463108</v>
      </c>
      <c r="AQ735">
        <v>115.1774826059233</v>
      </c>
      <c r="AR735">
        <v>12.303320499416408</v>
      </c>
      <c r="AS735">
        <v>192.44382459259316</v>
      </c>
      <c r="AT735">
        <v>7.3533626818130733</v>
      </c>
      <c r="AU735">
        <v>69.486978565623275</v>
      </c>
      <c r="AV735"/>
      <c r="AW735"/>
      <c r="FY735" s="210">
        <v>730</v>
      </c>
      <c r="FZ735">
        <v>27.876645987250384</v>
      </c>
      <c r="GA735">
        <v>26.737845768273807</v>
      </c>
      <c r="GB735">
        <v>2.1722153910071915</v>
      </c>
      <c r="GC735">
        <v>1.2156040950173814</v>
      </c>
      <c r="GD735">
        <v>0.77894299241941534</v>
      </c>
      <c r="GE735">
        <v>3.8058588078893005</v>
      </c>
      <c r="GF735">
        <v>11.164310700894861</v>
      </c>
      <c r="GG735">
        <v>8.2635418562069507</v>
      </c>
      <c r="GH735">
        <v>6.8678866708106536</v>
      </c>
      <c r="GI735">
        <v>8.2175464884483258</v>
      </c>
      <c r="GJ735"/>
      <c r="GK735"/>
      <c r="GL735"/>
      <c r="GM735"/>
    </row>
    <row r="736" spans="1:195" s="7" customFormat="1">
      <c r="A736" s="4"/>
      <c r="B736" s="4"/>
      <c r="C736" s="105"/>
      <c r="D736" s="4"/>
      <c r="E736" s="4"/>
      <c r="F736" s="28"/>
      <c r="G736" s="28"/>
      <c r="H736" s="83"/>
      <c r="I736" s="4"/>
      <c r="J736" s="4"/>
      <c r="K736" s="4"/>
      <c r="L736" s="4"/>
      <c r="M736" s="4"/>
      <c r="N736" s="28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81"/>
      <c r="AG736" s="81"/>
      <c r="AH736" s="81"/>
      <c r="AI736" s="4"/>
      <c r="AJ736" s="81"/>
      <c r="AK736" s="81"/>
      <c r="AL736" s="81"/>
      <c r="AM736" s="43">
        <v>720</v>
      </c>
      <c r="AN736">
        <v>131.08950040244247</v>
      </c>
      <c r="AO736">
        <v>13.423240104712894</v>
      </c>
      <c r="AP736">
        <v>138.02478074651404</v>
      </c>
      <c r="AQ736">
        <v>117.60755020496195</v>
      </c>
      <c r="AR736">
        <v>12.658712934486161</v>
      </c>
      <c r="AS736">
        <v>182.42202071369351</v>
      </c>
      <c r="AT736">
        <v>7.5849575389645212</v>
      </c>
      <c r="AU736">
        <v>18.354633958941292</v>
      </c>
      <c r="AV736"/>
      <c r="AW736"/>
      <c r="FY736" s="210">
        <v>731</v>
      </c>
      <c r="FZ736">
        <v>14.594464475373057</v>
      </c>
      <c r="GA736">
        <v>17.296349547267916</v>
      </c>
      <c r="GB736">
        <v>3.5879770054097708</v>
      </c>
      <c r="GC736">
        <v>1.2461595871892375</v>
      </c>
      <c r="GD736">
        <v>0.62250367176159127</v>
      </c>
      <c r="GE736">
        <v>1.1533782626480156</v>
      </c>
      <c r="GF736">
        <v>6.3188848049861006</v>
      </c>
      <c r="GG736">
        <v>7.657548392899745</v>
      </c>
      <c r="GH736">
        <v>6.665282878655189</v>
      </c>
      <c r="GI736">
        <v>5.6103928586598517</v>
      </c>
      <c r="GJ736"/>
      <c r="GK736"/>
      <c r="GL736"/>
      <c r="GM736"/>
    </row>
    <row r="737" spans="1:195" s="7" customFormat="1">
      <c r="A737" s="4"/>
      <c r="B737" s="4"/>
      <c r="C737" s="105"/>
      <c r="D737" s="4"/>
      <c r="E737" s="4"/>
      <c r="F737" s="28"/>
      <c r="G737" s="28"/>
      <c r="H737" s="83"/>
      <c r="I737" s="4"/>
      <c r="J737" s="4"/>
      <c r="K737" s="4"/>
      <c r="L737" s="4"/>
      <c r="M737" s="4"/>
      <c r="N737" s="28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81"/>
      <c r="AG737" s="81"/>
      <c r="AH737" s="81"/>
      <c r="AI737" s="4"/>
      <c r="AJ737" s="81"/>
      <c r="AK737" s="81"/>
      <c r="AL737" s="81"/>
      <c r="AM737" s="43">
        <v>721</v>
      </c>
      <c r="AN737">
        <v>149.25092579331039</v>
      </c>
      <c r="AO737">
        <v>8.1135086842269466</v>
      </c>
      <c r="AP737">
        <v>70.934524690635953</v>
      </c>
      <c r="AQ737">
        <v>58.395871118836766</v>
      </c>
      <c r="AR737">
        <v>7.8610555748941326</v>
      </c>
      <c r="AS737">
        <v>162.17042930566078</v>
      </c>
      <c r="AT737">
        <v>4.681401060620785</v>
      </c>
      <c r="AU737">
        <v>9.1432598765888908</v>
      </c>
      <c r="AV737"/>
      <c r="AW737"/>
      <c r="FY737" s="210">
        <v>732</v>
      </c>
      <c r="FZ737">
        <v>2.8408895404941581</v>
      </c>
      <c r="GA737">
        <v>4.6807123925694594</v>
      </c>
      <c r="GB737">
        <v>4.1894048059523259</v>
      </c>
      <c r="GC737">
        <v>1.5434372645577277</v>
      </c>
      <c r="GD737">
        <v>0.54406804364331496</v>
      </c>
      <c r="GE737">
        <v>2.0115460545016171</v>
      </c>
      <c r="GF737">
        <v>8.2023748848799869</v>
      </c>
      <c r="GG737">
        <v>9.3727112510679351</v>
      </c>
      <c r="GH737">
        <v>8.3717348537358252</v>
      </c>
      <c r="GI737">
        <v>4.5880783469180288</v>
      </c>
      <c r="GJ737"/>
      <c r="GK737"/>
      <c r="GL737"/>
      <c r="GM737"/>
    </row>
    <row r="738" spans="1:195" s="7" customFormat="1">
      <c r="A738" s="4"/>
      <c r="B738" s="4"/>
      <c r="C738" s="105"/>
      <c r="D738" s="4"/>
      <c r="E738" s="4"/>
      <c r="F738" s="28"/>
      <c r="G738" s="28"/>
      <c r="H738" s="83"/>
      <c r="I738" s="4"/>
      <c r="J738" s="4"/>
      <c r="K738" s="4"/>
      <c r="L738" s="4"/>
      <c r="M738" s="4"/>
      <c r="N738" s="28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81"/>
      <c r="AG738" s="81"/>
      <c r="AH738" s="81"/>
      <c r="AI738" s="4"/>
      <c r="AJ738" s="81"/>
      <c r="AK738" s="81"/>
      <c r="AL738" s="81"/>
      <c r="AM738" s="43">
        <v>722</v>
      </c>
      <c r="AN738">
        <v>74.367866812000088</v>
      </c>
      <c r="AO738">
        <v>8.0375360459396319</v>
      </c>
      <c r="AP738">
        <v>73.080386668753405</v>
      </c>
      <c r="AQ738">
        <v>63.227224960684296</v>
      </c>
      <c r="AR738">
        <v>8.0348778454565117</v>
      </c>
      <c r="AS738">
        <v>120.27862082024892</v>
      </c>
      <c r="AT738">
        <v>4.9575486912823932</v>
      </c>
      <c r="AU738">
        <v>12.53017613873468</v>
      </c>
      <c r="AV738"/>
      <c r="AW738"/>
      <c r="FY738" s="210">
        <v>733</v>
      </c>
      <c r="FZ738">
        <v>24.729255963226919</v>
      </c>
      <c r="GA738">
        <v>28.387287516283649</v>
      </c>
      <c r="GB738">
        <v>2.5484920889740548</v>
      </c>
      <c r="GC738">
        <v>1.3661398684292354</v>
      </c>
      <c r="GD738">
        <v>1.1259520267631768</v>
      </c>
      <c r="GE738">
        <v>3.7477399979669568</v>
      </c>
      <c r="GF738">
        <v>3.7544644190016658</v>
      </c>
      <c r="GG738">
        <v>4.3261098274242569</v>
      </c>
      <c r="GH738">
        <v>8.1632967821155376</v>
      </c>
      <c r="GI738">
        <v>6.9118609803627322</v>
      </c>
      <c r="GJ738"/>
      <c r="GK738"/>
      <c r="GL738"/>
      <c r="GM738"/>
    </row>
    <row r="739" spans="1:195" s="7" customFormat="1">
      <c r="A739" s="4"/>
      <c r="B739" s="4"/>
      <c r="C739" s="105"/>
      <c r="D739" s="4"/>
      <c r="E739" s="4"/>
      <c r="F739" s="28"/>
      <c r="G739" s="28"/>
      <c r="H739" s="83"/>
      <c r="I739" s="4"/>
      <c r="J739" s="4"/>
      <c r="K739" s="4"/>
      <c r="L739" s="4"/>
      <c r="M739" s="4"/>
      <c r="N739" s="28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81"/>
      <c r="AG739" s="81"/>
      <c r="AH739" s="81"/>
      <c r="AI739" s="4"/>
      <c r="AJ739" s="81"/>
      <c r="AK739" s="81"/>
      <c r="AL739" s="81"/>
      <c r="AM739" s="43">
        <v>723</v>
      </c>
      <c r="AN739">
        <v>98.831593100099823</v>
      </c>
      <c r="AO739">
        <v>9.888528764723123</v>
      </c>
      <c r="AP739">
        <v>101.43758404187565</v>
      </c>
      <c r="AQ739">
        <v>85.09233704789213</v>
      </c>
      <c r="AR739">
        <v>9.521024493169044</v>
      </c>
      <c r="AS739">
        <v>146.8726814833916</v>
      </c>
      <c r="AT739">
        <v>6.3186463249387934</v>
      </c>
      <c r="AU739">
        <v>3.5154722931981834</v>
      </c>
      <c r="AV739"/>
      <c r="AW739"/>
      <c r="FY739" s="210">
        <v>734</v>
      </c>
      <c r="FZ739">
        <v>14.73981316256887</v>
      </c>
      <c r="GA739">
        <v>13.597664481499837</v>
      </c>
      <c r="GB739">
        <v>2.8831613490795962</v>
      </c>
      <c r="GC739">
        <v>1.6935568038491882</v>
      </c>
      <c r="GD739">
        <v>1.0003975214963541</v>
      </c>
      <c r="GE739">
        <v>2.5470526060988199</v>
      </c>
      <c r="GF739">
        <v>4.5675611813072337</v>
      </c>
      <c r="GG739">
        <v>10.000888952680885</v>
      </c>
      <c r="GH739">
        <v>12.18007113648976</v>
      </c>
      <c r="GI739">
        <v>6.2228213405684762</v>
      </c>
      <c r="GJ739"/>
      <c r="GK739"/>
      <c r="GL739"/>
      <c r="GM739"/>
    </row>
    <row r="740" spans="1:195" s="7" customFormat="1">
      <c r="A740" s="4"/>
      <c r="B740" s="4"/>
      <c r="C740" s="105"/>
      <c r="D740" s="4"/>
      <c r="E740" s="4"/>
      <c r="F740" s="28"/>
      <c r="G740" s="28"/>
      <c r="H740" s="83"/>
      <c r="I740" s="4"/>
      <c r="J740" s="4"/>
      <c r="K740" s="4"/>
      <c r="L740" s="4"/>
      <c r="M740" s="4"/>
      <c r="N740" s="28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81"/>
      <c r="AG740" s="81"/>
      <c r="AH740" s="81"/>
      <c r="AI740" s="4"/>
      <c r="AJ740" s="81"/>
      <c r="AK740" s="81"/>
      <c r="AL740" s="81"/>
      <c r="AM740" s="43">
        <v>724</v>
      </c>
      <c r="AN740">
        <v>105.84894878402474</v>
      </c>
      <c r="AO740">
        <v>9.1509662955697149</v>
      </c>
      <c r="AP740">
        <v>90.973598132566892</v>
      </c>
      <c r="AQ740">
        <v>78.708249598875184</v>
      </c>
      <c r="AR740">
        <v>8.7011503984251064</v>
      </c>
      <c r="AS740">
        <v>135.6064699162724</v>
      </c>
      <c r="AT740">
        <v>5.6321703999546129</v>
      </c>
      <c r="AU740">
        <v>15.96926337644442</v>
      </c>
      <c r="AV740"/>
      <c r="AW740"/>
      <c r="FY740" s="210">
        <v>735</v>
      </c>
      <c r="FZ740">
        <v>21.854290123584391</v>
      </c>
      <c r="GA740">
        <v>26.250707250714083</v>
      </c>
      <c r="GB740">
        <v>1.2965477141583874</v>
      </c>
      <c r="GC740">
        <v>0.83164307900802392</v>
      </c>
      <c r="GD740">
        <v>1.2212340332674136</v>
      </c>
      <c r="GE740">
        <v>3.1806868029949622</v>
      </c>
      <c r="GF740">
        <v>4.2855473444921346</v>
      </c>
      <c r="GG740">
        <v>10.459100736495831</v>
      </c>
      <c r="GH740">
        <v>15.628141594064177</v>
      </c>
      <c r="GI740">
        <v>7.5089513916634338</v>
      </c>
      <c r="GJ740"/>
      <c r="GK740"/>
      <c r="GL740"/>
      <c r="GM740"/>
    </row>
    <row r="741" spans="1:195" s="7" customFormat="1">
      <c r="A741" s="4"/>
      <c r="B741" s="4"/>
      <c r="C741" s="105"/>
      <c r="D741" s="4"/>
      <c r="E741" s="4"/>
      <c r="F741" s="28"/>
      <c r="G741" s="28"/>
      <c r="H741" s="83"/>
      <c r="I741" s="4"/>
      <c r="J741" s="4"/>
      <c r="K741" s="4"/>
      <c r="L741" s="4"/>
      <c r="M741" s="4"/>
      <c r="N741" s="28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81"/>
      <c r="AG741" s="81"/>
      <c r="AH741" s="81"/>
      <c r="AI741" s="4"/>
      <c r="AJ741" s="81"/>
      <c r="AK741" s="81"/>
      <c r="AL741" s="81"/>
      <c r="AM741" s="43">
        <v>725</v>
      </c>
      <c r="AN741">
        <v>101.31125003646557</v>
      </c>
      <c r="AO741">
        <v>10.895046546508677</v>
      </c>
      <c r="AP741">
        <v>108.93877858014088</v>
      </c>
      <c r="AQ741">
        <v>92.824448715956279</v>
      </c>
      <c r="AR741">
        <v>10.559684661669428</v>
      </c>
      <c r="AS741">
        <v>156.38426751404992</v>
      </c>
      <c r="AT741">
        <v>5.9654083001508384</v>
      </c>
      <c r="AU741">
        <v>22.715489166131402</v>
      </c>
      <c r="AV741"/>
      <c r="AW741"/>
      <c r="FY741" s="210">
        <v>736</v>
      </c>
      <c r="FZ741">
        <v>11.209825472534572</v>
      </c>
      <c r="GA741">
        <v>16.277929209970594</v>
      </c>
      <c r="GB741">
        <v>3.0632973034228814</v>
      </c>
      <c r="GC741">
        <v>1.0837776330277955</v>
      </c>
      <c r="GD741">
        <v>0.7058138633203459</v>
      </c>
      <c r="GE741">
        <v>3.0472395923945435</v>
      </c>
      <c r="GF741">
        <v>6.295242561552735</v>
      </c>
      <c r="GG741">
        <v>6.188751854274031</v>
      </c>
      <c r="GH741">
        <v>7.788056224560628</v>
      </c>
      <c r="GI741">
        <v>5.1969295293312276</v>
      </c>
      <c r="GJ741"/>
      <c r="GK741"/>
      <c r="GL741"/>
      <c r="GM741"/>
    </row>
    <row r="742" spans="1:195" s="7" customFormat="1">
      <c r="A742" s="4"/>
      <c r="B742" s="4"/>
      <c r="C742" s="105"/>
      <c r="D742" s="4"/>
      <c r="E742" s="4"/>
      <c r="F742" s="28"/>
      <c r="G742" s="28"/>
      <c r="H742" s="83"/>
      <c r="I742" s="4"/>
      <c r="J742" s="4"/>
      <c r="K742" s="4"/>
      <c r="L742" s="4"/>
      <c r="M742" s="4"/>
      <c r="N742" s="28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81"/>
      <c r="AG742" s="81"/>
      <c r="AH742" s="81"/>
      <c r="AI742" s="4"/>
      <c r="AJ742" s="81"/>
      <c r="AK742" s="81"/>
      <c r="AL742" s="81"/>
      <c r="AM742" s="43">
        <v>726</v>
      </c>
      <c r="AN742">
        <v>145.95164624032472</v>
      </c>
      <c r="AO742">
        <v>12.156461527275088</v>
      </c>
      <c r="AP742">
        <v>116.83114507565429</v>
      </c>
      <c r="AQ742">
        <v>99.817970288289274</v>
      </c>
      <c r="AR742">
        <v>11.307400480669386</v>
      </c>
      <c r="AS742">
        <v>189.03644904625651</v>
      </c>
      <c r="AT742">
        <v>7.2010420963955246</v>
      </c>
      <c r="AU742">
        <v>30.978997767084497</v>
      </c>
      <c r="AV742"/>
      <c r="AW742"/>
      <c r="FY742" s="210">
        <v>737</v>
      </c>
      <c r="FZ742">
        <v>11.083239502298422</v>
      </c>
      <c r="GA742">
        <v>15.467705554481348</v>
      </c>
      <c r="GB742">
        <v>2.3276347370057087</v>
      </c>
      <c r="GC742">
        <v>0.95522820406438447</v>
      </c>
      <c r="GD742">
        <v>0.89156097435858139</v>
      </c>
      <c r="GE742">
        <v>3.9406193430016656</v>
      </c>
      <c r="GF742">
        <v>8.9633063097733476</v>
      </c>
      <c r="GG742">
        <v>14.013271155871426</v>
      </c>
      <c r="GH742">
        <v>15.488519623963448</v>
      </c>
      <c r="GI742">
        <v>6.8077838323373383</v>
      </c>
      <c r="GJ742"/>
      <c r="GK742"/>
      <c r="GL742"/>
      <c r="GM742"/>
    </row>
    <row r="743" spans="1:195" s="7" customFormat="1">
      <c r="A743" s="4"/>
      <c r="B743" s="4"/>
      <c r="C743" s="105"/>
      <c r="D743" s="4"/>
      <c r="E743" s="4"/>
      <c r="F743" s="28"/>
      <c r="G743" s="28"/>
      <c r="H743" s="83"/>
      <c r="I743" s="4"/>
      <c r="J743" s="4"/>
      <c r="K743" s="4"/>
      <c r="L743" s="4"/>
      <c r="M743" s="4"/>
      <c r="N743" s="28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81"/>
      <c r="AG743" s="81"/>
      <c r="AH743" s="81"/>
      <c r="AI743" s="4"/>
      <c r="AJ743" s="81"/>
      <c r="AK743" s="81"/>
      <c r="AL743" s="81"/>
      <c r="AM743" s="43">
        <v>727</v>
      </c>
      <c r="AN743">
        <v>114.39238081071929</v>
      </c>
      <c r="AO743">
        <v>7.1804048524636439</v>
      </c>
      <c r="AP743">
        <v>68.722673258178347</v>
      </c>
      <c r="AQ743">
        <v>58.752850839851519</v>
      </c>
      <c r="AR743">
        <v>7.0844674324161208</v>
      </c>
      <c r="AS743">
        <v>150.12821050258702</v>
      </c>
      <c r="AT743">
        <v>4.0850513117663807</v>
      </c>
      <c r="AU743">
        <v>2.3583646380183279</v>
      </c>
      <c r="AV743"/>
      <c r="AW743"/>
      <c r="FY743" s="210">
        <v>738</v>
      </c>
      <c r="FZ743">
        <v>11.995787245272163</v>
      </c>
      <c r="GA743">
        <v>15.90541347180368</v>
      </c>
      <c r="GB743">
        <v>2.3019554424976323</v>
      </c>
      <c r="GC743">
        <v>1.118334444220902</v>
      </c>
      <c r="GD743">
        <v>1.0702080669075149</v>
      </c>
      <c r="GE743">
        <v>1.8599668712620359</v>
      </c>
      <c r="GF743">
        <v>7.129799927066216</v>
      </c>
      <c r="GG743">
        <v>8.0406899165664321</v>
      </c>
      <c r="GH743">
        <v>5.7561438413477726</v>
      </c>
      <c r="GI743">
        <v>5.1583803661222145</v>
      </c>
      <c r="GJ743"/>
      <c r="GK743"/>
      <c r="GL743"/>
      <c r="GM743"/>
    </row>
    <row r="744" spans="1:195" s="7" customFormat="1">
      <c r="A744" s="4"/>
      <c r="B744" s="4"/>
      <c r="C744" s="105"/>
      <c r="D744" s="4"/>
      <c r="E744" s="4"/>
      <c r="F744" s="28"/>
      <c r="G744" s="28"/>
      <c r="H744" s="83"/>
      <c r="I744" s="4"/>
      <c r="J744" s="4"/>
      <c r="K744" s="4"/>
      <c r="L744" s="4"/>
      <c r="M744" s="4"/>
      <c r="N744" s="28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81"/>
      <c r="AG744" s="81"/>
      <c r="AH744" s="81"/>
      <c r="AI744" s="4"/>
      <c r="AJ744" s="81"/>
      <c r="AK744" s="81"/>
      <c r="AL744" s="81"/>
      <c r="AM744" s="43">
        <v>728</v>
      </c>
      <c r="AN744">
        <v>101.16932180505142</v>
      </c>
      <c r="AO744">
        <v>8.5358363341712558</v>
      </c>
      <c r="AP744">
        <v>83.762454487790762</v>
      </c>
      <c r="AQ744">
        <v>68.910726094227982</v>
      </c>
      <c r="AR744">
        <v>8.432769433834931</v>
      </c>
      <c r="AS744">
        <v>137.39709346812282</v>
      </c>
      <c r="AT744">
        <v>5.388966929826541</v>
      </c>
      <c r="AU744">
        <v>-9.3472886446740713</v>
      </c>
      <c r="AV744"/>
      <c r="AW744"/>
      <c r="FY744" s="210">
        <v>739</v>
      </c>
      <c r="FZ744">
        <v>21.207484272662683</v>
      </c>
      <c r="GA744">
        <v>26.832856957838843</v>
      </c>
      <c r="GB744">
        <v>2.5657944137476698</v>
      </c>
      <c r="GC744">
        <v>1.2236907464950939</v>
      </c>
      <c r="GD744">
        <v>1.0011654783935382</v>
      </c>
      <c r="GE744">
        <v>2.5111586547999898</v>
      </c>
      <c r="GF744">
        <v>8.422026372523133</v>
      </c>
      <c r="GG744">
        <v>9.9835436690083696</v>
      </c>
      <c r="GH744">
        <v>7.9588451316975917</v>
      </c>
      <c r="GI744">
        <v>7.1391528131319584</v>
      </c>
      <c r="GJ744"/>
      <c r="GK744"/>
      <c r="GL744"/>
      <c r="GM744"/>
    </row>
    <row r="745" spans="1:195" s="7" customFormat="1">
      <c r="A745" s="4"/>
      <c r="B745" s="4"/>
      <c r="C745" s="105"/>
      <c r="D745" s="4"/>
      <c r="E745" s="4"/>
      <c r="F745" s="28"/>
      <c r="G745" s="28"/>
      <c r="H745" s="83"/>
      <c r="I745" s="4"/>
      <c r="J745" s="4"/>
      <c r="K745" s="4"/>
      <c r="L745" s="4"/>
      <c r="M745" s="4"/>
      <c r="N745" s="28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81"/>
      <c r="AG745" s="81"/>
      <c r="AH745" s="81"/>
      <c r="AI745" s="4"/>
      <c r="AJ745" s="81"/>
      <c r="AK745" s="81"/>
      <c r="AL745" s="81"/>
      <c r="AM745" s="43">
        <v>729</v>
      </c>
      <c r="AN745">
        <v>120.85371522618966</v>
      </c>
      <c r="AO745">
        <v>8.4017003166024615</v>
      </c>
      <c r="AP745">
        <v>84.523999012031183</v>
      </c>
      <c r="AQ745">
        <v>70.450736114506938</v>
      </c>
      <c r="AR745">
        <v>8.3253079562685155</v>
      </c>
      <c r="AS745">
        <v>149.7906719675255</v>
      </c>
      <c r="AT745">
        <v>5.1331625917192332</v>
      </c>
      <c r="AU745">
        <v>33.64668573043074</v>
      </c>
      <c r="AV745"/>
      <c r="AW745"/>
      <c r="FY745" s="210">
        <v>740</v>
      </c>
      <c r="FZ745">
        <v>46.872974782972733</v>
      </c>
      <c r="GA745">
        <v>53.931268199486027</v>
      </c>
      <c r="GB745">
        <v>3.4209106048075291</v>
      </c>
      <c r="GC745">
        <v>1.5283143027461807</v>
      </c>
      <c r="GD745">
        <v>0.75765605640567046</v>
      </c>
      <c r="GE745">
        <v>3.2339936618414535</v>
      </c>
      <c r="GF745">
        <v>8.491139633736779</v>
      </c>
      <c r="GG745">
        <v>13.809171217292288</v>
      </c>
      <c r="GH745">
        <v>17.701486211375848</v>
      </c>
      <c r="GI745">
        <v>12.542174946304842</v>
      </c>
      <c r="GJ745"/>
      <c r="GK745"/>
      <c r="GL745"/>
      <c r="GM745"/>
    </row>
    <row r="746" spans="1:195" s="7" customFormat="1">
      <c r="A746" s="4"/>
      <c r="B746" s="4"/>
      <c r="C746" s="105"/>
      <c r="D746" s="4"/>
      <c r="E746" s="4"/>
      <c r="F746" s="28"/>
      <c r="G746" s="28"/>
      <c r="H746" s="83"/>
      <c r="I746" s="4"/>
      <c r="J746" s="4"/>
      <c r="K746" s="4"/>
      <c r="L746" s="4"/>
      <c r="M746" s="4"/>
      <c r="N746" s="28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81"/>
      <c r="AG746" s="81"/>
      <c r="AH746" s="81"/>
      <c r="AI746" s="4"/>
      <c r="AJ746" s="81"/>
      <c r="AK746" s="81"/>
      <c r="AL746" s="81"/>
      <c r="AM746" s="43">
        <v>730</v>
      </c>
      <c r="AN746">
        <v>123.37485748179479</v>
      </c>
      <c r="AO746">
        <v>11.344112989158871</v>
      </c>
      <c r="AP746">
        <v>113.61628140484385</v>
      </c>
      <c r="AQ746">
        <v>97.100398758218276</v>
      </c>
      <c r="AR746">
        <v>11.25553714321507</v>
      </c>
      <c r="AS746">
        <v>192.77434881123446</v>
      </c>
      <c r="AT746">
        <v>7.4583074655470831</v>
      </c>
      <c r="AU746">
        <v>0.42644561909762935</v>
      </c>
      <c r="AV746"/>
      <c r="AW746"/>
      <c r="FY746" s="210">
        <v>741</v>
      </c>
      <c r="FZ746">
        <v>37.521070016947782</v>
      </c>
      <c r="GA746">
        <v>38.626702701164305</v>
      </c>
      <c r="GB746">
        <v>2.9362527926837281</v>
      </c>
      <c r="GC746">
        <v>1.9268143742123183</v>
      </c>
      <c r="GD746">
        <v>0.80279815734502358</v>
      </c>
      <c r="GE746">
        <v>2.294203203270758</v>
      </c>
      <c r="GF746">
        <v>6.1912889415751833</v>
      </c>
      <c r="GG746">
        <v>9.0281189444174288</v>
      </c>
      <c r="GH746">
        <v>10.381561222201581</v>
      </c>
      <c r="GI746">
        <v>9.4940236313833513</v>
      </c>
      <c r="GJ746"/>
      <c r="GK746"/>
      <c r="GL746"/>
      <c r="GM746"/>
    </row>
    <row r="747" spans="1:195" s="7" customFormat="1">
      <c r="A747" s="4"/>
      <c r="B747" s="4"/>
      <c r="C747" s="105"/>
      <c r="D747" s="4"/>
      <c r="E747" s="4"/>
      <c r="F747" s="28"/>
      <c r="G747" s="28"/>
      <c r="H747" s="83"/>
      <c r="I747" s="4"/>
      <c r="J747" s="4"/>
      <c r="K747" s="4"/>
      <c r="L747" s="4"/>
      <c r="M747" s="4"/>
      <c r="N747" s="28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81"/>
      <c r="AG747" s="81"/>
      <c r="AH747" s="81"/>
      <c r="AI747" s="4"/>
      <c r="AJ747" s="81"/>
      <c r="AK747" s="81"/>
      <c r="AL747" s="81"/>
      <c r="AM747" s="43">
        <v>731</v>
      </c>
      <c r="AN747">
        <v>88.60060317252109</v>
      </c>
      <c r="AO747">
        <v>7.7922077525198548</v>
      </c>
      <c r="AP747">
        <v>78.41283880159979</v>
      </c>
      <c r="AQ747">
        <v>64.752941484850481</v>
      </c>
      <c r="AR747">
        <v>7.8025092729296972</v>
      </c>
      <c r="AS747">
        <v>127.37117422672836</v>
      </c>
      <c r="AT747">
        <v>4.7289329670269824</v>
      </c>
      <c r="AU747">
        <v>9.0474363059293736</v>
      </c>
      <c r="AV747"/>
      <c r="AW747"/>
      <c r="FY747" s="210">
        <v>742</v>
      </c>
      <c r="FZ747">
        <v>21.546499317040325</v>
      </c>
      <c r="GA747">
        <v>26.65035968225828</v>
      </c>
      <c r="GB747">
        <v>3.0737630105759033</v>
      </c>
      <c r="GC747">
        <v>1.8834030790049696</v>
      </c>
      <c r="GD747">
        <v>0.97546149247487435</v>
      </c>
      <c r="GE747">
        <v>3.2279741177829013</v>
      </c>
      <c r="GF747">
        <v>3.3093463213503544</v>
      </c>
      <c r="GG747">
        <v>7.7362035823024371</v>
      </c>
      <c r="GH747">
        <v>12.448716693589978</v>
      </c>
      <c r="GI747">
        <v>7.0698644845461729</v>
      </c>
      <c r="GJ747"/>
      <c r="GK747"/>
      <c r="GL747"/>
      <c r="GM747"/>
    </row>
    <row r="748" spans="1:195" s="7" customFormat="1">
      <c r="A748" s="4"/>
      <c r="B748" s="4"/>
      <c r="C748" s="105"/>
      <c r="D748" s="4"/>
      <c r="E748" s="4"/>
      <c r="F748" s="28"/>
      <c r="G748" s="28"/>
      <c r="H748" s="83"/>
      <c r="I748" s="4"/>
      <c r="J748" s="4"/>
      <c r="K748" s="4"/>
      <c r="L748" s="4"/>
      <c r="M748" s="4"/>
      <c r="N748" s="28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81"/>
      <c r="AG748" s="81"/>
      <c r="AH748" s="81"/>
      <c r="AI748" s="4"/>
      <c r="AJ748" s="81"/>
      <c r="AK748" s="81"/>
      <c r="AL748" s="81"/>
      <c r="AM748" s="43">
        <v>732</v>
      </c>
      <c r="AN748">
        <v>104.18352276634891</v>
      </c>
      <c r="AO748">
        <v>6.33930162377135</v>
      </c>
      <c r="AP748">
        <v>58.395230668479648</v>
      </c>
      <c r="AQ748">
        <v>46.344957438320378</v>
      </c>
      <c r="AR748">
        <v>6.2780831996508706</v>
      </c>
      <c r="AS748">
        <v>113.25857934514919</v>
      </c>
      <c r="AT748">
        <v>3.8438821445455296</v>
      </c>
      <c r="AU748">
        <v>-27.827805417266028</v>
      </c>
      <c r="AV748"/>
      <c r="AW748"/>
      <c r="FY748" s="210">
        <v>743</v>
      </c>
      <c r="FZ748">
        <v>45.982948718653816</v>
      </c>
      <c r="GA748">
        <v>50.911385290369047</v>
      </c>
      <c r="GB748">
        <v>1.7056326936595039</v>
      </c>
      <c r="GC748">
        <v>1.0644933199326525</v>
      </c>
      <c r="GD748">
        <v>0.68077277782591139</v>
      </c>
      <c r="GE748">
        <v>2.2338078960666548</v>
      </c>
      <c r="GF748">
        <v>2.6702219809041066</v>
      </c>
      <c r="GG748">
        <v>5.3976871288412376</v>
      </c>
      <c r="GH748">
        <v>9.5498307993536766</v>
      </c>
      <c r="GI748">
        <v>9.6007998766371987</v>
      </c>
      <c r="GJ748"/>
      <c r="GK748"/>
      <c r="GL748"/>
      <c r="GM748"/>
    </row>
    <row r="749" spans="1:195" s="7" customFormat="1">
      <c r="A749" s="4"/>
      <c r="B749" s="4"/>
      <c r="C749" s="105"/>
      <c r="D749" s="4"/>
      <c r="E749" s="4"/>
      <c r="F749" s="28"/>
      <c r="G749" s="28"/>
      <c r="H749" s="83"/>
      <c r="I749" s="4"/>
      <c r="J749" s="4"/>
      <c r="K749" s="4"/>
      <c r="L749" s="4"/>
      <c r="M749" s="4"/>
      <c r="N749" s="28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81"/>
      <c r="AG749" s="81"/>
      <c r="AH749" s="81"/>
      <c r="AI749" s="4"/>
      <c r="AJ749" s="81"/>
      <c r="AK749" s="81"/>
      <c r="AL749" s="81"/>
      <c r="AM749" s="43">
        <v>733</v>
      </c>
      <c r="AN749">
        <v>118.60483262189481</v>
      </c>
      <c r="AO749">
        <v>9.8914797804677779</v>
      </c>
      <c r="AP749">
        <v>97.695088171121313</v>
      </c>
      <c r="AQ749">
        <v>85.060599470548198</v>
      </c>
      <c r="AR749">
        <v>9.5130933525907508</v>
      </c>
      <c r="AS749">
        <v>139.26686265744445</v>
      </c>
      <c r="AT749">
        <v>5.5710694520468564</v>
      </c>
      <c r="AU749">
        <v>49.840179483476291</v>
      </c>
      <c r="AV749"/>
      <c r="AW749"/>
      <c r="FY749" s="210">
        <v>744</v>
      </c>
      <c r="FZ749">
        <v>21.735160303326825</v>
      </c>
      <c r="GA749">
        <v>26.756690654658108</v>
      </c>
      <c r="GB749">
        <v>2.0773927131569612</v>
      </c>
      <c r="GC749">
        <v>1.2171422153771534</v>
      </c>
      <c r="GD749">
        <v>1.1158048537935525</v>
      </c>
      <c r="GE749">
        <v>2.1938610184585134</v>
      </c>
      <c r="GF749">
        <v>5.8074640099106993</v>
      </c>
      <c r="GG749">
        <v>6.4493317957547429</v>
      </c>
      <c r="GH749">
        <v>7.0642773731051438</v>
      </c>
      <c r="GI749">
        <v>6.5494962214586732</v>
      </c>
      <c r="GJ749"/>
      <c r="GK749"/>
      <c r="GL749"/>
      <c r="GM749"/>
    </row>
    <row r="750" spans="1:195" s="7" customFormat="1">
      <c r="A750" s="4"/>
      <c r="B750" s="4"/>
      <c r="C750" s="105"/>
      <c r="D750" s="4"/>
      <c r="E750" s="4"/>
      <c r="F750" s="28"/>
      <c r="G750" s="28"/>
      <c r="H750" s="83"/>
      <c r="I750" s="4"/>
      <c r="J750" s="4"/>
      <c r="K750" s="4"/>
      <c r="L750" s="4"/>
      <c r="M750" s="4"/>
      <c r="N750" s="28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81"/>
      <c r="AG750" s="81"/>
      <c r="AH750" s="81"/>
      <c r="AI750" s="4"/>
      <c r="AJ750" s="81"/>
      <c r="AK750" s="81"/>
      <c r="AL750" s="81"/>
      <c r="AM750" s="43">
        <v>734</v>
      </c>
      <c r="AN750">
        <v>126.86130366872928</v>
      </c>
      <c r="AO750">
        <v>8.7007124256620596</v>
      </c>
      <c r="AP750">
        <v>81.570046487983632</v>
      </c>
      <c r="AQ750">
        <v>69.432988535639012</v>
      </c>
      <c r="AR750">
        <v>8.5950744904186482</v>
      </c>
      <c r="AS750">
        <v>154.29194946930153</v>
      </c>
      <c r="AT750">
        <v>5.1403091922050033</v>
      </c>
      <c r="AU750">
        <v>21.671917900812055</v>
      </c>
      <c r="AV750"/>
      <c r="AW750"/>
      <c r="FY750" s="210">
        <v>745</v>
      </c>
      <c r="FZ750">
        <v>37.23974888955059</v>
      </c>
      <c r="GA750">
        <v>40.011550555326295</v>
      </c>
      <c r="GB750">
        <v>2.9568555339984788</v>
      </c>
      <c r="GC750">
        <v>1.7314667985641032</v>
      </c>
      <c r="GD750">
        <v>0.91346146940158413</v>
      </c>
      <c r="GE750">
        <v>3.181629869954357</v>
      </c>
      <c r="GF750">
        <v>8.5467591356822599</v>
      </c>
      <c r="GG750">
        <v>11.820879482583432</v>
      </c>
      <c r="GH750">
        <v>13.169426907241004</v>
      </c>
      <c r="GI750">
        <v>10.387612429281411</v>
      </c>
      <c r="GJ750"/>
      <c r="GK750"/>
      <c r="GL750"/>
      <c r="GM750"/>
    </row>
    <row r="751" spans="1:195" s="7" customFormat="1">
      <c r="A751" s="4"/>
      <c r="B751" s="4"/>
      <c r="C751" s="105"/>
      <c r="D751" s="4"/>
      <c r="E751" s="4"/>
      <c r="F751" s="28"/>
      <c r="G751" s="28"/>
      <c r="H751" s="83"/>
      <c r="I751" s="4"/>
      <c r="J751" s="4"/>
      <c r="K751" s="4"/>
      <c r="L751" s="4"/>
      <c r="M751" s="4"/>
      <c r="N751" s="28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81"/>
      <c r="AG751" s="81"/>
      <c r="AH751" s="81"/>
      <c r="AI751" s="4"/>
      <c r="AJ751" s="81"/>
      <c r="AK751" s="81"/>
      <c r="AL751" s="81"/>
      <c r="AM751" s="43">
        <v>735</v>
      </c>
      <c r="AN751">
        <v>105.75328909398627</v>
      </c>
      <c r="AO751">
        <v>10.808101483957202</v>
      </c>
      <c r="AP751">
        <v>107.66969765578429</v>
      </c>
      <c r="AQ751">
        <v>92.516850070442842</v>
      </c>
      <c r="AR751">
        <v>10.395482934569133</v>
      </c>
      <c r="AS751">
        <v>157.41608313427369</v>
      </c>
      <c r="AT751">
        <v>6.592659784515928</v>
      </c>
      <c r="AU751">
        <v>25.287238607447474</v>
      </c>
      <c r="AV751"/>
      <c r="AW751"/>
      <c r="FY751" s="210">
        <v>746</v>
      </c>
      <c r="FZ751">
        <v>23.340847786090787</v>
      </c>
      <c r="GA751">
        <v>26.085851832381266</v>
      </c>
      <c r="GB751">
        <v>3.0517385881514234</v>
      </c>
      <c r="GC751">
        <v>1.6713447430164587</v>
      </c>
      <c r="GD751">
        <v>0.91249030461796843</v>
      </c>
      <c r="GE751">
        <v>1.8486026258543791</v>
      </c>
      <c r="GF751">
        <v>12.979326155766081</v>
      </c>
      <c r="GG751">
        <v>15.232636319507634</v>
      </c>
      <c r="GH751">
        <v>9.4679286225820665</v>
      </c>
      <c r="GI751">
        <v>8.5632295029659051</v>
      </c>
      <c r="GJ751"/>
      <c r="GK751"/>
      <c r="GL751"/>
      <c r="GM751"/>
    </row>
    <row r="752" spans="1:195" s="7" customFormat="1">
      <c r="A752" s="4"/>
      <c r="B752" s="4"/>
      <c r="C752" s="105"/>
      <c r="D752" s="4"/>
      <c r="E752" s="4"/>
      <c r="F752" s="28"/>
      <c r="G752" s="28"/>
      <c r="H752" s="83"/>
      <c r="I752" s="4"/>
      <c r="J752" s="4"/>
      <c r="K752" s="4"/>
      <c r="L752" s="4"/>
      <c r="M752" s="4"/>
      <c r="N752" s="28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81"/>
      <c r="AG752" s="81"/>
      <c r="AH752" s="81"/>
      <c r="AI752" s="4"/>
      <c r="AJ752" s="81"/>
      <c r="AK752" s="81"/>
      <c r="AL752" s="81"/>
      <c r="AM752" s="43">
        <v>736</v>
      </c>
      <c r="AN752">
        <v>104.5629633055627</v>
      </c>
      <c r="AO752">
        <v>7.4667255164423381</v>
      </c>
      <c r="AP752">
        <v>72.733191718580997</v>
      </c>
      <c r="AQ752">
        <v>60.856863244389359</v>
      </c>
      <c r="AR752">
        <v>7.0858530305728777</v>
      </c>
      <c r="AS752">
        <v>137.14729237997184</v>
      </c>
      <c r="AT752">
        <v>4.6840194317811372</v>
      </c>
      <c r="AU752">
        <v>10.34275355664021</v>
      </c>
      <c r="AV752"/>
      <c r="AW752"/>
      <c r="FY752" s="210">
        <v>747</v>
      </c>
      <c r="FZ752">
        <v>14.23666973863727</v>
      </c>
      <c r="GA752">
        <v>15.74248850368857</v>
      </c>
      <c r="GB752">
        <v>2.7955487099716727</v>
      </c>
      <c r="GC752">
        <v>1.1987575603559952</v>
      </c>
      <c r="GD752">
        <v>1.7012770811109545</v>
      </c>
      <c r="GE752">
        <v>5.1339375486610477</v>
      </c>
      <c r="GF752">
        <v>10.617616762215317</v>
      </c>
      <c r="GG752">
        <v>9.9218607407027868</v>
      </c>
      <c r="GH752">
        <v>7.3038585394474005</v>
      </c>
      <c r="GI752">
        <v>6.8663349168478289</v>
      </c>
      <c r="GJ752"/>
      <c r="GK752"/>
      <c r="GL752"/>
      <c r="GM752"/>
    </row>
    <row r="753" spans="1:195" s="7" customFormat="1">
      <c r="A753" s="4"/>
      <c r="B753" s="4"/>
      <c r="C753" s="105"/>
      <c r="D753" s="4"/>
      <c r="E753" s="4"/>
      <c r="F753" s="28"/>
      <c r="G753" s="28"/>
      <c r="H753" s="83"/>
      <c r="I753" s="4"/>
      <c r="J753" s="4"/>
      <c r="K753" s="4"/>
      <c r="L753" s="4"/>
      <c r="M753" s="4"/>
      <c r="N753" s="28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81"/>
      <c r="AG753" s="81"/>
      <c r="AH753" s="81"/>
      <c r="AI753" s="4"/>
      <c r="AJ753" s="81"/>
      <c r="AK753" s="81"/>
      <c r="AL753" s="81"/>
      <c r="AM753" s="43">
        <v>737</v>
      </c>
      <c r="AN753">
        <v>157.48256260781568</v>
      </c>
      <c r="AO753">
        <v>9.9550782966602487</v>
      </c>
      <c r="AP753">
        <v>95.519125584462699</v>
      </c>
      <c r="AQ753">
        <v>79.938869237155657</v>
      </c>
      <c r="AR753">
        <v>9.2786697204291499</v>
      </c>
      <c r="AS753">
        <v>171.10923618387406</v>
      </c>
      <c r="AT753">
        <v>5.5902897253248431</v>
      </c>
      <c r="AU753">
        <v>55.136486531075462</v>
      </c>
      <c r="AV753"/>
      <c r="AW753"/>
      <c r="FY753" s="210">
        <v>748</v>
      </c>
      <c r="FZ753">
        <v>14.725431544679108</v>
      </c>
      <c r="GA753">
        <v>16.936587145796032</v>
      </c>
      <c r="GB753">
        <v>2.5823650322416798</v>
      </c>
      <c r="GC753">
        <v>0.79256997480038804</v>
      </c>
      <c r="GD753">
        <v>0.82964049250881211</v>
      </c>
      <c r="GE753">
        <v>2.1189149487131607</v>
      </c>
      <c r="GF753">
        <v>5.8232198855466439</v>
      </c>
      <c r="GG753">
        <v>5.8262857097705067</v>
      </c>
      <c r="GH753">
        <v>6.0147147048556402</v>
      </c>
      <c r="GI753">
        <v>5.3101531225886793</v>
      </c>
      <c r="GJ753"/>
      <c r="GK753"/>
      <c r="GL753"/>
      <c r="GM753"/>
    </row>
    <row r="754" spans="1:195" s="7" customFormat="1">
      <c r="A754" s="4"/>
      <c r="B754" s="4"/>
      <c r="C754" s="105"/>
      <c r="D754" s="4"/>
      <c r="E754" s="4"/>
      <c r="F754" s="28"/>
      <c r="G754" s="28"/>
      <c r="H754" s="83"/>
      <c r="I754" s="4"/>
      <c r="J754" s="4"/>
      <c r="K754" s="4"/>
      <c r="L754" s="4"/>
      <c r="M754" s="4"/>
      <c r="N754" s="28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81"/>
      <c r="AG754" s="81"/>
      <c r="AH754" s="81"/>
      <c r="AI754" s="4"/>
      <c r="AJ754" s="81"/>
      <c r="AK754" s="81"/>
      <c r="AL754" s="81"/>
      <c r="AM754" s="43">
        <v>738</v>
      </c>
      <c r="AN754">
        <v>90.375513359047019</v>
      </c>
      <c r="AO754">
        <v>7.4325052545035124</v>
      </c>
      <c r="AP754">
        <v>71.711136425562557</v>
      </c>
      <c r="AQ754">
        <v>60.33667959306657</v>
      </c>
      <c r="AR754">
        <v>7.1648675621574043</v>
      </c>
      <c r="AS754">
        <v>135.86833931989639</v>
      </c>
      <c r="AT754">
        <v>4.2790325104499241</v>
      </c>
      <c r="AU754">
        <v>13.612510979127958</v>
      </c>
      <c r="AV754"/>
      <c r="AW754"/>
      <c r="FY754" s="210">
        <v>749</v>
      </c>
      <c r="FZ754">
        <v>13.35047093809216</v>
      </c>
      <c r="GA754">
        <v>15.077670660663529</v>
      </c>
      <c r="GB754">
        <v>3.5088687020076139</v>
      </c>
      <c r="GC754">
        <v>1.7796767070041717</v>
      </c>
      <c r="GD754">
        <v>1.0782872771071919</v>
      </c>
      <c r="GE754">
        <v>2.8439401099425279</v>
      </c>
      <c r="GF754">
        <v>5.1856942834988171</v>
      </c>
      <c r="GG754">
        <v>9.5135708101055165</v>
      </c>
      <c r="GH754">
        <v>10.663347425215772</v>
      </c>
      <c r="GI754">
        <v>6.0864673889782228</v>
      </c>
      <c r="GJ754"/>
      <c r="GK754"/>
      <c r="GL754"/>
      <c r="GM754"/>
    </row>
    <row r="755" spans="1:195" s="7" customFormat="1">
      <c r="A755" s="4"/>
      <c r="B755" s="4"/>
      <c r="C755" s="105"/>
      <c r="D755" s="4"/>
      <c r="E755" s="4"/>
      <c r="F755" s="28"/>
      <c r="G755" s="28"/>
      <c r="H755" s="83"/>
      <c r="I755" s="4"/>
      <c r="J755" s="4"/>
      <c r="K755" s="4"/>
      <c r="L755" s="4"/>
      <c r="M755" s="4"/>
      <c r="N755" s="28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81"/>
      <c r="AG755" s="81"/>
      <c r="AH755" s="81"/>
      <c r="AI755" s="4"/>
      <c r="AJ755" s="81"/>
      <c r="AK755" s="81"/>
      <c r="AL755" s="81"/>
      <c r="AM755" s="43">
        <v>739</v>
      </c>
      <c r="AN755">
        <v>106.35027660287628</v>
      </c>
      <c r="AO755">
        <v>10.472417271758388</v>
      </c>
      <c r="AP755">
        <v>104.92231069634305</v>
      </c>
      <c r="AQ755">
        <v>88.845718510298866</v>
      </c>
      <c r="AR755">
        <v>9.9075196313932299</v>
      </c>
      <c r="AS755">
        <v>139.5411081345766</v>
      </c>
      <c r="AT755">
        <v>6.565614276384955</v>
      </c>
      <c r="AU755">
        <v>28.650870061999925</v>
      </c>
      <c r="AV755"/>
      <c r="AW755"/>
      <c r="FY755" s="210">
        <v>750</v>
      </c>
      <c r="FZ755">
        <v>34.547364370906536</v>
      </c>
      <c r="GA755">
        <v>40.368260363889334</v>
      </c>
      <c r="GB755">
        <v>2.1709988465328811</v>
      </c>
      <c r="GC755">
        <v>1.1680468699326392</v>
      </c>
      <c r="GD755">
        <v>0.95334822655271378</v>
      </c>
      <c r="GE755">
        <v>1.1671639323826459</v>
      </c>
      <c r="GF755">
        <v>5.0031684297354166</v>
      </c>
      <c r="GG755">
        <v>5.9538016772763473</v>
      </c>
      <c r="GH755">
        <v>4.6190597604269525</v>
      </c>
      <c r="GI755">
        <v>7.8334028345915065</v>
      </c>
      <c r="GJ755"/>
      <c r="GK755"/>
      <c r="GL755"/>
      <c r="GM755"/>
    </row>
    <row r="756" spans="1:195" s="7" customFormat="1">
      <c r="A756" s="4"/>
      <c r="B756" s="4"/>
      <c r="C756" s="105"/>
      <c r="D756" s="4"/>
      <c r="E756" s="4"/>
      <c r="F756" s="28"/>
      <c r="G756" s="28"/>
      <c r="H756" s="83"/>
      <c r="I756" s="4"/>
      <c r="J756" s="4"/>
      <c r="K756" s="4"/>
      <c r="L756" s="4"/>
      <c r="M756" s="4"/>
      <c r="N756" s="28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81"/>
      <c r="AG756" s="81"/>
      <c r="AH756" s="81"/>
      <c r="AI756" s="4"/>
      <c r="AJ756" s="81"/>
      <c r="AK756" s="81"/>
      <c r="AL756" s="81"/>
      <c r="AM756" s="43">
        <v>740</v>
      </c>
      <c r="AN756">
        <v>192.79308315592084</v>
      </c>
      <c r="AO756">
        <v>18.020329946148955</v>
      </c>
      <c r="AP756">
        <v>190.22539782495619</v>
      </c>
      <c r="AQ756">
        <v>162.28908961696933</v>
      </c>
      <c r="AR756">
        <v>17.344986555703052</v>
      </c>
      <c r="AS756">
        <v>279.39755366775046</v>
      </c>
      <c r="AT756">
        <v>10.213440394190037</v>
      </c>
      <c r="AU756">
        <v>42.177614193871406</v>
      </c>
      <c r="AV756"/>
      <c r="AW756"/>
      <c r="FY756" s="210">
        <v>751</v>
      </c>
      <c r="FZ756">
        <v>1.0257992427526037</v>
      </c>
      <c r="GA756">
        <v>1.1779935320273562</v>
      </c>
      <c r="GB756">
        <v>2.8883493193459131</v>
      </c>
      <c r="GC756">
        <v>1.802865205132326</v>
      </c>
      <c r="GD756">
        <v>0.84357943514165279</v>
      </c>
      <c r="GE756">
        <v>1.2050553241974522</v>
      </c>
      <c r="GF756">
        <v>6.8288557711794891</v>
      </c>
      <c r="GG756">
        <v>12.590663467704614</v>
      </c>
      <c r="GH756">
        <v>12.55721310869893</v>
      </c>
      <c r="GI756">
        <v>4.5746465202431796</v>
      </c>
      <c r="GJ756"/>
      <c r="GK756"/>
      <c r="GL756"/>
      <c r="GM756"/>
    </row>
    <row r="757" spans="1:195" s="7" customFormat="1">
      <c r="A757" s="4"/>
      <c r="B757" s="4"/>
      <c r="C757" s="105"/>
      <c r="D757" s="4"/>
      <c r="E757" s="4"/>
      <c r="F757" s="28"/>
      <c r="G757" s="28"/>
      <c r="H757" s="83"/>
      <c r="I757" s="4"/>
      <c r="J757" s="4"/>
      <c r="K757" s="4"/>
      <c r="L757" s="4"/>
      <c r="M757" s="4"/>
      <c r="N757" s="28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81"/>
      <c r="AG757" s="81"/>
      <c r="AH757" s="81"/>
      <c r="AI757" s="4"/>
      <c r="AJ757" s="81"/>
      <c r="AK757" s="81"/>
      <c r="AL757" s="81"/>
      <c r="AM757" s="43">
        <v>741</v>
      </c>
      <c r="AN757">
        <v>126.71642941477532</v>
      </c>
      <c r="AO757">
        <v>13.464359501717663</v>
      </c>
      <c r="AP757">
        <v>138.65919237708493</v>
      </c>
      <c r="AQ757">
        <v>119.20283398520147</v>
      </c>
      <c r="AR757">
        <v>13.199624154688017</v>
      </c>
      <c r="AS757">
        <v>182.7188088216727</v>
      </c>
      <c r="AT757">
        <v>8.0285937871365025</v>
      </c>
      <c r="AU757">
        <v>36.112718041058677</v>
      </c>
      <c r="AV757"/>
      <c r="AW757"/>
      <c r="FY757" s="210">
        <v>752</v>
      </c>
      <c r="FZ757">
        <v>24.727006528952991</v>
      </c>
      <c r="GA757">
        <v>26.36206154166198</v>
      </c>
      <c r="GB757">
        <v>1.1513546334604383</v>
      </c>
      <c r="GC757">
        <v>0.60403061805779623</v>
      </c>
      <c r="GD757">
        <v>0.77282134043174544</v>
      </c>
      <c r="GE757">
        <v>2.8213823593112286</v>
      </c>
      <c r="GF757">
        <v>5.8871052353343032</v>
      </c>
      <c r="GG757">
        <v>7.8723441866024615</v>
      </c>
      <c r="GH757">
        <v>10.430904664084746</v>
      </c>
      <c r="GI757">
        <v>7.0912752289898888</v>
      </c>
      <c r="GJ757"/>
      <c r="GK757"/>
      <c r="GL757"/>
      <c r="GM757"/>
    </row>
    <row r="758" spans="1:195" s="7" customFormat="1">
      <c r="A758" s="4"/>
      <c r="B758" s="4"/>
      <c r="C758" s="105"/>
      <c r="D758" s="4"/>
      <c r="E758" s="4"/>
      <c r="F758" s="28"/>
      <c r="G758" s="28"/>
      <c r="H758" s="83"/>
      <c r="I758" s="4"/>
      <c r="J758" s="4"/>
      <c r="K758" s="4"/>
      <c r="L758" s="4"/>
      <c r="M758" s="4"/>
      <c r="N758" s="28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81"/>
      <c r="AG758" s="81"/>
      <c r="AH758" s="81"/>
      <c r="AI758" s="4"/>
      <c r="AJ758" s="81"/>
      <c r="AK758" s="81"/>
      <c r="AL758" s="81"/>
      <c r="AM758" s="43">
        <v>742</v>
      </c>
      <c r="AN758">
        <v>136.71857389261686</v>
      </c>
      <c r="AO758">
        <v>10.395561934848848</v>
      </c>
      <c r="AP758">
        <v>102.16488924864598</v>
      </c>
      <c r="AQ758">
        <v>87.921591780926192</v>
      </c>
      <c r="AR758">
        <v>9.7086258654034125</v>
      </c>
      <c r="AS758">
        <v>160.96584304709799</v>
      </c>
      <c r="AT758" t="e">
        <v>#DIV/0!</v>
      </c>
      <c r="AU758" t="e">
        <v>#DIV/0!</v>
      </c>
      <c r="AV758"/>
      <c r="AW758"/>
      <c r="FY758" s="210">
        <v>753</v>
      </c>
      <c r="FZ758">
        <v>12.768001843507157</v>
      </c>
      <c r="GA758">
        <v>14.065654689660125</v>
      </c>
      <c r="GB758">
        <v>1.1634660501588785</v>
      </c>
      <c r="GC758">
        <v>0.71821795308655134</v>
      </c>
      <c r="GD758">
        <v>1.1848303678928986</v>
      </c>
      <c r="GE758">
        <v>2.378087679555811</v>
      </c>
      <c r="GF758">
        <v>3.3704933615989527</v>
      </c>
      <c r="GG758">
        <v>3.5963722165007477</v>
      </c>
      <c r="GH758">
        <v>4.3863557368395334</v>
      </c>
      <c r="GI758">
        <v>4.1733513177223012</v>
      </c>
      <c r="GJ758"/>
      <c r="GK758"/>
      <c r="GL758"/>
      <c r="GM758"/>
    </row>
    <row r="759" spans="1:195" s="7" customFormat="1">
      <c r="A759" s="4"/>
      <c r="B759" s="4"/>
      <c r="C759" s="105"/>
      <c r="D759" s="4"/>
      <c r="E759" s="4"/>
      <c r="F759" s="28"/>
      <c r="G759" s="28"/>
      <c r="H759" s="83"/>
      <c r="I759" s="4"/>
      <c r="J759" s="4"/>
      <c r="K759" s="4"/>
      <c r="L759" s="4"/>
      <c r="M759" s="4"/>
      <c r="N759" s="28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81"/>
      <c r="AG759" s="81"/>
      <c r="AH759" s="81"/>
      <c r="AI759" s="4"/>
      <c r="AJ759" s="81"/>
      <c r="AK759" s="81"/>
      <c r="AL759" s="81"/>
      <c r="AM759" s="43">
        <v>743</v>
      </c>
      <c r="AN759">
        <v>100.04080983592351</v>
      </c>
      <c r="AO759">
        <v>13.85898262400938</v>
      </c>
      <c r="AP759">
        <v>149.13485814242131</v>
      </c>
      <c r="AQ759">
        <v>129.7975804822438</v>
      </c>
      <c r="AR759">
        <v>13.366225668213623</v>
      </c>
      <c r="AS759">
        <v>177.8079011287011</v>
      </c>
      <c r="AT759">
        <v>8.5761068755076746</v>
      </c>
      <c r="AU759">
        <v>32.750934984624969</v>
      </c>
      <c r="AV759"/>
      <c r="AW759"/>
      <c r="FY759" s="210">
        <v>754</v>
      </c>
      <c r="FZ759">
        <v>31.717955595242557</v>
      </c>
      <c r="GA759">
        <v>38.636996269317343</v>
      </c>
      <c r="GB759">
        <v>2.0029668219584735</v>
      </c>
      <c r="GC759">
        <v>0.93149520364381033</v>
      </c>
      <c r="GD759">
        <v>0.49481814148462877</v>
      </c>
      <c r="GE759">
        <v>2.6843445054079176</v>
      </c>
      <c r="GF759">
        <v>11.43305858107021</v>
      </c>
      <c r="GG759">
        <v>12.771281756387092</v>
      </c>
      <c r="GH759">
        <v>9.9294784416799651</v>
      </c>
      <c r="GI759">
        <v>9.1015690048032294</v>
      </c>
      <c r="GJ759"/>
      <c r="GK759"/>
      <c r="GL759"/>
      <c r="GM759"/>
    </row>
    <row r="760" spans="1:195" s="7" customFormat="1">
      <c r="A760" s="4"/>
      <c r="B760" s="4"/>
      <c r="C760" s="105"/>
      <c r="D760" s="4"/>
      <c r="E760" s="4"/>
      <c r="F760" s="28"/>
      <c r="G760" s="28"/>
      <c r="H760" s="83"/>
      <c r="I760" s="4"/>
      <c r="J760" s="4"/>
      <c r="K760" s="4"/>
      <c r="L760" s="4"/>
      <c r="M760" s="4"/>
      <c r="N760" s="28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81"/>
      <c r="AG760" s="81"/>
      <c r="AH760" s="81"/>
      <c r="AI760" s="4"/>
      <c r="AJ760" s="81"/>
      <c r="AK760" s="81"/>
      <c r="AL760" s="81"/>
      <c r="AM760" s="43">
        <v>744</v>
      </c>
      <c r="AN760">
        <v>85.066915658477768</v>
      </c>
      <c r="AO760">
        <v>9.4252436724491027</v>
      </c>
      <c r="AP760">
        <v>94.557610258359489</v>
      </c>
      <c r="AQ760">
        <v>80.966621159000368</v>
      </c>
      <c r="AR760">
        <v>9.1138809015138857</v>
      </c>
      <c r="AS760">
        <v>132.6882668541011</v>
      </c>
      <c r="AT760">
        <v>5.5009501135723005</v>
      </c>
      <c r="AU760">
        <v>8.7642432508303809</v>
      </c>
      <c r="AV760"/>
      <c r="AW760"/>
      <c r="FY760" s="210">
        <v>755</v>
      </c>
      <c r="FZ760">
        <v>22.559397187913486</v>
      </c>
      <c r="GA760">
        <v>27.25737928438333</v>
      </c>
      <c r="GB760">
        <v>2.8485287365028134</v>
      </c>
      <c r="GC760">
        <v>1.4961238826209935</v>
      </c>
      <c r="GD760">
        <v>1.2019599748707916</v>
      </c>
      <c r="GE760">
        <v>4.2612918292909292</v>
      </c>
      <c r="GF760">
        <v>6.7676782677741985</v>
      </c>
      <c r="GG760">
        <v>5.1784885474922282</v>
      </c>
      <c r="GH760">
        <v>6.8299149851487559</v>
      </c>
      <c r="GI760">
        <v>7.0414117986439484</v>
      </c>
      <c r="GJ760"/>
      <c r="GK760"/>
      <c r="GL760"/>
      <c r="GM760"/>
    </row>
    <row r="761" spans="1:195" s="7" customFormat="1">
      <c r="A761" s="4"/>
      <c r="B761" s="4"/>
      <c r="C761" s="105"/>
      <c r="D761" s="4"/>
      <c r="E761" s="4"/>
      <c r="F761" s="28"/>
      <c r="G761" s="28"/>
      <c r="H761" s="83"/>
      <c r="I761" s="4"/>
      <c r="J761" s="4"/>
      <c r="K761" s="4"/>
      <c r="L761" s="4"/>
      <c r="M761" s="4"/>
      <c r="N761" s="28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81"/>
      <c r="AG761" s="81"/>
      <c r="AH761" s="81"/>
      <c r="AI761" s="4"/>
      <c r="AJ761" s="81"/>
      <c r="AK761" s="81"/>
      <c r="AL761" s="81"/>
      <c r="AM761" s="43">
        <v>745</v>
      </c>
      <c r="AN761">
        <v>160.10740857756335</v>
      </c>
      <c r="AO761">
        <v>14.821603782846873</v>
      </c>
      <c r="AP761">
        <v>152.03129921208875</v>
      </c>
      <c r="AQ761">
        <v>129.95939107158352</v>
      </c>
      <c r="AR761">
        <v>14.34900950949463</v>
      </c>
      <c r="AS761">
        <v>250.38326445624011</v>
      </c>
      <c r="AT761">
        <v>8.7484841068159795</v>
      </c>
      <c r="AU761">
        <v>44.798763063333524</v>
      </c>
      <c r="AV761"/>
      <c r="AW761"/>
      <c r="FY761" s="210">
        <v>756</v>
      </c>
      <c r="FZ761">
        <v>15.075927353886923</v>
      </c>
      <c r="GA761">
        <v>14.947881643960921</v>
      </c>
      <c r="GB761">
        <v>3.8832372386263914</v>
      </c>
      <c r="GC761">
        <v>1.9969966170343381</v>
      </c>
      <c r="GD761">
        <v>0.82317570820940777</v>
      </c>
      <c r="GE761">
        <v>1.2945244062164361</v>
      </c>
      <c r="GF761">
        <v>6.7620496521657447</v>
      </c>
      <c r="GG761">
        <v>12.362812894205991</v>
      </c>
      <c r="GH761">
        <v>12.467678482804317</v>
      </c>
      <c r="GI761">
        <v>6.8519763818477086</v>
      </c>
      <c r="GJ761"/>
      <c r="GK761"/>
      <c r="GL761"/>
      <c r="GM761"/>
    </row>
    <row r="762" spans="1:195" s="7" customFormat="1">
      <c r="A762" s="4"/>
      <c r="B762" s="4"/>
      <c r="C762" s="105"/>
      <c r="D762" s="4"/>
      <c r="E762" s="4"/>
      <c r="F762" s="28"/>
      <c r="G762" s="28"/>
      <c r="H762" s="83"/>
      <c r="I762" s="4"/>
      <c r="J762" s="4"/>
      <c r="K762" s="4"/>
      <c r="L762" s="4"/>
      <c r="M762" s="4"/>
      <c r="N762" s="28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81"/>
      <c r="AG762" s="81"/>
      <c r="AH762" s="81"/>
      <c r="AI762" s="4"/>
      <c r="AJ762" s="81"/>
      <c r="AK762" s="81"/>
      <c r="AL762" s="81"/>
      <c r="AM762" s="43">
        <v>746</v>
      </c>
      <c r="AN762">
        <v>141.41755765676999</v>
      </c>
      <c r="AO762">
        <v>12.274799535215422</v>
      </c>
      <c r="AP762">
        <v>123.12787301388785</v>
      </c>
      <c r="AQ762">
        <v>103.15399648093397</v>
      </c>
      <c r="AR762">
        <v>11.900526528725299</v>
      </c>
      <c r="AS762">
        <v>216.44856460142591</v>
      </c>
      <c r="AT762">
        <v>7.8733760732606477</v>
      </c>
      <c r="AU762">
        <v>12.036119533666168</v>
      </c>
      <c r="AV762"/>
      <c r="AW762"/>
      <c r="FY762" s="210">
        <v>757</v>
      </c>
      <c r="FZ762">
        <v>22.022533949051812</v>
      </c>
      <c r="GA762">
        <v>28.200551085817416</v>
      </c>
      <c r="GB762">
        <v>3.3933218531861598</v>
      </c>
      <c r="GC762">
        <v>1.5171298190142539</v>
      </c>
      <c r="GD762">
        <v>0.59514099755757754</v>
      </c>
      <c r="GE762">
        <v>1.5190958408194146</v>
      </c>
      <c r="GF762">
        <v>8.3184096157306282</v>
      </c>
      <c r="GG762">
        <v>9.0333842413153302</v>
      </c>
      <c r="GH762">
        <v>6.9033278347648785</v>
      </c>
      <c r="GI762">
        <v>7.0320059671565263</v>
      </c>
      <c r="GJ762"/>
      <c r="GK762"/>
      <c r="GL762"/>
      <c r="GM762"/>
    </row>
    <row r="763" spans="1:195" s="7" customFormat="1">
      <c r="A763" s="4"/>
      <c r="B763" s="4"/>
      <c r="C763" s="105"/>
      <c r="D763" s="4"/>
      <c r="E763" s="4"/>
      <c r="F763" s="28"/>
      <c r="G763" s="28"/>
      <c r="H763" s="83"/>
      <c r="I763" s="4"/>
      <c r="J763" s="4"/>
      <c r="K763" s="4"/>
      <c r="L763" s="4"/>
      <c r="M763" s="4"/>
      <c r="N763" s="28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81"/>
      <c r="AG763" s="81"/>
      <c r="AH763" s="81"/>
      <c r="AI763" s="4"/>
      <c r="AJ763" s="81"/>
      <c r="AK763" s="81"/>
      <c r="AL763" s="81"/>
      <c r="AM763" s="43">
        <v>747</v>
      </c>
      <c r="AN763">
        <v>123.21706245764157</v>
      </c>
      <c r="AO763">
        <v>9.7586820401915038</v>
      </c>
      <c r="AP763">
        <v>88.307141653618345</v>
      </c>
      <c r="AQ763">
        <v>75.518350101638831</v>
      </c>
      <c r="AR763">
        <v>9.3931717953080032</v>
      </c>
      <c r="AS763">
        <v>149.91796328018344</v>
      </c>
      <c r="AT763">
        <v>5.8238540642430756</v>
      </c>
      <c r="AU763">
        <v>9.9935399284959576</v>
      </c>
      <c r="AV763"/>
      <c r="AW763"/>
      <c r="FY763" s="210">
        <v>758</v>
      </c>
      <c r="FZ763">
        <v>34.509214665161785</v>
      </c>
      <c r="GA763">
        <v>41.030040057625541</v>
      </c>
      <c r="GB763">
        <v>4.36420028923341</v>
      </c>
      <c r="GC763">
        <v>2.1584342718859246</v>
      </c>
      <c r="GD763">
        <v>1.5996969932762988</v>
      </c>
      <c r="GE763">
        <v>4.104314683018365</v>
      </c>
      <c r="GF763">
        <v>10.770974057590861</v>
      </c>
      <c r="GG763">
        <v>14.827824903259117</v>
      </c>
      <c r="GH763">
        <v>13.773946921428935</v>
      </c>
      <c r="GI763">
        <v>11.235973518463615</v>
      </c>
      <c r="GJ763"/>
      <c r="GK763"/>
      <c r="GL763"/>
      <c r="GM763"/>
    </row>
    <row r="764" spans="1:195" s="7" customFormat="1">
      <c r="A764" s="4"/>
      <c r="B764" s="4"/>
      <c r="C764" s="105"/>
      <c r="D764" s="4"/>
      <c r="E764" s="4"/>
      <c r="F764" s="28"/>
      <c r="G764" s="28"/>
      <c r="H764" s="83"/>
      <c r="I764" s="4"/>
      <c r="J764" s="4"/>
      <c r="K764" s="4"/>
      <c r="L764" s="4"/>
      <c r="M764" s="4"/>
      <c r="N764" s="28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81"/>
      <c r="AG764" s="81"/>
      <c r="AH764" s="81"/>
      <c r="AI764" s="4"/>
      <c r="AJ764" s="81"/>
      <c r="AK764" s="81"/>
      <c r="AL764" s="81"/>
      <c r="AM764" s="43">
        <v>748</v>
      </c>
      <c r="AN764">
        <v>76.002102703143052</v>
      </c>
      <c r="AO764">
        <v>7.3120792096911176</v>
      </c>
      <c r="AP764">
        <v>72.557017325257561</v>
      </c>
      <c r="AQ764">
        <v>60.959882561500656</v>
      </c>
      <c r="AR764">
        <v>7.3501855629587931</v>
      </c>
      <c r="AS764">
        <v>122.49388965545033</v>
      </c>
      <c r="AT764">
        <v>4.5378032104797983</v>
      </c>
      <c r="AU764">
        <v>19.93477526890905</v>
      </c>
      <c r="AV764"/>
      <c r="AW764"/>
      <c r="FY764" s="210">
        <v>759</v>
      </c>
      <c r="FZ764">
        <v>21.340713082255085</v>
      </c>
      <c r="GA764">
        <v>27.576099237443326</v>
      </c>
      <c r="GB764">
        <v>2.2579911964341908</v>
      </c>
      <c r="GC764">
        <v>1.0354437610016949</v>
      </c>
      <c r="GD764">
        <v>0.89872175868361237</v>
      </c>
      <c r="GE764">
        <v>2.8585375213565931</v>
      </c>
      <c r="GF764">
        <v>7.3700296227486533</v>
      </c>
      <c r="GG764">
        <v>8.5671612120053098</v>
      </c>
      <c r="GH764">
        <v>7.7455917566811774</v>
      </c>
      <c r="GI764">
        <v>6.7812322440089714</v>
      </c>
      <c r="GJ764"/>
      <c r="GK764"/>
      <c r="GL764"/>
      <c r="GM764"/>
    </row>
    <row r="765" spans="1:195" s="7" customFormat="1">
      <c r="A765" s="4"/>
      <c r="B765" s="4"/>
      <c r="C765" s="105"/>
      <c r="D765" s="4"/>
      <c r="E765" s="4"/>
      <c r="F765" s="28"/>
      <c r="G765" s="28"/>
      <c r="H765" s="83"/>
      <c r="I765" s="4"/>
      <c r="J765" s="4"/>
      <c r="K765" s="4"/>
      <c r="L765" s="4"/>
      <c r="M765" s="4"/>
      <c r="N765" s="28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81"/>
      <c r="AG765" s="81"/>
      <c r="AH765" s="81"/>
      <c r="AI765" s="4"/>
      <c r="AJ765" s="81"/>
      <c r="AK765" s="81"/>
      <c r="AL765" s="81"/>
      <c r="AM765" s="43">
        <v>749</v>
      </c>
      <c r="AN765">
        <v>122.5559376619221</v>
      </c>
      <c r="AO765">
        <v>8.7220788887756999</v>
      </c>
      <c r="AP765">
        <v>81.565167315595218</v>
      </c>
      <c r="AQ765">
        <v>69.087994302615527</v>
      </c>
      <c r="AR765">
        <v>8.3898067206993208</v>
      </c>
      <c r="AS765">
        <v>153.99369921651547</v>
      </c>
      <c r="AT765">
        <v>4.9172211045722536</v>
      </c>
      <c r="AU765">
        <v>32.498038686861733</v>
      </c>
      <c r="AV765"/>
      <c r="AW765"/>
      <c r="FY765" s="210">
        <v>760</v>
      </c>
      <c r="FZ765">
        <v>24.203922280940205</v>
      </c>
      <c r="GA765">
        <v>29.979939168588871</v>
      </c>
      <c r="GB765">
        <v>3.1905390805123792</v>
      </c>
      <c r="GC765">
        <v>0.91136922749129134</v>
      </c>
      <c r="GD765">
        <v>0.577847082817735</v>
      </c>
      <c r="GE765">
        <v>1.7366593516716975</v>
      </c>
      <c r="GF765">
        <v>5.3438819628443763</v>
      </c>
      <c r="GG765">
        <v>6.8246157788459669</v>
      </c>
      <c r="GH765">
        <v>8.6469038535377898</v>
      </c>
      <c r="GI765">
        <v>7.0479137838437627</v>
      </c>
      <c r="GJ765"/>
      <c r="GK765"/>
      <c r="GL765"/>
      <c r="GM765"/>
    </row>
    <row r="766" spans="1:195" s="7" customFormat="1">
      <c r="A766" s="4"/>
      <c r="B766" s="4"/>
      <c r="C766" s="105"/>
      <c r="D766" s="4"/>
      <c r="E766" s="4"/>
      <c r="F766" s="28"/>
      <c r="G766" s="28"/>
      <c r="H766" s="83"/>
      <c r="I766" s="4"/>
      <c r="J766" s="4"/>
      <c r="K766" s="4"/>
      <c r="L766" s="4"/>
      <c r="M766" s="4"/>
      <c r="N766" s="28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81"/>
      <c r="AG766" s="81"/>
      <c r="AH766" s="81"/>
      <c r="AI766" s="4"/>
      <c r="AJ766" s="81"/>
      <c r="AK766" s="81"/>
      <c r="AL766" s="81"/>
      <c r="AM766" s="43">
        <v>750</v>
      </c>
      <c r="AN766">
        <v>87.320600712296923</v>
      </c>
      <c r="AO766">
        <v>11.379832240601399</v>
      </c>
      <c r="AP766">
        <v>120.46141393914699</v>
      </c>
      <c r="AQ766">
        <v>103.78461531222698</v>
      </c>
      <c r="AR766">
        <v>10.987447991980776</v>
      </c>
      <c r="AS766">
        <v>160.72732769590192</v>
      </c>
      <c r="AT766">
        <v>6.6422709592266465</v>
      </c>
      <c r="AU766">
        <v>21.36761349536339</v>
      </c>
      <c r="AV766"/>
      <c r="AW766"/>
      <c r="FY766" s="210">
        <v>761</v>
      </c>
      <c r="FZ766">
        <v>14.283165519342468</v>
      </c>
      <c r="GA766">
        <v>15.709175332918758</v>
      </c>
      <c r="GB766">
        <v>2.7354671239623594</v>
      </c>
      <c r="GC766">
        <v>1.3081890024176541</v>
      </c>
      <c r="GD766">
        <v>1.367996259340776</v>
      </c>
      <c r="GE766">
        <v>2.5158761083539494</v>
      </c>
      <c r="GF766">
        <v>4.987105871607608</v>
      </c>
      <c r="GG766">
        <v>5.8225777338527234</v>
      </c>
      <c r="GH766">
        <v>6.4912490000042986</v>
      </c>
      <c r="GI766">
        <v>5.5103636194352354</v>
      </c>
      <c r="GJ766"/>
      <c r="GK766"/>
      <c r="GL766"/>
      <c r="GM766"/>
    </row>
    <row r="767" spans="1:195" s="7" customFormat="1">
      <c r="A767" s="4"/>
      <c r="B767" s="4"/>
      <c r="C767" s="105"/>
      <c r="D767" s="4"/>
      <c r="E767" s="4"/>
      <c r="F767" s="28"/>
      <c r="G767" s="28"/>
      <c r="H767" s="83"/>
      <c r="I767" s="4"/>
      <c r="J767" s="4"/>
      <c r="K767" s="4"/>
      <c r="L767" s="4"/>
      <c r="M767" s="4"/>
      <c r="N767" s="28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81"/>
      <c r="AG767" s="81"/>
      <c r="AH767" s="81"/>
      <c r="AI767" s="4"/>
      <c r="AJ767" s="81"/>
      <c r="AK767" s="81"/>
      <c r="AL767" s="81"/>
      <c r="AM767" s="43">
        <v>751</v>
      </c>
      <c r="AN767">
        <v>118.33556421384749</v>
      </c>
      <c r="AO767">
        <v>6.38435672150153</v>
      </c>
      <c r="AP767">
        <v>56.347931843778838</v>
      </c>
      <c r="AQ767">
        <v>45.495020926423514</v>
      </c>
      <c r="AR767">
        <v>6.3389470429242998</v>
      </c>
      <c r="AS767">
        <v>137.19504919605876</v>
      </c>
      <c r="AT767">
        <v>3.5504038152751316</v>
      </c>
      <c r="AU767">
        <v>22.421515777665601</v>
      </c>
      <c r="AV767"/>
      <c r="AW767"/>
      <c r="FY767" s="210">
        <v>762</v>
      </c>
      <c r="FZ767">
        <v>12.654442651254769</v>
      </c>
      <c r="GA767">
        <v>16.128062809590272</v>
      </c>
      <c r="GB767">
        <v>1.9258417933916832</v>
      </c>
      <c r="GC767">
        <v>0.33736238635736793</v>
      </c>
      <c r="GD767">
        <v>0.59312228060808081</v>
      </c>
      <c r="GE767">
        <v>1.3428336768053066</v>
      </c>
      <c r="GF767">
        <v>9.358470117078884</v>
      </c>
      <c r="GG767">
        <v>14.668683611937881</v>
      </c>
      <c r="GH767">
        <v>13.934023257370086</v>
      </c>
      <c r="GI767">
        <v>6.5933756481437111</v>
      </c>
      <c r="GJ767"/>
      <c r="GK767"/>
      <c r="GL767"/>
      <c r="GM767"/>
    </row>
    <row r="768" spans="1:195" s="7" customFormat="1">
      <c r="A768" s="4"/>
      <c r="B768" s="4"/>
      <c r="C768" s="105"/>
      <c r="D768" s="4"/>
      <c r="E768" s="4"/>
      <c r="F768" s="28"/>
      <c r="G768" s="28"/>
      <c r="H768" s="83"/>
      <c r="I768" s="4"/>
      <c r="J768" s="4"/>
      <c r="K768" s="4"/>
      <c r="L768" s="4"/>
      <c r="M768" s="4"/>
      <c r="N768" s="28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81"/>
      <c r="AG768" s="81"/>
      <c r="AH768" s="81"/>
      <c r="AI768" s="4"/>
      <c r="AJ768" s="81"/>
      <c r="AK768" s="81"/>
      <c r="AL768" s="81"/>
      <c r="AM768" s="43">
        <v>752</v>
      </c>
      <c r="AN768">
        <v>104.02308616135448</v>
      </c>
      <c r="AO768">
        <v>9.9529205733269119</v>
      </c>
      <c r="AP768">
        <v>102.08885722462681</v>
      </c>
      <c r="AQ768">
        <v>87.720286336887582</v>
      </c>
      <c r="AR768">
        <v>9.7879896767894312</v>
      </c>
      <c r="AS768">
        <v>164.58941761534444</v>
      </c>
      <c r="AT768">
        <v>6.4128784090646258</v>
      </c>
      <c r="AU768">
        <v>6.9680202557131166</v>
      </c>
      <c r="AV768"/>
      <c r="AW768"/>
      <c r="FY768" s="210">
        <v>763</v>
      </c>
      <c r="FZ768">
        <v>13.678413252298864</v>
      </c>
      <c r="GA768">
        <v>16.142296835962568</v>
      </c>
      <c r="GB768">
        <v>2.6966617107830686</v>
      </c>
      <c r="GC768">
        <v>1.2088919059435821</v>
      </c>
      <c r="GD768">
        <v>1.5370052555069957</v>
      </c>
      <c r="GE768">
        <v>3.2202981754625593</v>
      </c>
      <c r="GF768">
        <v>5.9814632992561494</v>
      </c>
      <c r="GG768">
        <v>16.144948550639143</v>
      </c>
      <c r="GH768">
        <v>19.315631928406919</v>
      </c>
      <c r="GI768">
        <v>7.7219660723914982</v>
      </c>
      <c r="GJ768"/>
      <c r="GK768"/>
      <c r="GL768"/>
      <c r="GM768"/>
    </row>
    <row r="769" spans="1:195" s="7" customFormat="1">
      <c r="A769" s="4"/>
      <c r="B769" s="4"/>
      <c r="C769" s="105"/>
      <c r="D769" s="4"/>
      <c r="E769" s="4"/>
      <c r="F769" s="28"/>
      <c r="G769" s="28"/>
      <c r="H769" s="83"/>
      <c r="I769" s="4"/>
      <c r="J769" s="4"/>
      <c r="K769" s="4"/>
      <c r="L769" s="4"/>
      <c r="M769" s="4"/>
      <c r="N769" s="28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81"/>
      <c r="AG769" s="81"/>
      <c r="AH769" s="81"/>
      <c r="AI769" s="4"/>
      <c r="AJ769" s="81"/>
      <c r="AK769" s="81"/>
      <c r="AL769" s="81"/>
      <c r="AM769" s="43">
        <v>753</v>
      </c>
      <c r="AN769">
        <v>57.988658118885766</v>
      </c>
      <c r="AO769">
        <v>5.8425453281295727</v>
      </c>
      <c r="AP769">
        <v>54.599978149403455</v>
      </c>
      <c r="AQ769">
        <v>47.804831216522956</v>
      </c>
      <c r="AR769">
        <v>5.7957414340092299</v>
      </c>
      <c r="AS769">
        <v>89.424337477457428</v>
      </c>
      <c r="AT769">
        <v>3.6575353328047853</v>
      </c>
      <c r="AU769">
        <v>33.679879845492259</v>
      </c>
      <c r="AV769"/>
      <c r="AW769"/>
      <c r="FY769" s="210">
        <v>764</v>
      </c>
      <c r="FZ769">
        <v>23.160233270811322</v>
      </c>
      <c r="GA769">
        <v>28.198226115270785</v>
      </c>
      <c r="GB769">
        <v>2.7853454546213166</v>
      </c>
      <c r="GC769">
        <v>0.93660003080088017</v>
      </c>
      <c r="GD769">
        <v>0.50231312780094006</v>
      </c>
      <c r="GE769">
        <v>2.9244663729780558</v>
      </c>
      <c r="GF769">
        <v>5.428495242080122</v>
      </c>
      <c r="GG769">
        <v>6.070356486452015</v>
      </c>
      <c r="GH769">
        <v>9.1278570446912219</v>
      </c>
      <c r="GI769">
        <v>6.8268748166338522</v>
      </c>
      <c r="GJ769"/>
      <c r="GK769"/>
      <c r="GL769"/>
      <c r="GM769"/>
    </row>
    <row r="770" spans="1:195" s="7" customFormat="1">
      <c r="A770" s="4"/>
      <c r="B770" s="4"/>
      <c r="C770" s="105"/>
      <c r="D770" s="4"/>
      <c r="E770" s="4"/>
      <c r="F770" s="28"/>
      <c r="G770" s="28"/>
      <c r="H770" s="83"/>
      <c r="I770" s="4"/>
      <c r="J770" s="4"/>
      <c r="K770" s="4"/>
      <c r="L770" s="4"/>
      <c r="M770" s="4"/>
      <c r="N770" s="28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81"/>
      <c r="AG770" s="81"/>
      <c r="AH770" s="81"/>
      <c r="AI770" s="4"/>
      <c r="AJ770" s="81"/>
      <c r="AK770" s="81"/>
      <c r="AL770" s="81"/>
      <c r="AM770" s="43">
        <v>754</v>
      </c>
      <c r="AN770">
        <v>135.70667805811155</v>
      </c>
      <c r="AO770">
        <v>13.436549543835202</v>
      </c>
      <c r="AP770">
        <v>141.35108196666755</v>
      </c>
      <c r="AQ770">
        <v>119.70396432099521</v>
      </c>
      <c r="AR770">
        <v>12.575885543948106</v>
      </c>
      <c r="AS770">
        <v>210.00411410440032</v>
      </c>
      <c r="AT770">
        <v>8.3972795650550065</v>
      </c>
      <c r="AU770">
        <v>16.980655076273219</v>
      </c>
      <c r="AV770"/>
      <c r="AW770"/>
      <c r="FY770" s="210">
        <v>765</v>
      </c>
      <c r="FZ770">
        <v>33.922347496108394</v>
      </c>
      <c r="GA770">
        <v>40.556376860935885</v>
      </c>
      <c r="GB770">
        <v>3.4252554517212497</v>
      </c>
      <c r="GC770">
        <v>1.5061678330750394</v>
      </c>
      <c r="GD770">
        <v>0.62733575624819793</v>
      </c>
      <c r="GE770">
        <v>1.8284699674349001</v>
      </c>
      <c r="GF770">
        <v>3.9167058366890464</v>
      </c>
      <c r="GG770">
        <v>12.052725494190099</v>
      </c>
      <c r="GH770">
        <v>16.579445257015038</v>
      </c>
      <c r="GI770">
        <v>9.547055222003765</v>
      </c>
      <c r="GJ770"/>
      <c r="GK770"/>
      <c r="GL770"/>
      <c r="GM770"/>
    </row>
    <row r="771" spans="1:195" s="7" customFormat="1">
      <c r="A771" s="4"/>
      <c r="B771" s="4"/>
      <c r="C771" s="105"/>
      <c r="D771" s="4"/>
      <c r="E771" s="4"/>
      <c r="F771" s="28"/>
      <c r="G771" s="28"/>
      <c r="H771" s="83"/>
      <c r="I771" s="4"/>
      <c r="J771" s="4"/>
      <c r="K771" s="4"/>
      <c r="L771" s="4"/>
      <c r="M771" s="4"/>
      <c r="N771" s="28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81"/>
      <c r="AG771" s="81"/>
      <c r="AH771" s="81"/>
      <c r="AI771" s="4"/>
      <c r="AJ771" s="81"/>
      <c r="AK771" s="81"/>
      <c r="AL771" s="81"/>
      <c r="AM771" s="43">
        <v>755</v>
      </c>
      <c r="AN771">
        <v>111.14395865560752</v>
      </c>
      <c r="AO771">
        <v>10.152192781060092</v>
      </c>
      <c r="AP771">
        <v>98.764842564893542</v>
      </c>
      <c r="AQ771">
        <v>85.442174494641478</v>
      </c>
      <c r="AR771">
        <v>9.6715563956655721</v>
      </c>
      <c r="AS771">
        <v>178.03450515831787</v>
      </c>
      <c r="AT771">
        <v>6.0918781220528402</v>
      </c>
      <c r="AU771">
        <v>8.5896641837905854</v>
      </c>
      <c r="AV771"/>
      <c r="AW771"/>
      <c r="FY771" s="210">
        <v>766</v>
      </c>
      <c r="FZ771">
        <v>11.577321124136805</v>
      </c>
      <c r="GA771">
        <v>13.719264482332694</v>
      </c>
      <c r="GB771">
        <v>1.7148527867465617</v>
      </c>
      <c r="GC771">
        <v>1.0923194138719963</v>
      </c>
      <c r="GD771">
        <v>0.7124079076540224</v>
      </c>
      <c r="GE771">
        <v>2.746679926613441</v>
      </c>
      <c r="GF771">
        <v>9.4248066090969225</v>
      </c>
      <c r="GG771">
        <v>10.331639867255273</v>
      </c>
      <c r="GH771">
        <v>7.707998716523818</v>
      </c>
      <c r="GI771">
        <v>5.4696207802692927</v>
      </c>
      <c r="GJ771"/>
      <c r="GK771"/>
      <c r="GL771"/>
      <c r="GM771"/>
    </row>
    <row r="772" spans="1:195" s="7" customFormat="1">
      <c r="A772" s="4"/>
      <c r="B772" s="4"/>
      <c r="C772" s="105"/>
      <c r="D772" s="4"/>
      <c r="E772" s="4"/>
      <c r="F772" s="28"/>
      <c r="G772" s="28"/>
      <c r="H772" s="83"/>
      <c r="I772" s="4"/>
      <c r="J772" s="4"/>
      <c r="K772" s="4"/>
      <c r="L772" s="4"/>
      <c r="M772" s="4"/>
      <c r="N772" s="28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81"/>
      <c r="AG772" s="81"/>
      <c r="AH772" s="81"/>
      <c r="AI772" s="4"/>
      <c r="AJ772" s="81"/>
      <c r="AK772" s="81"/>
      <c r="AL772" s="81"/>
      <c r="AM772" s="43">
        <v>756</v>
      </c>
      <c r="AN772">
        <v>145.71253086591958</v>
      </c>
      <c r="AO772">
        <v>9.4993800131226944</v>
      </c>
      <c r="AP772">
        <v>91.99024383608446</v>
      </c>
      <c r="AQ772">
        <v>76.466260378958182</v>
      </c>
      <c r="AR772">
        <v>9.530949705653267</v>
      </c>
      <c r="AS772">
        <v>152.29014582846142</v>
      </c>
      <c r="AT772">
        <v>5.7825405809716628</v>
      </c>
      <c r="AU772">
        <v>30.591620589856497</v>
      </c>
      <c r="AV772"/>
      <c r="AW772"/>
      <c r="FY772" s="210">
        <v>767</v>
      </c>
      <c r="FZ772">
        <v>22.045977369034787</v>
      </c>
      <c r="GA772">
        <v>26.909185043697693</v>
      </c>
      <c r="GB772">
        <v>2.398293447241036</v>
      </c>
      <c r="GC772">
        <v>1.3019945085999942</v>
      </c>
      <c r="GD772">
        <v>1.1677300533539596</v>
      </c>
      <c r="GE772">
        <v>3.5500450369523118</v>
      </c>
      <c r="GF772">
        <v>9.0383529503552076</v>
      </c>
      <c r="GG772">
        <v>9.9459949100298548</v>
      </c>
      <c r="GH772">
        <v>8.8533839258591538</v>
      </c>
      <c r="GI772">
        <v>7.5616615055837784</v>
      </c>
      <c r="GJ772"/>
      <c r="GK772"/>
      <c r="GL772"/>
      <c r="GM772"/>
    </row>
    <row r="773" spans="1:195" s="7" customFormat="1">
      <c r="A773" s="4"/>
      <c r="B773" s="4"/>
      <c r="C773" s="105"/>
      <c r="D773" s="4"/>
      <c r="E773" s="4"/>
      <c r="F773" s="28"/>
      <c r="G773" s="28"/>
      <c r="H773" s="83"/>
      <c r="I773" s="4"/>
      <c r="J773" s="4"/>
      <c r="K773" s="4"/>
      <c r="L773" s="4"/>
      <c r="M773" s="4"/>
      <c r="N773" s="28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81"/>
      <c r="AG773" s="81"/>
      <c r="AH773" s="81"/>
      <c r="AI773" s="4"/>
      <c r="AJ773" s="81"/>
      <c r="AK773" s="81"/>
      <c r="AL773" s="81"/>
      <c r="AM773" s="43">
        <v>757</v>
      </c>
      <c r="AN773">
        <v>118.25621141248837</v>
      </c>
      <c r="AO773">
        <v>10.234514162099787</v>
      </c>
      <c r="AP773">
        <v>105.5682210889547</v>
      </c>
      <c r="AQ773">
        <v>88.534901204413998</v>
      </c>
      <c r="AR773">
        <v>9.75436706917829</v>
      </c>
      <c r="AS773">
        <v>169.06641111890568</v>
      </c>
      <c r="AT773">
        <v>5.8763119206825118</v>
      </c>
      <c r="AU773">
        <v>0.85127131653673116</v>
      </c>
      <c r="AV773"/>
      <c r="AW773"/>
      <c r="FY773" s="210">
        <v>768</v>
      </c>
      <c r="FZ773">
        <v>21.602821418716282</v>
      </c>
      <c r="GA773">
        <v>25.608960017765707</v>
      </c>
      <c r="GB773">
        <v>1.8770219144607461</v>
      </c>
      <c r="GC773">
        <v>0.99913556193603348</v>
      </c>
      <c r="GD773">
        <v>0.5879356579508932</v>
      </c>
      <c r="GE773">
        <v>3.3334804223333978</v>
      </c>
      <c r="GF773">
        <v>10.886220380317729</v>
      </c>
      <c r="GG773">
        <v>13.108485632310364</v>
      </c>
      <c r="GH773">
        <v>11.766228494403578</v>
      </c>
      <c r="GI773">
        <v>7.8287654134101556</v>
      </c>
      <c r="GJ773"/>
      <c r="GK773"/>
      <c r="GL773"/>
      <c r="GM773"/>
    </row>
    <row r="774" spans="1:195" s="7" customFormat="1">
      <c r="A774" s="4"/>
      <c r="B774" s="4"/>
      <c r="C774" s="105"/>
      <c r="D774" s="4"/>
      <c r="E774" s="4"/>
      <c r="F774" s="28"/>
      <c r="G774" s="28"/>
      <c r="H774" s="83"/>
      <c r="I774" s="4"/>
      <c r="J774" s="4"/>
      <c r="K774" s="4"/>
      <c r="L774" s="4"/>
      <c r="M774" s="4"/>
      <c r="N774" s="28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81"/>
      <c r="AG774" s="81"/>
      <c r="AH774" s="81"/>
      <c r="AI774" s="4"/>
      <c r="AJ774" s="81"/>
      <c r="AK774" s="81"/>
      <c r="AL774" s="81"/>
      <c r="AM774" s="43">
        <v>758</v>
      </c>
      <c r="AN774">
        <v>176.10407500937973</v>
      </c>
      <c r="AO774">
        <v>16.325088591976499</v>
      </c>
      <c r="AP774">
        <v>162.37628605190901</v>
      </c>
      <c r="AQ774">
        <v>138.37462036094382</v>
      </c>
      <c r="AR774">
        <v>15.567998038142621</v>
      </c>
      <c r="AS774">
        <v>256.20065698123796</v>
      </c>
      <c r="AT774">
        <v>9.5659161283121286</v>
      </c>
      <c r="AU774">
        <v>39.398709273575989</v>
      </c>
      <c r="AV774"/>
      <c r="AW774"/>
      <c r="FY774" s="210">
        <v>769</v>
      </c>
      <c r="FZ774">
        <v>11.930685970057912</v>
      </c>
      <c r="GA774">
        <v>15.324530302576385</v>
      </c>
      <c r="GB774">
        <v>2.4870243344436185</v>
      </c>
      <c r="GC774">
        <v>1.441069349823723</v>
      </c>
      <c r="GD774">
        <v>1.3377746259321004</v>
      </c>
      <c r="GE774">
        <v>4.0647071754181479</v>
      </c>
      <c r="GF774">
        <v>12.915372745581568</v>
      </c>
      <c r="GG774">
        <v>9.2061307243817421</v>
      </c>
      <c r="GH774">
        <v>5.4667172502108716</v>
      </c>
      <c r="GI774">
        <v>6.3652134057549379</v>
      </c>
      <c r="GJ774"/>
      <c r="GK774"/>
      <c r="GL774"/>
      <c r="GM774"/>
    </row>
    <row r="775" spans="1:195" s="7" customFormat="1">
      <c r="A775" s="4"/>
      <c r="B775" s="4"/>
      <c r="C775" s="105"/>
      <c r="D775" s="4"/>
      <c r="E775" s="4"/>
      <c r="F775" s="28"/>
      <c r="G775" s="28"/>
      <c r="H775" s="83"/>
      <c r="I775" s="4"/>
      <c r="J775" s="4"/>
      <c r="K775" s="4"/>
      <c r="L775" s="4"/>
      <c r="M775" s="4"/>
      <c r="N775" s="28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81"/>
      <c r="AG775" s="81"/>
      <c r="AH775" s="81"/>
      <c r="AI775" s="4"/>
      <c r="AJ775" s="81"/>
      <c r="AK775" s="81"/>
      <c r="AL775" s="81"/>
      <c r="AM775" s="43">
        <v>759</v>
      </c>
      <c r="AN775">
        <v>118.02126682180349</v>
      </c>
      <c r="AO775">
        <v>10.026124896135558</v>
      </c>
      <c r="AP775">
        <v>101.38422403737246</v>
      </c>
      <c r="AQ775">
        <v>86.43152139261862</v>
      </c>
      <c r="AR775">
        <v>9.339026157966936</v>
      </c>
      <c r="AS775">
        <v>144.92468309321086</v>
      </c>
      <c r="AT775" t="e">
        <v>#DIV/0!</v>
      </c>
      <c r="AU775" t="e">
        <v>#DIV/0!</v>
      </c>
      <c r="AV775"/>
      <c r="AW775"/>
      <c r="FY775" s="210">
        <v>770</v>
      </c>
      <c r="FZ775">
        <v>24.312287063500364</v>
      </c>
      <c r="GA775">
        <v>29.807323358212798</v>
      </c>
      <c r="GB775">
        <v>2.369542253051101</v>
      </c>
      <c r="GC775">
        <v>0.50062093247870154</v>
      </c>
      <c r="GD775">
        <v>0.90152844141690291</v>
      </c>
      <c r="GE775">
        <v>2.8556682723154467</v>
      </c>
      <c r="GF775">
        <v>9.9818866030179425</v>
      </c>
      <c r="GG775">
        <v>9.4082127988438593</v>
      </c>
      <c r="GH775">
        <v>5.846817539054876</v>
      </c>
      <c r="GI775">
        <v>7.446426756693536</v>
      </c>
      <c r="GJ775"/>
      <c r="GK775"/>
      <c r="GL775"/>
      <c r="GM775"/>
    </row>
    <row r="776" spans="1:195" s="7" customFormat="1">
      <c r="A776" s="4"/>
      <c r="B776" s="4"/>
      <c r="C776" s="105"/>
      <c r="D776" s="4"/>
      <c r="E776" s="4"/>
      <c r="F776" s="28"/>
      <c r="G776" s="28"/>
      <c r="H776" s="83"/>
      <c r="I776" s="4"/>
      <c r="J776" s="4"/>
      <c r="K776" s="4"/>
      <c r="L776" s="4"/>
      <c r="M776" s="4"/>
      <c r="N776" s="28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81"/>
      <c r="AG776" s="81"/>
      <c r="AH776" s="81"/>
      <c r="AI776" s="4"/>
      <c r="AJ776" s="81"/>
      <c r="AK776" s="81"/>
      <c r="AL776" s="81"/>
      <c r="AM776" s="43">
        <v>760</v>
      </c>
      <c r="AN776">
        <v>93.44810599877917</v>
      </c>
      <c r="AO776">
        <v>9.9859550880310941</v>
      </c>
      <c r="AP776">
        <v>105.14493436493133</v>
      </c>
      <c r="AQ776">
        <v>88.463591571094085</v>
      </c>
      <c r="AR776">
        <v>9.7870557726892091</v>
      </c>
      <c r="AS776">
        <v>160.03775433126879</v>
      </c>
      <c r="AT776">
        <v>5.634586426556524</v>
      </c>
      <c r="AU776">
        <v>18.113259386971041</v>
      </c>
      <c r="AV776"/>
      <c r="AW776"/>
      <c r="FY776" s="210">
        <v>771</v>
      </c>
      <c r="FZ776">
        <v>22.961264073231437</v>
      </c>
      <c r="GA776">
        <v>27.468820425699001</v>
      </c>
      <c r="GB776">
        <v>3.185127169537977</v>
      </c>
      <c r="GC776">
        <v>1.284670617254728</v>
      </c>
      <c r="GD776">
        <v>0.15934928324407524</v>
      </c>
      <c r="GE776">
        <v>2.6049885437760745</v>
      </c>
      <c r="GF776">
        <v>8.9312276130236548</v>
      </c>
      <c r="GG776">
        <v>8.5653840471877825</v>
      </c>
      <c r="GH776">
        <v>8.721650866809993</v>
      </c>
      <c r="GI776">
        <v>7.2657306013531908</v>
      </c>
      <c r="GJ776"/>
      <c r="GK776"/>
      <c r="GL776"/>
      <c r="GM776"/>
    </row>
    <row r="777" spans="1:195" s="7" customFormat="1">
      <c r="A777" s="4"/>
      <c r="B777" s="4"/>
      <c r="C777" s="105"/>
      <c r="D777" s="4"/>
      <c r="E777" s="4"/>
      <c r="F777" s="28"/>
      <c r="G777" s="28"/>
      <c r="H777" s="83"/>
      <c r="I777" s="4"/>
      <c r="J777" s="4"/>
      <c r="K777" s="4"/>
      <c r="L777" s="4"/>
      <c r="M777" s="4"/>
      <c r="N777" s="28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81"/>
      <c r="AG777" s="81"/>
      <c r="AH777" s="81"/>
      <c r="AI777" s="4"/>
      <c r="AJ777" s="81"/>
      <c r="AK777" s="81"/>
      <c r="AL777" s="81"/>
      <c r="AM777" s="43">
        <v>761</v>
      </c>
      <c r="AN777">
        <v>66.427658662227628</v>
      </c>
      <c r="AO777">
        <v>7.6059034367944305</v>
      </c>
      <c r="AP777">
        <v>71.304027323915903</v>
      </c>
      <c r="AQ777">
        <v>60.731165571235849</v>
      </c>
      <c r="AR777">
        <v>7.6511790723473467</v>
      </c>
      <c r="AS777">
        <v>99.837116778295538</v>
      </c>
      <c r="AT777">
        <v>4.7467442206850707</v>
      </c>
      <c r="AU777">
        <v>6.2735360529897672</v>
      </c>
      <c r="AV777"/>
      <c r="AW777"/>
      <c r="FY777" s="210">
        <v>772</v>
      </c>
      <c r="FZ777">
        <v>22.664958700903615</v>
      </c>
      <c r="GA777">
        <v>27.811595712047733</v>
      </c>
      <c r="GB777">
        <v>1.298691747772398</v>
      </c>
      <c r="GC777">
        <v>0.52982370851062977</v>
      </c>
      <c r="GD777">
        <v>0.6774823253884803</v>
      </c>
      <c r="GE777">
        <v>2.389939767903666</v>
      </c>
      <c r="GF777">
        <v>9.8902644763132219</v>
      </c>
      <c r="GG777">
        <v>15.654086191720012</v>
      </c>
      <c r="GH777">
        <v>15.647256338409393</v>
      </c>
      <c r="GI777">
        <v>8.3385792767494813</v>
      </c>
      <c r="GJ777"/>
      <c r="GK777"/>
      <c r="GL777"/>
      <c r="GM777"/>
    </row>
    <row r="778" spans="1:195" s="7" customFormat="1">
      <c r="A778" s="4"/>
      <c r="B778" s="4"/>
      <c r="C778" s="105"/>
      <c r="D778" s="4"/>
      <c r="E778" s="4"/>
      <c r="F778" s="28"/>
      <c r="G778" s="28"/>
      <c r="H778" s="83"/>
      <c r="I778" s="4"/>
      <c r="J778" s="4"/>
      <c r="K778" s="4"/>
      <c r="L778" s="4"/>
      <c r="M778" s="4"/>
      <c r="N778" s="28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81"/>
      <c r="AG778" s="81"/>
      <c r="AH778" s="81"/>
      <c r="AI778" s="4"/>
      <c r="AJ778" s="81"/>
      <c r="AK778" s="81"/>
      <c r="AL778" s="81"/>
      <c r="AM778" s="43">
        <v>762</v>
      </c>
      <c r="AN778">
        <v>105.62510813151395</v>
      </c>
      <c r="AO778">
        <v>9.251535690692716</v>
      </c>
      <c r="AP778">
        <v>94.805578570824053</v>
      </c>
      <c r="AQ778">
        <v>77.536218232538033</v>
      </c>
      <c r="AR778">
        <v>9.1715241799932024</v>
      </c>
      <c r="AS778">
        <v>158.75385975662707</v>
      </c>
      <c r="AT778">
        <v>5.3508098656988432</v>
      </c>
      <c r="AU778">
        <v>12.355852870657028</v>
      </c>
      <c r="AV778"/>
      <c r="AW778"/>
      <c r="FY778" s="210">
        <v>773</v>
      </c>
      <c r="FZ778">
        <v>32.675344675062078</v>
      </c>
      <c r="GA778">
        <v>39.420430481646861</v>
      </c>
      <c r="GB778">
        <v>2.510932357651241</v>
      </c>
      <c r="GC778">
        <v>1.6639041086212154</v>
      </c>
      <c r="GD778">
        <v>0.91128654029120471</v>
      </c>
      <c r="GE778">
        <v>1.9083450740539598</v>
      </c>
      <c r="GF778">
        <v>5.8604059012338077</v>
      </c>
      <c r="GG778">
        <v>5.502346518547057</v>
      </c>
      <c r="GH778">
        <v>5.6843664734409041</v>
      </c>
      <c r="GI778">
        <v>7.9338739332217312</v>
      </c>
      <c r="GJ778"/>
      <c r="GK778"/>
      <c r="GL778"/>
      <c r="GM778"/>
    </row>
    <row r="779" spans="1:195" s="7" customFormat="1">
      <c r="A779" s="4"/>
      <c r="B779" s="4"/>
      <c r="C779" s="105"/>
      <c r="D779" s="4"/>
      <c r="E779" s="4"/>
      <c r="F779" s="28"/>
      <c r="G779" s="28"/>
      <c r="H779" s="83"/>
      <c r="I779" s="4"/>
      <c r="J779" s="4"/>
      <c r="K779" s="4"/>
      <c r="L779" s="4"/>
      <c r="M779" s="4"/>
      <c r="N779" s="28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81"/>
      <c r="AG779" s="81"/>
      <c r="AH779" s="81"/>
      <c r="AI779" s="4"/>
      <c r="AJ779" s="81"/>
      <c r="AK779" s="81"/>
      <c r="AL779" s="81"/>
      <c r="AM779" s="43">
        <v>763</v>
      </c>
      <c r="AN779">
        <v>156.79290869216581</v>
      </c>
      <c r="AO779">
        <v>11.004934911724867</v>
      </c>
      <c r="AP779">
        <v>103.90876065504209</v>
      </c>
      <c r="AQ779">
        <v>87.647576986651345</v>
      </c>
      <c r="AR779">
        <v>10.703176332887212</v>
      </c>
      <c r="AS779">
        <v>214.77824386382576</v>
      </c>
      <c r="AT779">
        <v>5.9243180138040374</v>
      </c>
      <c r="AU779">
        <v>49.839095036441627</v>
      </c>
      <c r="AV779"/>
      <c r="AW779"/>
      <c r="FY779" s="210">
        <v>774</v>
      </c>
      <c r="FZ779">
        <v>2.9179534708612089</v>
      </c>
      <c r="GA779">
        <v>3.2355532055452607</v>
      </c>
      <c r="GB779">
        <v>2.7556160512474235</v>
      </c>
      <c r="GC779">
        <v>1.3954253136812589</v>
      </c>
      <c r="GD779">
        <v>0.75672592180158427</v>
      </c>
      <c r="GE779">
        <v>2.142864357404545</v>
      </c>
      <c r="GF779">
        <v>2.7144424323767664</v>
      </c>
      <c r="GG779">
        <v>2.5450148834585464</v>
      </c>
      <c r="GH779">
        <v>5.510718895662384</v>
      </c>
      <c r="GI779">
        <v>2.9108987586504589</v>
      </c>
      <c r="GJ779"/>
      <c r="GK779"/>
      <c r="GL779"/>
      <c r="GM779"/>
    </row>
    <row r="780" spans="1:195" s="7" customFormat="1">
      <c r="A780" s="4"/>
      <c r="B780" s="4"/>
      <c r="C780" s="105"/>
      <c r="D780" s="4"/>
      <c r="E780" s="4"/>
      <c r="F780" s="28"/>
      <c r="G780" s="28"/>
      <c r="H780" s="83"/>
      <c r="I780" s="4"/>
      <c r="J780" s="4"/>
      <c r="K780" s="4"/>
      <c r="L780" s="4"/>
      <c r="M780" s="4"/>
      <c r="N780" s="28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81"/>
      <c r="AG780" s="81"/>
      <c r="AH780" s="81"/>
      <c r="AI780" s="4"/>
      <c r="AJ780" s="81"/>
      <c r="AK780" s="81"/>
      <c r="AL780" s="81"/>
      <c r="AM780" s="43">
        <v>764</v>
      </c>
      <c r="AN780">
        <v>100.65247442484527</v>
      </c>
      <c r="AO780">
        <v>9.7697710985960668</v>
      </c>
      <c r="AP780">
        <v>101.30726293476533</v>
      </c>
      <c r="AQ780">
        <v>85.960767962140508</v>
      </c>
      <c r="AR780">
        <v>9.3849956209526439</v>
      </c>
      <c r="AS780">
        <v>136.26205032016446</v>
      </c>
      <c r="AT780">
        <v>5.9209898640445822</v>
      </c>
      <c r="AU780">
        <v>42.305172718733864</v>
      </c>
      <c r="AV780"/>
      <c r="AW780"/>
      <c r="FY780" s="210">
        <v>775</v>
      </c>
      <c r="FZ780">
        <v>24.808625756239035</v>
      </c>
      <c r="GA780">
        <v>27.400104382738995</v>
      </c>
      <c r="GB780">
        <v>3.3426072899255028</v>
      </c>
      <c r="GC780">
        <v>1.7914354029469144</v>
      </c>
      <c r="GD780">
        <v>0.90400340923113132</v>
      </c>
      <c r="GE780">
        <v>2.7104621566381106</v>
      </c>
      <c r="GF780">
        <v>5.6514297042867057</v>
      </c>
      <c r="GG780">
        <v>7.3770249092422109</v>
      </c>
      <c r="GH780">
        <v>9.3801338523531541</v>
      </c>
      <c r="GI780">
        <v>7.5166883571234235</v>
      </c>
      <c r="GJ780"/>
      <c r="GK780"/>
      <c r="GL780"/>
      <c r="GM780"/>
    </row>
    <row r="781" spans="1:195" s="7" customFormat="1">
      <c r="A781" s="4"/>
      <c r="B781" s="4"/>
      <c r="C781" s="105"/>
      <c r="D781" s="4"/>
      <c r="E781" s="4"/>
      <c r="F781" s="28"/>
      <c r="G781" s="28"/>
      <c r="H781" s="83"/>
      <c r="I781" s="4"/>
      <c r="J781" s="4"/>
      <c r="K781" s="4"/>
      <c r="L781" s="4"/>
      <c r="M781" s="4"/>
      <c r="N781" s="28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81"/>
      <c r="AG781" s="81"/>
      <c r="AH781" s="81"/>
      <c r="AI781" s="4"/>
      <c r="AJ781" s="81"/>
      <c r="AK781" s="81"/>
      <c r="AL781" s="81"/>
      <c r="AM781" s="43">
        <v>765</v>
      </c>
      <c r="AN781">
        <v>147.34993958411454</v>
      </c>
      <c r="AO781">
        <v>13.886509351342813</v>
      </c>
      <c r="AP781">
        <v>146.02650899357869</v>
      </c>
      <c r="AQ781">
        <v>123.96188517542163</v>
      </c>
      <c r="AR781">
        <v>13.274320278243776</v>
      </c>
      <c r="AS781">
        <v>196.70365442154929</v>
      </c>
      <c r="AT781">
        <v>7.9950443898664467</v>
      </c>
      <c r="AU781">
        <v>33.408961309647012</v>
      </c>
      <c r="AV781"/>
      <c r="AW781"/>
      <c r="FY781" s="210">
        <v>776</v>
      </c>
      <c r="FZ781">
        <v>33.045991991932532</v>
      </c>
      <c r="GA781">
        <v>39.84674965475395</v>
      </c>
      <c r="GB781">
        <v>1.7351287148223842</v>
      </c>
      <c r="GC781">
        <v>0.75966336371602206</v>
      </c>
      <c r="GD781">
        <v>0.62796285243892425</v>
      </c>
      <c r="GE781">
        <v>2.3971121931127524</v>
      </c>
      <c r="GF781">
        <v>7.6806375418720361</v>
      </c>
      <c r="GG781">
        <v>6.5584802261635504</v>
      </c>
      <c r="GH781">
        <v>7.5738562724685217</v>
      </c>
      <c r="GI781">
        <v>8.2728023159796535</v>
      </c>
      <c r="GJ781"/>
      <c r="GK781"/>
      <c r="GL781"/>
      <c r="GM781"/>
    </row>
    <row r="782" spans="1:195" s="7" customFormat="1">
      <c r="A782" s="4"/>
      <c r="B782" s="4"/>
      <c r="C782" s="105"/>
      <c r="D782" s="4"/>
      <c r="E782" s="4"/>
      <c r="F782" s="28"/>
      <c r="G782" s="28"/>
      <c r="H782" s="83"/>
      <c r="I782" s="4"/>
      <c r="J782" s="4"/>
      <c r="K782" s="4"/>
      <c r="L782" s="4"/>
      <c r="M782" s="4"/>
      <c r="N782" s="28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81"/>
      <c r="AG782" s="81"/>
      <c r="AH782" s="81"/>
      <c r="AI782" s="4"/>
      <c r="AJ782" s="81"/>
      <c r="AK782" s="81"/>
      <c r="AL782" s="81"/>
      <c r="AM782" s="43">
        <v>766</v>
      </c>
      <c r="AN782">
        <v>128.21718143132284</v>
      </c>
      <c r="AO782">
        <v>7.9688936005524509</v>
      </c>
      <c r="AP782">
        <v>76.452983155901521</v>
      </c>
      <c r="AQ782">
        <v>64.496911614500831</v>
      </c>
      <c r="AR782">
        <v>7.4618843936020376</v>
      </c>
      <c r="AS782">
        <v>151.28239705152009</v>
      </c>
      <c r="AT782">
        <v>4.4949393595850742</v>
      </c>
      <c r="AU782">
        <v>33.536866075348662</v>
      </c>
      <c r="AV782"/>
      <c r="AW782"/>
      <c r="FY782" s="210">
        <v>777</v>
      </c>
      <c r="FZ782">
        <v>34.006228463680792</v>
      </c>
      <c r="GA782">
        <v>40.779940625759302</v>
      </c>
      <c r="GB782">
        <v>3.3744546558277282</v>
      </c>
      <c r="GC782">
        <v>1.2561419035221744</v>
      </c>
      <c r="GD782">
        <v>1.528209846921933</v>
      </c>
      <c r="GE782">
        <v>3.2030616843202462</v>
      </c>
      <c r="GF782">
        <v>10.989662300945833</v>
      </c>
      <c r="GG782">
        <v>15.646990003476681</v>
      </c>
      <c r="GH782">
        <v>12.267152492084548</v>
      </c>
      <c r="GI782">
        <v>10.681205025124708</v>
      </c>
      <c r="GJ782"/>
      <c r="GK782"/>
      <c r="GL782"/>
      <c r="GM782"/>
    </row>
    <row r="783" spans="1:195" s="7" customFormat="1">
      <c r="A783" s="4"/>
      <c r="B783" s="4"/>
      <c r="C783" s="105"/>
      <c r="D783" s="4"/>
      <c r="E783" s="4"/>
      <c r="F783" s="28"/>
      <c r="G783" s="28"/>
      <c r="H783" s="83"/>
      <c r="I783" s="4"/>
      <c r="J783" s="4"/>
      <c r="K783" s="4"/>
      <c r="L783" s="4"/>
      <c r="M783" s="4"/>
      <c r="N783" s="28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81"/>
      <c r="AG783" s="81"/>
      <c r="AH783" s="81"/>
      <c r="AI783" s="4"/>
      <c r="AJ783" s="81"/>
      <c r="AK783" s="81"/>
      <c r="AL783" s="81"/>
      <c r="AM783" s="43">
        <v>767</v>
      </c>
      <c r="AN783">
        <v>126.67596290635736</v>
      </c>
      <c r="AO783">
        <v>11.023171739632831</v>
      </c>
      <c r="AP783">
        <v>108.60223410975864</v>
      </c>
      <c r="AQ783">
        <v>92.772618750707778</v>
      </c>
      <c r="AR783">
        <v>10.407134047440243</v>
      </c>
      <c r="AS783">
        <v>195.7024191337639</v>
      </c>
      <c r="AT783">
        <v>6.7995052350807486</v>
      </c>
      <c r="AU783">
        <v>16.684666200873753</v>
      </c>
      <c r="AV783"/>
      <c r="AW783"/>
      <c r="FY783" s="210">
        <v>778</v>
      </c>
      <c r="FZ783">
        <v>42.098224367393911</v>
      </c>
      <c r="GA783">
        <v>51.94901019586419</v>
      </c>
      <c r="GB783">
        <v>2.9203914885740563</v>
      </c>
      <c r="GC783">
        <v>1.0357838247295315</v>
      </c>
      <c r="GD783">
        <v>0.6595741963722348</v>
      </c>
      <c r="GE783">
        <v>2.5092277995292895</v>
      </c>
      <c r="GF783">
        <v>9.0381477061009221</v>
      </c>
      <c r="GG783">
        <v>10.821383933497703</v>
      </c>
      <c r="GH783">
        <v>9.1382173092861088</v>
      </c>
      <c r="GI783">
        <v>10.399098486160716</v>
      </c>
      <c r="GJ783"/>
      <c r="GK783"/>
      <c r="GL783"/>
      <c r="GM783"/>
    </row>
    <row r="784" spans="1:195" s="7" customFormat="1">
      <c r="A784" s="4"/>
      <c r="B784" s="4"/>
      <c r="C784" s="105"/>
      <c r="D784" s="4"/>
      <c r="E784" s="4"/>
      <c r="F784" s="28"/>
      <c r="G784" s="28"/>
      <c r="H784" s="83"/>
      <c r="I784" s="4"/>
      <c r="J784" s="4"/>
      <c r="K784" s="4"/>
      <c r="L784" s="4"/>
      <c r="M784" s="4"/>
      <c r="N784" s="28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81"/>
      <c r="AG784" s="81"/>
      <c r="AH784" s="81"/>
      <c r="AI784" s="4"/>
      <c r="AJ784" s="81"/>
      <c r="AK784" s="81"/>
      <c r="AL784" s="81"/>
      <c r="AM784" s="43">
        <v>768</v>
      </c>
      <c r="AN784">
        <v>153.62834305553173</v>
      </c>
      <c r="AO784">
        <v>11.445671444448704</v>
      </c>
      <c r="AP784">
        <v>115.59687694147142</v>
      </c>
      <c r="AQ784">
        <v>97.599054913604874</v>
      </c>
      <c r="AR784">
        <v>10.740564673275451</v>
      </c>
      <c r="AS784">
        <v>176.93449476558385</v>
      </c>
      <c r="AT784">
        <v>6.8888620516130326</v>
      </c>
      <c r="AU784">
        <v>36.828130479307461</v>
      </c>
      <c r="AV784"/>
      <c r="AW784"/>
      <c r="FY784" s="210">
        <v>779</v>
      </c>
      <c r="FZ784">
        <v>2.1483524277448032</v>
      </c>
      <c r="GA784">
        <v>2.0406220233794228</v>
      </c>
      <c r="GB784">
        <v>0.80022617193387791</v>
      </c>
      <c r="GC784">
        <v>0.70488159634896097</v>
      </c>
      <c r="GD784">
        <v>1.258954556214237</v>
      </c>
      <c r="GE784">
        <v>1.5980730617449441</v>
      </c>
      <c r="GF784">
        <v>8.5688783784999227</v>
      </c>
      <c r="GG784">
        <v>17.902538365255285</v>
      </c>
      <c r="GH784">
        <v>16.119640985513335</v>
      </c>
      <c r="GI784">
        <v>5.3496662884394279</v>
      </c>
      <c r="GJ784"/>
      <c r="GK784"/>
      <c r="GL784"/>
      <c r="GM784"/>
    </row>
    <row r="785" spans="1:195" s="7" customFormat="1">
      <c r="A785" s="4"/>
      <c r="B785" s="4"/>
      <c r="C785" s="105"/>
      <c r="D785" s="4"/>
      <c r="E785" s="4"/>
      <c r="F785" s="28"/>
      <c r="G785" s="28"/>
      <c r="H785" s="83"/>
      <c r="I785" s="4"/>
      <c r="J785" s="4"/>
      <c r="K785" s="4"/>
      <c r="L785" s="4"/>
      <c r="M785" s="4"/>
      <c r="N785" s="28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81"/>
      <c r="AG785" s="81"/>
      <c r="AH785" s="81"/>
      <c r="AI785" s="4"/>
      <c r="AJ785" s="81"/>
      <c r="AK785" s="81"/>
      <c r="AL785" s="81"/>
      <c r="AM785" s="43">
        <v>769</v>
      </c>
      <c r="AN785">
        <v>116.16549778636571</v>
      </c>
      <c r="AO785">
        <v>9.0620269261721322</v>
      </c>
      <c r="AP785">
        <v>83.763089622443189</v>
      </c>
      <c r="AQ785">
        <v>70.539225884181008</v>
      </c>
      <c r="AR785">
        <v>8.7041939520547889</v>
      </c>
      <c r="AS785">
        <v>143.59189318068834</v>
      </c>
      <c r="AT785">
        <v>5.5346477841037602</v>
      </c>
      <c r="AU785">
        <v>33.109534530258934</v>
      </c>
      <c r="AV785"/>
      <c r="AW785"/>
      <c r="FY785" s="210">
        <v>780</v>
      </c>
      <c r="FZ785">
        <v>0.86847092500550616</v>
      </c>
      <c r="GA785">
        <v>2.694913155698103</v>
      </c>
      <c r="GB785">
        <v>3.0699648054477238</v>
      </c>
      <c r="GC785">
        <v>1.3426068068671604</v>
      </c>
      <c r="GD785">
        <v>0.87264236959839525</v>
      </c>
      <c r="GE785">
        <v>2.538879612900717</v>
      </c>
      <c r="GF785">
        <v>6.0061587695254168</v>
      </c>
      <c r="GG785">
        <v>7.9891402332947905</v>
      </c>
      <c r="GH785">
        <v>8.6915832806154896</v>
      </c>
      <c r="GI785">
        <v>3.8452024416691266</v>
      </c>
      <c r="GJ785"/>
      <c r="GK785"/>
      <c r="GL785"/>
      <c r="GM785"/>
    </row>
    <row r="786" spans="1:195" s="7" customFormat="1">
      <c r="A786" s="4"/>
      <c r="B786" s="4"/>
      <c r="C786" s="105"/>
      <c r="D786" s="4"/>
      <c r="E786" s="4"/>
      <c r="F786" s="28"/>
      <c r="G786" s="28"/>
      <c r="H786" s="83"/>
      <c r="I786" s="4"/>
      <c r="J786" s="4"/>
      <c r="K786" s="4"/>
      <c r="L786" s="4"/>
      <c r="M786" s="4"/>
      <c r="N786" s="28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81"/>
      <c r="AG786" s="81"/>
      <c r="AH786" s="81"/>
      <c r="AI786" s="4"/>
      <c r="AJ786" s="81"/>
      <c r="AK786" s="81"/>
      <c r="AL786" s="81"/>
      <c r="AM786" s="43">
        <v>770</v>
      </c>
      <c r="AN786">
        <v>111.29779327532756</v>
      </c>
      <c r="AO786">
        <v>10.742513158726814</v>
      </c>
      <c r="AP786">
        <v>110.35107720993784</v>
      </c>
      <c r="AQ786">
        <v>93.430314018585548</v>
      </c>
      <c r="AR786">
        <v>10.308854130660142</v>
      </c>
      <c r="AS786">
        <v>159.56515726426301</v>
      </c>
      <c r="AT786">
        <v>5.9763377897834138</v>
      </c>
      <c r="AU786">
        <v>17.444519433749178</v>
      </c>
      <c r="AV786"/>
      <c r="AW786"/>
      <c r="FY786" s="210">
        <v>781</v>
      </c>
      <c r="FZ786">
        <v>34.859427845814665</v>
      </c>
      <c r="GA786">
        <v>39.884303599046646</v>
      </c>
      <c r="GB786">
        <v>2.1834538881627115</v>
      </c>
      <c r="GC786">
        <v>0.99763294051124018</v>
      </c>
      <c r="GD786">
        <v>1.0914500292141025</v>
      </c>
      <c r="GE786">
        <v>3.0776374348538131</v>
      </c>
      <c r="GF786">
        <v>2.4710231993258063</v>
      </c>
      <c r="GG786">
        <v>5.0324265408077702</v>
      </c>
      <c r="GH786">
        <v>9.897494222196169</v>
      </c>
      <c r="GI786">
        <v>8.3315101312123243</v>
      </c>
      <c r="GJ786"/>
      <c r="GK786"/>
      <c r="GL786"/>
      <c r="GM786"/>
    </row>
    <row r="787" spans="1:195" s="7" customFormat="1">
      <c r="A787" s="4"/>
      <c r="B787" s="4"/>
      <c r="C787" s="105"/>
      <c r="D787" s="4"/>
      <c r="E787" s="4"/>
      <c r="F787" s="28"/>
      <c r="G787" s="28"/>
      <c r="H787" s="83"/>
      <c r="I787" s="4"/>
      <c r="J787" s="4"/>
      <c r="K787" s="4"/>
      <c r="L787" s="4"/>
      <c r="M787" s="4"/>
      <c r="N787" s="28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81"/>
      <c r="AG787" s="81"/>
      <c r="AH787" s="81"/>
      <c r="AI787" s="4"/>
      <c r="AJ787" s="81"/>
      <c r="AK787" s="81"/>
      <c r="AL787" s="81"/>
      <c r="AM787" s="43">
        <v>771</v>
      </c>
      <c r="AN787">
        <v>120.47837112750634</v>
      </c>
      <c r="AO787">
        <v>10.452614187816717</v>
      </c>
      <c r="AP787">
        <v>108.79512228337479</v>
      </c>
      <c r="AQ787">
        <v>91.148213241117901</v>
      </c>
      <c r="AR787">
        <v>9.9558712029695151</v>
      </c>
      <c r="AS787">
        <v>156.81242214734658</v>
      </c>
      <c r="AT787">
        <v>6.6828006702665901</v>
      </c>
      <c r="AU787">
        <v>3.9183529278950382</v>
      </c>
      <c r="AV787"/>
      <c r="AW787"/>
      <c r="FY787" s="210">
        <v>782</v>
      </c>
      <c r="FZ787">
        <v>21.944862722257824</v>
      </c>
      <c r="GA787">
        <v>28.08198903065195</v>
      </c>
      <c r="GB787">
        <v>2.4872762381812556</v>
      </c>
      <c r="GC787">
        <v>1.1648762165349538</v>
      </c>
      <c r="GD787">
        <v>0.94474945273365152</v>
      </c>
      <c r="GE787">
        <v>3.2775695467258004</v>
      </c>
      <c r="GF787">
        <v>9.5287404172030765</v>
      </c>
      <c r="GG787">
        <v>10.311446332920639</v>
      </c>
      <c r="GH787">
        <v>10.728954153584798</v>
      </c>
      <c r="GI787">
        <v>7.8301032390152248</v>
      </c>
      <c r="GJ787"/>
      <c r="GK787"/>
      <c r="GL787"/>
      <c r="GM787"/>
    </row>
    <row r="788" spans="1:195" s="7" customFormat="1">
      <c r="A788" s="4"/>
      <c r="B788" s="4"/>
      <c r="C788" s="105"/>
      <c r="D788" s="4"/>
      <c r="E788" s="4"/>
      <c r="F788" s="28"/>
      <c r="G788" s="28"/>
      <c r="H788" s="83"/>
      <c r="I788" s="4"/>
      <c r="J788" s="4"/>
      <c r="K788" s="4"/>
      <c r="L788" s="4"/>
      <c r="M788" s="4"/>
      <c r="N788" s="28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81"/>
      <c r="AG788" s="81"/>
      <c r="AH788" s="81"/>
      <c r="AI788" s="4"/>
      <c r="AJ788" s="81"/>
      <c r="AK788" s="81"/>
      <c r="AL788" s="81"/>
      <c r="AM788" s="43">
        <v>772</v>
      </c>
      <c r="AN788">
        <v>147.41316899122489</v>
      </c>
      <c r="AO788">
        <v>12.098617822358825</v>
      </c>
      <c r="AP788">
        <v>124.80656233556147</v>
      </c>
      <c r="AQ788">
        <v>104.90267824571862</v>
      </c>
      <c r="AR788">
        <v>11.531395546406339</v>
      </c>
      <c r="AS788">
        <v>201.37619622114602</v>
      </c>
      <c r="AT788">
        <v>6.5420408756453279</v>
      </c>
      <c r="AU788">
        <v>45.066675736613938</v>
      </c>
      <c r="AV788"/>
      <c r="AW788"/>
      <c r="FY788" s="210">
        <v>783</v>
      </c>
      <c r="FZ788">
        <v>43.441075480551497</v>
      </c>
      <c r="GA788">
        <v>53.249764540120466</v>
      </c>
      <c r="GB788">
        <v>2.4185693753168587</v>
      </c>
      <c r="GC788">
        <v>0.7725949183589147</v>
      </c>
      <c r="GD788">
        <v>1.1004102859034406</v>
      </c>
      <c r="GE788">
        <v>3.4002621445361183</v>
      </c>
      <c r="GF788">
        <v>4.878105576542465</v>
      </c>
      <c r="GG788">
        <v>7.3456109796035491</v>
      </c>
      <c r="GH788">
        <v>9.246736527307009</v>
      </c>
      <c r="GI788">
        <v>10.006391093102362</v>
      </c>
      <c r="GJ788"/>
      <c r="GK788"/>
      <c r="GL788"/>
      <c r="GM788"/>
    </row>
    <row r="789" spans="1:195" s="7" customFormat="1">
      <c r="A789" s="4"/>
      <c r="B789" s="4"/>
      <c r="C789" s="105"/>
      <c r="D789" s="4"/>
      <c r="E789" s="4"/>
      <c r="F789" s="28"/>
      <c r="G789" s="28"/>
      <c r="H789" s="83"/>
      <c r="I789" s="4"/>
      <c r="J789" s="4"/>
      <c r="K789" s="4"/>
      <c r="L789" s="4"/>
      <c r="M789" s="4"/>
      <c r="N789" s="28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81"/>
      <c r="AG789" s="81"/>
      <c r="AH789" s="81"/>
      <c r="AI789" s="4"/>
      <c r="AJ789" s="81"/>
      <c r="AK789" s="81"/>
      <c r="AL789" s="81"/>
      <c r="AM789" s="43">
        <v>773</v>
      </c>
      <c r="AN789">
        <v>109.37381520835615</v>
      </c>
      <c r="AO789">
        <v>11.587951666410046</v>
      </c>
      <c r="AP789">
        <v>120.75306303522171</v>
      </c>
      <c r="AQ789">
        <v>104.07123606377004</v>
      </c>
      <c r="AR789">
        <v>11.028498679509278</v>
      </c>
      <c r="AS789">
        <v>201.87183829546746</v>
      </c>
      <c r="AT789">
        <v>6.9638391925012728</v>
      </c>
      <c r="AU789">
        <v>17.278710910569643</v>
      </c>
      <c r="AV789"/>
      <c r="AW789"/>
      <c r="FY789" s="210">
        <v>784</v>
      </c>
      <c r="FZ789">
        <v>32.867031920512481</v>
      </c>
      <c r="GA789">
        <v>40.667712183196109</v>
      </c>
      <c r="GB789">
        <v>2.9693755081451245</v>
      </c>
      <c r="GC789">
        <v>1.2023546409697063</v>
      </c>
      <c r="GD789">
        <v>0.92268198659481759</v>
      </c>
      <c r="GE789">
        <v>3.2548692785586946</v>
      </c>
      <c r="GF789">
        <v>9.3552222531156097</v>
      </c>
      <c r="GG789">
        <v>10.992040990224993</v>
      </c>
      <c r="GH789">
        <v>9.5056944778031109</v>
      </c>
      <c r="GI789">
        <v>9.3286824499525469</v>
      </c>
      <c r="GJ789"/>
      <c r="GK789"/>
      <c r="GL789"/>
      <c r="GM789"/>
    </row>
    <row r="790" spans="1:195" s="7" customFormat="1">
      <c r="A790" s="4"/>
      <c r="B790" s="4"/>
      <c r="C790" s="105"/>
      <c r="D790" s="4"/>
      <c r="E790" s="4"/>
      <c r="F790" s="28"/>
      <c r="G790" s="28"/>
      <c r="H790" s="83"/>
      <c r="I790" s="4"/>
      <c r="J790" s="4"/>
      <c r="K790" s="4"/>
      <c r="L790" s="4"/>
      <c r="M790" s="4"/>
      <c r="N790" s="28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81"/>
      <c r="AG790" s="81"/>
      <c r="AH790" s="81"/>
      <c r="AI790" s="4"/>
      <c r="AJ790" s="81"/>
      <c r="AK790" s="81"/>
      <c r="AL790" s="81"/>
      <c r="AM790" s="43">
        <v>774</v>
      </c>
      <c r="AN790">
        <v>66.402382227645987</v>
      </c>
      <c r="AO790">
        <v>3.8488456483570013</v>
      </c>
      <c r="AP790">
        <v>32.22880545664794</v>
      </c>
      <c r="AQ790">
        <v>26.885213290689432</v>
      </c>
      <c r="AR790">
        <v>3.9390391339447337</v>
      </c>
      <c r="AS790">
        <v>74.877982623622984</v>
      </c>
      <c r="AT790">
        <v>2.4239950475044716</v>
      </c>
      <c r="AU790">
        <v>-11.982154433440861</v>
      </c>
      <c r="AV790"/>
      <c r="AW790"/>
      <c r="FY790" s="210">
        <v>785</v>
      </c>
      <c r="FZ790">
        <v>17.02940905456682</v>
      </c>
      <c r="GA790">
        <v>16.723612183110681</v>
      </c>
      <c r="GB790">
        <v>2.4172087475608883</v>
      </c>
      <c r="GC790">
        <v>0.88560202455923587</v>
      </c>
      <c r="GD790">
        <v>0.78365987460492104</v>
      </c>
      <c r="GE790">
        <v>1.3611953235972165</v>
      </c>
      <c r="GF790">
        <v>2.603935239829243</v>
      </c>
      <c r="GG790">
        <v>9.3225129644368767</v>
      </c>
      <c r="GH790">
        <v>13.367366524953802</v>
      </c>
      <c r="GI790">
        <v>6.1505667880807167</v>
      </c>
      <c r="GJ790"/>
      <c r="GK790"/>
      <c r="GL790"/>
      <c r="GM790"/>
    </row>
    <row r="791" spans="1:195" s="7" customFormat="1">
      <c r="A791" s="4"/>
      <c r="B791" s="4"/>
      <c r="C791" s="105"/>
      <c r="D791" s="4"/>
      <c r="E791" s="4"/>
      <c r="F791" s="28"/>
      <c r="G791" s="28"/>
      <c r="H791" s="83"/>
      <c r="I791" s="4"/>
      <c r="J791" s="4"/>
      <c r="K791" s="4"/>
      <c r="L791" s="4"/>
      <c r="M791" s="4"/>
      <c r="N791" s="28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81"/>
      <c r="AG791" s="81"/>
      <c r="AH791" s="81"/>
      <c r="AI791" s="4"/>
      <c r="AJ791" s="81"/>
      <c r="AK791" s="81"/>
      <c r="AL791" s="81"/>
      <c r="AM791" s="43">
        <v>775</v>
      </c>
      <c r="AN791">
        <v>107.72425187654576</v>
      </c>
      <c r="AO791">
        <v>10.662934279744999</v>
      </c>
      <c r="AP791">
        <v>106.56292973985576</v>
      </c>
      <c r="AQ791">
        <v>90.882515220725182</v>
      </c>
      <c r="AR791">
        <v>10.36732649603114</v>
      </c>
      <c r="AS791">
        <v>156.22285432341315</v>
      </c>
      <c r="AT791">
        <v>6.6477083400030734</v>
      </c>
      <c r="AU791">
        <v>17.987264133539682</v>
      </c>
      <c r="AV791"/>
      <c r="AW791"/>
      <c r="FY791" s="210">
        <v>786</v>
      </c>
      <c r="FZ791">
        <v>26.642495746338739</v>
      </c>
      <c r="GA791">
        <v>27.621905118209991</v>
      </c>
      <c r="GB791">
        <v>1.648247781994066</v>
      </c>
      <c r="GC791">
        <v>0.59241032209385214</v>
      </c>
      <c r="GD791">
        <v>0.49671017060092226</v>
      </c>
      <c r="GE791">
        <v>1.5172776488693449</v>
      </c>
      <c r="GF791">
        <v>4.6600476557693531</v>
      </c>
      <c r="GG791">
        <v>6.8007997745750526</v>
      </c>
      <c r="GH791">
        <v>8.1370501852764079</v>
      </c>
      <c r="GI791">
        <v>6.7557277492158514</v>
      </c>
      <c r="GJ791"/>
      <c r="GK791"/>
      <c r="GL791"/>
      <c r="GM791"/>
    </row>
    <row r="792" spans="1:195" s="7" customFormat="1">
      <c r="A792" s="4"/>
      <c r="B792" s="4"/>
      <c r="C792" s="105"/>
      <c r="D792" s="4"/>
      <c r="E792" s="4"/>
      <c r="F792" s="28"/>
      <c r="G792" s="28"/>
      <c r="H792" s="83"/>
      <c r="I792" s="4"/>
      <c r="J792" s="4"/>
      <c r="K792" s="4"/>
      <c r="L792" s="4"/>
      <c r="M792" s="4"/>
      <c r="N792" s="28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81"/>
      <c r="AG792" s="81"/>
      <c r="AH792" s="81"/>
      <c r="AI792" s="4"/>
      <c r="AJ792" s="81"/>
      <c r="AK792" s="81"/>
      <c r="AL792" s="81"/>
      <c r="AM792" s="43">
        <v>776</v>
      </c>
      <c r="AN792">
        <v>96.46209895161239</v>
      </c>
      <c r="AO792">
        <v>11.896434795092839</v>
      </c>
      <c r="AP792">
        <v>126.95585942264088</v>
      </c>
      <c r="AQ792">
        <v>108.49838512726032</v>
      </c>
      <c r="AR792">
        <v>11.484346867585748</v>
      </c>
      <c r="AS792">
        <v>155.92085587471522</v>
      </c>
      <c r="AT792">
        <v>6.9955380266822971</v>
      </c>
      <c r="AU792">
        <v>62.041752789007518</v>
      </c>
      <c r="AV792"/>
      <c r="AW792"/>
      <c r="FY792" s="210">
        <v>787</v>
      </c>
      <c r="FZ792">
        <v>11.627558891138673</v>
      </c>
      <c r="GA792">
        <v>15.311899061294643</v>
      </c>
      <c r="GB792">
        <v>3.0938920089901272</v>
      </c>
      <c r="GC792">
        <v>1.6621284453368719</v>
      </c>
      <c r="GD792">
        <v>1.167880699030204</v>
      </c>
      <c r="GE792">
        <v>2.3280603792122943</v>
      </c>
      <c r="GF792">
        <v>4.6442363078119193</v>
      </c>
      <c r="GG792">
        <v>4.3741061937291121</v>
      </c>
      <c r="GH792">
        <v>4.8939994492286845</v>
      </c>
      <c r="GI792">
        <v>4.7767017248893886</v>
      </c>
      <c r="GJ792"/>
      <c r="GK792"/>
      <c r="GL792"/>
      <c r="GM792"/>
    </row>
    <row r="793" spans="1:195" s="7" customFormat="1">
      <c r="A793" s="4"/>
      <c r="B793" s="4"/>
      <c r="C793" s="105"/>
      <c r="D793" s="4"/>
      <c r="E793" s="4"/>
      <c r="F793" s="28"/>
      <c r="G793" s="28"/>
      <c r="H793" s="83"/>
      <c r="I793" s="4"/>
      <c r="J793" s="4"/>
      <c r="K793" s="4"/>
      <c r="L793" s="4"/>
      <c r="M793" s="4"/>
      <c r="N793" s="28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81"/>
      <c r="AG793" s="81"/>
      <c r="AH793" s="81"/>
      <c r="AI793" s="4"/>
      <c r="AJ793" s="81"/>
      <c r="AK793" s="81"/>
      <c r="AL793" s="81"/>
      <c r="AM793" s="43">
        <v>777</v>
      </c>
      <c r="AN793">
        <v>162.05989141506879</v>
      </c>
      <c r="AO793">
        <v>15.541846192644357</v>
      </c>
      <c r="AP793">
        <v>157.5614774518358</v>
      </c>
      <c r="AQ793">
        <v>133.73304700166395</v>
      </c>
      <c r="AR793">
        <v>14.908557464505643</v>
      </c>
      <c r="AS793">
        <v>234.23021357076263</v>
      </c>
      <c r="AT793">
        <v>9.1584968614843483</v>
      </c>
      <c r="AU793">
        <v>60.19125432107537</v>
      </c>
      <c r="AV793"/>
      <c r="AW793"/>
      <c r="FY793" s="210">
        <v>788</v>
      </c>
      <c r="FZ793">
        <v>4.2090331098757581</v>
      </c>
      <c r="GA793">
        <v>2.0382636405251189</v>
      </c>
      <c r="GB793">
        <v>2.2108987712579489</v>
      </c>
      <c r="GC793">
        <v>1.0565974594898095</v>
      </c>
      <c r="GD793">
        <v>0.98168368332953815</v>
      </c>
      <c r="GE793">
        <v>1.9037453833009783</v>
      </c>
      <c r="GF793">
        <v>5.2139283438739952</v>
      </c>
      <c r="GG793">
        <v>8.295873878906999</v>
      </c>
      <c r="GH793">
        <v>9.0785855356459866</v>
      </c>
      <c r="GI793">
        <v>4.1290919758638882</v>
      </c>
      <c r="GJ793"/>
      <c r="GK793"/>
      <c r="GL793"/>
      <c r="GM793"/>
    </row>
    <row r="794" spans="1:195" s="7" customFormat="1">
      <c r="A794" s="4"/>
      <c r="B794" s="4"/>
      <c r="C794" s="105"/>
      <c r="D794" s="4"/>
      <c r="E794" s="4"/>
      <c r="F794" s="28"/>
      <c r="G794" s="28"/>
      <c r="H794" s="83"/>
      <c r="I794" s="4"/>
      <c r="J794" s="4"/>
      <c r="K794" s="4"/>
      <c r="L794" s="4"/>
      <c r="M794" s="4"/>
      <c r="N794" s="28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81"/>
      <c r="AG794" s="81"/>
      <c r="AH794" s="81"/>
      <c r="AI794" s="4"/>
      <c r="AJ794" s="81"/>
      <c r="AK794" s="81"/>
      <c r="AL794" s="81"/>
      <c r="AM794" s="43">
        <v>778</v>
      </c>
      <c r="AN794">
        <v>130.42690493281643</v>
      </c>
      <c r="AO794">
        <v>15.400157053653922</v>
      </c>
      <c r="AP794">
        <v>164.93932500523201</v>
      </c>
      <c r="AQ794">
        <v>140.56905930750864</v>
      </c>
      <c r="AR794">
        <v>14.464733315367955</v>
      </c>
      <c r="AS794">
        <v>208.77415323258955</v>
      </c>
      <c r="AT794">
        <v>9.8460506979204485</v>
      </c>
      <c r="AU794">
        <v>22.218615255121534</v>
      </c>
      <c r="AV794"/>
      <c r="AW794"/>
      <c r="FY794" s="210">
        <v>789</v>
      </c>
      <c r="FZ794">
        <v>21.741212821654624</v>
      </c>
      <c r="GA794">
        <v>28.518256332437488</v>
      </c>
      <c r="GB794">
        <v>3.1463193340942857</v>
      </c>
      <c r="GC794">
        <v>1.2577929388149161</v>
      </c>
      <c r="GD794">
        <v>1.3569663779995964</v>
      </c>
      <c r="GE794">
        <v>3.6774815345490817</v>
      </c>
      <c r="GF794">
        <v>9.4918817582955608</v>
      </c>
      <c r="GG794">
        <v>16.258385541230599</v>
      </c>
      <c r="GH794">
        <v>17.023801035494881</v>
      </c>
      <c r="GI794">
        <v>9.1999490651227536</v>
      </c>
      <c r="GJ794"/>
      <c r="GK794"/>
      <c r="GL794"/>
      <c r="GM794"/>
    </row>
    <row r="795" spans="1:195" s="7" customFormat="1">
      <c r="A795" s="4"/>
      <c r="B795" s="4"/>
      <c r="C795" s="105"/>
      <c r="D795" s="4"/>
      <c r="E795" s="4"/>
      <c r="F795" s="28"/>
      <c r="G795" s="28"/>
      <c r="H795" s="83"/>
      <c r="I795" s="4"/>
      <c r="J795" s="4"/>
      <c r="K795" s="4"/>
      <c r="L795" s="4"/>
      <c r="M795" s="4"/>
      <c r="N795" s="28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81"/>
      <c r="AG795" s="81"/>
      <c r="AH795" s="81"/>
      <c r="AI795" s="4"/>
      <c r="AJ795" s="81"/>
      <c r="AK795" s="81"/>
      <c r="AL795" s="81"/>
      <c r="AM795" s="43">
        <v>779</v>
      </c>
      <c r="AN795">
        <v>144.93859502216162</v>
      </c>
      <c r="AO795">
        <v>7.6073179916141385</v>
      </c>
      <c r="AP795">
        <v>68.627893304906877</v>
      </c>
      <c r="AQ795">
        <v>56.491833855074219</v>
      </c>
      <c r="AR795">
        <v>7.4172128520771707</v>
      </c>
      <c r="AS795">
        <v>166.19679366211196</v>
      </c>
      <c r="AT795" t="e">
        <v>#DIV/0!</v>
      </c>
      <c r="AU795" t="e">
        <v>#DIV/0!</v>
      </c>
      <c r="AV795"/>
      <c r="AW795"/>
      <c r="FY795" s="210">
        <v>790</v>
      </c>
      <c r="FZ795">
        <v>22.264333555399762</v>
      </c>
      <c r="GA795">
        <v>27.204620829191121</v>
      </c>
      <c r="GB795">
        <v>2.022907907797677</v>
      </c>
      <c r="GC795">
        <v>1.1567352994316229</v>
      </c>
      <c r="GD795">
        <v>0.60140695924752496</v>
      </c>
      <c r="GE795">
        <v>2.0213017301649776</v>
      </c>
      <c r="GF795">
        <v>3.6966062082303646</v>
      </c>
      <c r="GG795">
        <v>8.9853545960801693</v>
      </c>
      <c r="GH795">
        <v>12.286901883105397</v>
      </c>
      <c r="GI795">
        <v>6.7452079777962144</v>
      </c>
      <c r="GJ795"/>
      <c r="GK795"/>
      <c r="GL795"/>
      <c r="GM795"/>
    </row>
    <row r="796" spans="1:195" s="7" customFormat="1">
      <c r="A796" s="4"/>
      <c r="B796" s="4"/>
      <c r="C796" s="105"/>
      <c r="D796" s="4"/>
      <c r="E796" s="4"/>
      <c r="F796" s="28"/>
      <c r="G796" s="28"/>
      <c r="H796" s="83"/>
      <c r="I796" s="4"/>
      <c r="J796" s="4"/>
      <c r="K796" s="4"/>
      <c r="L796" s="4"/>
      <c r="M796" s="4"/>
      <c r="N796" s="28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81"/>
      <c r="AG796" s="81"/>
      <c r="AH796" s="81"/>
      <c r="AI796" s="4"/>
      <c r="AJ796" s="81"/>
      <c r="AK796" s="81"/>
      <c r="AL796" s="81"/>
      <c r="AM796" s="43">
        <v>780</v>
      </c>
      <c r="AN796">
        <v>98.983540862993749</v>
      </c>
      <c r="AO796">
        <v>5.3788613004784791</v>
      </c>
      <c r="AP796">
        <v>46.470459328197308</v>
      </c>
      <c r="AQ796">
        <v>37.919562400622425</v>
      </c>
      <c r="AR796">
        <v>5.2458537667239238</v>
      </c>
      <c r="AS796">
        <v>98.756236310685182</v>
      </c>
      <c r="AT796">
        <v>3.4503484999714664</v>
      </c>
      <c r="AU796">
        <v>-23.865542123853619</v>
      </c>
      <c r="AV796"/>
      <c r="AW796"/>
      <c r="FY796" s="210">
        <v>791</v>
      </c>
      <c r="FZ796">
        <v>11.644684139637409</v>
      </c>
      <c r="GA796">
        <v>15.619120624753855</v>
      </c>
      <c r="GB796">
        <v>2.798037475079175</v>
      </c>
      <c r="GC796">
        <v>1.0120760345670037</v>
      </c>
      <c r="GD796">
        <v>0.11383084318722744</v>
      </c>
      <c r="GE796">
        <v>1.0568438029818155</v>
      </c>
      <c r="GF796">
        <v>6.1310438463241432</v>
      </c>
      <c r="GG796">
        <v>11.671034360405361</v>
      </c>
      <c r="GH796">
        <v>13.97802857306276</v>
      </c>
      <c r="GI796">
        <v>5.7979986585588899</v>
      </c>
      <c r="GJ796"/>
      <c r="GK796"/>
      <c r="GL796"/>
      <c r="GM796"/>
    </row>
    <row r="797" spans="1:195" s="7" customFormat="1">
      <c r="A797" s="4"/>
      <c r="B797" s="4"/>
      <c r="C797" s="105"/>
      <c r="D797" s="4"/>
      <c r="E797" s="4"/>
      <c r="F797" s="28"/>
      <c r="G797" s="28"/>
      <c r="H797" s="83"/>
      <c r="I797" s="4"/>
      <c r="J797" s="4"/>
      <c r="K797" s="4"/>
      <c r="L797" s="4"/>
      <c r="M797" s="4"/>
      <c r="N797" s="28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81"/>
      <c r="AG797" s="81"/>
      <c r="AH797" s="81"/>
      <c r="AI797" s="4"/>
      <c r="AJ797" s="81"/>
      <c r="AK797" s="81"/>
      <c r="AL797" s="81"/>
      <c r="AM797" s="43">
        <v>781</v>
      </c>
      <c r="AN797">
        <v>110.70862984390048</v>
      </c>
      <c r="AO797">
        <v>11.915280354222372</v>
      </c>
      <c r="AP797">
        <v>123.74124495640187</v>
      </c>
      <c r="AQ797">
        <v>107.82635983114527</v>
      </c>
      <c r="AR797">
        <v>11.592706858854697</v>
      </c>
      <c r="AS797">
        <v>199.5192740420901</v>
      </c>
      <c r="AT797">
        <v>6.8753277123100673</v>
      </c>
      <c r="AU797">
        <v>62.024586876311957</v>
      </c>
      <c r="AV797"/>
      <c r="AW797"/>
      <c r="FY797" s="210">
        <v>792</v>
      </c>
      <c r="FZ797">
        <v>16.543548101584562</v>
      </c>
      <c r="GA797">
        <v>16.839148408374776</v>
      </c>
      <c r="GB797">
        <v>3.0313935010781154</v>
      </c>
      <c r="GC797">
        <v>1.1098886138216588</v>
      </c>
      <c r="GD797">
        <v>0.57792176378689852</v>
      </c>
      <c r="GE797">
        <v>1.1297912525665144</v>
      </c>
      <c r="GF797">
        <v>2.7311991495410446</v>
      </c>
      <c r="GG797">
        <v>8.8597359972264211</v>
      </c>
      <c r="GH797">
        <v>11.478144856516005</v>
      </c>
      <c r="GI797">
        <v>5.837859856873961</v>
      </c>
      <c r="GJ797"/>
      <c r="GK797"/>
      <c r="GL797"/>
      <c r="GM797"/>
    </row>
    <row r="798" spans="1:195" s="7" customFormat="1">
      <c r="A798" s="4"/>
      <c r="B798" s="4"/>
      <c r="C798" s="105"/>
      <c r="D798" s="4"/>
      <c r="E798" s="4"/>
      <c r="F798" s="28"/>
      <c r="G798" s="28"/>
      <c r="H798" s="83"/>
      <c r="I798" s="4"/>
      <c r="J798" s="4"/>
      <c r="K798" s="4"/>
      <c r="L798" s="4"/>
      <c r="M798" s="4"/>
      <c r="N798" s="28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81"/>
      <c r="AG798" s="81"/>
      <c r="AH798" s="81"/>
      <c r="AI798" s="4"/>
      <c r="AJ798" s="81"/>
      <c r="AK798" s="81"/>
      <c r="AL798" s="81"/>
      <c r="AM798" s="43">
        <v>782</v>
      </c>
      <c r="AN798">
        <v>139.5901353546804</v>
      </c>
      <c r="AO798">
        <v>11.308878440074119</v>
      </c>
      <c r="AP798">
        <v>113.91352089211247</v>
      </c>
      <c r="AQ798">
        <v>96.300567349809185</v>
      </c>
      <c r="AR798">
        <v>10.774871873519805</v>
      </c>
      <c r="AS798">
        <v>166.88063635137888</v>
      </c>
      <c r="AT798">
        <v>6.4460597657968828</v>
      </c>
      <c r="AU798">
        <v>22.531501483206508</v>
      </c>
      <c r="AV798"/>
      <c r="AW798"/>
      <c r="FY798" s="210">
        <v>793</v>
      </c>
      <c r="FZ798">
        <v>21.846882765350585</v>
      </c>
      <c r="GA798">
        <v>26.604949437280435</v>
      </c>
      <c r="GB798">
        <v>2.6511744469109004</v>
      </c>
      <c r="GC798">
        <v>1.5166163728893871</v>
      </c>
      <c r="GD798">
        <v>0.70353406770952231</v>
      </c>
      <c r="GE798">
        <v>2.4088699986077287</v>
      </c>
      <c r="GF798">
        <v>11.252690959990304</v>
      </c>
      <c r="GG798">
        <v>9.0879682936763047</v>
      </c>
      <c r="GH798">
        <v>6.8848486339078878</v>
      </c>
      <c r="GI798">
        <v>7.4161272094776276</v>
      </c>
      <c r="GJ798"/>
      <c r="GK798"/>
      <c r="GL798"/>
      <c r="GM798"/>
    </row>
    <row r="799" spans="1:195" s="7" customFormat="1">
      <c r="A799" s="4"/>
      <c r="B799" s="4"/>
      <c r="C799" s="105"/>
      <c r="D799" s="4"/>
      <c r="E799" s="4"/>
      <c r="F799" s="28"/>
      <c r="G799" s="28"/>
      <c r="H799" s="83"/>
      <c r="I799" s="4"/>
      <c r="J799" s="4"/>
      <c r="K799" s="4"/>
      <c r="L799" s="4"/>
      <c r="M799" s="4"/>
      <c r="N799" s="28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81"/>
      <c r="AG799" s="81"/>
      <c r="AH799" s="81"/>
      <c r="AI799" s="4"/>
      <c r="AJ799" s="81"/>
      <c r="AK799" s="81"/>
      <c r="AL799" s="81"/>
      <c r="AM799" s="43">
        <v>783</v>
      </c>
      <c r="AN799">
        <v>111.75976278409667</v>
      </c>
      <c r="AO799">
        <v>14.802800039193636</v>
      </c>
      <c r="AP799">
        <v>156.84473067816299</v>
      </c>
      <c r="AQ799">
        <v>135.85952092134269</v>
      </c>
      <c r="AR799">
        <v>13.921988936531021</v>
      </c>
      <c r="AS799">
        <v>206.90602053572408</v>
      </c>
      <c r="AT799">
        <v>8.613964901676308</v>
      </c>
      <c r="AU799">
        <v>18.281976502961655</v>
      </c>
      <c r="AV799"/>
      <c r="AW799"/>
      <c r="FY799" s="210">
        <v>794</v>
      </c>
      <c r="FZ799">
        <v>23.176112110109887</v>
      </c>
      <c r="GA799">
        <v>27.073902536929186</v>
      </c>
      <c r="GB799">
        <v>2.3319497877291053</v>
      </c>
      <c r="GC799">
        <v>1.1867471301651524</v>
      </c>
      <c r="GD799">
        <v>0.77490176357317564</v>
      </c>
      <c r="GE799">
        <v>2.9078414663768326</v>
      </c>
      <c r="GF799">
        <v>13.835173763436655</v>
      </c>
      <c r="GG799">
        <v>12.257471534029452</v>
      </c>
      <c r="GH799">
        <v>7.9968300406720481</v>
      </c>
      <c r="GI799">
        <v>8.2179224165762026</v>
      </c>
      <c r="GJ799"/>
      <c r="GK799"/>
      <c r="GL799"/>
      <c r="GM799"/>
    </row>
    <row r="800" spans="1:195" s="7" customFormat="1">
      <c r="A800" s="4"/>
      <c r="B800" s="4"/>
      <c r="C800" s="105"/>
      <c r="D800" s="4"/>
      <c r="E800" s="4"/>
      <c r="F800" s="28"/>
      <c r="G800" s="28"/>
      <c r="H800" s="83"/>
      <c r="I800" s="4"/>
      <c r="J800" s="4"/>
      <c r="K800" s="4"/>
      <c r="L800" s="4"/>
      <c r="M800" s="4"/>
      <c r="N800" s="28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81"/>
      <c r="AG800" s="81"/>
      <c r="AH800" s="81"/>
      <c r="AI800" s="4"/>
      <c r="AJ800" s="81"/>
      <c r="AK800" s="81"/>
      <c r="AL800" s="81"/>
      <c r="AM800" s="43">
        <v>784</v>
      </c>
      <c r="AN800">
        <v>147.24972411718721</v>
      </c>
      <c r="AO800">
        <v>13.746124251842158</v>
      </c>
      <c r="AP800">
        <v>141.98710861774049</v>
      </c>
      <c r="AQ800">
        <v>121.06566568907321</v>
      </c>
      <c r="AR800">
        <v>12.909488717108491</v>
      </c>
      <c r="AS800">
        <v>174.48121828925579</v>
      </c>
      <c r="AT800">
        <v>7.9659567640325308</v>
      </c>
      <c r="AU800">
        <v>55.930961352658926</v>
      </c>
      <c r="AV800"/>
      <c r="AW800"/>
      <c r="FY800" s="210">
        <v>795</v>
      </c>
      <c r="FZ800">
        <v>23.573585590345523</v>
      </c>
      <c r="GA800">
        <v>28.424213106504208</v>
      </c>
      <c r="GB800">
        <v>1.6052351385473551</v>
      </c>
      <c r="GC800">
        <v>0.28986314603063379</v>
      </c>
      <c r="GD800">
        <v>0.54505679646971239</v>
      </c>
      <c r="GE800">
        <v>3.8763768470962621</v>
      </c>
      <c r="GF800">
        <v>11.298501836252262</v>
      </c>
      <c r="GG800">
        <v>7.8939215819201021</v>
      </c>
      <c r="GH800">
        <v>6.3472162302078008</v>
      </c>
      <c r="GI800">
        <v>7.2448380129504217</v>
      </c>
      <c r="GJ800"/>
      <c r="GK800"/>
      <c r="GL800"/>
      <c r="GM800"/>
    </row>
    <row r="801" spans="1:195" s="7" customFormat="1">
      <c r="A801" s="4"/>
      <c r="B801" s="4"/>
      <c r="C801" s="105"/>
      <c r="D801" s="4"/>
      <c r="E801" s="4"/>
      <c r="F801" s="28"/>
      <c r="G801" s="28"/>
      <c r="H801" s="83"/>
      <c r="I801" s="4"/>
      <c r="J801" s="4"/>
      <c r="K801" s="4"/>
      <c r="L801" s="4"/>
      <c r="M801" s="4"/>
      <c r="N801" s="28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81"/>
      <c r="AG801" s="81"/>
      <c r="AH801" s="81"/>
      <c r="AI801" s="4"/>
      <c r="AJ801" s="81"/>
      <c r="AK801" s="81"/>
      <c r="AL801" s="81"/>
      <c r="AM801" s="43">
        <v>785</v>
      </c>
      <c r="AN801">
        <v>107.0074109362635</v>
      </c>
      <c r="AO801">
        <v>8.3473788860132654</v>
      </c>
      <c r="AP801">
        <v>83.795178592943685</v>
      </c>
      <c r="AQ801">
        <v>70.645068725300405</v>
      </c>
      <c r="AR801">
        <v>8.5757751115160339</v>
      </c>
      <c r="AS801">
        <v>146.38704939793473</v>
      </c>
      <c r="AT801">
        <v>4.9236519662495297</v>
      </c>
      <c r="AU801">
        <v>47.942749578357763</v>
      </c>
      <c r="AV801"/>
      <c r="AW801"/>
      <c r="FY801" s="210">
        <v>796</v>
      </c>
      <c r="FZ801">
        <v>22.744154296066636</v>
      </c>
      <c r="GA801">
        <v>28.529888931876929</v>
      </c>
      <c r="GB801">
        <v>2.973365455463755</v>
      </c>
      <c r="GC801">
        <v>0.85938375353424479</v>
      </c>
      <c r="GD801">
        <v>1.3428929241597829</v>
      </c>
      <c r="GE801">
        <v>5.0469623872830676</v>
      </c>
      <c r="GF801">
        <v>11.170870862241179</v>
      </c>
      <c r="GG801">
        <v>8.9786530318576574</v>
      </c>
      <c r="GH801">
        <v>7.1276770485401526</v>
      </c>
      <c r="GI801">
        <v>8.0309533260812103</v>
      </c>
      <c r="GJ801"/>
      <c r="GK801"/>
      <c r="GL801"/>
      <c r="GM801"/>
    </row>
    <row r="802" spans="1:195" s="7" customFormat="1">
      <c r="A802" s="4"/>
      <c r="B802" s="4"/>
      <c r="C802" s="105"/>
      <c r="D802" s="4"/>
      <c r="E802" s="4"/>
      <c r="F802" s="28"/>
      <c r="G802" s="28"/>
      <c r="H802" s="83"/>
      <c r="I802" s="4"/>
      <c r="J802" s="4"/>
      <c r="K802" s="4"/>
      <c r="L802" s="4"/>
      <c r="M802" s="4"/>
      <c r="N802" s="28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81"/>
      <c r="AG802" s="81"/>
      <c r="AH802" s="81"/>
      <c r="AI802" s="4"/>
      <c r="AJ802" s="81"/>
      <c r="AK802" s="81"/>
      <c r="AL802" s="81"/>
      <c r="AM802" s="43">
        <v>786</v>
      </c>
      <c r="AN802">
        <v>96.110237487005222</v>
      </c>
      <c r="AO802">
        <v>9.38979748449729</v>
      </c>
      <c r="AP802">
        <v>99.374651243662399</v>
      </c>
      <c r="AQ802">
        <v>84.872672152943579</v>
      </c>
      <c r="AR802">
        <v>9.3852203930207878</v>
      </c>
      <c r="AS802">
        <v>148.42753972013605</v>
      </c>
      <c r="AT802">
        <v>6.07659251501111</v>
      </c>
      <c r="AU802">
        <v>25.101535239919244</v>
      </c>
      <c r="AV802"/>
      <c r="AW802"/>
      <c r="FY802" s="210">
        <v>797</v>
      </c>
      <c r="FZ802">
        <v>23.910307078090511</v>
      </c>
      <c r="GA802">
        <v>27.341210051597933</v>
      </c>
      <c r="GB802">
        <v>0.84812964527169266</v>
      </c>
      <c r="GC802">
        <v>0.34903804578700892</v>
      </c>
      <c r="GD802">
        <v>1.4214457509714395</v>
      </c>
      <c r="GE802">
        <v>6.5300322035355824</v>
      </c>
      <c r="GF802">
        <v>14.119616197356562</v>
      </c>
      <c r="GG802">
        <v>10.776614437247177</v>
      </c>
      <c r="GH802">
        <v>8.5619984064791108</v>
      </c>
      <c r="GI802">
        <v>8.4860614787146442</v>
      </c>
      <c r="GJ802"/>
      <c r="GK802"/>
      <c r="GL802"/>
      <c r="GM802"/>
    </row>
    <row r="803" spans="1:195" s="7" customFormat="1">
      <c r="A803" s="4"/>
      <c r="B803" s="4"/>
      <c r="C803" s="105"/>
      <c r="D803" s="4"/>
      <c r="E803" s="4"/>
      <c r="F803" s="28"/>
      <c r="G803" s="28"/>
      <c r="H803" s="83"/>
      <c r="I803" s="4"/>
      <c r="J803" s="4"/>
      <c r="K803" s="4"/>
      <c r="L803" s="4"/>
      <c r="M803" s="4"/>
      <c r="N803" s="28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81"/>
      <c r="AG803" s="81"/>
      <c r="AH803" s="81"/>
      <c r="AI803" s="4"/>
      <c r="AJ803" s="81"/>
      <c r="AK803" s="81"/>
      <c r="AL803" s="81"/>
      <c r="AM803" s="43">
        <v>787</v>
      </c>
      <c r="AN803">
        <v>69.576568405339827</v>
      </c>
      <c r="AO803">
        <v>6.823750525793562</v>
      </c>
      <c r="AP803">
        <v>63.399867966963761</v>
      </c>
      <c r="AQ803">
        <v>53.880463160661918</v>
      </c>
      <c r="AR803">
        <v>6.6015882002825466</v>
      </c>
      <c r="AS803">
        <v>125.93334393731541</v>
      </c>
      <c r="AT803">
        <v>4.3127792680273949</v>
      </c>
      <c r="AU803">
        <v>9.0065295721986622</v>
      </c>
      <c r="AV803"/>
      <c r="AW803"/>
      <c r="FY803" s="210">
        <v>798</v>
      </c>
      <c r="FZ803">
        <v>25.280105091331531</v>
      </c>
      <c r="GA803">
        <v>27.698711921176383</v>
      </c>
      <c r="GB803">
        <v>3.8297694360916883</v>
      </c>
      <c r="GC803">
        <v>2.1110099337832247</v>
      </c>
      <c r="GD803">
        <v>1.0643081454001198</v>
      </c>
      <c r="GE803">
        <v>2.7198214547593107</v>
      </c>
      <c r="GF803">
        <v>4.1832979482201251</v>
      </c>
      <c r="GG803">
        <v>6.085197081547868</v>
      </c>
      <c r="GH803">
        <v>7.7529729433215664</v>
      </c>
      <c r="GI803">
        <v>7.2802938535759258</v>
      </c>
      <c r="GJ803"/>
      <c r="GK803"/>
      <c r="GL803"/>
      <c r="GM803"/>
    </row>
    <row r="804" spans="1:195" s="7" customFormat="1">
      <c r="A804" s="4"/>
      <c r="B804" s="4"/>
      <c r="C804" s="105"/>
      <c r="D804" s="4"/>
      <c r="E804" s="4"/>
      <c r="F804" s="28"/>
      <c r="G804" s="28"/>
      <c r="H804" s="83"/>
      <c r="I804" s="4"/>
      <c r="J804" s="4"/>
      <c r="K804" s="4"/>
      <c r="L804" s="4"/>
      <c r="M804" s="4"/>
      <c r="N804" s="28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81"/>
      <c r="AG804" s="81"/>
      <c r="AH804" s="81"/>
      <c r="AI804" s="4"/>
      <c r="AJ804" s="81"/>
      <c r="AK804" s="81"/>
      <c r="AL804" s="81"/>
      <c r="AM804" s="43">
        <v>788</v>
      </c>
      <c r="AN804">
        <v>67.32533440705258</v>
      </c>
      <c r="AO804">
        <v>5.4284712636832095</v>
      </c>
      <c r="AP804">
        <v>47.312387494261117</v>
      </c>
      <c r="AQ804">
        <v>39.117701782070021</v>
      </c>
      <c r="AR804">
        <v>5.7367311195312141</v>
      </c>
      <c r="AS804">
        <v>96.871911890883624</v>
      </c>
      <c r="AT804">
        <v>3.3184145766290434</v>
      </c>
      <c r="AU804">
        <v>17.357649675826742</v>
      </c>
      <c r="AV804"/>
      <c r="AW804"/>
      <c r="FY804" s="210">
        <v>799</v>
      </c>
      <c r="FZ804">
        <v>21.961506080433935</v>
      </c>
      <c r="GA804">
        <v>28.124032653722214</v>
      </c>
      <c r="GB804">
        <v>2.4729610703742475</v>
      </c>
      <c r="GC804">
        <v>0.87195065383560522</v>
      </c>
      <c r="GD804">
        <v>1.3188423982485196</v>
      </c>
      <c r="GE804">
        <v>3.5971554286518983</v>
      </c>
      <c r="GF804">
        <v>8.6282595898869285</v>
      </c>
      <c r="GG804">
        <v>10.09843080072935</v>
      </c>
      <c r="GH804">
        <v>8.0038278591421523</v>
      </c>
      <c r="GI804">
        <v>7.4488775028057672</v>
      </c>
      <c r="GJ804"/>
      <c r="GK804"/>
      <c r="GL804"/>
      <c r="GM804"/>
    </row>
    <row r="805" spans="1:195" s="7" customFormat="1">
      <c r="A805" s="4"/>
      <c r="B805" s="4"/>
      <c r="C805" s="105"/>
      <c r="D805" s="4"/>
      <c r="E805" s="4"/>
      <c r="F805" s="28"/>
      <c r="G805" s="28"/>
      <c r="H805" s="83"/>
      <c r="I805" s="4"/>
      <c r="J805" s="4"/>
      <c r="K805" s="4"/>
      <c r="L805" s="4"/>
      <c r="M805" s="4"/>
      <c r="N805" s="28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81"/>
      <c r="AG805" s="81"/>
      <c r="AH805" s="81"/>
      <c r="AI805" s="4"/>
      <c r="AJ805" s="81"/>
      <c r="AK805" s="81"/>
      <c r="AL805" s="81"/>
      <c r="AM805" s="43">
        <v>789</v>
      </c>
      <c r="AN805">
        <v>147.15771873818287</v>
      </c>
      <c r="AO805">
        <v>13.431691688063642</v>
      </c>
      <c r="AP805">
        <v>132.60652532312247</v>
      </c>
      <c r="AQ805">
        <v>111.67204673969378</v>
      </c>
      <c r="AR805">
        <v>12.723715261334569</v>
      </c>
      <c r="AS805">
        <v>215.90310156164026</v>
      </c>
      <c r="AT805">
        <v>7.6739161848411008</v>
      </c>
      <c r="AU805">
        <v>56.134058638089456</v>
      </c>
      <c r="AV805"/>
      <c r="AW805"/>
      <c r="FY805" s="210">
        <v>800</v>
      </c>
      <c r="FZ805">
        <v>3.9679980224053546</v>
      </c>
      <c r="GA805">
        <v>3.9553616829589737</v>
      </c>
      <c r="GB805">
        <v>4.0989900743718595</v>
      </c>
      <c r="GC805">
        <v>1.8361070893528404</v>
      </c>
      <c r="GD805">
        <v>1.0097774236713555</v>
      </c>
      <c r="GE805">
        <v>3.2614107879983774</v>
      </c>
      <c r="GF805">
        <v>13.651915836287356</v>
      </c>
      <c r="GG805">
        <v>13.029241962520485</v>
      </c>
      <c r="GH805">
        <v>8.2315296321416085</v>
      </c>
      <c r="GI805">
        <v>5.9674527526110914</v>
      </c>
      <c r="GJ805"/>
      <c r="GK805"/>
      <c r="GL805"/>
      <c r="GM805"/>
    </row>
    <row r="806" spans="1:195" s="7" customFormat="1">
      <c r="A806" s="4"/>
      <c r="B806" s="4"/>
      <c r="C806" s="105"/>
      <c r="D806" s="4"/>
      <c r="E806" s="4"/>
      <c r="F806" s="28"/>
      <c r="G806" s="28"/>
      <c r="H806" s="83"/>
      <c r="I806" s="4"/>
      <c r="J806" s="4"/>
      <c r="K806" s="4"/>
      <c r="L806" s="4"/>
      <c r="M806" s="4"/>
      <c r="N806" s="28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81"/>
      <c r="AG806" s="81"/>
      <c r="AH806" s="81"/>
      <c r="AI806" s="4"/>
      <c r="AJ806" s="81"/>
      <c r="AK806" s="81"/>
      <c r="AL806" s="81"/>
      <c r="AM806" s="43">
        <v>790</v>
      </c>
      <c r="AN806">
        <v>115.46982997895675</v>
      </c>
      <c r="AO806">
        <v>9.9045847062910788</v>
      </c>
      <c r="AP806">
        <v>101.83900169145312</v>
      </c>
      <c r="AQ806">
        <v>86.985376946444831</v>
      </c>
      <c r="AR806">
        <v>9.3157058352105455</v>
      </c>
      <c r="AS806">
        <v>154.79159441253813</v>
      </c>
      <c r="AT806">
        <v>5.520776096856685</v>
      </c>
      <c r="AU806">
        <v>75.846672279941885</v>
      </c>
      <c r="AV806"/>
      <c r="AW806"/>
      <c r="FY806" s="210">
        <v>801</v>
      </c>
      <c r="FZ806">
        <v>24.575762545879982</v>
      </c>
      <c r="GA806">
        <v>27.899999565380774</v>
      </c>
      <c r="GB806">
        <v>3.5182002121676632</v>
      </c>
      <c r="GC806">
        <v>1.5233941141316867</v>
      </c>
      <c r="GD806">
        <v>1.3629491663611244</v>
      </c>
      <c r="GE806">
        <v>3.7852530560822428</v>
      </c>
      <c r="GF806">
        <v>7.5464383549479717</v>
      </c>
      <c r="GG806">
        <v>6.2632613077909784</v>
      </c>
      <c r="GH806">
        <v>5.323040410074718</v>
      </c>
      <c r="GI806">
        <v>7.5192086785779262</v>
      </c>
      <c r="GJ806"/>
      <c r="GK806"/>
      <c r="GL806"/>
      <c r="GM806"/>
    </row>
    <row r="807" spans="1:195" s="7" customFormat="1">
      <c r="A807" s="4"/>
      <c r="B807" s="4"/>
      <c r="C807" s="105"/>
      <c r="D807" s="4"/>
      <c r="E807" s="4"/>
      <c r="F807" s="28"/>
      <c r="G807" s="28"/>
      <c r="H807" s="83"/>
      <c r="I807" s="4"/>
      <c r="J807" s="4"/>
      <c r="K807" s="4"/>
      <c r="L807" s="4"/>
      <c r="M807" s="4"/>
      <c r="N807" s="28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81"/>
      <c r="AG807" s="81"/>
      <c r="AH807" s="81"/>
      <c r="AI807" s="4"/>
      <c r="AJ807" s="81"/>
      <c r="AK807" s="81"/>
      <c r="AL807" s="81"/>
      <c r="AM807" s="43">
        <v>791</v>
      </c>
      <c r="AN807">
        <v>107.23856883398624</v>
      </c>
      <c r="AO807">
        <v>8.2555559885046641</v>
      </c>
      <c r="AP807">
        <v>85.336294948510798</v>
      </c>
      <c r="AQ807">
        <v>69.822698358557631</v>
      </c>
      <c r="AR807">
        <v>7.9978237728362718</v>
      </c>
      <c r="AS807">
        <v>125.77551482590772</v>
      </c>
      <c r="AT807">
        <v>4.9012674278596693</v>
      </c>
      <c r="AU807">
        <v>41.042455767077612</v>
      </c>
      <c r="AV807"/>
      <c r="AW807"/>
      <c r="FY807" s="210">
        <v>802</v>
      </c>
      <c r="FZ807">
        <v>2.3265797966335993</v>
      </c>
      <c r="GA807">
        <v>1.960112957522897</v>
      </c>
      <c r="GB807">
        <v>2.2071005661297689</v>
      </c>
      <c r="GC807">
        <v>1.1858450342439757</v>
      </c>
      <c r="GD807">
        <v>1.0314895572260125</v>
      </c>
      <c r="GE807">
        <v>2.6184940162554144</v>
      </c>
      <c r="GF807">
        <v>4.5260611642923054</v>
      </c>
      <c r="GG807">
        <v>5.00470015591433</v>
      </c>
      <c r="GH807">
        <v>5.7706315454140693</v>
      </c>
      <c r="GI807">
        <v>3.2210414795294753</v>
      </c>
      <c r="GJ807"/>
      <c r="GK807"/>
      <c r="GL807"/>
      <c r="GM807"/>
    </row>
    <row r="808" spans="1:195" s="7" customFormat="1">
      <c r="A808" s="4"/>
      <c r="B808" s="4"/>
      <c r="C808" s="105"/>
      <c r="D808" s="4"/>
      <c r="E808" s="4"/>
      <c r="F808" s="28"/>
      <c r="G808" s="28"/>
      <c r="H808" s="83"/>
      <c r="I808" s="4"/>
      <c r="J808" s="4"/>
      <c r="K808" s="4"/>
      <c r="L808" s="4"/>
      <c r="M808" s="4"/>
      <c r="N808" s="28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81"/>
      <c r="AG808" s="81"/>
      <c r="AH808" s="81"/>
      <c r="AI808" s="4"/>
      <c r="AJ808" s="81"/>
      <c r="AK808" s="81"/>
      <c r="AL808" s="81"/>
      <c r="AM808" s="43">
        <v>792</v>
      </c>
      <c r="AN808">
        <v>98.867484697381329</v>
      </c>
      <c r="AO808">
        <v>8.060834226695679</v>
      </c>
      <c r="AP808">
        <v>81.317143683737513</v>
      </c>
      <c r="AQ808">
        <v>68.138631501369943</v>
      </c>
      <c r="AR808">
        <v>8.1219463653204382</v>
      </c>
      <c r="AS808">
        <v>144.32708143842962</v>
      </c>
      <c r="AT808">
        <v>4.6953292852866966</v>
      </c>
      <c r="AU808">
        <v>42.52955703974645</v>
      </c>
      <c r="AV808"/>
      <c r="AW808"/>
      <c r="FY808" s="210">
        <v>803</v>
      </c>
      <c r="FZ808">
        <v>11.65588227591266</v>
      </c>
      <c r="GA808">
        <v>13.811939586118118</v>
      </c>
      <c r="GB808">
        <v>1.064125304731101</v>
      </c>
      <c r="GC808">
        <v>0.74286137655842244</v>
      </c>
      <c r="GD808">
        <v>0.95417102184872404</v>
      </c>
      <c r="GE808">
        <v>2.3306993183709617</v>
      </c>
      <c r="GF808">
        <v>5.9974882050769871</v>
      </c>
      <c r="GG808">
        <v>10.881579634915701</v>
      </c>
      <c r="GH808">
        <v>11.237401995595224</v>
      </c>
      <c r="GI808">
        <v>5.4074645164375621</v>
      </c>
      <c r="GJ808"/>
      <c r="GK808"/>
      <c r="GL808"/>
      <c r="GM808"/>
    </row>
    <row r="809" spans="1:195" s="7" customFormat="1">
      <c r="A809" s="4"/>
      <c r="B809" s="4"/>
      <c r="C809" s="105"/>
      <c r="D809" s="4"/>
      <c r="E809" s="4"/>
      <c r="F809" s="28"/>
      <c r="G809" s="28"/>
      <c r="H809" s="83"/>
      <c r="I809" s="4"/>
      <c r="J809" s="4"/>
      <c r="K809" s="4"/>
      <c r="L809" s="4"/>
      <c r="M809" s="4"/>
      <c r="N809" s="28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81"/>
      <c r="AG809" s="81"/>
      <c r="AH809" s="81"/>
      <c r="AI809" s="4"/>
      <c r="AJ809" s="81"/>
      <c r="AK809" s="81"/>
      <c r="AL809" s="81"/>
      <c r="AM809" s="43">
        <v>793</v>
      </c>
      <c r="AN809">
        <v>102.07845202526212</v>
      </c>
      <c r="AO809">
        <v>10.597388000945624</v>
      </c>
      <c r="AP809">
        <v>107.56402841103305</v>
      </c>
      <c r="AQ809">
        <v>90.373662185800697</v>
      </c>
      <c r="AR809">
        <v>10.223879549232951</v>
      </c>
      <c r="AS809">
        <v>161.58612586627072</v>
      </c>
      <c r="AT809">
        <v>6.9112453411189536</v>
      </c>
      <c r="AU809">
        <v>4.2103451994131849</v>
      </c>
      <c r="AV809"/>
      <c r="AW809"/>
      <c r="FY809" s="210">
        <v>804</v>
      </c>
      <c r="FZ809">
        <v>13.73308091011541</v>
      </c>
      <c r="GA809">
        <v>15.03639041264972</v>
      </c>
      <c r="GB809">
        <v>1.6831144355900187</v>
      </c>
      <c r="GC809">
        <v>0.97017670108535237</v>
      </c>
      <c r="GD809">
        <v>1.1360119859753637</v>
      </c>
      <c r="GE809">
        <v>3.4286506616565893</v>
      </c>
      <c r="GF809">
        <v>16.049511773071753</v>
      </c>
      <c r="GG809">
        <v>16.43770942738476</v>
      </c>
      <c r="GH809">
        <v>9.79352745795277</v>
      </c>
      <c r="GI809">
        <v>7.5488758350447878</v>
      </c>
      <c r="GJ809"/>
      <c r="GK809"/>
      <c r="GL809"/>
      <c r="GM809"/>
    </row>
    <row r="810" spans="1:195" s="7" customFormat="1">
      <c r="A810" s="4"/>
      <c r="B810" s="4"/>
      <c r="C810" s="105"/>
      <c r="D810" s="4"/>
      <c r="E810" s="4"/>
      <c r="F810" s="28"/>
      <c r="G810" s="28"/>
      <c r="H810" s="83"/>
      <c r="I810" s="4"/>
      <c r="J810" s="4"/>
      <c r="K810" s="4"/>
      <c r="L810" s="4"/>
      <c r="M810" s="4"/>
      <c r="N810" s="28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81"/>
      <c r="AG810" s="81"/>
      <c r="AH810" s="81"/>
      <c r="AI810" s="4"/>
      <c r="AJ810" s="81"/>
      <c r="AK810" s="81"/>
      <c r="AL810" s="81"/>
      <c r="AM810" s="43">
        <v>794</v>
      </c>
      <c r="AN810">
        <v>140.76144903533498</v>
      </c>
      <c r="AO810">
        <v>11.736773102116036</v>
      </c>
      <c r="AP810">
        <v>118.77946382763081</v>
      </c>
      <c r="AQ810">
        <v>99.758852549597691</v>
      </c>
      <c r="AR810">
        <v>11.313650108874588</v>
      </c>
      <c r="AS810">
        <v>174.78758801229512</v>
      </c>
      <c r="AT810">
        <v>7.3556809849701184</v>
      </c>
      <c r="AU810">
        <v>11.89899644528437</v>
      </c>
      <c r="AV810"/>
      <c r="AW810"/>
      <c r="FY810" s="210">
        <v>805</v>
      </c>
      <c r="FZ810">
        <v>14.214273466086766</v>
      </c>
      <c r="GA810">
        <v>17.558501255193391</v>
      </c>
      <c r="GB810">
        <v>3.8377017396106723</v>
      </c>
      <c r="GC810">
        <v>1.0092917163018236</v>
      </c>
      <c r="GD810">
        <v>0.22358074116555998</v>
      </c>
      <c r="GE810">
        <v>0.38333246988835129</v>
      </c>
      <c r="GF810">
        <v>0.68150289491677518</v>
      </c>
      <c r="GG810">
        <v>5.2948797951675868</v>
      </c>
      <c r="GH810">
        <v>10.701336069937692</v>
      </c>
      <c r="GI810">
        <v>4.9981556404708947</v>
      </c>
      <c r="GJ810"/>
      <c r="GK810"/>
      <c r="GL810"/>
      <c r="GM810"/>
    </row>
    <row r="811" spans="1:195" s="7" customFormat="1">
      <c r="A811" s="4"/>
      <c r="B811" s="4"/>
      <c r="C811" s="105"/>
      <c r="D811" s="4"/>
      <c r="E811" s="4"/>
      <c r="F811" s="28"/>
      <c r="G811" s="28"/>
      <c r="H811" s="83"/>
      <c r="I811" s="4"/>
      <c r="J811" s="4"/>
      <c r="K811" s="4"/>
      <c r="L811" s="4"/>
      <c r="M811" s="4"/>
      <c r="N811" s="28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81"/>
      <c r="AG811" s="81"/>
      <c r="AH811" s="81"/>
      <c r="AI811" s="4"/>
      <c r="AJ811" s="81"/>
      <c r="AK811" s="81"/>
      <c r="AL811" s="81"/>
      <c r="AM811" s="43">
        <v>795</v>
      </c>
      <c r="AN811">
        <v>126.23724123290279</v>
      </c>
      <c r="AO811">
        <v>10.364657983067019</v>
      </c>
      <c r="AP811">
        <v>107.45460442730676</v>
      </c>
      <c r="AQ811">
        <v>91.098808286324285</v>
      </c>
      <c r="AR811">
        <v>9.874487839508955</v>
      </c>
      <c r="AS811">
        <v>158.90773870023622</v>
      </c>
      <c r="AT811" t="e">
        <v>#DIV/0!</v>
      </c>
      <c r="AU811" t="e">
        <v>#DIV/0!</v>
      </c>
      <c r="AV811"/>
      <c r="AW811"/>
      <c r="FY811" s="210">
        <v>806</v>
      </c>
      <c r="FZ811">
        <v>37.585406773284483</v>
      </c>
      <c r="GA811">
        <v>40.109025045441797</v>
      </c>
      <c r="GB811">
        <v>1.5070940581109136</v>
      </c>
      <c r="GC811">
        <v>0.62981429151026525</v>
      </c>
      <c r="GD811">
        <v>0.71786360061381616</v>
      </c>
      <c r="GE811">
        <v>2.3934400311753583</v>
      </c>
      <c r="GF811">
        <v>4.8267443415608016</v>
      </c>
      <c r="GG811">
        <v>9.3548565310829481</v>
      </c>
      <c r="GH811">
        <v>12.707814201853125</v>
      </c>
      <c r="GI811">
        <v>9.2206372738496327</v>
      </c>
      <c r="GJ811"/>
      <c r="GK811"/>
      <c r="GL811"/>
      <c r="GM811"/>
    </row>
    <row r="812" spans="1:195" s="7" customFormat="1">
      <c r="A812" s="4"/>
      <c r="B812" s="4"/>
      <c r="C812" s="105"/>
      <c r="D812" s="4"/>
      <c r="E812" s="4"/>
      <c r="F812" s="28"/>
      <c r="G812" s="28"/>
      <c r="H812" s="83"/>
      <c r="I812" s="4"/>
      <c r="J812" s="4"/>
      <c r="K812" s="4"/>
      <c r="L812" s="4"/>
      <c r="M812" s="4"/>
      <c r="N812" s="28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81"/>
      <c r="AG812" s="81"/>
      <c r="AH812" s="81"/>
      <c r="AI812" s="4"/>
      <c r="AJ812" s="81"/>
      <c r="AK812" s="81"/>
      <c r="AL812" s="81"/>
      <c r="AM812" s="43">
        <v>796</v>
      </c>
      <c r="AN812">
        <v>128.82746828966842</v>
      </c>
      <c r="AO812">
        <v>11.583040678435875</v>
      </c>
      <c r="AP812">
        <v>113.6641464590701</v>
      </c>
      <c r="AQ812">
        <v>96.804802017104606</v>
      </c>
      <c r="AR812">
        <v>11.02042761179877</v>
      </c>
      <c r="AS812">
        <v>185.31821728607505</v>
      </c>
      <c r="AT812">
        <v>7.1428978251718638</v>
      </c>
      <c r="AU812">
        <v>9.1796957573715865</v>
      </c>
      <c r="AV812"/>
      <c r="AW812"/>
      <c r="FY812" s="210">
        <v>807</v>
      </c>
      <c r="FZ812">
        <v>12.848981958019975</v>
      </c>
      <c r="GA812">
        <v>16.045370431577972</v>
      </c>
      <c r="GB812">
        <v>2.1305060601492043</v>
      </c>
      <c r="GC812">
        <v>0.64299442949622698</v>
      </c>
      <c r="GD812">
        <v>1.000966574085117</v>
      </c>
      <c r="GE812">
        <v>2.9862858053619057</v>
      </c>
      <c r="GF812">
        <v>9.7933622497192996</v>
      </c>
      <c r="GG812">
        <v>12.201644269650123</v>
      </c>
      <c r="GH812">
        <v>9.557672947318876</v>
      </c>
      <c r="GI812">
        <v>6.2870875059106561</v>
      </c>
      <c r="GJ812"/>
      <c r="GK812"/>
      <c r="GL812"/>
      <c r="GM812"/>
    </row>
    <row r="813" spans="1:195" s="7" customFormat="1">
      <c r="A813" s="4"/>
      <c r="B813" s="4"/>
      <c r="C813" s="105"/>
      <c r="D813" s="4"/>
      <c r="E813" s="4"/>
      <c r="F813" s="28"/>
      <c r="G813" s="28"/>
      <c r="H813" s="83"/>
      <c r="I813" s="4"/>
      <c r="J813" s="4"/>
      <c r="K813" s="4"/>
      <c r="L813" s="4"/>
      <c r="M813" s="4"/>
      <c r="N813" s="28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81"/>
      <c r="AG813" s="81"/>
      <c r="AH813" s="81"/>
      <c r="AI813" s="4"/>
      <c r="AJ813" s="81"/>
      <c r="AK813" s="81"/>
      <c r="AL813" s="81"/>
      <c r="AM813" s="43">
        <v>797</v>
      </c>
      <c r="AN813">
        <v>182.4517639910502</v>
      </c>
      <c r="AO813">
        <v>12.220895503621474</v>
      </c>
      <c r="AP813">
        <v>118.32475588417772</v>
      </c>
      <c r="AQ813">
        <v>102.34445329505165</v>
      </c>
      <c r="AR813">
        <v>11.527465828875453</v>
      </c>
      <c r="AS813">
        <v>188.47356332934945</v>
      </c>
      <c r="AT813">
        <v>6.7975510410618005</v>
      </c>
      <c r="AU813">
        <v>-0.83209731339742543</v>
      </c>
      <c r="AV813"/>
      <c r="AW813"/>
      <c r="FY813" s="210">
        <v>808</v>
      </c>
      <c r="FZ813">
        <v>12.704555012152319</v>
      </c>
      <c r="GA813">
        <v>14.771821945700895</v>
      </c>
      <c r="GB813">
        <v>3.06045063312092</v>
      </c>
      <c r="GC813">
        <v>1.8139818324851407</v>
      </c>
      <c r="GD813">
        <v>1.1775564421137839</v>
      </c>
      <c r="GE813">
        <v>2.3842833631478286</v>
      </c>
      <c r="GF813">
        <v>7.7345719611143586</v>
      </c>
      <c r="GG813">
        <v>12.622097295563373</v>
      </c>
      <c r="GH813">
        <v>13.423362932457259</v>
      </c>
      <c r="GI813">
        <v>6.8300440395781497</v>
      </c>
      <c r="GJ813"/>
      <c r="GK813"/>
      <c r="GL813"/>
      <c r="GM813"/>
    </row>
    <row r="814" spans="1:195" s="7" customFormat="1">
      <c r="A814" s="4"/>
      <c r="B814" s="4"/>
      <c r="C814" s="105"/>
      <c r="D814" s="4"/>
      <c r="E814" s="4"/>
      <c r="F814" s="28"/>
      <c r="G814" s="28"/>
      <c r="H814" s="83"/>
      <c r="I814" s="4"/>
      <c r="J814" s="4"/>
      <c r="K814" s="4"/>
      <c r="L814" s="4"/>
      <c r="M814" s="4"/>
      <c r="N814" s="28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81"/>
      <c r="AG814" s="81"/>
      <c r="AH814" s="81"/>
      <c r="AI814" s="4"/>
      <c r="AJ814" s="81"/>
      <c r="AK814" s="81"/>
      <c r="AL814" s="81"/>
      <c r="AM814" s="43">
        <v>798</v>
      </c>
      <c r="AN814">
        <v>117.08168913099738</v>
      </c>
      <c r="AO814">
        <v>10.408952289520904</v>
      </c>
      <c r="AP814">
        <v>102.29674721824088</v>
      </c>
      <c r="AQ814">
        <v>88.00548780920775</v>
      </c>
      <c r="AR814">
        <v>10.077761310908254</v>
      </c>
      <c r="AS814">
        <v>160.90875645442819</v>
      </c>
      <c r="AT814">
        <v>6.0751333235004799</v>
      </c>
      <c r="AU814">
        <v>1.9058527874421829</v>
      </c>
      <c r="AV814"/>
      <c r="AW814"/>
      <c r="FY814" s="210">
        <v>809</v>
      </c>
      <c r="FZ814">
        <v>12.515894025865821</v>
      </c>
      <c r="GA814">
        <v>14.607910045266353</v>
      </c>
      <c r="GB814">
        <v>1.1671422901490374</v>
      </c>
      <c r="GC814">
        <v>0.59752014496121941</v>
      </c>
      <c r="GD814">
        <v>0.62629167760328408</v>
      </c>
      <c r="GE814">
        <v>1.6070546144751918</v>
      </c>
      <c r="GF814">
        <v>6.161089078502302</v>
      </c>
      <c r="GG814">
        <v>6.4331423523633191</v>
      </c>
      <c r="GH814">
        <v>6.8645279032799955</v>
      </c>
      <c r="GI814">
        <v>4.6973726486706751</v>
      </c>
      <c r="GJ814"/>
      <c r="GK814"/>
      <c r="GL814"/>
      <c r="GM814"/>
    </row>
    <row r="815" spans="1:195" s="7" customFormat="1">
      <c r="A815" s="4"/>
      <c r="B815" s="4"/>
      <c r="C815" s="105"/>
      <c r="D815" s="4"/>
      <c r="E815" s="4"/>
      <c r="F815" s="28"/>
      <c r="G815" s="28"/>
      <c r="H815" s="83"/>
      <c r="I815" s="4"/>
      <c r="J815" s="4"/>
      <c r="K815" s="4"/>
      <c r="L815" s="4"/>
      <c r="M815" s="4"/>
      <c r="N815" s="28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81"/>
      <c r="AG815" s="81"/>
      <c r="AH815" s="81"/>
      <c r="AI815" s="4"/>
      <c r="AJ815" s="81"/>
      <c r="AK815" s="81"/>
      <c r="AL815" s="81"/>
      <c r="AM815" s="43">
        <v>799</v>
      </c>
      <c r="AN815">
        <v>120.46434292710993</v>
      </c>
      <c r="AO815">
        <v>10.94271739556568</v>
      </c>
      <c r="AP815">
        <v>108.40636119021592</v>
      </c>
      <c r="AQ815">
        <v>92.525844037830609</v>
      </c>
      <c r="AR815">
        <v>10.288426799697584</v>
      </c>
      <c r="AS815">
        <v>183.56448001687733</v>
      </c>
      <c r="AT815">
        <v>6.8615191660040082</v>
      </c>
      <c r="AU815">
        <v>41.904514457045416</v>
      </c>
      <c r="AV815"/>
      <c r="AW815"/>
      <c r="FY815" s="210">
        <v>810</v>
      </c>
      <c r="FZ815">
        <v>23.191865543304136</v>
      </c>
      <c r="GA815">
        <v>26.982091663866345</v>
      </c>
      <c r="GB815">
        <v>2.353891038656188</v>
      </c>
      <c r="GC815">
        <v>1.3739012287025048</v>
      </c>
      <c r="GD815">
        <v>1.512281174719891</v>
      </c>
      <c r="GE815">
        <v>3.0715289609123491</v>
      </c>
      <c r="GF815">
        <v>8.8874276429590999</v>
      </c>
      <c r="GG815">
        <v>13.236055913356648</v>
      </c>
      <c r="GH815">
        <v>11.641995107979826</v>
      </c>
      <c r="GI815">
        <v>8.3245069798534459</v>
      </c>
      <c r="GJ815"/>
      <c r="GK815"/>
      <c r="GL815"/>
      <c r="GM815"/>
    </row>
    <row r="816" spans="1:195" s="7" customFormat="1">
      <c r="A816" s="4"/>
      <c r="B816" s="4"/>
      <c r="C816" s="105"/>
      <c r="D816" s="4"/>
      <c r="E816" s="4"/>
      <c r="F816" s="28"/>
      <c r="G816" s="28"/>
      <c r="H816" s="83"/>
      <c r="I816" s="4"/>
      <c r="J816" s="4"/>
      <c r="K816" s="4"/>
      <c r="L816" s="4"/>
      <c r="M816" s="4"/>
      <c r="N816" s="28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81"/>
      <c r="AG816" s="81"/>
      <c r="AH816" s="81"/>
      <c r="AI816" s="4"/>
      <c r="AJ816" s="81"/>
      <c r="AK816" s="81"/>
      <c r="AL816" s="81"/>
      <c r="AM816" s="43">
        <v>800</v>
      </c>
      <c r="AN816">
        <v>140.24561904221883</v>
      </c>
      <c r="AO816">
        <v>8.2394369391058397</v>
      </c>
      <c r="AP816">
        <v>73.083566274731481</v>
      </c>
      <c r="AQ816">
        <v>59.009785264319305</v>
      </c>
      <c r="AR816">
        <v>8.1366940171393569</v>
      </c>
      <c r="AS816">
        <v>150.18760217154568</v>
      </c>
      <c r="AT816">
        <v>4.897160785400005</v>
      </c>
      <c r="AU816">
        <v>29.094050418778846</v>
      </c>
      <c r="AV816"/>
      <c r="AW816"/>
      <c r="FY816" s="210">
        <v>811</v>
      </c>
      <c r="FZ816">
        <v>13.154402593571858</v>
      </c>
      <c r="GA816">
        <v>16.153054878884195</v>
      </c>
      <c r="GB816">
        <v>3.6221500875585848</v>
      </c>
      <c r="GC816">
        <v>1.5602381541814623</v>
      </c>
      <c r="GD816">
        <v>0.82009776540358814</v>
      </c>
      <c r="GE816">
        <v>3.3277129443543783</v>
      </c>
      <c r="GF816">
        <v>7.6506348714867771</v>
      </c>
      <c r="GG816">
        <v>5.3769317591620336</v>
      </c>
      <c r="GH816">
        <v>4.3348995834004063</v>
      </c>
      <c r="GI816">
        <v>5.3893136885618853</v>
      </c>
      <c r="GJ816"/>
      <c r="GK816"/>
      <c r="GL816"/>
      <c r="GM816"/>
    </row>
    <row r="817" spans="1:195" s="7" customFormat="1">
      <c r="A817" s="4"/>
      <c r="B817" s="4"/>
      <c r="C817" s="105"/>
      <c r="D817" s="4"/>
      <c r="E817" s="4"/>
      <c r="F817" s="28"/>
      <c r="G817" s="28"/>
      <c r="H817" s="83"/>
      <c r="I817" s="4"/>
      <c r="J817" s="4"/>
      <c r="K817" s="4"/>
      <c r="L817" s="4"/>
      <c r="M817" s="4"/>
      <c r="N817" s="28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81"/>
      <c r="AG817" s="81"/>
      <c r="AH817" s="81"/>
      <c r="AI817" s="4"/>
      <c r="AJ817" s="81"/>
      <c r="AK817" s="81"/>
      <c r="AL817" s="81"/>
      <c r="AM817" s="43">
        <v>801</v>
      </c>
      <c r="AN817">
        <v>89.599525529663893</v>
      </c>
      <c r="AO817">
        <v>10.718316593635997</v>
      </c>
      <c r="AP817">
        <v>104.29662390581471</v>
      </c>
      <c r="AQ817">
        <v>89.317507411395056</v>
      </c>
      <c r="AR817">
        <v>10.410040039972385</v>
      </c>
      <c r="AS817">
        <v>138.47353662051395</v>
      </c>
      <c r="AT817">
        <v>6.615812250771107</v>
      </c>
      <c r="AU817">
        <v>10.909846219844868</v>
      </c>
      <c r="AV817"/>
      <c r="AW817"/>
      <c r="FY817" s="210">
        <v>812</v>
      </c>
      <c r="FZ817">
        <v>11.16485872958447</v>
      </c>
      <c r="GA817">
        <v>15.856813701874865</v>
      </c>
      <c r="GB817">
        <v>3.1428182693413196</v>
      </c>
      <c r="GC817">
        <v>1.3578550912517096</v>
      </c>
      <c r="GD817">
        <v>0.7101914551218077</v>
      </c>
      <c r="GE817">
        <v>1.9690915025079239</v>
      </c>
      <c r="GF817">
        <v>8.3806324411892543</v>
      </c>
      <c r="GG817">
        <v>8.4074229574331643</v>
      </c>
      <c r="GH817">
        <v>6.8709966811308281</v>
      </c>
      <c r="GI817">
        <v>5.4388671289351169</v>
      </c>
      <c r="GJ817"/>
      <c r="GK817"/>
      <c r="GL817"/>
      <c r="GM817"/>
    </row>
    <row r="818" spans="1:195" s="7" customFormat="1">
      <c r="A818" s="4"/>
      <c r="B818" s="4"/>
      <c r="C818" s="105"/>
      <c r="D818" s="4"/>
      <c r="E818" s="4"/>
      <c r="F818" s="28"/>
      <c r="G818" s="28"/>
      <c r="H818" s="83"/>
      <c r="I818" s="4"/>
      <c r="J818" s="4"/>
      <c r="K818" s="4"/>
      <c r="L818" s="4"/>
      <c r="M818" s="4"/>
      <c r="N818" s="28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81"/>
      <c r="AG818" s="81"/>
      <c r="AH818" s="81"/>
      <c r="AI818" s="4"/>
      <c r="AJ818" s="81"/>
      <c r="AK818" s="81"/>
      <c r="AL818" s="81"/>
      <c r="AM818" s="43">
        <v>802</v>
      </c>
      <c r="AN818">
        <v>78.516110604953298</v>
      </c>
      <c r="AO818">
        <v>4.3772710965732227</v>
      </c>
      <c r="AP818">
        <v>35.462090722424747</v>
      </c>
      <c r="AQ818">
        <v>29.85205627316185</v>
      </c>
      <c r="AR818">
        <v>4.3814418734066978</v>
      </c>
      <c r="AS818">
        <v>82.744797724532475</v>
      </c>
      <c r="AT818" t="e">
        <v>#DIV/0!</v>
      </c>
      <c r="AU818" t="e">
        <v>#DIV/0!</v>
      </c>
      <c r="AV818"/>
      <c r="AW818"/>
      <c r="FY818" s="210">
        <v>813</v>
      </c>
      <c r="FZ818">
        <v>34.196261265271779</v>
      </c>
      <c r="GA818">
        <v>39.953643156504668</v>
      </c>
      <c r="GB818">
        <v>2.3970769027667256</v>
      </c>
      <c r="GC818">
        <v>1.1218069707965577</v>
      </c>
      <c r="GD818">
        <v>1.2912345414607644</v>
      </c>
      <c r="GE818">
        <v>3.0283035596052823</v>
      </c>
      <c r="GF818">
        <v>6.3490283333211064</v>
      </c>
      <c r="GG818">
        <v>6.5885255342146776</v>
      </c>
      <c r="GH818">
        <v>5.0309995591329812</v>
      </c>
      <c r="GI818">
        <v>8.347906506799788</v>
      </c>
      <c r="GJ818"/>
      <c r="GK818"/>
      <c r="GL818"/>
      <c r="GM818"/>
    </row>
    <row r="819" spans="1:195" s="7" customFormat="1">
      <c r="A819" s="4"/>
      <c r="B819" s="4"/>
      <c r="C819" s="105"/>
      <c r="D819" s="4"/>
      <c r="E819" s="4"/>
      <c r="F819" s="28"/>
      <c r="G819" s="28"/>
      <c r="H819" s="83"/>
      <c r="I819" s="4"/>
      <c r="J819" s="4"/>
      <c r="K819" s="4"/>
      <c r="L819" s="4"/>
      <c r="M819" s="4"/>
      <c r="N819" s="28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81"/>
      <c r="AG819" s="81"/>
      <c r="AH819" s="81"/>
      <c r="AI819" s="4"/>
      <c r="AJ819" s="81"/>
      <c r="AK819" s="81"/>
      <c r="AL819" s="81"/>
      <c r="AM819" s="43">
        <v>803</v>
      </c>
      <c r="AN819">
        <v>95.823734948957409</v>
      </c>
      <c r="AO819">
        <v>7.8511463083463795</v>
      </c>
      <c r="AP819">
        <v>75.462275274650267</v>
      </c>
      <c r="AQ819">
        <v>64.083613235565451</v>
      </c>
      <c r="AR819">
        <v>7.4713975692152985</v>
      </c>
      <c r="AS819">
        <v>136.07854858844348</v>
      </c>
      <c r="AT819">
        <v>4.3281007277291357</v>
      </c>
      <c r="AU819">
        <v>15.357004747927075</v>
      </c>
      <c r="AV819"/>
      <c r="AW819"/>
      <c r="FY819" s="210">
        <v>814</v>
      </c>
      <c r="FZ819">
        <v>34.799164496074347</v>
      </c>
      <c r="GA819">
        <v>39.648328203713248</v>
      </c>
      <c r="GB819">
        <v>1.69667871678264</v>
      </c>
      <c r="GC819">
        <v>0.79945938308610487</v>
      </c>
      <c r="GD819">
        <v>1.0243693271728123</v>
      </c>
      <c r="GE819">
        <v>2.6498279635409001</v>
      </c>
      <c r="GF819">
        <v>8.7306991232318261</v>
      </c>
      <c r="GG819">
        <v>11.426495235080512</v>
      </c>
      <c r="GH819">
        <v>10.492072249011791</v>
      </c>
      <c r="GI819">
        <v>9.3936770690455909</v>
      </c>
      <c r="GJ819"/>
      <c r="GK819"/>
      <c r="GL819"/>
      <c r="GM819"/>
    </row>
    <row r="820" spans="1:195" s="7" customFormat="1">
      <c r="A820" s="4"/>
      <c r="B820" s="4"/>
      <c r="C820" s="105"/>
      <c r="D820" s="4"/>
      <c r="E820" s="4"/>
      <c r="F820" s="28"/>
      <c r="G820" s="28"/>
      <c r="H820" s="83"/>
      <c r="I820" s="4"/>
      <c r="J820" s="4"/>
      <c r="K820" s="4"/>
      <c r="L820" s="4"/>
      <c r="M820" s="4"/>
      <c r="N820" s="28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81"/>
      <c r="AG820" s="81"/>
      <c r="AH820" s="81"/>
      <c r="AI820" s="4"/>
      <c r="AJ820" s="81"/>
      <c r="AK820" s="81"/>
      <c r="AL820" s="81"/>
      <c r="AM820" s="43">
        <v>804</v>
      </c>
      <c r="AN820">
        <v>163.17413621521996</v>
      </c>
      <c r="AO820">
        <v>10.728166380147979</v>
      </c>
      <c r="AP820">
        <v>102.83157631326434</v>
      </c>
      <c r="AQ820">
        <v>85.817049600526531</v>
      </c>
      <c r="AR820">
        <v>10.347490497001079</v>
      </c>
      <c r="AS820">
        <v>183.65169067584003</v>
      </c>
      <c r="AT820">
        <v>6.2764374823129261</v>
      </c>
      <c r="AU820">
        <v>49.200659318820648</v>
      </c>
      <c r="AV820"/>
      <c r="AW820"/>
      <c r="FY820" s="210">
        <v>815</v>
      </c>
      <c r="FZ820">
        <v>21.995865008137237</v>
      </c>
      <c r="GA820">
        <v>27.41874427564548</v>
      </c>
      <c r="GB820">
        <v>2.9359883863076961</v>
      </c>
      <c r="GC820">
        <v>1.2511333600103602</v>
      </c>
      <c r="GD820">
        <v>0.99836428391914334</v>
      </c>
      <c r="GE820">
        <v>2.8979972815176818</v>
      </c>
      <c r="GF820">
        <v>6.7846196254000617</v>
      </c>
      <c r="GG820">
        <v>6.4789889433348797</v>
      </c>
      <c r="GH820">
        <v>6.2583549576847659</v>
      </c>
      <c r="GI820">
        <v>6.7745835461820931</v>
      </c>
      <c r="GJ820"/>
      <c r="GK820"/>
      <c r="GL820"/>
      <c r="GM820"/>
    </row>
    <row r="821" spans="1:195" s="7" customFormat="1">
      <c r="A821" s="4"/>
      <c r="B821" s="4"/>
      <c r="C821" s="105"/>
      <c r="D821" s="4"/>
      <c r="E821" s="4"/>
      <c r="F821" s="28"/>
      <c r="G821" s="28"/>
      <c r="H821" s="83"/>
      <c r="I821" s="4"/>
      <c r="J821" s="4"/>
      <c r="K821" s="4"/>
      <c r="L821" s="4"/>
      <c r="M821" s="4"/>
      <c r="N821" s="28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81"/>
      <c r="AG821" s="81"/>
      <c r="AH821" s="81"/>
      <c r="AI821" s="4"/>
      <c r="AJ821" s="81"/>
      <c r="AK821" s="81"/>
      <c r="AL821" s="81"/>
      <c r="AM821" s="43">
        <v>805</v>
      </c>
      <c r="AN821">
        <v>69.755921376657525</v>
      </c>
      <c r="AO821">
        <v>6.7712309624809919</v>
      </c>
      <c r="AP821">
        <v>71.869637807276391</v>
      </c>
      <c r="AQ821">
        <v>58.902555788739519</v>
      </c>
      <c r="AR821">
        <v>6.9799236636084236</v>
      </c>
      <c r="AS821">
        <v>126.92653756156403</v>
      </c>
      <c r="AT821">
        <v>4.2671698477853264</v>
      </c>
      <c r="AU821">
        <v>29.876205653769503</v>
      </c>
      <c r="AV821"/>
      <c r="AW821"/>
      <c r="FY821" s="210">
        <v>816</v>
      </c>
      <c r="FZ821">
        <v>25.17245603590414</v>
      </c>
      <c r="GA821">
        <v>27.643061443359372</v>
      </c>
      <c r="GB821">
        <v>1.9883545137762526</v>
      </c>
      <c r="GC821">
        <v>0.78773808075915686</v>
      </c>
      <c r="GD821">
        <v>0.86909714997811016</v>
      </c>
      <c r="GE821">
        <v>3.5488975601875294</v>
      </c>
      <c r="GF821">
        <v>6.2092030498946205</v>
      </c>
      <c r="GG821">
        <v>4.8931653896615979</v>
      </c>
      <c r="GH821">
        <v>6.144469461632136</v>
      </c>
      <c r="GI821">
        <v>6.8143054669096506</v>
      </c>
      <c r="GJ821"/>
      <c r="GK821"/>
      <c r="GL821"/>
      <c r="GM821"/>
    </row>
    <row r="822" spans="1:195" s="7" customFormat="1">
      <c r="A822" s="4"/>
      <c r="B822" s="4"/>
      <c r="C822" s="105"/>
      <c r="D822" s="4"/>
      <c r="E822" s="4"/>
      <c r="F822" s="28"/>
      <c r="G822" s="28"/>
      <c r="H822" s="83"/>
      <c r="I822" s="4"/>
      <c r="J822" s="4"/>
      <c r="K822" s="4"/>
      <c r="L822" s="4"/>
      <c r="M822" s="4"/>
      <c r="N822" s="28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81"/>
      <c r="AG822" s="81"/>
      <c r="AH822" s="81"/>
      <c r="AI822" s="4"/>
      <c r="AJ822" s="81"/>
      <c r="AK822" s="81"/>
      <c r="AL822" s="81"/>
      <c r="AM822" s="43">
        <v>806</v>
      </c>
      <c r="AN822">
        <v>119.25517533396854</v>
      </c>
      <c r="AO822">
        <v>13.042084950059873</v>
      </c>
      <c r="AP822">
        <v>138.24546692440654</v>
      </c>
      <c r="AQ822">
        <v>119.05269614848314</v>
      </c>
      <c r="AR822">
        <v>12.811630813612343</v>
      </c>
      <c r="AS822">
        <v>204.6945848452489</v>
      </c>
      <c r="AT822">
        <v>7.6854410791606229</v>
      </c>
      <c r="AU822">
        <v>15.440082311962033</v>
      </c>
      <c r="AV822"/>
      <c r="AW822"/>
      <c r="FY822" s="210">
        <v>817</v>
      </c>
      <c r="FZ822">
        <v>11.785651727763319</v>
      </c>
      <c r="GA822">
        <v>15.480397780910211</v>
      </c>
      <c r="GB822">
        <v>3.6573646015740082</v>
      </c>
      <c r="GC822">
        <v>1.6624815091497553</v>
      </c>
      <c r="GD822">
        <v>0.65900781893138749</v>
      </c>
      <c r="GE822">
        <v>1.9131849563422731</v>
      </c>
      <c r="GF822">
        <v>9.9396215854211984</v>
      </c>
      <c r="GG822">
        <v>8.8589151435119184</v>
      </c>
      <c r="GH822">
        <v>6.7354831751637976</v>
      </c>
      <c r="GI822">
        <v>5.8942828516547525</v>
      </c>
      <c r="GJ822"/>
      <c r="GK822"/>
      <c r="GL822"/>
      <c r="GM822"/>
    </row>
    <row r="823" spans="1:195" s="7" customFormat="1">
      <c r="A823" s="4"/>
      <c r="B823" s="4"/>
      <c r="C823" s="105"/>
      <c r="D823" s="4"/>
      <c r="E823" s="4"/>
      <c r="F823" s="28"/>
      <c r="G823" s="28"/>
      <c r="H823" s="83"/>
      <c r="I823" s="4"/>
      <c r="J823" s="4"/>
      <c r="K823" s="4"/>
      <c r="L823" s="4"/>
      <c r="M823" s="4"/>
      <c r="N823" s="28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81"/>
      <c r="AG823" s="81"/>
      <c r="AH823" s="81"/>
      <c r="AI823" s="4"/>
      <c r="AJ823" s="81"/>
      <c r="AK823" s="81"/>
      <c r="AL823" s="81"/>
      <c r="AM823" s="43">
        <v>807</v>
      </c>
      <c r="AN823">
        <v>123.82794432806554</v>
      </c>
      <c r="AO823">
        <v>9.0306427387425732</v>
      </c>
      <c r="AP823">
        <v>87.795311771726688</v>
      </c>
      <c r="AQ823">
        <v>73.494872231289364</v>
      </c>
      <c r="AR823">
        <v>8.6498529161614641</v>
      </c>
      <c r="AS823">
        <v>152.78275052560292</v>
      </c>
      <c r="AT823">
        <v>5.3500956031041982</v>
      </c>
      <c r="AU823">
        <v>47.038212560539172</v>
      </c>
      <c r="AV823"/>
      <c r="AW823"/>
      <c r="FY823" s="210">
        <v>818</v>
      </c>
      <c r="FZ823">
        <v>2.0840156714081002</v>
      </c>
      <c r="GA823">
        <v>4.7845658220798652</v>
      </c>
      <c r="GB823">
        <v>4.5700614871593999</v>
      </c>
      <c r="GC823">
        <v>1.438866527069198</v>
      </c>
      <c r="GD823">
        <v>0.7610483721093253</v>
      </c>
      <c r="GE823">
        <v>2.4790958902377036</v>
      </c>
      <c r="GF823">
        <v>2.4224887465253819</v>
      </c>
      <c r="GG823">
        <v>5.0020024469400317</v>
      </c>
      <c r="GH823">
        <v>9.4526074068280757</v>
      </c>
      <c r="GI823">
        <v>3.8226326424489843</v>
      </c>
      <c r="GJ823"/>
      <c r="GK823"/>
      <c r="GL823"/>
      <c r="GM823"/>
    </row>
    <row r="824" spans="1:195" s="7" customFormat="1">
      <c r="A824" s="4"/>
      <c r="B824" s="4"/>
      <c r="C824" s="105"/>
      <c r="D824" s="4"/>
      <c r="E824" s="4"/>
      <c r="F824" s="28"/>
      <c r="G824" s="28"/>
      <c r="H824" s="83"/>
      <c r="I824" s="4"/>
      <c r="J824" s="4"/>
      <c r="K824" s="4"/>
      <c r="L824" s="4"/>
      <c r="M824" s="4"/>
      <c r="N824" s="28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81"/>
      <c r="AG824" s="81"/>
      <c r="AH824" s="81"/>
      <c r="AI824" s="4"/>
      <c r="AJ824" s="81"/>
      <c r="AK824" s="81"/>
      <c r="AL824" s="81"/>
      <c r="AM824" s="43">
        <v>808</v>
      </c>
      <c r="AN824">
        <v>153.48512303607333</v>
      </c>
      <c r="AO824">
        <v>9.6548370165167672</v>
      </c>
      <c r="AP824">
        <v>91.315609454020858</v>
      </c>
      <c r="AQ824">
        <v>76.522725457434035</v>
      </c>
      <c r="AR824">
        <v>9.423255242685638</v>
      </c>
      <c r="AS824">
        <v>180.51159395920044</v>
      </c>
      <c r="AT824">
        <v>5.9559159441935128</v>
      </c>
      <c r="AU824">
        <v>35.663713246106987</v>
      </c>
      <c r="AV824"/>
      <c r="AW824"/>
      <c r="FY824" s="210">
        <v>819</v>
      </c>
      <c r="FZ824">
        <v>18.463592615889311</v>
      </c>
      <c r="GA824">
        <v>16.128186492352654</v>
      </c>
      <c r="GB824">
        <v>3.4982915777815999</v>
      </c>
      <c r="GC824">
        <v>1.4803858077165752</v>
      </c>
      <c r="GD824">
        <v>1.0079364451187598</v>
      </c>
      <c r="GE824">
        <v>2.1950361197160504</v>
      </c>
      <c r="GF824">
        <v>5.0427555746673276</v>
      </c>
      <c r="GG824">
        <v>8.7275827842877352</v>
      </c>
      <c r="GH824">
        <v>10.92554935449836</v>
      </c>
      <c r="GI824">
        <v>6.8215373105501245</v>
      </c>
      <c r="GJ824"/>
      <c r="GK824"/>
      <c r="GL824"/>
      <c r="GM824"/>
    </row>
    <row r="825" spans="1:195" s="7" customFormat="1">
      <c r="A825" s="4"/>
      <c r="B825" s="4"/>
      <c r="C825" s="105"/>
      <c r="D825" s="4"/>
      <c r="E825" s="4"/>
      <c r="F825" s="28"/>
      <c r="G825" s="28"/>
      <c r="H825" s="83"/>
      <c r="I825" s="4"/>
      <c r="J825" s="4"/>
      <c r="K825" s="4"/>
      <c r="L825" s="4"/>
      <c r="M825" s="4"/>
      <c r="N825" s="28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81"/>
      <c r="AG825" s="81"/>
      <c r="AH825" s="81"/>
      <c r="AI825" s="4"/>
      <c r="AJ825" s="81"/>
      <c r="AK825" s="81"/>
      <c r="AL825" s="81"/>
      <c r="AM825" s="43">
        <v>809</v>
      </c>
      <c r="AN825">
        <v>79.134687364115933</v>
      </c>
      <c r="AO825">
        <v>6.5172684443833004</v>
      </c>
      <c r="AP825">
        <v>65.694617620117668</v>
      </c>
      <c r="AQ825">
        <v>55.277944781137201</v>
      </c>
      <c r="AR825">
        <v>6.4768361116109245</v>
      </c>
      <c r="AS825">
        <v>103.20852596436042</v>
      </c>
      <c r="AT825">
        <v>4.3338449517935338</v>
      </c>
      <c r="AU825">
        <v>7.5712350997332454</v>
      </c>
      <c r="AV825"/>
      <c r="AW825"/>
      <c r="FY825" s="210">
        <v>820</v>
      </c>
      <c r="FZ825">
        <v>34.089219506271327</v>
      </c>
      <c r="GA825">
        <v>39.52577551478646</v>
      </c>
      <c r="GB825">
        <v>2.2928578500301438</v>
      </c>
      <c r="GC825">
        <v>0.95350370136630958</v>
      </c>
      <c r="GD825">
        <v>0.2293936179809864</v>
      </c>
      <c r="GE825">
        <v>2.087394264315205</v>
      </c>
      <c r="GF825">
        <v>10.424872394633752</v>
      </c>
      <c r="GG825">
        <v>11.168244357471151</v>
      </c>
      <c r="GH825">
        <v>9.2129919383618777</v>
      </c>
      <c r="GI825">
        <v>9.0776455443863142</v>
      </c>
      <c r="GJ825"/>
      <c r="GK825"/>
      <c r="GL825"/>
      <c r="GM825"/>
    </row>
    <row r="826" spans="1:195" s="7" customFormat="1">
      <c r="A826" s="4"/>
      <c r="B826" s="4"/>
      <c r="C826" s="105"/>
      <c r="D826" s="4"/>
      <c r="E826" s="4"/>
      <c r="F826" s="28"/>
      <c r="G826" s="28"/>
      <c r="H826" s="83"/>
      <c r="I826" s="4"/>
      <c r="J826" s="4"/>
      <c r="K826" s="4"/>
      <c r="L826" s="4"/>
      <c r="M826" s="4"/>
      <c r="N826" s="28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81"/>
      <c r="AG826" s="81"/>
      <c r="AH826" s="81"/>
      <c r="AI826" s="4"/>
      <c r="AJ826" s="81"/>
      <c r="AK826" s="81"/>
      <c r="AL826" s="81"/>
      <c r="AM826" s="43">
        <v>810</v>
      </c>
      <c r="AN826">
        <v>145.30830686831769</v>
      </c>
      <c r="AO826">
        <v>12.037624575505175</v>
      </c>
      <c r="AP826">
        <v>117.73634747583206</v>
      </c>
      <c r="AQ826">
        <v>100.57554525431044</v>
      </c>
      <c r="AR826">
        <v>11.53322291799352</v>
      </c>
      <c r="AS826">
        <v>209.35675604472715</v>
      </c>
      <c r="AT826">
        <v>7.6054813649827659</v>
      </c>
      <c r="AU826">
        <v>29.244316980212098</v>
      </c>
      <c r="AV826"/>
      <c r="AW826"/>
      <c r="FY826" s="210">
        <v>821</v>
      </c>
      <c r="FZ826">
        <v>33.268247387044781</v>
      </c>
      <c r="GA826">
        <v>40.581754645125898</v>
      </c>
      <c r="GB826">
        <v>2.1802976226937489</v>
      </c>
      <c r="GC826">
        <v>1.0445039888415224</v>
      </c>
      <c r="GD826">
        <v>0.3442535816932189</v>
      </c>
      <c r="GE826">
        <v>1.6319523317959355</v>
      </c>
      <c r="GF826">
        <v>3.5922395580374404</v>
      </c>
      <c r="GG826">
        <v>8.4631292635355759</v>
      </c>
      <c r="GH826">
        <v>13.641269550295345</v>
      </c>
      <c r="GI826">
        <v>8.4608463421491926</v>
      </c>
      <c r="GJ826"/>
      <c r="GK826"/>
      <c r="GL826"/>
      <c r="GM826"/>
    </row>
    <row r="827" spans="1:195" s="7" customFormat="1">
      <c r="A827" s="4"/>
      <c r="B827" s="4"/>
      <c r="C827" s="105"/>
      <c r="D827" s="4"/>
      <c r="E827" s="4"/>
      <c r="F827" s="28"/>
      <c r="G827" s="28"/>
      <c r="H827" s="83"/>
      <c r="I827" s="4"/>
      <c r="J827" s="4"/>
      <c r="K827" s="4"/>
      <c r="L827" s="4"/>
      <c r="M827" s="4"/>
      <c r="N827" s="28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81"/>
      <c r="AG827" s="81"/>
      <c r="AH827" s="81"/>
      <c r="AI827" s="4"/>
      <c r="AJ827" s="81"/>
      <c r="AK827" s="81"/>
      <c r="AL827" s="81"/>
      <c r="AM827" s="43">
        <v>811</v>
      </c>
      <c r="AN827">
        <v>100.85545070725357</v>
      </c>
      <c r="AO827">
        <v>7.6891373296278029</v>
      </c>
      <c r="AP827">
        <v>72.826588729165877</v>
      </c>
      <c r="AQ827">
        <v>61.389436326565175</v>
      </c>
      <c r="AR827">
        <v>7.340793621436684</v>
      </c>
      <c r="AS827">
        <v>112.94969474343245</v>
      </c>
      <c r="AT827">
        <v>4.5064792967619161</v>
      </c>
      <c r="AU827">
        <v>-6.9877275613407157</v>
      </c>
      <c r="AV827"/>
      <c r="AW827"/>
      <c r="FY827" s="210">
        <v>822</v>
      </c>
      <c r="FZ827">
        <v>14.485286382190569</v>
      </c>
      <c r="GA827">
        <v>16.176843919041566</v>
      </c>
      <c r="GB827">
        <v>3.9039339820496117</v>
      </c>
      <c r="GC827">
        <v>1.4295919942005655</v>
      </c>
      <c r="GD827">
        <v>1.1195703568001008</v>
      </c>
      <c r="GE827">
        <v>3.5425880020441785</v>
      </c>
      <c r="GF827">
        <v>11.521401187858682</v>
      </c>
      <c r="GG827">
        <v>8.412571192922865</v>
      </c>
      <c r="GH827">
        <v>4.0382276557278312</v>
      </c>
      <c r="GI827">
        <v>6.4884394344939595</v>
      </c>
      <c r="GJ827"/>
      <c r="GK827"/>
      <c r="GL827"/>
      <c r="GM827"/>
    </row>
    <row r="828" spans="1:195" s="7" customFormat="1">
      <c r="A828" s="4"/>
      <c r="B828" s="4"/>
      <c r="C828" s="105"/>
      <c r="D828" s="4"/>
      <c r="E828" s="4"/>
      <c r="F828" s="28"/>
      <c r="G828" s="28"/>
      <c r="H828" s="83"/>
      <c r="I828" s="4"/>
      <c r="J828" s="4"/>
      <c r="K828" s="4"/>
      <c r="L828" s="4"/>
      <c r="M828" s="4"/>
      <c r="N828" s="28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81"/>
      <c r="AG828" s="81"/>
      <c r="AH828" s="81"/>
      <c r="AI828" s="4"/>
      <c r="AJ828" s="81"/>
      <c r="AK828" s="81"/>
      <c r="AL828" s="81"/>
      <c r="AM828" s="43">
        <v>812</v>
      </c>
      <c r="AN828">
        <v>104.38872463367701</v>
      </c>
      <c r="AO828">
        <v>7.8099768906629761</v>
      </c>
      <c r="AP828">
        <v>76.695745421741876</v>
      </c>
      <c r="AQ828">
        <v>63.299547958370454</v>
      </c>
      <c r="AR828">
        <v>7.4916840965673961</v>
      </c>
      <c r="AS828">
        <v>132.73282218036121</v>
      </c>
      <c r="AT828">
        <v>4.9187591987941168</v>
      </c>
      <c r="AU828">
        <v>16.852515433127781</v>
      </c>
      <c r="AV828"/>
      <c r="AW828"/>
      <c r="FY828" s="210">
        <v>823</v>
      </c>
      <c r="FZ828">
        <v>22.915532811403789</v>
      </c>
      <c r="GA828">
        <v>26.688259066025562</v>
      </c>
      <c r="GB828">
        <v>2.3890733541539779</v>
      </c>
      <c r="GC828">
        <v>1.2172571460609114</v>
      </c>
      <c r="GD828">
        <v>1.0213630064233119</v>
      </c>
      <c r="GE828">
        <v>1.9345671151597228</v>
      </c>
      <c r="GF828">
        <v>2.9188999841157481</v>
      </c>
      <c r="GG828">
        <v>5.0673786603166207</v>
      </c>
      <c r="GH828">
        <v>6.2751246821326898</v>
      </c>
      <c r="GI828">
        <v>6.0790603180936547</v>
      </c>
      <c r="GJ828"/>
      <c r="GK828"/>
      <c r="GL828"/>
      <c r="GM828"/>
    </row>
    <row r="829" spans="1:195" s="7" customFormat="1">
      <c r="A829" s="4"/>
      <c r="B829" s="4"/>
      <c r="C829" s="105"/>
      <c r="D829" s="4"/>
      <c r="E829" s="4"/>
      <c r="F829" s="28"/>
      <c r="G829" s="28"/>
      <c r="H829" s="83"/>
      <c r="I829" s="4"/>
      <c r="J829" s="4"/>
      <c r="K829" s="4"/>
      <c r="L829" s="4"/>
      <c r="M829" s="4"/>
      <c r="N829" s="28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81"/>
      <c r="AG829" s="81"/>
      <c r="AH829" s="81"/>
      <c r="AI829" s="4"/>
      <c r="AJ829" s="81"/>
      <c r="AK829" s="81"/>
      <c r="AL829" s="81"/>
      <c r="AM829" s="43">
        <v>813</v>
      </c>
      <c r="AN829">
        <v>116.10016863091388</v>
      </c>
      <c r="AO829">
        <v>12.203329890001916</v>
      </c>
      <c r="AP829">
        <v>124.82535887252462</v>
      </c>
      <c r="AQ829">
        <v>108.30478632987433</v>
      </c>
      <c r="AR829">
        <v>11.624537220880331</v>
      </c>
      <c r="AS829">
        <v>169.47357594158754</v>
      </c>
      <c r="AT829">
        <v>6.9147757893619621</v>
      </c>
      <c r="AU829">
        <v>12.302557522052462</v>
      </c>
      <c r="AV829"/>
      <c r="AW829"/>
      <c r="FY829" s="210">
        <v>824</v>
      </c>
      <c r="FZ829">
        <v>11.507664552003556</v>
      </c>
      <c r="GA829">
        <v>15.407381134879778</v>
      </c>
      <c r="GB829">
        <v>3.3420602003860185</v>
      </c>
      <c r="GC829">
        <v>1.4136459768730845</v>
      </c>
      <c r="GD829">
        <v>0.69326344535213202</v>
      </c>
      <c r="GE829">
        <v>2.8402386238633981</v>
      </c>
      <c r="GF829">
        <v>4.6713831823540239</v>
      </c>
      <c r="GG829">
        <v>5.4565244484914146</v>
      </c>
      <c r="GH829">
        <v>8.6272962338739205</v>
      </c>
      <c r="GI829">
        <v>5.138301650062095</v>
      </c>
      <c r="GJ829"/>
      <c r="GK829"/>
      <c r="GL829"/>
      <c r="GM829"/>
    </row>
    <row r="830" spans="1:195" s="7" customFormat="1">
      <c r="A830" s="4"/>
      <c r="B830" s="4"/>
      <c r="C830" s="105"/>
      <c r="D830" s="4"/>
      <c r="E830" s="4"/>
      <c r="F830" s="28"/>
      <c r="G830" s="28"/>
      <c r="H830" s="83"/>
      <c r="I830" s="4"/>
      <c r="J830" s="4"/>
      <c r="K830" s="4"/>
      <c r="L830" s="4"/>
      <c r="M830" s="4"/>
      <c r="N830" s="28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81"/>
      <c r="AG830" s="81"/>
      <c r="AH830" s="81"/>
      <c r="AI830" s="4"/>
      <c r="AJ830" s="81"/>
      <c r="AK830" s="81"/>
      <c r="AL830" s="81"/>
      <c r="AM830" s="43">
        <v>814</v>
      </c>
      <c r="AN830">
        <v>128.94774966778192</v>
      </c>
      <c r="AO830">
        <v>13.534028718776</v>
      </c>
      <c r="AP830">
        <v>140.91912122116969</v>
      </c>
      <c r="AQ830">
        <v>120.66077176673977</v>
      </c>
      <c r="AR830">
        <v>13.056148864640544</v>
      </c>
      <c r="AS830">
        <v>176.64593039991726</v>
      </c>
      <c r="AT830">
        <v>8.1639919170985777</v>
      </c>
      <c r="AU830">
        <v>66.533849234513227</v>
      </c>
      <c r="AV830"/>
      <c r="AW830"/>
      <c r="FY830" s="210">
        <v>825</v>
      </c>
      <c r="FZ830">
        <v>2.2246518392343058</v>
      </c>
      <c r="GA830">
        <v>4.1686607692097546</v>
      </c>
      <c r="GB830">
        <v>3.3513897559727024</v>
      </c>
      <c r="GC830">
        <v>1.0631097198199371</v>
      </c>
      <c r="GD830">
        <v>0.58215108658931092</v>
      </c>
      <c r="GE830">
        <v>3.4451949589530617</v>
      </c>
      <c r="GF830">
        <v>8.3386687805993933</v>
      </c>
      <c r="GG830">
        <v>5.3458696510407133</v>
      </c>
      <c r="GH830">
        <v>4.9720846666412921</v>
      </c>
      <c r="GI830">
        <v>3.8016562246392702</v>
      </c>
      <c r="GJ830"/>
      <c r="GK830"/>
      <c r="GL830"/>
      <c r="GM830"/>
    </row>
    <row r="831" spans="1:195" s="7" customFormat="1">
      <c r="A831" s="4"/>
      <c r="B831" s="4"/>
      <c r="C831" s="105"/>
      <c r="D831" s="4"/>
      <c r="E831" s="4"/>
      <c r="F831" s="28"/>
      <c r="G831" s="28"/>
      <c r="H831" s="83"/>
      <c r="I831" s="4"/>
      <c r="J831" s="4"/>
      <c r="K831" s="4"/>
      <c r="L831" s="4"/>
      <c r="M831" s="4"/>
      <c r="N831" s="28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81"/>
      <c r="AG831" s="81"/>
      <c r="AH831" s="81"/>
      <c r="AI831" s="4"/>
      <c r="AJ831" s="81"/>
      <c r="AK831" s="81"/>
      <c r="AL831" s="81"/>
      <c r="AM831" s="43">
        <v>815</v>
      </c>
      <c r="AN831">
        <v>86.32324374032531</v>
      </c>
      <c r="AO831">
        <v>9.8046535216450987</v>
      </c>
      <c r="AP831">
        <v>98.343501205202571</v>
      </c>
      <c r="AQ831">
        <v>83.794639668139411</v>
      </c>
      <c r="AR831">
        <v>9.3854642583504919</v>
      </c>
      <c r="AS831">
        <v>152.94468587713888</v>
      </c>
      <c r="AT831">
        <v>6.5654123762057885</v>
      </c>
      <c r="AU831">
        <v>9.9325791166042183</v>
      </c>
      <c r="AV831"/>
      <c r="AW831"/>
      <c r="FY831" s="210">
        <v>826</v>
      </c>
      <c r="FZ831">
        <v>56.07617993476596</v>
      </c>
      <c r="GA831">
        <v>66.805164452983476</v>
      </c>
      <c r="GB831">
        <v>3.5284264774682317</v>
      </c>
      <c r="GC831">
        <v>0.88401102375169083</v>
      </c>
      <c r="GD831">
        <v>0.60705307767591421</v>
      </c>
      <c r="GE831">
        <v>2.5364819691445635</v>
      </c>
      <c r="GF831">
        <v>8.588877427166846</v>
      </c>
      <c r="GG831">
        <v>12.790779151189554</v>
      </c>
      <c r="GH831">
        <v>11.941807357415158</v>
      </c>
      <c r="GI831">
        <v>12.959918114821219</v>
      </c>
      <c r="GJ831"/>
      <c r="GK831"/>
      <c r="GL831"/>
      <c r="GM831"/>
    </row>
    <row r="832" spans="1:195" s="7" customFormat="1">
      <c r="A832" s="4"/>
      <c r="B832" s="4"/>
      <c r="C832" s="105"/>
      <c r="D832" s="4"/>
      <c r="E832" s="4"/>
      <c r="F832" s="28"/>
      <c r="G832" s="28"/>
      <c r="H832" s="83"/>
      <c r="I832" s="4"/>
      <c r="J832" s="4"/>
      <c r="K832" s="4"/>
      <c r="L832" s="4"/>
      <c r="M832" s="4"/>
      <c r="N832" s="28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81"/>
      <c r="AG832" s="81"/>
      <c r="AH832" s="81"/>
      <c r="AI832" s="4"/>
      <c r="AJ832" s="81"/>
      <c r="AK832" s="81"/>
      <c r="AL832" s="81"/>
      <c r="AM832" s="43">
        <v>816</v>
      </c>
      <c r="AN832">
        <v>106.26527759960581</v>
      </c>
      <c r="AO832">
        <v>9.6264378999994555</v>
      </c>
      <c r="AP832">
        <v>97.414820520154407</v>
      </c>
      <c r="AQ832">
        <v>84.070748152062563</v>
      </c>
      <c r="AR832">
        <v>9.3566990122496705</v>
      </c>
      <c r="AS832">
        <v>151.10905776899747</v>
      </c>
      <c r="AT832">
        <v>6.0156793582085308</v>
      </c>
      <c r="AU832">
        <v>19.856692465917341</v>
      </c>
      <c r="AV832"/>
      <c r="AW832"/>
      <c r="FY832" s="210">
        <v>827</v>
      </c>
      <c r="FZ832">
        <v>24.796663101086239</v>
      </c>
      <c r="GA832">
        <v>27.485163122179348</v>
      </c>
      <c r="GB832">
        <v>2.1651393315341445</v>
      </c>
      <c r="GC832">
        <v>0.87635152593029364</v>
      </c>
      <c r="GD832">
        <v>0.88802062064073195</v>
      </c>
      <c r="GE832">
        <v>2.155727581645984</v>
      </c>
      <c r="GF832">
        <v>8.8905789276467253</v>
      </c>
      <c r="GG832">
        <v>8.9069696375588894</v>
      </c>
      <c r="GH832">
        <v>7.1106486017021311</v>
      </c>
      <c r="GI832">
        <v>7.4547559804193284</v>
      </c>
      <c r="GJ832"/>
      <c r="GK832"/>
      <c r="GL832"/>
      <c r="GM832"/>
    </row>
    <row r="833" spans="1:195" s="7" customFormat="1">
      <c r="A833" s="4"/>
      <c r="B833" s="4"/>
      <c r="C833" s="105"/>
      <c r="D833" s="4"/>
      <c r="E833" s="4"/>
      <c r="F833" s="28"/>
      <c r="G833" s="28"/>
      <c r="H833" s="83"/>
      <c r="I833" s="4"/>
      <c r="J833" s="4"/>
      <c r="K833" s="4"/>
      <c r="L833" s="4"/>
      <c r="M833" s="4"/>
      <c r="N833" s="28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81"/>
      <c r="AG833" s="81"/>
      <c r="AH833" s="81"/>
      <c r="AI833" s="4"/>
      <c r="AJ833" s="81"/>
      <c r="AK833" s="81"/>
      <c r="AL833" s="81"/>
      <c r="AM833" s="43">
        <v>817</v>
      </c>
      <c r="AN833">
        <v>122.17370628062993</v>
      </c>
      <c r="AO833">
        <v>8.2896435820191385</v>
      </c>
      <c r="AP833">
        <v>81.083875100460205</v>
      </c>
      <c r="AQ833">
        <v>66.586391150422628</v>
      </c>
      <c r="AR833">
        <v>8.1256557428989495</v>
      </c>
      <c r="AS833">
        <v>150.10544841758019</v>
      </c>
      <c r="AT833">
        <v>5.0973207957570574</v>
      </c>
      <c r="AU833">
        <v>12.988927053754352</v>
      </c>
      <c r="AV833"/>
      <c r="AW833"/>
      <c r="FY833" s="210">
        <v>828</v>
      </c>
      <c r="FZ833">
        <v>11.601214618096112</v>
      </c>
      <c r="GA833">
        <v>14.986245502496789</v>
      </c>
      <c r="GB833">
        <v>3.1103957882405653</v>
      </c>
      <c r="GC833">
        <v>1.6055251080021391</v>
      </c>
      <c r="GD833">
        <v>1.2532877073788393</v>
      </c>
      <c r="GE833">
        <v>5.0296215062651841</v>
      </c>
      <c r="GF833">
        <v>5.3010057263927113</v>
      </c>
      <c r="GG833">
        <v>4.9280517597314422</v>
      </c>
      <c r="GH833">
        <v>10.183126044801639</v>
      </c>
      <c r="GI833">
        <v>5.7909242313908518</v>
      </c>
      <c r="GJ833"/>
      <c r="GK833"/>
      <c r="GL833"/>
      <c r="GM833"/>
    </row>
    <row r="834" spans="1:195" s="7" customFormat="1">
      <c r="A834" s="4"/>
      <c r="B834" s="4"/>
      <c r="C834" s="105"/>
      <c r="D834" s="4"/>
      <c r="E834" s="4"/>
      <c r="F834" s="28"/>
      <c r="G834" s="28"/>
      <c r="H834" s="83"/>
      <c r="I834" s="4"/>
      <c r="J834" s="4"/>
      <c r="K834" s="4"/>
      <c r="L834" s="4"/>
      <c r="M834" s="4"/>
      <c r="N834" s="28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81"/>
      <c r="AG834" s="81"/>
      <c r="AH834" s="81"/>
      <c r="AI834" s="4"/>
      <c r="AJ834" s="81"/>
      <c r="AK834" s="81"/>
      <c r="AL834" s="81"/>
      <c r="AM834" s="43">
        <v>818</v>
      </c>
      <c r="AN834">
        <v>73.933432892619194</v>
      </c>
      <c r="AO834">
        <v>5.1846213193555881</v>
      </c>
      <c r="AP834">
        <v>45.920139466898675</v>
      </c>
      <c r="AQ834">
        <v>36.817385012806071</v>
      </c>
      <c r="AR834">
        <v>5.2541092321041054</v>
      </c>
      <c r="AS834">
        <v>92.154164093739041</v>
      </c>
      <c r="AT834">
        <v>3.1087788811568449</v>
      </c>
      <c r="AU834">
        <v>-19.779438904436958</v>
      </c>
      <c r="AV834"/>
      <c r="AW834"/>
      <c r="FY834" s="210">
        <v>829</v>
      </c>
      <c r="FZ834">
        <v>23.122208971170888</v>
      </c>
      <c r="GA834">
        <v>27.54663213661329</v>
      </c>
      <c r="GB834">
        <v>2.1982103474171053</v>
      </c>
      <c r="GC834">
        <v>0.79374640861896562</v>
      </c>
      <c r="GD834">
        <v>0.93567536281464569</v>
      </c>
      <c r="GE834">
        <v>3.6929944714315974</v>
      </c>
      <c r="GF834">
        <v>11.187278335120693</v>
      </c>
      <c r="GG834">
        <v>14.593972088382927</v>
      </c>
      <c r="GH834">
        <v>13.980595549981631</v>
      </c>
      <c r="GI834">
        <v>8.7372452977202464</v>
      </c>
      <c r="GJ834"/>
      <c r="GK834"/>
      <c r="GL834"/>
      <c r="GM834"/>
    </row>
    <row r="835" spans="1:195" s="7" customFormat="1">
      <c r="A835" s="4"/>
      <c r="B835" s="4"/>
      <c r="C835" s="105"/>
      <c r="D835" s="4"/>
      <c r="E835" s="4"/>
      <c r="F835" s="28"/>
      <c r="G835" s="28"/>
      <c r="H835" s="83"/>
      <c r="I835" s="4"/>
      <c r="J835" s="4"/>
      <c r="K835" s="4"/>
      <c r="L835" s="4"/>
      <c r="M835" s="4"/>
      <c r="N835" s="28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81"/>
      <c r="AG835" s="81"/>
      <c r="AH835" s="81"/>
      <c r="AI835" s="4"/>
      <c r="AJ835" s="81"/>
      <c r="AK835" s="81"/>
      <c r="AL835" s="81"/>
      <c r="AM835" s="43">
        <v>819</v>
      </c>
      <c r="AN835">
        <v>99.225907521765848</v>
      </c>
      <c r="AO835">
        <v>9.1075002244262055</v>
      </c>
      <c r="AP835">
        <v>88.092218566707658</v>
      </c>
      <c r="AQ835">
        <v>74.290854082578491</v>
      </c>
      <c r="AR835">
        <v>9.4928302148975199</v>
      </c>
      <c r="AS835">
        <v>142.86578232678201</v>
      </c>
      <c r="AT835">
        <v>5.6528876812248505</v>
      </c>
      <c r="AU835">
        <v>20.096340151883297</v>
      </c>
      <c r="AV835"/>
      <c r="AW835"/>
      <c r="FY835" s="210">
        <v>830</v>
      </c>
      <c r="FZ835">
        <v>2.3512378094704545</v>
      </c>
      <c r="GA835">
        <v>2.1931218894648179</v>
      </c>
      <c r="GB835">
        <v>2.6236070631960935</v>
      </c>
      <c r="GC835">
        <v>1.4514477487947313</v>
      </c>
      <c r="GD835">
        <v>0.67827745602988587</v>
      </c>
      <c r="GE835">
        <v>1.1029225639525184</v>
      </c>
      <c r="GF835">
        <v>2.9817666172937436</v>
      </c>
      <c r="GG835">
        <v>4.8287316103509355</v>
      </c>
      <c r="GH835">
        <v>6.9823145118114258</v>
      </c>
      <c r="GI835">
        <v>3.0296902243995749</v>
      </c>
      <c r="GJ835"/>
      <c r="GK835"/>
      <c r="GL835"/>
      <c r="GM835"/>
    </row>
    <row r="836" spans="1:195" s="7" customFormat="1">
      <c r="A836" s="4"/>
      <c r="B836" s="4"/>
      <c r="C836" s="105"/>
      <c r="D836" s="4"/>
      <c r="E836" s="4"/>
      <c r="F836" s="28"/>
      <c r="G836" s="28"/>
      <c r="H836" s="83"/>
      <c r="I836" s="4"/>
      <c r="J836" s="4"/>
      <c r="K836" s="4"/>
      <c r="L836" s="4"/>
      <c r="M836" s="4"/>
      <c r="N836" s="28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81"/>
      <c r="AG836" s="81"/>
      <c r="AH836" s="81"/>
      <c r="AI836" s="4"/>
      <c r="AJ836" s="81"/>
      <c r="AK836" s="81"/>
      <c r="AL836" s="81"/>
      <c r="AM836" s="43">
        <v>820</v>
      </c>
      <c r="AN836">
        <v>130.10048630539421</v>
      </c>
      <c r="AO836">
        <v>13.14514608927789</v>
      </c>
      <c r="AP836">
        <v>140.6487449065902</v>
      </c>
      <c r="AQ836">
        <v>119.06189868960354</v>
      </c>
      <c r="AR836">
        <v>12.547888780459745</v>
      </c>
      <c r="AS836">
        <v>191.65517396243121</v>
      </c>
      <c r="AT836">
        <v>7.8327810625489258</v>
      </c>
      <c r="AU836">
        <v>53.140843080065324</v>
      </c>
      <c r="AV836"/>
      <c r="AW836"/>
      <c r="FY836" s="210">
        <v>831</v>
      </c>
      <c r="FZ836">
        <v>22.665115923354225</v>
      </c>
      <c r="GA836">
        <v>27.564872072284729</v>
      </c>
      <c r="GB836">
        <v>2.2406888716605757</v>
      </c>
      <c r="GC836">
        <v>1.1030739731912453</v>
      </c>
      <c r="GD836">
        <v>0.63874362669699036</v>
      </c>
      <c r="GE836">
        <v>0.64100078592544307</v>
      </c>
      <c r="GF836">
        <v>4.5493789052192897</v>
      </c>
      <c r="GG836">
        <v>5.4339592310115998</v>
      </c>
      <c r="GH836">
        <v>3.4519778186595982</v>
      </c>
      <c r="GI836">
        <v>5.6458402448813771</v>
      </c>
      <c r="GJ836"/>
      <c r="GK836"/>
      <c r="GL836"/>
      <c r="GM836"/>
    </row>
    <row r="837" spans="1:195" s="7" customFormat="1">
      <c r="A837" s="4"/>
      <c r="B837" s="4"/>
      <c r="C837" s="105"/>
      <c r="D837" s="4"/>
      <c r="E837" s="4"/>
      <c r="F837" s="28"/>
      <c r="G837" s="28"/>
      <c r="H837" s="83"/>
      <c r="I837" s="4"/>
      <c r="J837" s="4"/>
      <c r="K837" s="4"/>
      <c r="L837" s="4"/>
      <c r="M837" s="4"/>
      <c r="N837" s="28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81"/>
      <c r="AG837" s="81"/>
      <c r="AH837" s="81"/>
      <c r="AI837" s="4"/>
      <c r="AJ837" s="81"/>
      <c r="AK837" s="81"/>
      <c r="AL837" s="81"/>
      <c r="AM837" s="43">
        <v>821</v>
      </c>
      <c r="AN837">
        <v>122.29897598744972</v>
      </c>
      <c r="AO837">
        <v>12.312978783143082</v>
      </c>
      <c r="AP837">
        <v>132.74429969395783</v>
      </c>
      <c r="AQ837">
        <v>113.20849427121266</v>
      </c>
      <c r="AR837">
        <v>11.726019223404666</v>
      </c>
      <c r="AS837">
        <v>208.6471316011351</v>
      </c>
      <c r="AT837">
        <v>6.8944809266000604</v>
      </c>
      <c r="AU837">
        <v>30.209629093418325</v>
      </c>
      <c r="AV837"/>
      <c r="AW837"/>
      <c r="FY837" s="210">
        <v>832</v>
      </c>
      <c r="FZ837">
        <v>23.029266201505273</v>
      </c>
      <c r="GA837">
        <v>27.482535133520081</v>
      </c>
      <c r="GB837">
        <v>2.990914200568326</v>
      </c>
      <c r="GC837">
        <v>1.4571417191889637</v>
      </c>
      <c r="GD837">
        <v>1.2097094444624665</v>
      </c>
      <c r="GE837">
        <v>2.9918272403079578</v>
      </c>
      <c r="GF837">
        <v>8.7624587768109947</v>
      </c>
      <c r="GG837">
        <v>10.065412998742012</v>
      </c>
      <c r="GH837">
        <v>7.6679163673923174</v>
      </c>
      <c r="GI837">
        <v>7.6477792678130436</v>
      </c>
      <c r="GJ837"/>
      <c r="GK837"/>
      <c r="GL837"/>
      <c r="GM837"/>
    </row>
    <row r="838" spans="1:195" s="7" customFormat="1">
      <c r="A838" s="4"/>
      <c r="B838" s="4"/>
      <c r="C838" s="105"/>
      <c r="D838" s="4"/>
      <c r="E838" s="4"/>
      <c r="F838" s="28"/>
      <c r="G838" s="28"/>
      <c r="H838" s="83"/>
      <c r="I838" s="4"/>
      <c r="J838" s="4"/>
      <c r="K838" s="4"/>
      <c r="L838" s="4"/>
      <c r="M838" s="4"/>
      <c r="N838" s="28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81"/>
      <c r="AG838" s="81"/>
      <c r="AH838" s="81"/>
      <c r="AI838" s="4"/>
      <c r="AJ838" s="81"/>
      <c r="AK838" s="81"/>
      <c r="AL838" s="81"/>
      <c r="AM838" s="43">
        <v>822</v>
      </c>
      <c r="AN838">
        <v>96.370884729908553</v>
      </c>
      <c r="AO838">
        <v>9.0341519758061217</v>
      </c>
      <c r="AP838">
        <v>85.296440713367389</v>
      </c>
      <c r="AQ838">
        <v>71.118454107329939</v>
      </c>
      <c r="AR838">
        <v>8.9344683465332952</v>
      </c>
      <c r="AS838">
        <v>153.76612755522606</v>
      </c>
      <c r="AT838">
        <v>5.5483732118457469</v>
      </c>
      <c r="AU838">
        <v>1.8598585762643207</v>
      </c>
      <c r="AV838"/>
      <c r="AW838"/>
      <c r="FY838" s="210">
        <v>833</v>
      </c>
      <c r="FZ838">
        <v>36.345378211894129</v>
      </c>
      <c r="GA838">
        <v>41.604738898346</v>
      </c>
      <c r="GB838">
        <v>2.6519156772668309</v>
      </c>
      <c r="GC838">
        <v>1.0285931072390491</v>
      </c>
      <c r="GD838">
        <v>0.94995777992388308</v>
      </c>
      <c r="GE838">
        <v>1.731954280043559</v>
      </c>
      <c r="GF838">
        <v>6.358953075175994</v>
      </c>
      <c r="GG838">
        <v>6.3039634649353671</v>
      </c>
      <c r="GH838">
        <v>4.8637060433700974</v>
      </c>
      <c r="GI838">
        <v>8.4951177058028406</v>
      </c>
      <c r="GJ838"/>
      <c r="GK838"/>
      <c r="GL838"/>
      <c r="GM838"/>
    </row>
    <row r="839" spans="1:195" s="7" customFormat="1">
      <c r="A839" s="4"/>
      <c r="B839" s="4"/>
      <c r="C839" s="105"/>
      <c r="D839" s="4"/>
      <c r="E839" s="4"/>
      <c r="F839" s="28"/>
      <c r="G839" s="28"/>
      <c r="H839" s="83"/>
      <c r="I839" s="4"/>
      <c r="J839" s="4"/>
      <c r="K839" s="4"/>
      <c r="L839" s="4"/>
      <c r="M839" s="4"/>
      <c r="N839" s="28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81"/>
      <c r="AG839" s="81"/>
      <c r="AH839" s="81"/>
      <c r="AI839" s="4"/>
      <c r="AJ839" s="81"/>
      <c r="AK839" s="81"/>
      <c r="AL839" s="81"/>
      <c r="AM839" s="43">
        <v>823</v>
      </c>
      <c r="AN839">
        <v>70.234144680042405</v>
      </c>
      <c r="AO839">
        <v>8.7747555636636836</v>
      </c>
      <c r="AP839">
        <v>88.624652962143514</v>
      </c>
      <c r="AQ839">
        <v>76.506516143885975</v>
      </c>
      <c r="AR839">
        <v>8.4825004660654777</v>
      </c>
      <c r="AS839">
        <v>156.24893410851973</v>
      </c>
      <c r="AT839">
        <v>5.7104690842380732</v>
      </c>
      <c r="AU839">
        <v>-2.9308851830261147</v>
      </c>
      <c r="AV839"/>
      <c r="AW839"/>
      <c r="FY839" s="210">
        <v>834</v>
      </c>
      <c r="FZ839">
        <v>24.209800601418912</v>
      </c>
      <c r="GA839">
        <v>27.82714334280741</v>
      </c>
      <c r="GB839">
        <v>3.4221086277552155</v>
      </c>
      <c r="GC839">
        <v>1.932492389739803</v>
      </c>
      <c r="GD839">
        <v>0.9127483136158937</v>
      </c>
      <c r="GE839">
        <v>2.3151032382313983</v>
      </c>
      <c r="GF839">
        <v>12.188020459679477</v>
      </c>
      <c r="GG839">
        <v>13.330515233071601</v>
      </c>
      <c r="GH839">
        <v>9.7533294275003222</v>
      </c>
      <c r="GI839">
        <v>8.6944321348298352</v>
      </c>
      <c r="GJ839"/>
      <c r="GK839"/>
      <c r="GL839"/>
      <c r="GM839"/>
    </row>
    <row r="840" spans="1:195" s="7" customFormat="1">
      <c r="A840" s="4"/>
      <c r="B840" s="4"/>
      <c r="C840" s="105"/>
      <c r="D840" s="4"/>
      <c r="E840" s="4"/>
      <c r="F840" s="28"/>
      <c r="G840" s="28"/>
      <c r="H840" s="83"/>
      <c r="I840" s="4"/>
      <c r="J840" s="4"/>
      <c r="K840" s="4"/>
      <c r="L840" s="4"/>
      <c r="M840" s="4"/>
      <c r="N840" s="28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81"/>
      <c r="AG840" s="81"/>
      <c r="AH840" s="81"/>
      <c r="AI840" s="4"/>
      <c r="AJ840" s="81"/>
      <c r="AK840" s="81"/>
      <c r="AL840" s="81"/>
      <c r="AM840" s="43">
        <v>824</v>
      </c>
      <c r="AN840">
        <v>103.13906415429949</v>
      </c>
      <c r="AO840">
        <v>7.288976476817834</v>
      </c>
      <c r="AP840">
        <v>70.234690236246379</v>
      </c>
      <c r="AQ840">
        <v>59.097759448139428</v>
      </c>
      <c r="AR840">
        <v>7.033692029234123</v>
      </c>
      <c r="AS840">
        <v>131.17929934753823</v>
      </c>
      <c r="AT840">
        <v>4.3391770787992874</v>
      </c>
      <c r="AU840">
        <v>9.9738684550369587</v>
      </c>
      <c r="AV840"/>
      <c r="AW840"/>
      <c r="FY840" s="210">
        <v>835</v>
      </c>
      <c r="FZ840">
        <v>13.045224500389372</v>
      </c>
      <c r="GA840">
        <v>15.669517039964221</v>
      </c>
      <c r="GB840">
        <v>3.7988742082877422</v>
      </c>
      <c r="GC840">
        <v>1.7370786962677915</v>
      </c>
      <c r="GD840">
        <v>0.44896763796909134</v>
      </c>
      <c r="GE840">
        <v>1.2330389487621065</v>
      </c>
      <c r="GF840">
        <v>8.5744972256605188</v>
      </c>
      <c r="GG840">
        <v>11.529159698281608</v>
      </c>
      <c r="GH840">
        <v>11.38280814693811</v>
      </c>
      <c r="GI840">
        <v>6.4768798423089722</v>
      </c>
      <c r="GJ840"/>
      <c r="GK840"/>
      <c r="GL840"/>
      <c r="GM840"/>
    </row>
    <row r="841" spans="1:195" s="7" customFormat="1">
      <c r="A841" s="4"/>
      <c r="B841" s="4"/>
      <c r="C841" s="105"/>
      <c r="D841" s="4"/>
      <c r="E841" s="4"/>
      <c r="F841" s="28"/>
      <c r="G841" s="28"/>
      <c r="H841" s="83"/>
      <c r="I841" s="4"/>
      <c r="J841" s="4"/>
      <c r="K841" s="4"/>
      <c r="L841" s="4"/>
      <c r="M841" s="4"/>
      <c r="N841" s="28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81"/>
      <c r="AG841" s="81"/>
      <c r="AH841" s="81"/>
      <c r="AI841" s="4"/>
      <c r="AJ841" s="81"/>
      <c r="AK841" s="81"/>
      <c r="AL841" s="81"/>
      <c r="AM841" s="43">
        <v>825</v>
      </c>
      <c r="AN841">
        <v>91.928926959797678</v>
      </c>
      <c r="AO841">
        <v>5.2188586715463732</v>
      </c>
      <c r="AP841">
        <v>46.280097532650366</v>
      </c>
      <c r="AQ841">
        <v>37.293437452699749</v>
      </c>
      <c r="AR841">
        <v>5.0970563932709272</v>
      </c>
      <c r="AS841">
        <v>97.390764535972977</v>
      </c>
      <c r="AT841">
        <v>3.2134016650741049</v>
      </c>
      <c r="AU841">
        <v>-19.67444952696156</v>
      </c>
      <c r="AV841"/>
      <c r="AW841"/>
      <c r="FY841" s="210">
        <v>836</v>
      </c>
      <c r="FZ841">
        <v>39.29801060894458</v>
      </c>
      <c r="GA841">
        <v>39.976128714448436</v>
      </c>
      <c r="GB841">
        <v>2.2980458202964611</v>
      </c>
      <c r="GC841">
        <v>1.201961250647164</v>
      </c>
      <c r="GD841">
        <v>1.2952636283860013</v>
      </c>
      <c r="GE841">
        <v>3.001369063988172</v>
      </c>
      <c r="GF841">
        <v>7.6215904808369528</v>
      </c>
      <c r="GG841">
        <v>15.426095656710213</v>
      </c>
      <c r="GH841">
        <v>16.10457391538856</v>
      </c>
      <c r="GI841">
        <v>11.057230680406279</v>
      </c>
      <c r="GJ841"/>
      <c r="GK841"/>
      <c r="GL841"/>
      <c r="GM841"/>
    </row>
    <row r="842" spans="1:195" s="7" customFormat="1">
      <c r="A842" s="4"/>
      <c r="B842" s="4"/>
      <c r="C842" s="105"/>
      <c r="D842" s="4"/>
      <c r="E842" s="4"/>
      <c r="F842" s="28"/>
      <c r="G842" s="28"/>
      <c r="H842" s="83"/>
      <c r="I842" s="4"/>
      <c r="J842" s="4"/>
      <c r="K842" s="4"/>
      <c r="L842" s="4"/>
      <c r="M842" s="4"/>
      <c r="N842" s="28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81"/>
      <c r="AG842" s="81"/>
      <c r="AH842" s="81"/>
      <c r="AI842" s="4"/>
      <c r="AJ842" s="81"/>
      <c r="AK842" s="81"/>
      <c r="AL842" s="81"/>
      <c r="AM842" s="43">
        <v>826</v>
      </c>
      <c r="AN842">
        <v>162.3953687741373</v>
      </c>
      <c r="AO842">
        <v>19.050261527639655</v>
      </c>
      <c r="AP842">
        <v>206.98013738030687</v>
      </c>
      <c r="AQ842">
        <v>176.71869898638261</v>
      </c>
      <c r="AR842">
        <v>18.052206707497781</v>
      </c>
      <c r="AS842">
        <v>263.38792318149973</v>
      </c>
      <c r="AT842">
        <v>11.406443698929175</v>
      </c>
      <c r="AU842">
        <v>120.92471796884465</v>
      </c>
      <c r="AV842"/>
      <c r="AW842"/>
      <c r="FY842" s="210">
        <v>837</v>
      </c>
      <c r="FZ842">
        <v>55.333963559696898</v>
      </c>
      <c r="GA842">
        <v>66.242153885062507</v>
      </c>
      <c r="GB842">
        <v>2.5432143520873494</v>
      </c>
      <c r="GC842">
        <v>1.0271349241668952</v>
      </c>
      <c r="GD842">
        <v>0.78318495273268451</v>
      </c>
      <c r="GE842">
        <v>4.0445284073372898</v>
      </c>
      <c r="GF842">
        <v>9.6910339735838438</v>
      </c>
      <c r="GG842">
        <v>11.219164914894833</v>
      </c>
      <c r="GH842">
        <v>14.066788492828746</v>
      </c>
      <c r="GI842">
        <v>13.230648093598042</v>
      </c>
      <c r="GJ842"/>
      <c r="GK842"/>
      <c r="GL842"/>
      <c r="GM842"/>
    </row>
    <row r="843" spans="1:195" s="7" customFormat="1">
      <c r="A843" s="4"/>
      <c r="B843" s="4"/>
      <c r="C843" s="105"/>
      <c r="D843" s="4"/>
      <c r="E843" s="4"/>
      <c r="F843" s="28"/>
      <c r="G843" s="28"/>
      <c r="H843" s="83"/>
      <c r="I843" s="4"/>
      <c r="J843" s="4"/>
      <c r="K843" s="4"/>
      <c r="L843" s="4"/>
      <c r="M843" s="4"/>
      <c r="N843" s="28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81"/>
      <c r="AG843" s="81"/>
      <c r="AH843" s="81"/>
      <c r="AI843" s="4"/>
      <c r="AJ843" s="81"/>
      <c r="AK843" s="81"/>
      <c r="AL843" s="81"/>
      <c r="AM843" s="43">
        <v>827</v>
      </c>
      <c r="AN843">
        <v>90.937844872730224</v>
      </c>
      <c r="AO843">
        <v>10.470080484132094</v>
      </c>
      <c r="AP843">
        <v>107.23999300127176</v>
      </c>
      <c r="AQ843">
        <v>90.73001843034379</v>
      </c>
      <c r="AR843">
        <v>10.370813397683456</v>
      </c>
      <c r="AS843">
        <v>164.11128321544712</v>
      </c>
      <c r="AT843">
        <v>6.9685641608503532</v>
      </c>
      <c r="AU843">
        <v>19.090654844972782</v>
      </c>
      <c r="AV843"/>
      <c r="AW843"/>
      <c r="FY843" s="210">
        <v>838</v>
      </c>
      <c r="FZ843">
        <v>21.912465930887457</v>
      </c>
      <c r="GA843">
        <v>26.726218645880159</v>
      </c>
      <c r="GB843">
        <v>2.5981431648539539</v>
      </c>
      <c r="GC843">
        <v>1.8525666971051968</v>
      </c>
      <c r="GD843">
        <v>1.3168169838122603</v>
      </c>
      <c r="GE843">
        <v>2.660282500271022</v>
      </c>
      <c r="GF843">
        <v>5.8304676171530865</v>
      </c>
      <c r="GG843">
        <v>9.6489921530984173</v>
      </c>
      <c r="GH843">
        <v>10.009347999947849</v>
      </c>
      <c r="GI843">
        <v>7.2855471914488135</v>
      </c>
      <c r="GJ843"/>
      <c r="GK843"/>
      <c r="GL843"/>
      <c r="GM843"/>
    </row>
    <row r="844" spans="1:195" s="7" customFormat="1">
      <c r="A844" s="4"/>
      <c r="B844" s="4"/>
      <c r="C844" s="105"/>
      <c r="D844" s="4"/>
      <c r="E844" s="4"/>
      <c r="F844" s="28"/>
      <c r="G844" s="28"/>
      <c r="H844" s="83"/>
      <c r="I844" s="4"/>
      <c r="J844" s="4"/>
      <c r="K844" s="4"/>
      <c r="L844" s="4"/>
      <c r="M844" s="4"/>
      <c r="N844" s="28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81"/>
      <c r="AG844" s="81"/>
      <c r="AH844" s="81"/>
      <c r="AI844" s="4"/>
      <c r="AJ844" s="81"/>
      <c r="AK844" s="81"/>
      <c r="AL844" s="81"/>
      <c r="AM844" s="43">
        <v>828</v>
      </c>
      <c r="AN844">
        <v>121.8147479292534</v>
      </c>
      <c r="AO844">
        <v>8.2104566724093271</v>
      </c>
      <c r="AP844">
        <v>74.08198945211187</v>
      </c>
      <c r="AQ844">
        <v>63.789397992796275</v>
      </c>
      <c r="AR844">
        <v>7.8564021079148132</v>
      </c>
      <c r="AS844">
        <v>140.51981998361242</v>
      </c>
      <c r="AT844">
        <v>4.465499886741358</v>
      </c>
      <c r="AU844">
        <v>2.6790130565099695</v>
      </c>
      <c r="AV844"/>
      <c r="AW844"/>
      <c r="FY844" s="210">
        <v>839</v>
      </c>
      <c r="FZ844">
        <v>32.137950754133016</v>
      </c>
      <c r="GA844">
        <v>40.566120401039043</v>
      </c>
      <c r="GB844">
        <v>2.5510446800362701</v>
      </c>
      <c r="GC844">
        <v>0.73728247372314815</v>
      </c>
      <c r="GD844">
        <v>0.85046634414530631</v>
      </c>
      <c r="GE844">
        <v>2.8765566390359614</v>
      </c>
      <c r="GF844">
        <v>13.09419796300093</v>
      </c>
      <c r="GG844">
        <v>16.634143532428105</v>
      </c>
      <c r="GH844">
        <v>12.793411858671476</v>
      </c>
      <c r="GI844">
        <v>10.261378508399046</v>
      </c>
      <c r="GJ844"/>
      <c r="GK844"/>
      <c r="GL844"/>
      <c r="GM844"/>
    </row>
    <row r="845" spans="1:195" s="7" customFormat="1">
      <c r="A845" s="4"/>
      <c r="B845" s="4"/>
      <c r="C845" s="105"/>
      <c r="D845" s="4"/>
      <c r="E845" s="4"/>
      <c r="F845" s="28"/>
      <c r="G845" s="28"/>
      <c r="H845" s="83"/>
      <c r="I845" s="4"/>
      <c r="J845" s="4"/>
      <c r="K845" s="4"/>
      <c r="L845" s="4"/>
      <c r="M845" s="4"/>
      <c r="N845" s="28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81"/>
      <c r="AG845" s="81"/>
      <c r="AH845" s="81"/>
      <c r="AI845" s="4"/>
      <c r="AJ845" s="81"/>
      <c r="AK845" s="81"/>
      <c r="AL845" s="81"/>
      <c r="AM845" s="43">
        <v>829</v>
      </c>
      <c r="AN845">
        <v>153.69975343707793</v>
      </c>
      <c r="AO845">
        <v>12.578585751882931</v>
      </c>
      <c r="AP845">
        <v>126.64008687508904</v>
      </c>
      <c r="AQ845">
        <v>106.78855896927197</v>
      </c>
      <c r="AR845">
        <v>12.033104868087321</v>
      </c>
      <c r="AS845">
        <v>225.52934882347242</v>
      </c>
      <c r="AT845">
        <v>7.4905195108506568</v>
      </c>
      <c r="AU845">
        <v>19.627720314489537</v>
      </c>
      <c r="AV845"/>
      <c r="AW845"/>
      <c r="FY845" s="210">
        <v>840</v>
      </c>
      <c r="FZ845">
        <v>33.683731371374954</v>
      </c>
      <c r="GA845">
        <v>38.07333487581549</v>
      </c>
      <c r="GB845">
        <v>3.2957767454713736</v>
      </c>
      <c r="GC845">
        <v>1.7953449792417639</v>
      </c>
      <c r="GD845">
        <v>1.3966418354734533</v>
      </c>
      <c r="GE845">
        <v>2.7732376682794544</v>
      </c>
      <c r="GF845">
        <v>2.5996769728654257</v>
      </c>
      <c r="GG845">
        <v>9.7070717454628088</v>
      </c>
      <c r="GH845">
        <v>12.329075325265196</v>
      </c>
      <c r="GI845">
        <v>9.0177057396633469</v>
      </c>
      <c r="GJ845"/>
      <c r="GK845"/>
      <c r="GL845"/>
      <c r="GM845"/>
    </row>
    <row r="846" spans="1:195" s="7" customFormat="1">
      <c r="A846" s="4"/>
      <c r="B846" s="4"/>
      <c r="C846" s="105"/>
      <c r="D846" s="4"/>
      <c r="E846" s="4"/>
      <c r="F846" s="28"/>
      <c r="G846" s="28"/>
      <c r="H846" s="83"/>
      <c r="I846" s="4"/>
      <c r="J846" s="4"/>
      <c r="K846" s="4"/>
      <c r="L846" s="4"/>
      <c r="M846" s="4"/>
      <c r="N846" s="28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81"/>
      <c r="AG846" s="81"/>
      <c r="AH846" s="81"/>
      <c r="AI846" s="4"/>
      <c r="AJ846" s="81"/>
      <c r="AK846" s="81"/>
      <c r="AL846" s="81"/>
      <c r="AM846" s="43">
        <v>830</v>
      </c>
      <c r="AN846">
        <v>50.369458453803226</v>
      </c>
      <c r="AO846">
        <v>3.9935690710249014</v>
      </c>
      <c r="AP846">
        <v>34.624303132202286</v>
      </c>
      <c r="AQ846">
        <v>28.223117494764175</v>
      </c>
      <c r="AR846">
        <v>4.1768977260485887</v>
      </c>
      <c r="AS846">
        <v>85.510039881596768</v>
      </c>
      <c r="AT846">
        <v>2.5528289868126826</v>
      </c>
      <c r="AU846">
        <v>5.5887943911054414</v>
      </c>
      <c r="AV846"/>
      <c r="AW846"/>
      <c r="FY846" s="210">
        <v>841</v>
      </c>
      <c r="FZ846">
        <v>23.829609592132627</v>
      </c>
      <c r="GA846">
        <v>30.391352326181821</v>
      </c>
      <c r="GB846">
        <v>4.1492430005051446</v>
      </c>
      <c r="GC846">
        <v>1.2134064263759909</v>
      </c>
      <c r="GD846">
        <v>0.83588088510384539</v>
      </c>
      <c r="GE846">
        <v>2.5914222513715899</v>
      </c>
      <c r="GF846">
        <v>4.2968394468675193</v>
      </c>
      <c r="GG846">
        <v>6.8304594481933627</v>
      </c>
      <c r="GH846">
        <v>8.2915597193119925</v>
      </c>
      <c r="GI846">
        <v>7.1202673534447234</v>
      </c>
      <c r="GJ846"/>
      <c r="GK846"/>
      <c r="GL846"/>
      <c r="GM846"/>
    </row>
    <row r="847" spans="1:195" s="7" customFormat="1">
      <c r="A847" s="4"/>
      <c r="B847" s="4"/>
      <c r="C847" s="4"/>
      <c r="D847" s="4"/>
      <c r="E847" s="4"/>
      <c r="F847" s="28"/>
      <c r="G847" s="28"/>
      <c r="H847" s="83"/>
      <c r="I847" s="4"/>
      <c r="J847" s="4"/>
      <c r="K847" s="4"/>
      <c r="L847" s="4"/>
      <c r="M847" s="4"/>
      <c r="N847" s="28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81"/>
      <c r="AG847" s="81"/>
      <c r="AH847" s="81"/>
      <c r="AI847" s="4"/>
      <c r="AJ847" s="81"/>
      <c r="AK847" s="81"/>
      <c r="AL847" s="81"/>
      <c r="AM847" s="43">
        <v>831</v>
      </c>
      <c r="AN847">
        <v>66.268226245733302</v>
      </c>
      <c r="AO847">
        <v>8.2647992672820383</v>
      </c>
      <c r="AP847">
        <v>86.78869551040809</v>
      </c>
      <c r="AQ847">
        <v>73.934651452885078</v>
      </c>
      <c r="AR847">
        <v>7.9053159957442993</v>
      </c>
      <c r="AS847">
        <v>133.4732649528095</v>
      </c>
      <c r="AT847" t="e">
        <v>#DIV/0!</v>
      </c>
      <c r="AU847" t="e">
        <v>#DIV/0!</v>
      </c>
      <c r="AV847"/>
      <c r="AW847"/>
      <c r="FY847" s="210">
        <v>842</v>
      </c>
      <c r="FZ847">
        <v>34.054811786823244</v>
      </c>
      <c r="GA847">
        <v>39.287128919994096</v>
      </c>
      <c r="GB847">
        <v>1.9813196502711374</v>
      </c>
      <c r="GC847">
        <v>1.0487739398294076</v>
      </c>
      <c r="GD847">
        <v>1.084743052761157</v>
      </c>
      <c r="GE847">
        <v>2.9370727997158848</v>
      </c>
      <c r="GF847">
        <v>7.2640903677809483</v>
      </c>
      <c r="GG847">
        <v>6.3635265713689471</v>
      </c>
      <c r="GH847">
        <v>5.447954095963631</v>
      </c>
      <c r="GI847">
        <v>8.3301876158324664</v>
      </c>
      <c r="GJ847"/>
      <c r="GK847"/>
      <c r="GL847"/>
      <c r="GM847"/>
    </row>
    <row r="848" spans="1:195" s="7" customFormat="1">
      <c r="A848" s="4"/>
      <c r="B848" s="4"/>
      <c r="C848" s="4"/>
      <c r="D848" s="4"/>
      <c r="E848" s="4"/>
      <c r="F848" s="28"/>
      <c r="G848" s="28"/>
      <c r="H848" s="83"/>
      <c r="I848" s="4"/>
      <c r="J848" s="4"/>
      <c r="K848" s="4"/>
      <c r="L848" s="4"/>
      <c r="M848" s="4"/>
      <c r="N848" s="28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81"/>
      <c r="AG848" s="81"/>
      <c r="AH848" s="81"/>
      <c r="AI848" s="4"/>
      <c r="AJ848" s="81"/>
      <c r="AK848" s="81"/>
      <c r="AL848" s="81"/>
      <c r="AM848" s="43">
        <v>832</v>
      </c>
      <c r="AN848">
        <v>125.13538699839509</v>
      </c>
      <c r="AO848">
        <v>11.109867904447086</v>
      </c>
      <c r="AP848">
        <v>109.58092090143568</v>
      </c>
      <c r="AQ848">
        <v>93.30496135031143</v>
      </c>
      <c r="AR848">
        <v>10.590034298744618</v>
      </c>
      <c r="AS848">
        <v>156.40189497310621</v>
      </c>
      <c r="AT848">
        <v>6.467167140330023</v>
      </c>
      <c r="AU848">
        <v>24.393054731041474</v>
      </c>
      <c r="AV848"/>
      <c r="AW848"/>
      <c r="FY848" s="210">
        <v>843</v>
      </c>
      <c r="FZ848">
        <v>13.29959405831706</v>
      </c>
      <c r="GA848">
        <v>16.596191347754399</v>
      </c>
      <c r="GB848">
        <v>3.4478064437899167</v>
      </c>
      <c r="GC848">
        <v>1.4066017370776642</v>
      </c>
      <c r="GD848">
        <v>0.7614568669973365</v>
      </c>
      <c r="GE848">
        <v>2.3068882024743109</v>
      </c>
      <c r="GF848">
        <v>4.4058831661419484</v>
      </c>
      <c r="GG848">
        <v>11.840939925893618</v>
      </c>
      <c r="GH848">
        <v>15.45800366921852</v>
      </c>
      <c r="GI848">
        <v>6.5100404815902921</v>
      </c>
      <c r="GJ848"/>
      <c r="GK848"/>
      <c r="GL848"/>
      <c r="GM848"/>
    </row>
    <row r="849" spans="1:195" s="7" customFormat="1">
      <c r="A849" s="4"/>
      <c r="B849" s="4"/>
      <c r="C849" s="4"/>
      <c r="D849" s="4"/>
      <c r="E849" s="4"/>
      <c r="F849" s="28"/>
      <c r="G849" s="28"/>
      <c r="H849" s="83"/>
      <c r="I849" s="4"/>
      <c r="J849" s="4"/>
      <c r="K849" s="4"/>
      <c r="L849" s="4"/>
      <c r="M849" s="4"/>
      <c r="N849" s="28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81"/>
      <c r="AG849" s="81"/>
      <c r="AH849" s="81"/>
      <c r="AI849" s="4"/>
      <c r="AJ849" s="81"/>
      <c r="AK849" s="81"/>
      <c r="AL849" s="81"/>
      <c r="AM849" s="43">
        <v>833</v>
      </c>
      <c r="AN849">
        <v>102.90520578059026</v>
      </c>
      <c r="AO849">
        <v>12.141092440306073</v>
      </c>
      <c r="AP849">
        <v>128.63090942948645</v>
      </c>
      <c r="AQ849">
        <v>110.33427824399773</v>
      </c>
      <c r="AR849">
        <v>11.854315233681723</v>
      </c>
      <c r="AS849">
        <v>175.91536796131075</v>
      </c>
      <c r="AT849">
        <v>7.4817717224694915</v>
      </c>
      <c r="AU849">
        <v>66.962441263772391</v>
      </c>
      <c r="AV849"/>
      <c r="AW849"/>
      <c r="FY849" s="210">
        <v>844</v>
      </c>
      <c r="FZ849">
        <v>32.570721878798587</v>
      </c>
      <c r="GA849">
        <v>38.193650363122408</v>
      </c>
      <c r="GB849">
        <v>2.2224635461708484</v>
      </c>
      <c r="GC849">
        <v>1.4115099280096648</v>
      </c>
      <c r="GD849">
        <v>0.63047014282183089</v>
      </c>
      <c r="GE849">
        <v>1.6372704351193785</v>
      </c>
      <c r="GF849">
        <v>5.6676540824595119</v>
      </c>
      <c r="GG849">
        <v>9.0787769715360191</v>
      </c>
      <c r="GH849">
        <v>8.7873531344104077</v>
      </c>
      <c r="GI849">
        <v>8.1379075905720839</v>
      </c>
      <c r="GJ849"/>
      <c r="GK849"/>
      <c r="GL849"/>
      <c r="GM849"/>
    </row>
    <row r="850" spans="1:195" s="7" customFormat="1">
      <c r="A850" s="4"/>
      <c r="B850" s="4"/>
      <c r="C850" s="4"/>
      <c r="D850" s="4"/>
      <c r="E850" s="4"/>
      <c r="F850" s="28"/>
      <c r="G850" s="28"/>
      <c r="H850" s="83"/>
      <c r="I850" s="4"/>
      <c r="J850" s="4"/>
      <c r="K850" s="4"/>
      <c r="L850" s="4"/>
      <c r="M850" s="4"/>
      <c r="N850" s="28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81"/>
      <c r="AG850" s="81"/>
      <c r="AH850" s="81"/>
      <c r="AI850" s="4"/>
      <c r="AJ850" s="81"/>
      <c r="AK850" s="81"/>
      <c r="AL850" s="81"/>
      <c r="AM850" s="43">
        <v>834</v>
      </c>
      <c r="AN850">
        <v>141.32547031325652</v>
      </c>
      <c r="AO850">
        <v>12.441077718009327</v>
      </c>
      <c r="AP850">
        <v>124.60309013565383</v>
      </c>
      <c r="AQ850">
        <v>104.58569376864986</v>
      </c>
      <c r="AR850">
        <v>12.03020196162265</v>
      </c>
      <c r="AS850">
        <v>187.85412916211735</v>
      </c>
      <c r="AT850">
        <v>7.1418372645993218</v>
      </c>
      <c r="AU850">
        <v>8.5423159727382512</v>
      </c>
      <c r="AV850"/>
      <c r="AW850"/>
      <c r="FY850" s="210">
        <v>845</v>
      </c>
      <c r="FZ850">
        <v>22.173170635697875</v>
      </c>
      <c r="GA850">
        <v>27.119693770454404</v>
      </c>
      <c r="GB850">
        <v>2.2444870767887557</v>
      </c>
      <c r="GC850">
        <v>1.3727040468989851</v>
      </c>
      <c r="GD850">
        <v>0.6914692873486219</v>
      </c>
      <c r="GE850">
        <v>2.2690435685158765</v>
      </c>
      <c r="GF850">
        <v>11.129654969343985</v>
      </c>
      <c r="GG850">
        <v>13.961060268530549</v>
      </c>
      <c r="GH850">
        <v>10.86337744214223</v>
      </c>
      <c r="GI850">
        <v>7.9579435774002194</v>
      </c>
      <c r="GJ850"/>
      <c r="GK850"/>
      <c r="GL850"/>
      <c r="GM850"/>
    </row>
    <row r="851" spans="1:195" s="7" customFormat="1">
      <c r="A851" s="4"/>
      <c r="B851" s="4"/>
      <c r="C851" s="4"/>
      <c r="D851" s="4"/>
      <c r="E851" s="4"/>
      <c r="F851" s="28"/>
      <c r="G851" s="28"/>
      <c r="H851" s="83"/>
      <c r="I851" s="4"/>
      <c r="J851" s="4"/>
      <c r="K851" s="4"/>
      <c r="L851" s="4"/>
      <c r="M851" s="4"/>
      <c r="N851" s="28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81"/>
      <c r="AG851" s="81"/>
      <c r="AH851" s="81"/>
      <c r="AI851" s="4"/>
      <c r="AJ851" s="81"/>
      <c r="AK851" s="81"/>
      <c r="AL851" s="81"/>
      <c r="AM851" s="43">
        <v>835</v>
      </c>
      <c r="AN851">
        <v>106.24331732842276</v>
      </c>
      <c r="AO851">
        <v>9.0530974090544145</v>
      </c>
      <c r="AP851">
        <v>90.405618883725822</v>
      </c>
      <c r="AQ851">
        <v>73.896045944829538</v>
      </c>
      <c r="AR851">
        <v>8.9564266437505768</v>
      </c>
      <c r="AS851">
        <v>148.65893751780831</v>
      </c>
      <c r="AT851">
        <v>5.5227170379547337</v>
      </c>
      <c r="AU851">
        <v>12.81014809502363</v>
      </c>
      <c r="AV851"/>
      <c r="AW851"/>
      <c r="FY851" s="210">
        <v>846</v>
      </c>
      <c r="FZ851">
        <v>22.048113703216824</v>
      </c>
      <c r="GA851">
        <v>26.756085703945249</v>
      </c>
      <c r="GB851">
        <v>1.6677293374053002</v>
      </c>
      <c r="GC851">
        <v>1.0722078669277446</v>
      </c>
      <c r="GD851">
        <v>0.83429536425767448</v>
      </c>
      <c r="GE851">
        <v>1.2846459469813296</v>
      </c>
      <c r="GF851">
        <v>6.4344886856068495</v>
      </c>
      <c r="GG851">
        <v>12.111929212238191</v>
      </c>
      <c r="GH851">
        <v>11.475790547763024</v>
      </c>
      <c r="GI851">
        <v>7.1359194415687455</v>
      </c>
      <c r="GJ851"/>
      <c r="GK851"/>
      <c r="GL851"/>
      <c r="GM851"/>
    </row>
    <row r="852" spans="1:195" s="7" customFormat="1">
      <c r="A852" s="4"/>
      <c r="B852" s="4"/>
      <c r="C852" s="4"/>
      <c r="D852" s="4"/>
      <c r="E852" s="4"/>
      <c r="F852" s="28"/>
      <c r="G852" s="28"/>
      <c r="H852" s="83"/>
      <c r="I852" s="4"/>
      <c r="J852" s="4"/>
      <c r="K852" s="4"/>
      <c r="L852" s="4"/>
      <c r="M852" s="4"/>
      <c r="N852" s="28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81"/>
      <c r="AG852" s="81"/>
      <c r="AH852" s="81"/>
      <c r="AI852" s="4"/>
      <c r="AJ852" s="81"/>
      <c r="AK852" s="81"/>
      <c r="AL852" s="81"/>
      <c r="AM852" s="43">
        <v>836</v>
      </c>
      <c r="AN852">
        <v>164.7901397999432</v>
      </c>
      <c r="AO852">
        <v>15.692908264354525</v>
      </c>
      <c r="AP852">
        <v>159.88944799109026</v>
      </c>
      <c r="AQ852">
        <v>137.28026982005284</v>
      </c>
      <c r="AR852">
        <v>15.391496583200226</v>
      </c>
      <c r="AS852">
        <v>261.26423628299847</v>
      </c>
      <c r="AT852">
        <v>9.0288362944126899</v>
      </c>
      <c r="AU852">
        <v>34.712053798237299</v>
      </c>
      <c r="AV852"/>
      <c r="AW852"/>
      <c r="FY852" s="210">
        <v>847</v>
      </c>
      <c r="FZ852">
        <v>35.021132593245603</v>
      </c>
      <c r="GA852">
        <v>39.800098310671309</v>
      </c>
      <c r="GB852">
        <v>2.4477521369052107</v>
      </c>
      <c r="GC852">
        <v>1.0563834044846065</v>
      </c>
      <c r="GD852">
        <v>0.90495684327881476</v>
      </c>
      <c r="GE852">
        <v>2.0253356270579266</v>
      </c>
      <c r="GF852">
        <v>6.5439768995022503</v>
      </c>
      <c r="GG852">
        <v>11.482299836203232</v>
      </c>
      <c r="GH852">
        <v>12.269750637410219</v>
      </c>
      <c r="GI852">
        <v>9.4245324204758791</v>
      </c>
      <c r="GJ852"/>
      <c r="GK852"/>
      <c r="GL852"/>
      <c r="GM852"/>
    </row>
    <row r="853" spans="1:195" s="7" customFormat="1">
      <c r="A853" s="4"/>
      <c r="B853" s="4"/>
      <c r="C853" s="4"/>
      <c r="D853" s="4"/>
      <c r="E853" s="4"/>
      <c r="F853" s="28"/>
      <c r="G853" s="28"/>
      <c r="H853" s="83"/>
      <c r="I853" s="4"/>
      <c r="J853" s="4"/>
      <c r="K853" s="4"/>
      <c r="L853" s="4"/>
      <c r="M853" s="4"/>
      <c r="N853" s="28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81"/>
      <c r="AG853" s="81"/>
      <c r="AH853" s="81"/>
      <c r="AI853" s="4"/>
      <c r="AJ853" s="81"/>
      <c r="AK853" s="81"/>
      <c r="AL853" s="81"/>
      <c r="AM853" s="43">
        <v>837</v>
      </c>
      <c r="AN853">
        <v>198.90277540776702</v>
      </c>
      <c r="AO853">
        <v>19.306103612924062</v>
      </c>
      <c r="AP853">
        <v>207.36012850273212</v>
      </c>
      <c r="AQ853">
        <v>178.18181555598909</v>
      </c>
      <c r="AR853">
        <v>18.271695551263022</v>
      </c>
      <c r="AS853">
        <v>294.1037844424298</v>
      </c>
      <c r="AT853">
        <v>11.105325796570453</v>
      </c>
      <c r="AU853">
        <v>48.622522904405564</v>
      </c>
      <c r="AV853"/>
      <c r="AW853"/>
      <c r="FY853" s="210">
        <v>848</v>
      </c>
      <c r="FZ853">
        <v>33.81909651514939</v>
      </c>
      <c r="GA853">
        <v>41.007006212669822</v>
      </c>
      <c r="GB853">
        <v>2.83411123164651</v>
      </c>
      <c r="GC853">
        <v>1.0486283512622414</v>
      </c>
      <c r="GD853">
        <v>1.082220704440839</v>
      </c>
      <c r="GE853">
        <v>1.8496351019769686</v>
      </c>
      <c r="GF853">
        <v>1.5522149714323916</v>
      </c>
      <c r="GG853">
        <v>4.3938819514532099</v>
      </c>
      <c r="GH853">
        <v>9.2352575996584694</v>
      </c>
      <c r="GI853">
        <v>8.077646231441328</v>
      </c>
      <c r="GJ853"/>
      <c r="GK853"/>
      <c r="GL853"/>
      <c r="GM853"/>
    </row>
    <row r="854" spans="1:195" s="7" customFormat="1">
      <c r="A854" s="4"/>
      <c r="B854" s="4"/>
      <c r="C854" s="4"/>
      <c r="D854" s="4"/>
      <c r="E854" s="4"/>
      <c r="F854" s="28"/>
      <c r="G854" s="28"/>
      <c r="H854" s="83"/>
      <c r="I854" s="4"/>
      <c r="J854" s="4"/>
      <c r="K854" s="4"/>
      <c r="L854" s="4"/>
      <c r="M854" s="4"/>
      <c r="N854" s="28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81"/>
      <c r="AG854" s="81"/>
      <c r="AH854" s="81"/>
      <c r="AI854" s="4"/>
      <c r="AJ854" s="81"/>
      <c r="AK854" s="81"/>
      <c r="AL854" s="81"/>
      <c r="AM854" s="43">
        <v>838</v>
      </c>
      <c r="AN854">
        <v>126.74001392444742</v>
      </c>
      <c r="AO854">
        <v>10.744729786296045</v>
      </c>
      <c r="AP854">
        <v>104.62576372259232</v>
      </c>
      <c r="AQ854">
        <v>89.840848884458211</v>
      </c>
      <c r="AR854">
        <v>10.096545765093444</v>
      </c>
      <c r="AS854">
        <v>164.13830411751994</v>
      </c>
      <c r="AT854">
        <v>5.8799521685158167</v>
      </c>
      <c r="AU854">
        <v>139.19183752506711</v>
      </c>
      <c r="AV854"/>
      <c r="AW854"/>
      <c r="FY854" s="210">
        <v>849</v>
      </c>
      <c r="FZ854">
        <v>14.129627979636819</v>
      </c>
      <c r="GA854">
        <v>16.419736541008753</v>
      </c>
      <c r="GB854">
        <v>3.5988518054925458</v>
      </c>
      <c r="GC854">
        <v>1.4549288082855285</v>
      </c>
      <c r="GD854">
        <v>0.9400481516239898</v>
      </c>
      <c r="GE854">
        <v>3.0546673686516428</v>
      </c>
      <c r="GF854">
        <v>7.3865585505330742</v>
      </c>
      <c r="GG854">
        <v>4.9820870493057408</v>
      </c>
      <c r="GH854">
        <v>5.4376178996295099</v>
      </c>
      <c r="GI854">
        <v>5.7227976773310703</v>
      </c>
      <c r="GJ854"/>
      <c r="GK854"/>
      <c r="GL854"/>
      <c r="GM854"/>
    </row>
    <row r="855" spans="1:195" s="7" customFormat="1">
      <c r="A855" s="4"/>
      <c r="B855" s="4"/>
      <c r="C855" s="4"/>
      <c r="D855" s="4"/>
      <c r="E855" s="4"/>
      <c r="F855" s="28"/>
      <c r="G855" s="28"/>
      <c r="H855" s="83"/>
      <c r="I855" s="4"/>
      <c r="J855" s="4"/>
      <c r="K855" s="4"/>
      <c r="L855" s="4"/>
      <c r="M855" s="4"/>
      <c r="N855" s="28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81"/>
      <c r="AG855" s="81"/>
      <c r="AH855" s="81"/>
      <c r="AI855" s="4"/>
      <c r="AJ855" s="81"/>
      <c r="AK855" s="81"/>
      <c r="AL855" s="81"/>
      <c r="AM855" s="43">
        <v>839</v>
      </c>
      <c r="AN855">
        <v>155.83213454242303</v>
      </c>
      <c r="AO855">
        <v>15.077727036440967</v>
      </c>
      <c r="AP855">
        <v>157.42534252757801</v>
      </c>
      <c r="AQ855">
        <v>132.50255315461231</v>
      </c>
      <c r="AR855">
        <v>14.238475395075714</v>
      </c>
      <c r="AS855">
        <v>206.48655795832713</v>
      </c>
      <c r="AT855">
        <v>9.4530224789700714</v>
      </c>
      <c r="AU855">
        <v>60.324052942388697</v>
      </c>
      <c r="AV855"/>
      <c r="AW855"/>
      <c r="FY855" s="210">
        <v>850</v>
      </c>
      <c r="FZ855">
        <v>43.476373124981443</v>
      </c>
      <c r="GA855">
        <v>53.423756451218139</v>
      </c>
      <c r="GB855">
        <v>2.7586825500959984</v>
      </c>
      <c r="GC855">
        <v>1.2990749403475956</v>
      </c>
      <c r="GD855">
        <v>0.98890687140825739</v>
      </c>
      <c r="GE855">
        <v>1.285864666721003</v>
      </c>
      <c r="GF855">
        <v>5.0730692366564494</v>
      </c>
      <c r="GG855">
        <v>9.2302491566403546</v>
      </c>
      <c r="GH855">
        <v>9.3995104014766824</v>
      </c>
      <c r="GI855">
        <v>10.082490900398296</v>
      </c>
      <c r="GJ855"/>
      <c r="GK855"/>
      <c r="GL855"/>
      <c r="GM855"/>
    </row>
    <row r="856" spans="1:195" s="7" customFormat="1">
      <c r="A856" s="4"/>
      <c r="B856" s="4"/>
      <c r="C856" s="4"/>
      <c r="D856" s="4"/>
      <c r="E856" s="4"/>
      <c r="F856" s="28"/>
      <c r="G856" s="28"/>
      <c r="H856" s="83"/>
      <c r="I856" s="4"/>
      <c r="J856" s="4"/>
      <c r="K856" s="4"/>
      <c r="L856" s="4"/>
      <c r="M856" s="4"/>
      <c r="N856" s="28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81"/>
      <c r="AG856" s="81"/>
      <c r="AH856" s="81"/>
      <c r="AI856" s="4"/>
      <c r="AJ856" s="81"/>
      <c r="AK856" s="81"/>
      <c r="AL856" s="81"/>
      <c r="AM856" s="43">
        <v>840</v>
      </c>
      <c r="AN856">
        <v>117.49180025966488</v>
      </c>
      <c r="AO856">
        <v>13.189055260445278</v>
      </c>
      <c r="AP856">
        <v>132.49666648341591</v>
      </c>
      <c r="AQ856">
        <v>114.67159725891325</v>
      </c>
      <c r="AR856">
        <v>12.603075873757401</v>
      </c>
      <c r="AS856">
        <v>202.78632445504795</v>
      </c>
      <c r="AT856">
        <v>8.4479039705233934</v>
      </c>
      <c r="AU856">
        <v>20.957828869279677</v>
      </c>
      <c r="AV856"/>
      <c r="AW856"/>
      <c r="FY856" s="210">
        <v>851</v>
      </c>
      <c r="FZ856">
        <v>32.32057619749019</v>
      </c>
      <c r="GA856">
        <v>38.038792114182705</v>
      </c>
      <c r="GB856">
        <v>2.1155078689600866</v>
      </c>
      <c r="GC856">
        <v>1.4092432078861463</v>
      </c>
      <c r="GD856">
        <v>0.99071029830661284</v>
      </c>
      <c r="GE856">
        <v>2.6505567808177006</v>
      </c>
      <c r="GF856">
        <v>5.7262621866312315</v>
      </c>
      <c r="GG856">
        <v>5.6526279289771573</v>
      </c>
      <c r="GH856">
        <v>4.328907613227841</v>
      </c>
      <c r="GI856">
        <v>7.5944653513354901</v>
      </c>
      <c r="GJ856"/>
      <c r="GK856"/>
      <c r="GL856"/>
      <c r="GM856"/>
    </row>
    <row r="857" spans="1:195" s="7" customFormat="1">
      <c r="A857" s="4"/>
      <c r="B857" s="4"/>
      <c r="C857" s="4"/>
      <c r="D857" s="4"/>
      <c r="E857" s="4"/>
      <c r="F857" s="28"/>
      <c r="G857" s="28"/>
      <c r="H857" s="83"/>
      <c r="I857" s="4"/>
      <c r="J857" s="4"/>
      <c r="K857" s="4"/>
      <c r="L857" s="4"/>
      <c r="M857" s="4"/>
      <c r="N857" s="28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81"/>
      <c r="AG857" s="81"/>
      <c r="AH857" s="81"/>
      <c r="AI857" s="4"/>
      <c r="AJ857" s="81"/>
      <c r="AK857" s="81"/>
      <c r="AL857" s="81"/>
      <c r="AM857" s="43">
        <v>841</v>
      </c>
      <c r="AN857">
        <v>93.736932820294086</v>
      </c>
      <c r="AO857">
        <v>10.326876245132585</v>
      </c>
      <c r="AP857">
        <v>105.80056624254691</v>
      </c>
      <c r="AQ857">
        <v>89.550040449488606</v>
      </c>
      <c r="AR857">
        <v>9.8650207078862575</v>
      </c>
      <c r="AS857">
        <v>150.09586864773127</v>
      </c>
      <c r="AT857">
        <v>5.9876927533071767</v>
      </c>
      <c r="AU857">
        <v>22.629895700792982</v>
      </c>
      <c r="AV857"/>
      <c r="AW857"/>
      <c r="FY857" s="210">
        <v>852</v>
      </c>
      <c r="FZ857">
        <v>25.134913626586329</v>
      </c>
      <c r="GA857">
        <v>28.302915008324081</v>
      </c>
      <c r="GB857">
        <v>2.2888584612085849</v>
      </c>
      <c r="GC857">
        <v>0.66608233160812269</v>
      </c>
      <c r="GD857">
        <v>0.84091733738803898</v>
      </c>
      <c r="GE857">
        <v>2.4402344117253301</v>
      </c>
      <c r="GF857">
        <v>6.6198789738584605</v>
      </c>
      <c r="GG857">
        <v>11.933019095524056</v>
      </c>
      <c r="GH857">
        <v>12.157347802702537</v>
      </c>
      <c r="GI857">
        <v>7.8884747443334522</v>
      </c>
      <c r="GJ857"/>
      <c r="GK857"/>
      <c r="GL857"/>
      <c r="GM857"/>
    </row>
    <row r="858" spans="1:195" s="7" customFormat="1">
      <c r="A858" s="4"/>
      <c r="B858" s="4"/>
      <c r="C858" s="4"/>
      <c r="D858" s="4"/>
      <c r="E858" s="4"/>
      <c r="F858" s="28"/>
      <c r="G858" s="28"/>
      <c r="H858" s="83"/>
      <c r="I858" s="4"/>
      <c r="J858" s="4"/>
      <c r="K858" s="4"/>
      <c r="L858" s="4"/>
      <c r="M858" s="4"/>
      <c r="N858" s="28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81"/>
      <c r="AG858" s="81"/>
      <c r="AH858" s="81"/>
      <c r="AI858" s="4"/>
      <c r="AJ858" s="81"/>
      <c r="AK858" s="81"/>
      <c r="AL858" s="81"/>
      <c r="AM858" s="43">
        <v>842</v>
      </c>
      <c r="AN858">
        <v>89.90139491167578</v>
      </c>
      <c r="AO858">
        <v>12.05737197602058</v>
      </c>
      <c r="AP858">
        <v>124.71256568635606</v>
      </c>
      <c r="AQ858">
        <v>107.79960880034091</v>
      </c>
      <c r="AR858">
        <v>11.572908132413197</v>
      </c>
      <c r="AS858">
        <v>153.474598843065</v>
      </c>
      <c r="AT858">
        <v>7.2159960633573368</v>
      </c>
      <c r="AU858">
        <v>-8.5333860117206477</v>
      </c>
      <c r="AV858"/>
      <c r="AW858"/>
      <c r="FY858" s="210">
        <v>853</v>
      </c>
      <c r="FZ858">
        <v>16.277090482399757</v>
      </c>
      <c r="GA858">
        <v>16.189005836805293</v>
      </c>
      <c r="GB858">
        <v>3.5945040207699677</v>
      </c>
      <c r="GC858">
        <v>1.6921051362339079</v>
      </c>
      <c r="GD858">
        <v>1.4636759130157009</v>
      </c>
      <c r="GE858">
        <v>3.440278766494151</v>
      </c>
      <c r="GF858">
        <v>8.945448536191785</v>
      </c>
      <c r="GG858">
        <v>15.05924288367909</v>
      </c>
      <c r="GH858">
        <v>14.187601592804768</v>
      </c>
      <c r="GI858">
        <v>7.9956846599352627</v>
      </c>
      <c r="GJ858"/>
      <c r="GK858"/>
      <c r="GL858"/>
      <c r="GM858"/>
    </row>
    <row r="859" spans="1:195" s="7" customFormat="1">
      <c r="A859" s="4"/>
      <c r="B859" s="4"/>
      <c r="C859" s="4"/>
      <c r="D859" s="4"/>
      <c r="E859" s="4"/>
      <c r="F859" s="28"/>
      <c r="G859" s="28"/>
      <c r="H859" s="83"/>
      <c r="I859" s="4"/>
      <c r="J859" s="4"/>
      <c r="K859" s="4"/>
      <c r="L859" s="4"/>
      <c r="M859" s="4"/>
      <c r="N859" s="28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81"/>
      <c r="AG859" s="81"/>
      <c r="AH859" s="81"/>
      <c r="AI859" s="4"/>
      <c r="AJ859" s="81"/>
      <c r="AK859" s="81"/>
      <c r="AL859" s="81"/>
      <c r="AM859" s="43">
        <v>843</v>
      </c>
      <c r="AN859">
        <v>116.37347983870036</v>
      </c>
      <c r="AO859">
        <v>9.3361519776457378</v>
      </c>
      <c r="AP859">
        <v>91.281005054338138</v>
      </c>
      <c r="AQ859">
        <v>76.033405899255058</v>
      </c>
      <c r="AR859">
        <v>8.9802402536273966</v>
      </c>
      <c r="AS859">
        <v>139.8056667821665</v>
      </c>
      <c r="AT859">
        <v>5.1191333893503055</v>
      </c>
      <c r="AU859">
        <v>71.704027417473142</v>
      </c>
      <c r="AV859"/>
      <c r="AW859"/>
      <c r="FY859" s="210">
        <v>854</v>
      </c>
      <c r="FZ859">
        <v>12.291489990559114</v>
      </c>
      <c r="GA859">
        <v>15.56235758953606</v>
      </c>
      <c r="GB859">
        <v>2.085822610444553</v>
      </c>
      <c r="GC859">
        <v>1.2203969135655031</v>
      </c>
      <c r="GD859">
        <v>1.7579176417518485</v>
      </c>
      <c r="GE859">
        <v>3.9309459601653476</v>
      </c>
      <c r="GF859">
        <v>9.1148222322316794</v>
      </c>
      <c r="GG859">
        <v>8.863582185507326</v>
      </c>
      <c r="GH859">
        <v>6.7154648288182219</v>
      </c>
      <c r="GI859">
        <v>6.0721003950808727</v>
      </c>
      <c r="GJ859"/>
      <c r="GK859"/>
      <c r="GL859"/>
      <c r="GM859"/>
    </row>
    <row r="860" spans="1:195" s="7" customFormat="1">
      <c r="A860" s="4"/>
      <c r="B860" s="4"/>
      <c r="C860" s="4"/>
      <c r="D860" s="4"/>
      <c r="E860" s="4"/>
      <c r="F860" s="28"/>
      <c r="G860" s="28"/>
      <c r="H860" s="83"/>
      <c r="I860" s="4"/>
      <c r="J860" s="4"/>
      <c r="K860" s="4"/>
      <c r="L860" s="4"/>
      <c r="M860" s="4"/>
      <c r="N860" s="28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81"/>
      <c r="AG860" s="81"/>
      <c r="AH860" s="81"/>
      <c r="AI860" s="4"/>
      <c r="AJ860" s="81"/>
      <c r="AK860" s="81"/>
      <c r="AL860" s="81"/>
      <c r="AM860" s="43">
        <v>844</v>
      </c>
      <c r="AN860">
        <v>127.03090751826505</v>
      </c>
      <c r="AO860">
        <v>12.029154822597775</v>
      </c>
      <c r="AP860">
        <v>126.26356562772672</v>
      </c>
      <c r="AQ860">
        <v>108.33777807302073</v>
      </c>
      <c r="AR860">
        <v>11.315532423687433</v>
      </c>
      <c r="AS860">
        <v>161.97098440257386</v>
      </c>
      <c r="AT860">
        <v>7.1010863981968129</v>
      </c>
      <c r="AU860">
        <v>43.305398193308818</v>
      </c>
      <c r="AV860"/>
      <c r="AW860"/>
      <c r="FY860" s="210">
        <v>855</v>
      </c>
      <c r="FZ860">
        <v>36.911931981448205</v>
      </c>
      <c r="GA860">
        <v>39.161614089122047</v>
      </c>
      <c r="GB860">
        <v>2.7415915808186755</v>
      </c>
      <c r="GC860">
        <v>1.487525067364452</v>
      </c>
      <c r="GD860">
        <v>0.90352067411769132</v>
      </c>
      <c r="GE860">
        <v>3.8393498554972885</v>
      </c>
      <c r="GF860">
        <v>11.052703770288229</v>
      </c>
      <c r="GG860">
        <v>13.187764226513618</v>
      </c>
      <c r="GH860">
        <v>12.066318879983797</v>
      </c>
      <c r="GI860">
        <v>10.552126602866773</v>
      </c>
      <c r="GJ860"/>
      <c r="GK860"/>
      <c r="GL860"/>
      <c r="GM860"/>
    </row>
    <row r="861" spans="1:195" s="7" customFormat="1">
      <c r="A861" s="4"/>
      <c r="B861" s="4"/>
      <c r="C861" s="4"/>
      <c r="D861" s="4"/>
      <c r="E861" s="4"/>
      <c r="F861" s="28"/>
      <c r="G861" s="28"/>
      <c r="H861" s="83"/>
      <c r="I861" s="4"/>
      <c r="J861" s="4"/>
      <c r="K861" s="4"/>
      <c r="L861" s="4"/>
      <c r="M861" s="4"/>
      <c r="N861" s="28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81"/>
      <c r="AG861" s="81"/>
      <c r="AH861" s="81"/>
      <c r="AI861" s="4"/>
      <c r="AJ861" s="81"/>
      <c r="AK861" s="81"/>
      <c r="AL861" s="81"/>
      <c r="AM861" s="43">
        <v>845</v>
      </c>
      <c r="AN861">
        <v>161.25402173908111</v>
      </c>
      <c r="AO861">
        <v>11.689373040759842</v>
      </c>
      <c r="AP861">
        <v>118.45929288190635</v>
      </c>
      <c r="AQ861">
        <v>99.782604643121488</v>
      </c>
      <c r="AR861">
        <v>10.964844776189201</v>
      </c>
      <c r="AS861">
        <v>201.38152978077269</v>
      </c>
      <c r="AT861">
        <v>6.7755027365250244</v>
      </c>
      <c r="AU861">
        <v>17.203753278381857</v>
      </c>
      <c r="AV861"/>
      <c r="AW861"/>
      <c r="FY861" s="210">
        <v>856</v>
      </c>
      <c r="FZ861">
        <v>36.042093910524287</v>
      </c>
      <c r="GA861">
        <v>41.356237581989127</v>
      </c>
      <c r="GB861">
        <v>3.3684259645361241</v>
      </c>
      <c r="GC861">
        <v>1.336941597871522</v>
      </c>
      <c r="GD861">
        <v>0.37517961962314345</v>
      </c>
      <c r="GE861">
        <v>2.6116582236621473</v>
      </c>
      <c r="GF861">
        <v>5.662927050916374</v>
      </c>
      <c r="GG861">
        <v>5.6167042077508231</v>
      </c>
      <c r="GH861">
        <v>7.8456868579234795</v>
      </c>
      <c r="GI861">
        <v>8.6411580673667565</v>
      </c>
      <c r="GJ861"/>
      <c r="GK861"/>
      <c r="GL861"/>
      <c r="GM861"/>
    </row>
    <row r="862" spans="1:195" s="7" customFormat="1">
      <c r="A862" s="4"/>
      <c r="B862" s="4"/>
      <c r="C862" s="4"/>
      <c r="D862" s="4"/>
      <c r="E862" s="4"/>
      <c r="F862" s="28"/>
      <c r="G862" s="28"/>
      <c r="H862" s="83"/>
      <c r="I862" s="4"/>
      <c r="J862" s="4"/>
      <c r="K862" s="4"/>
      <c r="L862" s="4"/>
      <c r="M862" s="4"/>
      <c r="N862" s="28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81"/>
      <c r="AG862" s="81"/>
      <c r="AH862" s="81"/>
      <c r="AI862" s="4"/>
      <c r="AJ862" s="81"/>
      <c r="AK862" s="81"/>
      <c r="AL862" s="81"/>
      <c r="AM862" s="43">
        <v>846</v>
      </c>
      <c r="AN862">
        <v>118.3470248637085</v>
      </c>
      <c r="AO862">
        <v>10.472053597615735</v>
      </c>
      <c r="AP862">
        <v>107.16109098844774</v>
      </c>
      <c r="AQ862">
        <v>90.821205809910936</v>
      </c>
      <c r="AR862">
        <v>9.9418136039087237</v>
      </c>
      <c r="AS862">
        <v>164.47834994553813</v>
      </c>
      <c r="AT862">
        <v>5.9616590072438056</v>
      </c>
      <c r="AU862">
        <v>61.277715093850126</v>
      </c>
      <c r="AV862"/>
      <c r="AW862"/>
      <c r="FY862" s="210">
        <v>857</v>
      </c>
      <c r="FZ862">
        <v>55.390892957799799</v>
      </c>
      <c r="GA862">
        <v>63.357691590296078</v>
      </c>
      <c r="GB862">
        <v>0.47014752026485523</v>
      </c>
      <c r="GC862">
        <v>0.41235888935648013</v>
      </c>
      <c r="GD862">
        <v>1.3326829135720359</v>
      </c>
      <c r="GE862">
        <v>2.6823694558213198</v>
      </c>
      <c r="GF862">
        <v>3.1481217015405347</v>
      </c>
      <c r="GG862">
        <v>12.221186253723994</v>
      </c>
      <c r="GH862">
        <v>15.961076630466877</v>
      </c>
      <c r="GI862">
        <v>12.17575111957793</v>
      </c>
      <c r="GJ862"/>
      <c r="GK862"/>
      <c r="GL862"/>
      <c r="GM862"/>
    </row>
    <row r="863" spans="1:195" s="7" customFormat="1">
      <c r="A863" s="4"/>
      <c r="B863" s="4"/>
      <c r="C863" s="4"/>
      <c r="D863" s="4"/>
      <c r="E863" s="4"/>
      <c r="F863" s="28"/>
      <c r="G863" s="28"/>
      <c r="H863" s="83"/>
      <c r="I863" s="4"/>
      <c r="J863" s="4"/>
      <c r="K863" s="4"/>
      <c r="L863" s="4"/>
      <c r="M863" s="4"/>
      <c r="N863" s="28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81"/>
      <c r="AG863" s="81"/>
      <c r="AH863" s="81"/>
      <c r="AI863" s="4"/>
      <c r="AJ863" s="81"/>
      <c r="AK863" s="81"/>
      <c r="AL863" s="81"/>
      <c r="AM863" s="43">
        <v>847</v>
      </c>
      <c r="AN863">
        <v>121.17425456883942</v>
      </c>
      <c r="AO863">
        <v>13.551864191170699</v>
      </c>
      <c r="AP863">
        <v>141.8964573587254</v>
      </c>
      <c r="AQ863">
        <v>120.97621870923507</v>
      </c>
      <c r="AR863">
        <v>13.125640308830025</v>
      </c>
      <c r="AS863">
        <v>178.23621229002984</v>
      </c>
      <c r="AT863">
        <v>8.48732398790583</v>
      </c>
      <c r="AU863">
        <v>25.112149002822171</v>
      </c>
      <c r="AV863"/>
      <c r="AW863"/>
      <c r="FY863" s="210">
        <v>858</v>
      </c>
      <c r="FZ863">
        <v>21.684283423551722</v>
      </c>
      <c r="GA863">
        <v>28.107285678560594</v>
      </c>
      <c r="GB863">
        <v>3.0420235528572594</v>
      </c>
      <c r="GC863">
        <v>1.5132238182016093</v>
      </c>
      <c r="GD863">
        <v>0.68032542120606088</v>
      </c>
      <c r="GE863">
        <v>2.5793456354960744</v>
      </c>
      <c r="GF863">
        <v>8.7849504573072323</v>
      </c>
      <c r="GG863">
        <v>10.121864286610881</v>
      </c>
      <c r="GH863">
        <v>10.594528976915607</v>
      </c>
      <c r="GI863">
        <v>7.6090432219483786</v>
      </c>
      <c r="GJ863"/>
      <c r="GK863"/>
      <c r="GL863"/>
      <c r="GM863"/>
    </row>
    <row r="864" spans="1:195" s="7" customFormat="1">
      <c r="A864" s="4"/>
      <c r="B864" s="4"/>
      <c r="C864" s="4"/>
      <c r="D864" s="4"/>
      <c r="E864" s="4"/>
      <c r="F864" s="28"/>
      <c r="G864" s="28"/>
      <c r="H864" s="83"/>
      <c r="I864" s="4"/>
      <c r="J864" s="4"/>
      <c r="K864" s="4"/>
      <c r="L864" s="4"/>
      <c r="M864" s="4"/>
      <c r="N864" s="28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81"/>
      <c r="AG864" s="81"/>
      <c r="AH864" s="81"/>
      <c r="AI864" s="4"/>
      <c r="AJ864" s="81"/>
      <c r="AK864" s="81"/>
      <c r="AL864" s="81"/>
      <c r="AM864" s="43">
        <v>848</v>
      </c>
      <c r="AN864">
        <v>83.175570074617568</v>
      </c>
      <c r="AO864">
        <v>11.54129721399779</v>
      </c>
      <c r="AP864">
        <v>121.897809998364</v>
      </c>
      <c r="AQ864">
        <v>104.89969887113116</v>
      </c>
      <c r="AR864">
        <v>11.327035908533841</v>
      </c>
      <c r="AS864">
        <v>148.14514460271559</v>
      </c>
      <c r="AT864">
        <v>6.7696775596261221</v>
      </c>
      <c r="AU864">
        <v>10.854532514040336</v>
      </c>
      <c r="AV864"/>
      <c r="AW864"/>
      <c r="FY864" s="210">
        <v>859</v>
      </c>
      <c r="FZ864">
        <v>15.165686641938031</v>
      </c>
      <c r="GA864">
        <v>15.909147754098541</v>
      </c>
      <c r="GB864">
        <v>2.8058137689128642</v>
      </c>
      <c r="GC864">
        <v>1.2571369321849546</v>
      </c>
      <c r="GD864">
        <v>1.5669239302067215</v>
      </c>
      <c r="GE864">
        <v>3.1225443324023581</v>
      </c>
      <c r="GF864">
        <v>3.1664488400753439</v>
      </c>
      <c r="GG864">
        <v>9.5581703976687606</v>
      </c>
      <c r="GH864">
        <v>12.430340053927875</v>
      </c>
      <c r="GI864">
        <v>6.3861975999553477</v>
      </c>
      <c r="GJ864"/>
      <c r="GK864"/>
      <c r="GL864"/>
      <c r="GM864"/>
    </row>
    <row r="865" spans="1:195" s="7" customFormat="1">
      <c r="A865" s="4"/>
      <c r="B865" s="4"/>
      <c r="C865" s="4"/>
      <c r="D865" s="4"/>
      <c r="E865" s="4"/>
      <c r="F865" s="28"/>
      <c r="G865" s="28"/>
      <c r="H865" s="83"/>
      <c r="I865" s="4"/>
      <c r="J865" s="4"/>
      <c r="K865" s="4"/>
      <c r="L865" s="4"/>
      <c r="M865" s="4"/>
      <c r="N865" s="28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81"/>
      <c r="AG865" s="81"/>
      <c r="AH865" s="81"/>
      <c r="AI865" s="4"/>
      <c r="AJ865" s="81"/>
      <c r="AK865" s="81"/>
      <c r="AL865" s="81"/>
      <c r="AM865" s="43">
        <v>849</v>
      </c>
      <c r="AN865">
        <v>78.687687011547993</v>
      </c>
      <c r="AO865">
        <v>7.8563203264736687</v>
      </c>
      <c r="AP865">
        <v>75.27338286696147</v>
      </c>
      <c r="AQ865">
        <v>63.126921831498677</v>
      </c>
      <c r="AR865">
        <v>7.8452151113203366</v>
      </c>
      <c r="AS865">
        <v>129.90704803205028</v>
      </c>
      <c r="AT865">
        <v>5.0303621316149885</v>
      </c>
      <c r="AU865">
        <v>0.19711950560261915</v>
      </c>
      <c r="AV865"/>
      <c r="AW865"/>
      <c r="FY865" s="210">
        <v>860</v>
      </c>
      <c r="FZ865">
        <v>14.695579122150026</v>
      </c>
      <c r="GA865">
        <v>17.557086390237369</v>
      </c>
      <c r="GB865">
        <v>4.154254688972169</v>
      </c>
      <c r="GC865">
        <v>1.5006867863215976</v>
      </c>
      <c r="GD865">
        <v>0.83876071509363359</v>
      </c>
      <c r="GE865">
        <v>2.382460946456685</v>
      </c>
      <c r="GF865">
        <v>2.5520548889511558</v>
      </c>
      <c r="GG865">
        <v>5.3551540702197196</v>
      </c>
      <c r="GH865">
        <v>9.0572641550587587</v>
      </c>
      <c r="GI865">
        <v>5.5847252029340364</v>
      </c>
      <c r="GJ865"/>
      <c r="GK865"/>
      <c r="GL865"/>
      <c r="GM865"/>
    </row>
    <row r="866" spans="1:195" s="7" customFormat="1">
      <c r="A866" s="4"/>
      <c r="B866" s="4"/>
      <c r="C866" s="4"/>
      <c r="D866" s="4"/>
      <c r="E866" s="4"/>
      <c r="F866" s="28"/>
      <c r="G866" s="28"/>
      <c r="H866" s="83"/>
      <c r="I866" s="4"/>
      <c r="J866" s="4"/>
      <c r="K866" s="4"/>
      <c r="L866" s="4"/>
      <c r="M866" s="4"/>
      <c r="N866" s="28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81"/>
      <c r="AG866" s="81"/>
      <c r="AH866" s="81"/>
      <c r="AI866" s="4"/>
      <c r="AJ866" s="81"/>
      <c r="AK866" s="81"/>
      <c r="AL866" s="81"/>
      <c r="AM866" s="43">
        <v>850</v>
      </c>
      <c r="AN866">
        <v>124.26512411811373</v>
      </c>
      <c r="AO866">
        <v>14.887752464614911</v>
      </c>
      <c r="AP866">
        <v>159.61969943554558</v>
      </c>
      <c r="AQ866">
        <v>137.01797829994422</v>
      </c>
      <c r="AR866">
        <v>14.120251081319406</v>
      </c>
      <c r="AS866">
        <v>216.37883774430369</v>
      </c>
      <c r="AT866">
        <v>8.7661998110674446</v>
      </c>
      <c r="AU866">
        <v>85.885414184842446</v>
      </c>
      <c r="AV866"/>
      <c r="AW866"/>
      <c r="FY866" s="210">
        <v>861</v>
      </c>
      <c r="FZ866">
        <v>23.651256817139512</v>
      </c>
      <c r="GA866">
        <v>27.792955819141241</v>
      </c>
      <c r="GB866">
        <v>1.6533428567140158</v>
      </c>
      <c r="GC866">
        <v>0.77790926878500821</v>
      </c>
      <c r="GD866">
        <v>0.44218570035232213</v>
      </c>
      <c r="GE866">
        <v>1.3971172772688669</v>
      </c>
      <c r="GF866">
        <v>4.1415926869509132</v>
      </c>
      <c r="GG866">
        <v>8.9843245943754866</v>
      </c>
      <c r="GH866">
        <v>13.161458952558363</v>
      </c>
      <c r="GI866">
        <v>6.9892579322972832</v>
      </c>
      <c r="GJ866"/>
      <c r="GK866"/>
      <c r="GL866"/>
      <c r="GM866"/>
    </row>
    <row r="867" spans="1:195" s="7" customFormat="1">
      <c r="A867" s="4"/>
      <c r="B867" s="4"/>
      <c r="C867" s="4"/>
      <c r="D867" s="4"/>
      <c r="E867" s="4"/>
      <c r="F867" s="28"/>
      <c r="G867" s="28"/>
      <c r="H867" s="83"/>
      <c r="I867" s="4"/>
      <c r="J867" s="4"/>
      <c r="K867" s="4"/>
      <c r="L867" s="4"/>
      <c r="M867" s="4"/>
      <c r="N867" s="28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81"/>
      <c r="AG867" s="81"/>
      <c r="AH867" s="81"/>
      <c r="AI867" s="4"/>
      <c r="AJ867" s="81"/>
      <c r="AK867" s="81"/>
      <c r="AL867" s="81"/>
      <c r="AM867" s="43">
        <v>851</v>
      </c>
      <c r="AN867">
        <v>109.37889406801396</v>
      </c>
      <c r="AO867">
        <v>11.29186386014884</v>
      </c>
      <c r="AP867">
        <v>115.94151129780924</v>
      </c>
      <c r="AQ867">
        <v>100.82764954781514</v>
      </c>
      <c r="AR867">
        <v>10.551472296468246</v>
      </c>
      <c r="AS867">
        <v>192.78377416401739</v>
      </c>
      <c r="AT867">
        <v>6.7586550132037084</v>
      </c>
      <c r="AU867">
        <v>47.824901721218332</v>
      </c>
      <c r="AV867"/>
      <c r="AW867"/>
      <c r="FY867" s="210">
        <v>862</v>
      </c>
      <c r="FZ867">
        <v>34.180507832077531</v>
      </c>
      <c r="GA867">
        <v>41.635275951960693</v>
      </c>
      <c r="GB867">
        <v>4.1452388407139562</v>
      </c>
      <c r="GC867">
        <v>1.7608577427057976</v>
      </c>
      <c r="GD867">
        <v>0.46071820965082472</v>
      </c>
      <c r="GE867">
        <v>2.2216174056398059</v>
      </c>
      <c r="GF867">
        <v>9.4848392709434002</v>
      </c>
      <c r="GG867">
        <v>12.215111587059765</v>
      </c>
      <c r="GH867">
        <v>12.991345444035403</v>
      </c>
      <c r="GI867">
        <v>10.109998879026399</v>
      </c>
      <c r="GJ867"/>
      <c r="GK867"/>
      <c r="GL867"/>
      <c r="GM867"/>
    </row>
    <row r="868" spans="1:195" s="7" customFormat="1">
      <c r="A868" s="4"/>
      <c r="B868" s="4"/>
      <c r="C868" s="4"/>
      <c r="D868" s="4"/>
      <c r="E868" s="4"/>
      <c r="F868" s="28"/>
      <c r="G868" s="28"/>
      <c r="H868" s="83"/>
      <c r="I868" s="4"/>
      <c r="J868" s="4"/>
      <c r="K868" s="4"/>
      <c r="L868" s="4"/>
      <c r="M868" s="4"/>
      <c r="N868" s="28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81"/>
      <c r="AG868" s="81"/>
      <c r="AH868" s="81"/>
      <c r="AI868" s="4"/>
      <c r="AJ868" s="81"/>
      <c r="AK868" s="81"/>
      <c r="AL868" s="81"/>
      <c r="AM868" s="43">
        <v>852</v>
      </c>
      <c r="AN868">
        <v>127.52001230984965</v>
      </c>
      <c r="AO868">
        <v>11.29855067494778</v>
      </c>
      <c r="AP868">
        <v>115.80032372424105</v>
      </c>
      <c r="AQ868">
        <v>98.272641793258984</v>
      </c>
      <c r="AR868">
        <v>10.955375980326295</v>
      </c>
      <c r="AS868">
        <v>196.02266083794456</v>
      </c>
      <c r="AT868">
        <v>6.486499311176896</v>
      </c>
      <c r="AU868">
        <v>40.735603999198233</v>
      </c>
      <c r="AV868"/>
      <c r="AW868"/>
      <c r="FY868" s="210">
        <v>863</v>
      </c>
      <c r="FZ868">
        <v>16.343846201473426</v>
      </c>
      <c r="GA868">
        <v>14.421240756262312</v>
      </c>
      <c r="GB868">
        <v>4.399065300785713</v>
      </c>
      <c r="GC868">
        <v>2.4135919977628801</v>
      </c>
      <c r="GD868">
        <v>1.2211715118354465</v>
      </c>
      <c r="GE868">
        <v>3.9295564384028414</v>
      </c>
      <c r="GF868">
        <v>9.8464330471400441</v>
      </c>
      <c r="GG868">
        <v>10.428924052264037</v>
      </c>
      <c r="GH868">
        <v>11.121518678152038</v>
      </c>
      <c r="GI868">
        <v>7.7526028613590814</v>
      </c>
      <c r="GJ868"/>
      <c r="GK868"/>
      <c r="GL868"/>
      <c r="GM868"/>
    </row>
    <row r="869" spans="1:195" s="7" customFormat="1">
      <c r="A869" s="4"/>
      <c r="B869" s="4"/>
      <c r="C869" s="4"/>
      <c r="D869" s="4"/>
      <c r="E869" s="4"/>
      <c r="F869" s="28"/>
      <c r="G869" s="28"/>
      <c r="H869" s="83"/>
      <c r="I869" s="4"/>
      <c r="J869" s="4"/>
      <c r="K869" s="4"/>
      <c r="L869" s="4"/>
      <c r="M869" s="4"/>
      <c r="N869" s="28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81"/>
      <c r="AG869" s="81"/>
      <c r="AH869" s="81"/>
      <c r="AI869" s="4"/>
      <c r="AJ869" s="81"/>
      <c r="AK869" s="81"/>
      <c r="AL869" s="81"/>
      <c r="AM869" s="43">
        <v>853</v>
      </c>
      <c r="AN869">
        <v>161.64889754490733</v>
      </c>
      <c r="AO869">
        <v>11.243505854083043</v>
      </c>
      <c r="AP869">
        <v>105.46050406564939</v>
      </c>
      <c r="AQ869">
        <v>88.844637828329681</v>
      </c>
      <c r="AR869">
        <v>11.032208697392772</v>
      </c>
      <c r="AS869">
        <v>224.37486394577812</v>
      </c>
      <c r="AT869">
        <v>6.6363323207742075</v>
      </c>
      <c r="AU869">
        <v>45.528332893262636</v>
      </c>
      <c r="AV869"/>
      <c r="AW869"/>
      <c r="FY869" s="210">
        <v>864</v>
      </c>
      <c r="FZ869">
        <v>12.988295102286472</v>
      </c>
      <c r="GA869">
        <v>14.661904941902774</v>
      </c>
      <c r="GB869">
        <v>3.2123968773960225</v>
      </c>
      <c r="GC869">
        <v>1.5389212218979724</v>
      </c>
      <c r="GD869">
        <v>0.53292688292113655</v>
      </c>
      <c r="GE869">
        <v>2.8658854349650782</v>
      </c>
      <c r="GF869">
        <v>5.6241046445238219</v>
      </c>
      <c r="GG869">
        <v>3.6070854106032062</v>
      </c>
      <c r="GH869">
        <v>5.2607651097036552</v>
      </c>
      <c r="GI869">
        <v>4.8735315414561837</v>
      </c>
      <c r="GJ869"/>
      <c r="GK869"/>
      <c r="GL869"/>
      <c r="GM869"/>
    </row>
    <row r="870" spans="1:195" s="7" customFormat="1">
      <c r="A870" s="4"/>
      <c r="B870" s="4"/>
      <c r="C870" s="4"/>
      <c r="D870" s="4"/>
      <c r="E870" s="4"/>
      <c r="F870" s="28"/>
      <c r="G870" s="28"/>
      <c r="H870" s="83"/>
      <c r="I870" s="4"/>
      <c r="J870" s="4"/>
      <c r="K870" s="4"/>
      <c r="L870" s="4"/>
      <c r="M870" s="4"/>
      <c r="N870" s="28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81"/>
      <c r="AG870" s="81"/>
      <c r="AH870" s="81"/>
      <c r="AI870" s="4"/>
      <c r="AJ870" s="81"/>
      <c r="AK870" s="81"/>
      <c r="AL870" s="81"/>
      <c r="AM870" s="43">
        <v>854</v>
      </c>
      <c r="AN870">
        <v>102.60187937973259</v>
      </c>
      <c r="AO870">
        <v>8.7044323466911582</v>
      </c>
      <c r="AP870">
        <v>78.696950513637759</v>
      </c>
      <c r="AQ870">
        <v>67.614900347660523</v>
      </c>
      <c r="AR870">
        <v>8.3576838090008891</v>
      </c>
      <c r="AS870">
        <v>141.01844985746769</v>
      </c>
      <c r="AT870">
        <v>5.1940227568276391</v>
      </c>
      <c r="AU870">
        <v>20.858869707438416</v>
      </c>
      <c r="AV870"/>
      <c r="AW870"/>
      <c r="FY870" s="210">
        <v>865</v>
      </c>
      <c r="FZ870">
        <v>21.751803661502933</v>
      </c>
      <c r="GA870">
        <v>27.086953454830731</v>
      </c>
      <c r="GB870">
        <v>1.8882635405422454</v>
      </c>
      <c r="GC870">
        <v>1.0279810826999665</v>
      </c>
      <c r="GD870">
        <v>0.86187416670543793</v>
      </c>
      <c r="GE870">
        <v>1.8620796378096052</v>
      </c>
      <c r="GF870">
        <v>7.8923347736507976</v>
      </c>
      <c r="GG870">
        <v>7.8002460036693613</v>
      </c>
      <c r="GH870">
        <v>6.1345412804613524</v>
      </c>
      <c r="GI870">
        <v>6.5887291365857354</v>
      </c>
      <c r="GJ870"/>
      <c r="GK870"/>
      <c r="GL870"/>
      <c r="GM870"/>
    </row>
    <row r="871" spans="1:195" s="7" customFormat="1">
      <c r="A871" s="4"/>
      <c r="B871" s="4"/>
      <c r="C871" s="4"/>
      <c r="D871" s="4"/>
      <c r="E871" s="4"/>
      <c r="F871" s="28"/>
      <c r="G871" s="28"/>
      <c r="H871" s="83"/>
      <c r="I871" s="4"/>
      <c r="J871" s="4"/>
      <c r="K871" s="4"/>
      <c r="L871" s="4"/>
      <c r="M871" s="4"/>
      <c r="N871" s="28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81"/>
      <c r="AG871" s="81"/>
      <c r="AH871" s="81"/>
      <c r="AI871" s="4"/>
      <c r="AJ871" s="81"/>
      <c r="AK871" s="81"/>
      <c r="AL871" s="81"/>
      <c r="AM871" s="43">
        <v>855</v>
      </c>
      <c r="AN871">
        <v>168.98564681083332</v>
      </c>
      <c r="AO871">
        <v>15.114022957763178</v>
      </c>
      <c r="AP871">
        <v>154.32383563384533</v>
      </c>
      <c r="AQ871">
        <v>131.90444672802079</v>
      </c>
      <c r="AR871">
        <v>14.54720368449971</v>
      </c>
      <c r="AS871">
        <v>241.34759168396741</v>
      </c>
      <c r="AT871">
        <v>9.5600362944089738</v>
      </c>
      <c r="AU871">
        <v>28.923966552375553</v>
      </c>
      <c r="AV871"/>
      <c r="AW871"/>
      <c r="FY871" s="210">
        <v>866</v>
      </c>
      <c r="FZ871">
        <v>44.179056557187515</v>
      </c>
      <c r="GA871">
        <v>51.587685083442224</v>
      </c>
      <c r="GB871">
        <v>2.2885923449983903</v>
      </c>
      <c r="GC871">
        <v>1.340694627662455</v>
      </c>
      <c r="GD871">
        <v>0.64672976085428058</v>
      </c>
      <c r="GE871">
        <v>1.3186609089549088</v>
      </c>
      <c r="GF871">
        <v>1.4731541611958261</v>
      </c>
      <c r="GG871">
        <v>4.8891035929553652</v>
      </c>
      <c r="GH871">
        <v>9.4881635454429727</v>
      </c>
      <c r="GI871">
        <v>9.2299614464898898</v>
      </c>
      <c r="GJ871"/>
      <c r="GK871"/>
      <c r="GL871"/>
      <c r="GM871"/>
    </row>
    <row r="872" spans="1:195" s="7" customFormat="1">
      <c r="A872" s="4"/>
      <c r="B872" s="4"/>
      <c r="C872" s="4"/>
      <c r="D872" s="4"/>
      <c r="E872" s="4"/>
      <c r="F872" s="28"/>
      <c r="G872" s="28"/>
      <c r="H872" s="83"/>
      <c r="I872" s="4"/>
      <c r="J872" s="4"/>
      <c r="K872" s="4"/>
      <c r="L872" s="4"/>
      <c r="M872" s="4"/>
      <c r="N872" s="28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81"/>
      <c r="AG872" s="81"/>
      <c r="AH872" s="81"/>
      <c r="AI872" s="4"/>
      <c r="AJ872" s="81"/>
      <c r="AK872" s="81"/>
      <c r="AL872" s="81"/>
      <c r="AM872" s="43">
        <v>856</v>
      </c>
      <c r="AN872">
        <v>120.83381961750521</v>
      </c>
      <c r="AO872">
        <v>12.401822071060078</v>
      </c>
      <c r="AP872">
        <v>132.02726209185948</v>
      </c>
      <c r="AQ872">
        <v>112.8570130821638</v>
      </c>
      <c r="AR872">
        <v>11.928555752625146</v>
      </c>
      <c r="AS872">
        <v>188.42976725449569</v>
      </c>
      <c r="AT872">
        <v>7.39918504516488</v>
      </c>
      <c r="AU872">
        <v>62.562847329198227</v>
      </c>
      <c r="AV872"/>
      <c r="AW872"/>
      <c r="FY872" s="210">
        <v>867</v>
      </c>
      <c r="FZ872">
        <v>22.024188392911224</v>
      </c>
      <c r="GA872">
        <v>26.873150678435731</v>
      </c>
      <c r="GB872">
        <v>2.6075860242964817</v>
      </c>
      <c r="GC872">
        <v>1.3259871836458392</v>
      </c>
      <c r="GD872">
        <v>0.82546188219909422</v>
      </c>
      <c r="GE872">
        <v>1.635536854033308</v>
      </c>
      <c r="GF872">
        <v>3.5371949063523291</v>
      </c>
      <c r="GG872">
        <v>4.5455098707982797</v>
      </c>
      <c r="GH872">
        <v>5.7244938193422836</v>
      </c>
      <c r="GI872">
        <v>5.9184753250845192</v>
      </c>
      <c r="GJ872"/>
      <c r="GK872"/>
      <c r="GL872"/>
      <c r="GM872"/>
    </row>
    <row r="873" spans="1:195" s="7" customFormat="1">
      <c r="A873" s="4"/>
      <c r="B873" s="4"/>
      <c r="C873" s="4"/>
      <c r="D873" s="4"/>
      <c r="E873" s="4"/>
      <c r="F873" s="28"/>
      <c r="G873" s="28"/>
      <c r="H873" s="83"/>
      <c r="I873" s="4"/>
      <c r="J873" s="4"/>
      <c r="K873" s="4"/>
      <c r="L873" s="4"/>
      <c r="M873" s="4"/>
      <c r="N873" s="28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81"/>
      <c r="AG873" s="81"/>
      <c r="AH873" s="81"/>
      <c r="AI873" s="4"/>
      <c r="AJ873" s="81"/>
      <c r="AK873" s="81"/>
      <c r="AL873" s="81"/>
      <c r="AM873" s="43">
        <v>857</v>
      </c>
      <c r="AN873">
        <v>147.47589422987829</v>
      </c>
      <c r="AO873">
        <v>17.927529623122506</v>
      </c>
      <c r="AP873">
        <v>191.66675206509393</v>
      </c>
      <c r="AQ873">
        <v>167.1522790324199</v>
      </c>
      <c r="AR873">
        <v>17.047347747818669</v>
      </c>
      <c r="AS873">
        <v>245.60343333190602</v>
      </c>
      <c r="AT873">
        <v>10.00294283020493</v>
      </c>
      <c r="AU873">
        <v>20.942445810730717</v>
      </c>
      <c r="AV873"/>
      <c r="AW873"/>
      <c r="FY873" s="210">
        <v>868</v>
      </c>
      <c r="FZ873">
        <v>13.207541213633309</v>
      </c>
      <c r="GA873">
        <v>16.501673522538351</v>
      </c>
      <c r="GB873">
        <v>4.2909307809620465</v>
      </c>
      <c r="GC873">
        <v>1.8785689553787417</v>
      </c>
      <c r="GD873">
        <v>0.95242765945907815</v>
      </c>
      <c r="GE873">
        <v>2.460634425924376</v>
      </c>
      <c r="GF873">
        <v>10.555750370191726</v>
      </c>
      <c r="GG873">
        <v>9.0650035985192385</v>
      </c>
      <c r="GH873">
        <v>6.3111102139716486</v>
      </c>
      <c r="GI873">
        <v>6.4805960136033445</v>
      </c>
      <c r="GJ873"/>
      <c r="GK873"/>
      <c r="GL873"/>
      <c r="GM873"/>
    </row>
    <row r="874" spans="1:195" s="7" customFormat="1">
      <c r="A874" s="4"/>
      <c r="B874" s="4"/>
      <c r="C874" s="4"/>
      <c r="D874" s="4"/>
      <c r="E874" s="4"/>
      <c r="F874" s="28"/>
      <c r="G874" s="28"/>
      <c r="H874" s="83"/>
      <c r="I874" s="4"/>
      <c r="J874" s="4"/>
      <c r="K874" s="4"/>
      <c r="L874" s="4"/>
      <c r="M874" s="4"/>
      <c r="N874" s="28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81"/>
      <c r="AG874" s="81"/>
      <c r="AH874" s="81"/>
      <c r="AI874" s="4"/>
      <c r="AJ874" s="81"/>
      <c r="AK874" s="81"/>
      <c r="AL874" s="81"/>
      <c r="AM874" s="43">
        <v>858</v>
      </c>
      <c r="AN874">
        <v>128.37814462715679</v>
      </c>
      <c r="AO874">
        <v>11.055786105844062</v>
      </c>
      <c r="AP874">
        <v>112.56432377808835</v>
      </c>
      <c r="AQ874">
        <v>94.716874472655434</v>
      </c>
      <c r="AR874">
        <v>10.45244168792661</v>
      </c>
      <c r="AS874">
        <v>194.93313368344158</v>
      </c>
      <c r="AT874">
        <v>6.641962244312384</v>
      </c>
      <c r="AU874">
        <v>25.49490710773842</v>
      </c>
      <c r="AV874"/>
      <c r="AW874"/>
      <c r="FY874" s="210">
        <v>869</v>
      </c>
      <c r="FZ874">
        <v>11.167884988748371</v>
      </c>
      <c r="GA874">
        <v>14.445620099891087</v>
      </c>
      <c r="GB874">
        <v>1.2675304037582578</v>
      </c>
      <c r="GC874">
        <v>0.69186197406656602</v>
      </c>
      <c r="GD874">
        <v>0.59201596299995951</v>
      </c>
      <c r="GE874">
        <v>1.3724402309453603</v>
      </c>
      <c r="GF874">
        <v>3.8524712426166259</v>
      </c>
      <c r="GG874">
        <v>6.9148998154146852</v>
      </c>
      <c r="GH874">
        <v>9.9868926635055857</v>
      </c>
      <c r="GI874">
        <v>4.5858080916964594</v>
      </c>
      <c r="GJ874"/>
      <c r="GK874"/>
      <c r="GL874"/>
      <c r="GM874"/>
    </row>
    <row r="875" spans="1:195" s="7" customFormat="1">
      <c r="A875" s="4"/>
      <c r="B875" s="4"/>
      <c r="C875" s="4"/>
      <c r="D875" s="4"/>
      <c r="E875" s="4"/>
      <c r="F875" s="28"/>
      <c r="G875" s="28"/>
      <c r="H875" s="83"/>
      <c r="I875" s="4"/>
      <c r="J875" s="4"/>
      <c r="K875" s="4"/>
      <c r="L875" s="4"/>
      <c r="M875" s="4"/>
      <c r="N875" s="28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81"/>
      <c r="AG875" s="81"/>
      <c r="AH875" s="81"/>
      <c r="AI875" s="4"/>
      <c r="AJ875" s="81"/>
      <c r="AK875" s="81"/>
      <c r="AL875" s="81"/>
      <c r="AM875" s="43">
        <v>859</v>
      </c>
      <c r="AN875">
        <v>104.03055773447727</v>
      </c>
      <c r="AO875">
        <v>8.9708802048805261</v>
      </c>
      <c r="AP875">
        <v>83.154789421448086</v>
      </c>
      <c r="AQ875">
        <v>71.368410251370804</v>
      </c>
      <c r="AR875">
        <v>8.8916372750022603</v>
      </c>
      <c r="AS875">
        <v>158.75792816356275</v>
      </c>
      <c r="AT875">
        <v>5.2960770435007314</v>
      </c>
      <c r="AU875">
        <v>36.64595059947257</v>
      </c>
      <c r="AV875"/>
      <c r="AW875"/>
      <c r="FY875" s="210">
        <v>870</v>
      </c>
      <c r="FZ875">
        <v>34.26680776238689</v>
      </c>
      <c r="GA875">
        <v>38.952440273486573</v>
      </c>
      <c r="GB875">
        <v>3.0570704269438727</v>
      </c>
      <c r="GC875">
        <v>1.6215932672291955</v>
      </c>
      <c r="GD875">
        <v>1.0552030025111885</v>
      </c>
      <c r="GE875">
        <v>3.2770153963392135</v>
      </c>
      <c r="GF875">
        <v>8.8227547474640549</v>
      </c>
      <c r="GG875">
        <v>9.8434129379532074</v>
      </c>
      <c r="GH875">
        <v>10.115784630326059</v>
      </c>
      <c r="GI875">
        <v>9.6249718795017518</v>
      </c>
      <c r="GJ875"/>
      <c r="GK875"/>
      <c r="GL875"/>
      <c r="GM875"/>
    </row>
    <row r="876" spans="1:195" s="7" customFormat="1">
      <c r="A876" s="4"/>
      <c r="B876" s="4"/>
      <c r="C876" s="4"/>
      <c r="D876" s="4"/>
      <c r="E876" s="4"/>
      <c r="F876" s="28"/>
      <c r="G876" s="28"/>
      <c r="H876" s="83"/>
      <c r="I876" s="4"/>
      <c r="J876" s="4"/>
      <c r="K876" s="4"/>
      <c r="L876" s="4"/>
      <c r="M876" s="4"/>
      <c r="N876" s="28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81"/>
      <c r="AG876" s="81"/>
      <c r="AH876" s="81"/>
      <c r="AI876" s="4"/>
      <c r="AJ876" s="81"/>
      <c r="AK876" s="81"/>
      <c r="AL876" s="81"/>
      <c r="AM876" s="43">
        <v>860</v>
      </c>
      <c r="AN876">
        <v>91.719418155521012</v>
      </c>
      <c r="AO876">
        <v>7.7925609290721187</v>
      </c>
      <c r="AP876">
        <v>75.809480399720016</v>
      </c>
      <c r="AQ876">
        <v>63.678026966395144</v>
      </c>
      <c r="AR876">
        <v>7.7165611619526704</v>
      </c>
      <c r="AS876">
        <v>116.66486869949917</v>
      </c>
      <c r="AT876">
        <v>4.9461404212702567</v>
      </c>
      <c r="AU876">
        <v>17.508610664867625</v>
      </c>
      <c r="AV876"/>
      <c r="AW876"/>
      <c r="FY876" s="210">
        <v>871</v>
      </c>
      <c r="FZ876">
        <v>23.588574504662223</v>
      </c>
      <c r="GA876">
        <v>28.483659053044242</v>
      </c>
      <c r="GB876">
        <v>3.5248926787160832</v>
      </c>
      <c r="GC876">
        <v>1.6556139188249179</v>
      </c>
      <c r="GD876">
        <v>1.4866469548929566</v>
      </c>
      <c r="GE876">
        <v>3.3132078525936275</v>
      </c>
      <c r="GF876">
        <v>8.75127242178519</v>
      </c>
      <c r="GG876">
        <v>9.9964112911107961</v>
      </c>
      <c r="GH876">
        <v>9.2154774396474437</v>
      </c>
      <c r="GI876">
        <v>8.2559676903326178</v>
      </c>
      <c r="GJ876"/>
      <c r="GK876"/>
      <c r="GL876"/>
      <c r="GM876"/>
    </row>
    <row r="877" spans="1:195" s="7" customFormat="1">
      <c r="A877" s="4"/>
      <c r="B877" s="4"/>
      <c r="C877" s="4"/>
      <c r="D877" s="4"/>
      <c r="E877" s="4"/>
      <c r="F877" s="28"/>
      <c r="G877" s="28"/>
      <c r="H877" s="83"/>
      <c r="I877" s="4"/>
      <c r="J877" s="4"/>
      <c r="K877" s="4"/>
      <c r="L877" s="4"/>
      <c r="M877" s="4"/>
      <c r="N877" s="28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81"/>
      <c r="AG877" s="81"/>
      <c r="AH877" s="81"/>
      <c r="AI877" s="4"/>
      <c r="AJ877" s="81"/>
      <c r="AK877" s="81"/>
      <c r="AL877" s="81"/>
      <c r="AM877" s="43">
        <v>861</v>
      </c>
      <c r="AN877">
        <v>103.04347646420101</v>
      </c>
      <c r="AO877">
        <v>9.9299133770395294</v>
      </c>
      <c r="AP877">
        <v>105.00482733971243</v>
      </c>
      <c r="AQ877">
        <v>88.991401905583004</v>
      </c>
      <c r="AR877">
        <v>9.6872754639752028</v>
      </c>
      <c r="AS877">
        <v>172.89722466519822</v>
      </c>
      <c r="AT877">
        <v>5.652512638750931</v>
      </c>
      <c r="AU877">
        <v>21.737533136045712</v>
      </c>
      <c r="AV877"/>
      <c r="AW877"/>
      <c r="FY877" s="210">
        <v>872</v>
      </c>
      <c r="FZ877">
        <v>2.1939094917233573</v>
      </c>
      <c r="GA877">
        <v>1.8675517380078335</v>
      </c>
      <c r="GB877">
        <v>1.6758753272560583</v>
      </c>
      <c r="GC877">
        <v>0.7691369897530812</v>
      </c>
      <c r="GD877">
        <v>0.46600394800952938</v>
      </c>
      <c r="GE877">
        <v>1.3947527804133935</v>
      </c>
      <c r="GF877">
        <v>4.0213415170668645</v>
      </c>
      <c r="GG877">
        <v>4.2761648494115017</v>
      </c>
      <c r="GH877">
        <v>4.7162330148610563</v>
      </c>
      <c r="GI877">
        <v>2.4832794454699338</v>
      </c>
      <c r="GJ877"/>
      <c r="GK877"/>
      <c r="GL877"/>
      <c r="GM877"/>
    </row>
    <row r="878" spans="1:195" s="7" customFormat="1">
      <c r="A878" s="4"/>
      <c r="B878" s="4"/>
      <c r="C878" s="4"/>
      <c r="D878" s="4"/>
      <c r="E878" s="4"/>
      <c r="F878" s="28"/>
      <c r="G878" s="28"/>
      <c r="H878" s="83"/>
      <c r="I878" s="4"/>
      <c r="J878" s="4"/>
      <c r="K878" s="4"/>
      <c r="L878" s="4"/>
      <c r="M878" s="4"/>
      <c r="N878" s="28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81"/>
      <c r="AG878" s="81"/>
      <c r="AH878" s="81"/>
      <c r="AI878" s="4"/>
      <c r="AJ878" s="81"/>
      <c r="AK878" s="81"/>
      <c r="AL878" s="81"/>
      <c r="AM878" s="43">
        <v>862</v>
      </c>
      <c r="AN878">
        <v>159.26939207167342</v>
      </c>
      <c r="AO878">
        <v>14.595682398410011</v>
      </c>
      <c r="AP878">
        <v>153.58048668898178</v>
      </c>
      <c r="AQ878">
        <v>129.20551116381355</v>
      </c>
      <c r="AR878">
        <v>13.980202178762084</v>
      </c>
      <c r="AS878">
        <v>218.88914363213695</v>
      </c>
      <c r="AT878">
        <v>8.4409878761700075</v>
      </c>
      <c r="AU878">
        <v>19.495473003916072</v>
      </c>
      <c r="AV878"/>
      <c r="AW878"/>
      <c r="FY878" s="210">
        <v>873</v>
      </c>
      <c r="FZ878">
        <v>25.19940760537364</v>
      </c>
      <c r="GA878">
        <v>28.569275799108233</v>
      </c>
      <c r="GB878">
        <v>4.0280187633701621</v>
      </c>
      <c r="GC878">
        <v>1.5078125511745832</v>
      </c>
      <c r="GD878">
        <v>1.5237596808574692</v>
      </c>
      <c r="GE878">
        <v>4.4588458438741645</v>
      </c>
      <c r="GF878">
        <v>6.168247682025827</v>
      </c>
      <c r="GG878">
        <v>5.44092266677655</v>
      </c>
      <c r="GH878">
        <v>7.1424228051944159</v>
      </c>
      <c r="GI878">
        <v>7.863484376507949</v>
      </c>
      <c r="GJ878"/>
      <c r="GK878"/>
      <c r="GL878"/>
      <c r="GM878"/>
    </row>
    <row r="879" spans="1:195" s="7" customFormat="1">
      <c r="A879" s="4"/>
      <c r="B879" s="4"/>
      <c r="C879" s="4"/>
      <c r="D879" s="4"/>
      <c r="E879" s="4"/>
      <c r="F879" s="28"/>
      <c r="G879" s="28"/>
      <c r="H879" s="83"/>
      <c r="I879" s="4"/>
      <c r="J879" s="4"/>
      <c r="K879" s="4"/>
      <c r="L879" s="4"/>
      <c r="M879" s="4"/>
      <c r="N879" s="28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81"/>
      <c r="AG879" s="81"/>
      <c r="AH879" s="81"/>
      <c r="AI879" s="4"/>
      <c r="AJ879" s="81"/>
      <c r="AK879" s="81"/>
      <c r="AL879" s="81"/>
      <c r="AM879" s="43">
        <v>863</v>
      </c>
      <c r="AN879">
        <v>134.04075909875937</v>
      </c>
      <c r="AO879">
        <v>10.5591482310159</v>
      </c>
      <c r="AP879">
        <v>97.242037825388508</v>
      </c>
      <c r="AQ879">
        <v>81.877950845437823</v>
      </c>
      <c r="AR879">
        <v>10.644289303395352</v>
      </c>
      <c r="AS879">
        <v>167.97964977573713</v>
      </c>
      <c r="AT879">
        <v>6.5810302589383198</v>
      </c>
      <c r="AU879">
        <v>-17.586483762732517</v>
      </c>
      <c r="AV879"/>
      <c r="AW879"/>
      <c r="FY879" s="210">
        <v>874</v>
      </c>
      <c r="FZ879">
        <v>21.613255036113987</v>
      </c>
      <c r="GA879">
        <v>28.795267111787883</v>
      </c>
      <c r="GB879">
        <v>3.2994541598141467</v>
      </c>
      <c r="GC879">
        <v>1.2548245429732545</v>
      </c>
      <c r="GD879">
        <v>0.77930876361010015</v>
      </c>
      <c r="GE879">
        <v>2.6462079793049638</v>
      </c>
      <c r="GF879">
        <v>4.7638696568161425</v>
      </c>
      <c r="GG879">
        <v>7.0962468662970712</v>
      </c>
      <c r="GH879">
        <v>9.4352844637273687</v>
      </c>
      <c r="GI879">
        <v>6.8177448920152477</v>
      </c>
      <c r="GJ879"/>
      <c r="GK879"/>
      <c r="GL879"/>
      <c r="GM879"/>
    </row>
    <row r="880" spans="1:195" s="7" customFormat="1">
      <c r="A880" s="4"/>
      <c r="B880" s="4"/>
      <c r="C880" s="4"/>
      <c r="D880" s="4"/>
      <c r="E880" s="4"/>
      <c r="F880" s="28"/>
      <c r="G880" s="28"/>
      <c r="H880" s="83"/>
      <c r="I880" s="4"/>
      <c r="J880" s="4"/>
      <c r="K880" s="4"/>
      <c r="L880" s="4"/>
      <c r="M880" s="4"/>
      <c r="N880" s="28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81"/>
      <c r="AG880" s="81"/>
      <c r="AH880" s="81"/>
      <c r="AI880" s="4"/>
      <c r="AJ880" s="81"/>
      <c r="AK880" s="81"/>
      <c r="AL880" s="81"/>
      <c r="AM880" s="43">
        <v>864</v>
      </c>
      <c r="AN880">
        <v>78.286552741483533</v>
      </c>
      <c r="AO880">
        <v>6.800994776346073</v>
      </c>
      <c r="AP880">
        <v>65.437489436076504</v>
      </c>
      <c r="AQ880">
        <v>55.165817167656321</v>
      </c>
      <c r="AR880">
        <v>6.6310458678938815</v>
      </c>
      <c r="AS880">
        <v>108.72837936519124</v>
      </c>
      <c r="AT880">
        <v>4.3076727706950946</v>
      </c>
      <c r="AU880">
        <v>-15.805343345171854</v>
      </c>
      <c r="AV880"/>
      <c r="AW880"/>
      <c r="FY880" s="210">
        <v>875</v>
      </c>
      <c r="FZ880">
        <v>1.2256583653143547</v>
      </c>
      <c r="GA880">
        <v>1.9984670175667461</v>
      </c>
      <c r="GB880">
        <v>1.2342361774671973</v>
      </c>
      <c r="GC880">
        <v>0.78324688303766077</v>
      </c>
      <c r="GD880">
        <v>0.83449771408869466</v>
      </c>
      <c r="GE880">
        <v>2.8964612858795382</v>
      </c>
      <c r="GF880">
        <v>7.7180288018134844</v>
      </c>
      <c r="GG880">
        <v>11.344877790810227</v>
      </c>
      <c r="GH880">
        <v>12.570586555180331</v>
      </c>
      <c r="GI880">
        <v>4.357260692842253</v>
      </c>
      <c r="GJ880"/>
      <c r="GK880"/>
      <c r="GL880"/>
      <c r="GM880"/>
    </row>
    <row r="881" spans="1:195" s="7" customFormat="1">
      <c r="A881" s="4"/>
      <c r="B881" s="4"/>
      <c r="C881" s="4"/>
      <c r="D881" s="4"/>
      <c r="E881" s="4"/>
      <c r="F881" s="28"/>
      <c r="G881" s="28"/>
      <c r="H881" s="83"/>
      <c r="I881" s="4"/>
      <c r="J881" s="4"/>
      <c r="K881" s="4"/>
      <c r="L881" s="4"/>
      <c r="M881" s="4"/>
      <c r="N881" s="28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81"/>
      <c r="AG881" s="81"/>
      <c r="AH881" s="81"/>
      <c r="AI881" s="4"/>
      <c r="AJ881" s="81"/>
      <c r="AK881" s="81"/>
      <c r="AL881" s="81"/>
      <c r="AM881" s="43">
        <v>865</v>
      </c>
      <c r="AN881">
        <v>77.949661940755362</v>
      </c>
      <c r="AO881">
        <v>9.5599829259882618</v>
      </c>
      <c r="AP881">
        <v>97.857660719078908</v>
      </c>
      <c r="AQ881">
        <v>82.894806738458172</v>
      </c>
      <c r="AR881">
        <v>9.1520329626889012</v>
      </c>
      <c r="AS881">
        <v>138.59354093099432</v>
      </c>
      <c r="AT881">
        <v>5.9048300746296514</v>
      </c>
      <c r="AU881">
        <v>12.811977172521079</v>
      </c>
      <c r="AV881"/>
      <c r="AW881"/>
      <c r="FY881" s="210">
        <v>876</v>
      </c>
      <c r="FZ881">
        <v>14.481495604149121</v>
      </c>
      <c r="GA881">
        <v>15.166441260205</v>
      </c>
      <c r="GB881">
        <v>2.0324628431213543</v>
      </c>
      <c r="GC881">
        <v>0.96505039769905221</v>
      </c>
      <c r="GD881">
        <v>0.59010096187764427</v>
      </c>
      <c r="GE881">
        <v>2.3825859577984598</v>
      </c>
      <c r="GF881">
        <v>5.2829852703497657</v>
      </c>
      <c r="GG881">
        <v>6.979797535787311</v>
      </c>
      <c r="GH881">
        <v>8.8688310303521973</v>
      </c>
      <c r="GI881">
        <v>5.3366818065075563</v>
      </c>
      <c r="GJ881"/>
      <c r="GK881"/>
      <c r="GL881"/>
      <c r="GM881"/>
    </row>
    <row r="882" spans="1:195" s="7" customFormat="1">
      <c r="A882" s="4"/>
      <c r="B882" s="4"/>
      <c r="C882" s="4"/>
      <c r="D882" s="4"/>
      <c r="E882" s="4"/>
      <c r="F882" s="28"/>
      <c r="G882" s="28"/>
      <c r="H882" s="83"/>
      <c r="I882" s="4"/>
      <c r="J882" s="4"/>
      <c r="K882" s="4"/>
      <c r="L882" s="4"/>
      <c r="M882" s="4"/>
      <c r="N882" s="28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81"/>
      <c r="AG882" s="81"/>
      <c r="AH882" s="81"/>
      <c r="AI882" s="4"/>
      <c r="AJ882" s="81"/>
      <c r="AK882" s="81"/>
      <c r="AL882" s="81"/>
      <c r="AM882" s="43">
        <v>866</v>
      </c>
      <c r="AN882">
        <v>95.9759177141908</v>
      </c>
      <c r="AO882">
        <v>13.452799523647863</v>
      </c>
      <c r="AP882">
        <v>146.18070363083694</v>
      </c>
      <c r="AQ882">
        <v>126.44180202918383</v>
      </c>
      <c r="AR882">
        <v>12.901147281630593</v>
      </c>
      <c r="AS882">
        <v>154.5820473697386</v>
      </c>
      <c r="AT882">
        <v>8.114073784480988</v>
      </c>
      <c r="AU882">
        <v>0.18184143075315218</v>
      </c>
      <c r="AV882"/>
      <c r="AW882"/>
      <c r="FY882" s="210">
        <v>877</v>
      </c>
      <c r="FZ882">
        <v>14.12583720159537</v>
      </c>
      <c r="GA882">
        <v>16.904711465797448</v>
      </c>
      <c r="GB882">
        <v>3.7285918569829875</v>
      </c>
      <c r="GC882">
        <v>1.3437610857077993</v>
      </c>
      <c r="GD882">
        <v>0.75798793757577965</v>
      </c>
      <c r="GE882">
        <v>2.0232134941804976</v>
      </c>
      <c r="GF882">
        <v>6.7122036282755806</v>
      </c>
      <c r="GG882">
        <v>13.518480114564937</v>
      </c>
      <c r="GH882">
        <v>17.433191151508321</v>
      </c>
      <c r="GI882">
        <v>7.4271108510478481</v>
      </c>
      <c r="GJ882"/>
      <c r="GK882"/>
      <c r="GL882"/>
      <c r="GM882"/>
    </row>
    <row r="883" spans="1:195" s="7" customFormat="1">
      <c r="A883" s="4"/>
      <c r="B883" s="4"/>
      <c r="C883" s="4"/>
      <c r="D883" s="4"/>
      <c r="E883" s="4"/>
      <c r="F883" s="28"/>
      <c r="G883" s="28"/>
      <c r="H883" s="83"/>
      <c r="I883" s="4"/>
      <c r="J883" s="4"/>
      <c r="K883" s="4"/>
      <c r="L883" s="4"/>
      <c r="M883" s="4"/>
      <c r="N883" s="28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81"/>
      <c r="AG883" s="81"/>
      <c r="AH883" s="81"/>
      <c r="AI883" s="4"/>
      <c r="AJ883" s="81"/>
      <c r="AK883" s="81"/>
      <c r="AL883" s="81"/>
      <c r="AM883" s="43">
        <v>867</v>
      </c>
      <c r="AN883">
        <v>90.599526473040058</v>
      </c>
      <c r="AO883">
        <v>8.5472418960083321</v>
      </c>
      <c r="AP883">
        <v>87.336310202374463</v>
      </c>
      <c r="AQ883">
        <v>75.017584937099073</v>
      </c>
      <c r="AR883">
        <v>8.2529330494007809</v>
      </c>
      <c r="AS883">
        <v>130.04572589023155</v>
      </c>
      <c r="AT883">
        <v>5.0639325392361005</v>
      </c>
      <c r="AU883">
        <v>4.4607121229703832</v>
      </c>
      <c r="AV883"/>
      <c r="AW883"/>
      <c r="FY883" s="210">
        <v>878</v>
      </c>
      <c r="FZ883">
        <v>3.795090469313104</v>
      </c>
      <c r="GA883">
        <v>3.5494405612485549</v>
      </c>
      <c r="GB883">
        <v>2.6297218637939541</v>
      </c>
      <c r="GC883">
        <v>0.95060963678406807</v>
      </c>
      <c r="GD883">
        <v>1.4753492111710096</v>
      </c>
      <c r="GE883">
        <v>4.5935440471292779</v>
      </c>
      <c r="GF883">
        <v>7.6411409798617829</v>
      </c>
      <c r="GG883">
        <v>8.8109630623926414</v>
      </c>
      <c r="GH883">
        <v>9.1365097277016201</v>
      </c>
      <c r="GI883">
        <v>4.9081688086581758</v>
      </c>
      <c r="GJ883"/>
      <c r="GK883"/>
      <c r="GL883"/>
      <c r="GM883"/>
    </row>
    <row r="884" spans="1:195" s="7" customFormat="1">
      <c r="A884" s="4"/>
      <c r="B884" s="4"/>
      <c r="C884" s="4"/>
      <c r="D884" s="4"/>
      <c r="E884" s="4"/>
      <c r="F884" s="28"/>
      <c r="G884" s="28"/>
      <c r="H884" s="83"/>
      <c r="I884" s="4"/>
      <c r="J884" s="4"/>
      <c r="K884" s="4"/>
      <c r="L884" s="4"/>
      <c r="M884" s="4"/>
      <c r="N884" s="28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81"/>
      <c r="AG884" s="81"/>
      <c r="AH884" s="81"/>
      <c r="AI884" s="4"/>
      <c r="AJ884" s="81"/>
      <c r="AK884" s="81"/>
      <c r="AL884" s="81"/>
      <c r="AM884" s="43">
        <v>868</v>
      </c>
      <c r="AN884">
        <v>128.28871947103318</v>
      </c>
      <c r="AO884">
        <v>9.0592168567915685</v>
      </c>
      <c r="AP884">
        <v>86.816829098027725</v>
      </c>
      <c r="AQ884">
        <v>71.704236754181849</v>
      </c>
      <c r="AR884">
        <v>8.9515533356056132</v>
      </c>
      <c r="AS884">
        <v>187.46008773011249</v>
      </c>
      <c r="AT884">
        <v>5.2998647206267036</v>
      </c>
      <c r="AU884">
        <v>5.8231527632730522</v>
      </c>
      <c r="AV884"/>
      <c r="AW884"/>
      <c r="FY884" s="210">
        <v>879</v>
      </c>
      <c r="FZ884">
        <v>0.97853894316985834</v>
      </c>
      <c r="GA884">
        <v>4.1733855134921143</v>
      </c>
      <c r="GB884">
        <v>3.9803164737257264</v>
      </c>
      <c r="GC884">
        <v>1.5473049208048402</v>
      </c>
      <c r="GD884">
        <v>0.69407640391300718</v>
      </c>
      <c r="GE884">
        <v>2.7044073773690673</v>
      </c>
      <c r="GF884">
        <v>6.057115025858371</v>
      </c>
      <c r="GG884">
        <v>4.5358008721088368</v>
      </c>
      <c r="GH884">
        <v>4.0599959370222374</v>
      </c>
      <c r="GI884">
        <v>3.2727318978146087</v>
      </c>
      <c r="GJ884"/>
      <c r="GK884"/>
      <c r="GL884"/>
      <c r="GM884"/>
    </row>
    <row r="885" spans="1:195" s="7" customFormat="1">
      <c r="A885" s="4"/>
      <c r="B885" s="4"/>
      <c r="C885" s="4"/>
      <c r="D885" s="4"/>
      <c r="E885" s="4"/>
      <c r="F885" s="28"/>
      <c r="G885" s="28"/>
      <c r="H885" s="83"/>
      <c r="I885" s="4"/>
      <c r="J885" s="4"/>
      <c r="K885" s="4"/>
      <c r="L885" s="4"/>
      <c r="M885" s="4"/>
      <c r="N885" s="28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81"/>
      <c r="AG885" s="81"/>
      <c r="AH885" s="81"/>
      <c r="AI885" s="4"/>
      <c r="AJ885" s="81"/>
      <c r="AK885" s="81"/>
      <c r="AL885" s="81"/>
      <c r="AM885" s="43">
        <v>869</v>
      </c>
      <c r="AN885">
        <v>73.181843667677953</v>
      </c>
      <c r="AO885">
        <v>6.4792742675812462</v>
      </c>
      <c r="AP885">
        <v>65.362480940000211</v>
      </c>
      <c r="AQ885">
        <v>54.877425473642951</v>
      </c>
      <c r="AR885">
        <v>6.3417838883657378</v>
      </c>
      <c r="AS885">
        <v>114.53159213399388</v>
      </c>
      <c r="AT885">
        <v>3.8937282319414059</v>
      </c>
      <c r="AU885">
        <v>14.05633504187761</v>
      </c>
      <c r="AV885"/>
      <c r="AW885"/>
      <c r="FY885" s="210">
        <v>880</v>
      </c>
      <c r="FZ885">
        <v>21.795880479471172</v>
      </c>
      <c r="GA885">
        <v>29.268475833482018</v>
      </c>
      <c r="GB885">
        <v>3.9792715078715926</v>
      </c>
      <c r="GC885">
        <v>1.5287327419661385</v>
      </c>
      <c r="GD885">
        <v>1.0816250922988317</v>
      </c>
      <c r="GE885">
        <v>5.1283598106487727</v>
      </c>
      <c r="GF885">
        <v>8.6221418320995884</v>
      </c>
      <c r="GG885">
        <v>8.6934289574164278</v>
      </c>
      <c r="GH885">
        <v>10.261454069775072</v>
      </c>
      <c r="GI885">
        <v>8.0126256319532487</v>
      </c>
      <c r="GJ885"/>
      <c r="GK885"/>
      <c r="GL885"/>
      <c r="GM885"/>
    </row>
    <row r="886" spans="1:195" s="7" customFormat="1">
      <c r="A886" s="4"/>
      <c r="B886" s="4"/>
      <c r="C886" s="4"/>
      <c r="D886" s="4"/>
      <c r="E886" s="4"/>
      <c r="F886" s="28"/>
      <c r="G886" s="28"/>
      <c r="H886" s="83"/>
      <c r="I886" s="4"/>
      <c r="J886" s="4"/>
      <c r="K886" s="4"/>
      <c r="L886" s="4"/>
      <c r="M886" s="4"/>
      <c r="N886" s="28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81"/>
      <c r="AG886" s="81"/>
      <c r="AH886" s="81"/>
      <c r="AI886" s="4"/>
      <c r="AJ886" s="81"/>
      <c r="AK886" s="81"/>
      <c r="AL886" s="81"/>
      <c r="AM886" s="43">
        <v>870</v>
      </c>
      <c r="AN886">
        <v>133.71087270303718</v>
      </c>
      <c r="AO886">
        <v>13.804581574762185</v>
      </c>
      <c r="AP886">
        <v>140.97266817739867</v>
      </c>
      <c r="AQ886">
        <v>120.63705432414201</v>
      </c>
      <c r="AR886">
        <v>13.342424325140367</v>
      </c>
      <c r="AS886">
        <v>217.87789506302713</v>
      </c>
      <c r="AT886">
        <v>8.2022693819147392</v>
      </c>
      <c r="AU886">
        <v>19.040647506596706</v>
      </c>
      <c r="AV886"/>
      <c r="AW886"/>
      <c r="FY886" s="210">
        <v>881</v>
      </c>
      <c r="FZ886">
        <v>23.865340335140409</v>
      </c>
      <c r="GA886">
        <v>26.747355251644791</v>
      </c>
      <c r="GB886">
        <v>1.6812644812157547</v>
      </c>
      <c r="GC886">
        <v>1.0586273865064015</v>
      </c>
      <c r="GD886">
        <v>0.95662812570049871</v>
      </c>
      <c r="GE886">
        <v>2.3433029079235688</v>
      </c>
      <c r="GF886">
        <v>4.1365700197792101</v>
      </c>
      <c r="GG886">
        <v>7.2910371164342056</v>
      </c>
      <c r="GH886">
        <v>9.7660693263984335</v>
      </c>
      <c r="GI886">
        <v>6.794827947315305</v>
      </c>
      <c r="GJ886"/>
      <c r="GK886"/>
      <c r="GL886"/>
      <c r="GM886"/>
    </row>
    <row r="887" spans="1:195" s="7" customFormat="1">
      <c r="A887" s="4"/>
      <c r="B887" s="4"/>
      <c r="C887" s="4"/>
      <c r="D887" s="4"/>
      <c r="E887" s="4"/>
      <c r="F887" s="28"/>
      <c r="G887" s="28"/>
      <c r="H887" s="83"/>
      <c r="I887" s="4"/>
      <c r="J887" s="4"/>
      <c r="K887" s="4"/>
      <c r="L887" s="4"/>
      <c r="M887" s="4"/>
      <c r="N887" s="28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81"/>
      <c r="AG887" s="81"/>
      <c r="AH887" s="81"/>
      <c r="AI887" s="4"/>
      <c r="AJ887" s="81"/>
      <c r="AK887" s="81"/>
      <c r="AL887" s="81"/>
      <c r="AM887" s="43">
        <v>871</v>
      </c>
      <c r="AN887">
        <v>132.16118396561291</v>
      </c>
      <c r="AO887">
        <v>11.79400625880014</v>
      </c>
      <c r="AP887">
        <v>115.5141820187892</v>
      </c>
      <c r="AQ887">
        <v>98.271723805610094</v>
      </c>
      <c r="AR887">
        <v>11.433684653254694</v>
      </c>
      <c r="AS887">
        <v>187.04706095986819</v>
      </c>
      <c r="AT887">
        <v>6.9127663069249481</v>
      </c>
      <c r="AU887">
        <v>16.407173493520087</v>
      </c>
      <c r="AV887"/>
      <c r="AW887"/>
      <c r="FY887" s="210">
        <v>882</v>
      </c>
      <c r="FZ887">
        <v>11.794430901301608</v>
      </c>
      <c r="GA887">
        <v>15.778620009353997</v>
      </c>
      <c r="GB887">
        <v>4.0562560497737374</v>
      </c>
      <c r="GC887">
        <v>2.0464997088258272</v>
      </c>
      <c r="GD887">
        <v>1.1468034974098995</v>
      </c>
      <c r="GE887">
        <v>1.8738253760213988</v>
      </c>
      <c r="GF887">
        <v>2.9837781238650782</v>
      </c>
      <c r="GG887">
        <v>3.9916207055120436</v>
      </c>
      <c r="GH887">
        <v>4.3284789202086884</v>
      </c>
      <c r="GI887">
        <v>4.6310582100423696</v>
      </c>
      <c r="GJ887"/>
      <c r="GK887"/>
      <c r="GL887"/>
      <c r="GM887"/>
    </row>
    <row r="888" spans="1:195" s="7" customFormat="1">
      <c r="A888" s="4"/>
      <c r="B888" s="4"/>
      <c r="C888" s="4"/>
      <c r="D888" s="4"/>
      <c r="E888" s="4"/>
      <c r="F888" s="28"/>
      <c r="G888" s="28"/>
      <c r="H888" s="83"/>
      <c r="I888" s="4"/>
      <c r="J888" s="4"/>
      <c r="K888" s="4"/>
      <c r="L888" s="4"/>
      <c r="M888" s="4"/>
      <c r="N888" s="28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81"/>
      <c r="AG888" s="81"/>
      <c r="AH888" s="81"/>
      <c r="AI888" s="4"/>
      <c r="AJ888" s="81"/>
      <c r="AK888" s="81"/>
      <c r="AL888" s="81"/>
      <c r="AM888" s="43">
        <v>872</v>
      </c>
      <c r="AN888">
        <v>45.653798297488223</v>
      </c>
      <c r="AO888">
        <v>3.2985680787818241</v>
      </c>
      <c r="AP888">
        <v>29.245601384229019</v>
      </c>
      <c r="AQ888">
        <v>23.864249101972607</v>
      </c>
      <c r="AR888">
        <v>3.4002593843356035</v>
      </c>
      <c r="AS888">
        <v>63.960220175815188</v>
      </c>
      <c r="AT888">
        <v>2.0456218033543192</v>
      </c>
      <c r="AU888">
        <v>-0.96361210490257676</v>
      </c>
      <c r="AV888"/>
      <c r="AW888"/>
      <c r="FY888" s="210">
        <v>883</v>
      </c>
      <c r="FZ888">
        <v>13.06596632908046</v>
      </c>
      <c r="GA888">
        <v>15.498706881583566</v>
      </c>
      <c r="GB888">
        <v>3.4182175270806687</v>
      </c>
      <c r="GC888">
        <v>1.7297043326526731</v>
      </c>
      <c r="GD888">
        <v>1.3656322264814231</v>
      </c>
      <c r="GE888">
        <v>2.198912549557277</v>
      </c>
      <c r="GF888">
        <v>3.0969225486463263</v>
      </c>
      <c r="GG888">
        <v>6.8144489853983012</v>
      </c>
      <c r="GH888">
        <v>8.1851413492703724</v>
      </c>
      <c r="GI888">
        <v>5.4249866638535469</v>
      </c>
      <c r="GJ888"/>
      <c r="GK888"/>
      <c r="GL888"/>
      <c r="GM888"/>
    </row>
    <row r="889" spans="1:195" s="7" customFormat="1">
      <c r="A889" s="4"/>
      <c r="B889" s="4"/>
      <c r="C889" s="4"/>
      <c r="D889" s="4"/>
      <c r="E889" s="4"/>
      <c r="F889" s="28"/>
      <c r="G889" s="28"/>
      <c r="H889" s="83"/>
      <c r="I889" s="4"/>
      <c r="J889" s="4"/>
      <c r="K889" s="4"/>
      <c r="L889" s="4"/>
      <c r="M889" s="4"/>
      <c r="N889" s="28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81"/>
      <c r="AG889" s="81"/>
      <c r="AH889" s="81"/>
      <c r="AI889" s="4"/>
      <c r="AJ889" s="81"/>
      <c r="AK889" s="81"/>
      <c r="AL889" s="81"/>
      <c r="AM889" s="43">
        <v>873</v>
      </c>
      <c r="AN889">
        <v>104.74480656007094</v>
      </c>
      <c r="AO889">
        <v>11.054940705711001</v>
      </c>
      <c r="AP889">
        <v>106.82505995032383</v>
      </c>
      <c r="AQ889">
        <v>91.902197774262987</v>
      </c>
      <c r="AR889">
        <v>10.878415812733586</v>
      </c>
      <c r="AS889">
        <v>162.76117546279269</v>
      </c>
      <c r="AT889">
        <v>6.8054282020737134</v>
      </c>
      <c r="AU889">
        <v>9.9290764428051972</v>
      </c>
      <c r="AV889"/>
      <c r="AW889"/>
      <c r="FY889" s="210">
        <v>884</v>
      </c>
      <c r="FZ889">
        <v>12.823559426305572</v>
      </c>
      <c r="GA889">
        <v>16.326641154419974</v>
      </c>
      <c r="GB889">
        <v>3.4192558978118122</v>
      </c>
      <c r="GC889">
        <v>1.412020778500114</v>
      </c>
      <c r="GD889">
        <v>1.2130801420985733</v>
      </c>
      <c r="GE889">
        <v>3.1983827900306467</v>
      </c>
      <c r="GF889">
        <v>11.370941841292636</v>
      </c>
      <c r="GG889">
        <v>17.160999072944474</v>
      </c>
      <c r="GH889">
        <v>15.19836798488862</v>
      </c>
      <c r="GI889">
        <v>7.9066009544306253</v>
      </c>
      <c r="GJ889"/>
      <c r="GK889"/>
      <c r="GL889"/>
      <c r="GM889"/>
    </row>
    <row r="890" spans="1:195" s="7" customFormat="1">
      <c r="A890" s="4"/>
      <c r="B890" s="4"/>
      <c r="C890" s="4"/>
      <c r="D890" s="4"/>
      <c r="E890" s="4"/>
      <c r="F890" s="28"/>
      <c r="G890" s="28"/>
      <c r="H890" s="83"/>
      <c r="I890" s="4"/>
      <c r="J890" s="4"/>
      <c r="K890" s="4"/>
      <c r="L890" s="4"/>
      <c r="M890" s="4"/>
      <c r="N890" s="28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81"/>
      <c r="AG890" s="81"/>
      <c r="AH890" s="81"/>
      <c r="AI890" s="4"/>
      <c r="AJ890" s="81"/>
      <c r="AK890" s="81"/>
      <c r="AL890" s="81"/>
      <c r="AM890" s="43">
        <v>874</v>
      </c>
      <c r="AN890">
        <v>109.66066275424755</v>
      </c>
      <c r="AO890">
        <v>10.010052557212639</v>
      </c>
      <c r="AP890">
        <v>102.09964189867512</v>
      </c>
      <c r="AQ890">
        <v>86.501463472460159</v>
      </c>
      <c r="AR890">
        <v>9.4145066420419656</v>
      </c>
      <c r="AS890">
        <v>144.52563935898061</v>
      </c>
      <c r="AT890">
        <v>6.0480479813294599</v>
      </c>
      <c r="AU890">
        <v>19.055201392115645</v>
      </c>
      <c r="AV890"/>
      <c r="AW890"/>
      <c r="FY890" s="210">
        <v>885</v>
      </c>
      <c r="FZ890">
        <v>33.663422641261711</v>
      </c>
      <c r="GA890">
        <v>40.064333051349472</v>
      </c>
      <c r="GB890">
        <v>1.8670992524762497</v>
      </c>
      <c r="GC890">
        <v>0.57896632823094474</v>
      </c>
      <c r="GD890">
        <v>1.0484929919341013</v>
      </c>
      <c r="GE890">
        <v>2.0999336728192168</v>
      </c>
      <c r="GF890">
        <v>5.0219689802930167</v>
      </c>
      <c r="GG890">
        <v>5.9213183077946407</v>
      </c>
      <c r="GH890">
        <v>3.9235077351843897</v>
      </c>
      <c r="GI890">
        <v>7.574640824484554</v>
      </c>
      <c r="GJ890"/>
      <c r="GK890"/>
      <c r="GL890"/>
      <c r="GM890"/>
    </row>
    <row r="891" spans="1:195" s="7" customFormat="1">
      <c r="A891" s="4"/>
      <c r="B891" s="4"/>
      <c r="C891" s="4"/>
      <c r="D891" s="4"/>
      <c r="E891" s="4"/>
      <c r="F891" s="28"/>
      <c r="G891" s="28"/>
      <c r="H891" s="83"/>
      <c r="I891" s="4"/>
      <c r="J891" s="4"/>
      <c r="K891" s="4"/>
      <c r="L891" s="4"/>
      <c r="M891" s="4"/>
      <c r="N891" s="28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81"/>
      <c r="AG891" s="81"/>
      <c r="AH891" s="81"/>
      <c r="AI891" s="4"/>
      <c r="AJ891" s="81"/>
      <c r="AK891" s="81"/>
      <c r="AL891" s="81"/>
      <c r="AM891" s="43">
        <v>875</v>
      </c>
      <c r="AN891">
        <v>115.26263507435397</v>
      </c>
      <c r="AO891">
        <v>6.1292054552931772</v>
      </c>
      <c r="AP891">
        <v>54.582392553578018</v>
      </c>
      <c r="AQ891">
        <v>44.963321284000486</v>
      </c>
      <c r="AR891">
        <v>5.8926076439040589</v>
      </c>
      <c r="AS891">
        <v>123.01051855241484</v>
      </c>
      <c r="AT891">
        <v>3.1966381180046035</v>
      </c>
      <c r="AU891">
        <v>23.092865861825182</v>
      </c>
      <c r="AV891"/>
      <c r="AW891"/>
      <c r="FY891" s="210">
        <v>886</v>
      </c>
      <c r="FZ891">
        <v>12.582524338835167</v>
      </c>
      <c r="GA891">
        <v>15.265233676154109</v>
      </c>
      <c r="GB891">
        <v>2.5182066023116922</v>
      </c>
      <c r="GC891">
        <v>1.0348941834937249</v>
      </c>
      <c r="GD891">
        <v>1.161916094377567</v>
      </c>
      <c r="GE891">
        <v>3.2172390545828167</v>
      </c>
      <c r="GF891">
        <v>4.7111913363420719</v>
      </c>
      <c r="GG891">
        <v>6.4128761788245576</v>
      </c>
      <c r="GH891">
        <v>8.9666108770742809</v>
      </c>
      <c r="GI891">
        <v>5.4393600793670425</v>
      </c>
      <c r="GJ891"/>
      <c r="GK891"/>
      <c r="GL891"/>
      <c r="GM891"/>
    </row>
    <row r="892" spans="1:195" s="7" customFormat="1">
      <c r="A892" s="4"/>
      <c r="B892" s="4"/>
      <c r="C892" s="4"/>
      <c r="D892" s="4"/>
      <c r="E892" s="4"/>
      <c r="F892" s="28"/>
      <c r="G892" s="28"/>
      <c r="H892" s="83"/>
      <c r="I892" s="4"/>
      <c r="J892" s="4"/>
      <c r="K892" s="4"/>
      <c r="L892" s="4"/>
      <c r="M892" s="4"/>
      <c r="N892" s="28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81"/>
      <c r="AG892" s="81"/>
      <c r="AH892" s="81"/>
      <c r="AI892" s="4"/>
      <c r="AJ892" s="81"/>
      <c r="AK892" s="81"/>
      <c r="AL892" s="81"/>
      <c r="AM892" s="43">
        <v>876</v>
      </c>
      <c r="AN892">
        <v>97.558749240937402</v>
      </c>
      <c r="AO892">
        <v>7.4233122623295547</v>
      </c>
      <c r="AP892">
        <v>73.321474073079884</v>
      </c>
      <c r="AQ892">
        <v>62.086432667847475</v>
      </c>
      <c r="AR892">
        <v>7.3031280368404614</v>
      </c>
      <c r="AS892">
        <v>134.66348995330137</v>
      </c>
      <c r="AT892">
        <v>4.506977792911397</v>
      </c>
      <c r="AU892">
        <v>20.722883535880609</v>
      </c>
      <c r="AV892"/>
      <c r="AW892"/>
      <c r="FY892" s="210">
        <v>887</v>
      </c>
      <c r="FZ892">
        <v>16.426072725186408</v>
      </c>
      <c r="GA892">
        <v>16.081432772241481</v>
      </c>
      <c r="GB892">
        <v>2.6579783305323117</v>
      </c>
      <c r="GC892">
        <v>0.90706980336993692</v>
      </c>
      <c r="GD892">
        <v>0.80223157712764626</v>
      </c>
      <c r="GE892">
        <v>1.8516512529289857</v>
      </c>
      <c r="GF892">
        <v>3.0902779975766999</v>
      </c>
      <c r="GG892">
        <v>6.9904257780472641</v>
      </c>
      <c r="GH892">
        <v>9.4912641762907572</v>
      </c>
      <c r="GI892">
        <v>5.617494243996461</v>
      </c>
      <c r="GJ892"/>
      <c r="GK892"/>
      <c r="GL892"/>
      <c r="GM892"/>
    </row>
    <row r="893" spans="1:195" s="7" customFormat="1">
      <c r="A893" s="4"/>
      <c r="B893" s="4"/>
      <c r="C893" s="4"/>
      <c r="D893" s="4"/>
      <c r="E893" s="4"/>
      <c r="F893" s="28"/>
      <c r="G893" s="28"/>
      <c r="H893" s="83"/>
      <c r="I893" s="4"/>
      <c r="J893" s="4"/>
      <c r="K893" s="4"/>
      <c r="L893" s="4"/>
      <c r="M893" s="4"/>
      <c r="N893" s="28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81"/>
      <c r="AG893" s="81"/>
      <c r="AH893" s="81"/>
      <c r="AI893" s="4"/>
      <c r="AJ893" s="81"/>
      <c r="AK893" s="81"/>
      <c r="AL893" s="81"/>
      <c r="AM893" s="43">
        <v>877</v>
      </c>
      <c r="AN893">
        <v>128.66117009157909</v>
      </c>
      <c r="AO893">
        <v>10.276777040620189</v>
      </c>
      <c r="AP893">
        <v>102.01020845456156</v>
      </c>
      <c r="AQ893">
        <v>83.975088787236558</v>
      </c>
      <c r="AR893">
        <v>10.275716013562857</v>
      </c>
      <c r="AS893">
        <v>182.43095202557339</v>
      </c>
      <c r="AT893">
        <v>6.3130295938430905</v>
      </c>
      <c r="AU893">
        <v>23.014008483952104</v>
      </c>
      <c r="AV893"/>
      <c r="AW893"/>
      <c r="FY893" s="210">
        <v>888</v>
      </c>
      <c r="FZ893">
        <v>33.571369796577955</v>
      </c>
      <c r="GA893">
        <v>38.938260563593694</v>
      </c>
      <c r="GB893">
        <v>2.7930890144558242</v>
      </c>
      <c r="GC893">
        <v>1.4293123675211832</v>
      </c>
      <c r="GD893">
        <v>0.76612247334019234</v>
      </c>
      <c r="GE893">
        <v>2.4371557939155863</v>
      </c>
      <c r="GF893">
        <v>4.6257947699869391</v>
      </c>
      <c r="GG893">
        <v>9.4515278032172567</v>
      </c>
      <c r="GH893">
        <v>11.981412208735044</v>
      </c>
      <c r="GI893">
        <v>8.8230931287762839</v>
      </c>
      <c r="GJ893"/>
      <c r="GK893"/>
      <c r="GL893"/>
      <c r="GM893"/>
    </row>
    <row r="894" spans="1:195" s="7" customFormat="1">
      <c r="A894" s="4"/>
      <c r="B894" s="4"/>
      <c r="C894" s="4"/>
      <c r="D894" s="4"/>
      <c r="E894" s="4"/>
      <c r="F894" s="28"/>
      <c r="G894" s="28"/>
      <c r="H894" s="83"/>
      <c r="I894" s="4"/>
      <c r="J894" s="4"/>
      <c r="K894" s="4"/>
      <c r="L894" s="4"/>
      <c r="M894" s="4"/>
      <c r="N894" s="28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81"/>
      <c r="AG894" s="81"/>
      <c r="AH894" s="81"/>
      <c r="AI894" s="4"/>
      <c r="AJ894" s="81"/>
      <c r="AK894" s="81"/>
      <c r="AL894" s="81"/>
      <c r="AM894" s="43">
        <v>878</v>
      </c>
      <c r="AN894">
        <v>113.21073042764665</v>
      </c>
      <c r="AO894">
        <v>6.7549125969597217</v>
      </c>
      <c r="AP894">
        <v>56.20684562724631</v>
      </c>
      <c r="AQ894">
        <v>47.490538368054189</v>
      </c>
      <c r="AR894">
        <v>6.6678676272892421</v>
      </c>
      <c r="AS894">
        <v>124.13936487710833</v>
      </c>
      <c r="AT894">
        <v>4.1866761072729091</v>
      </c>
      <c r="AU894">
        <v>0.55653274251356866</v>
      </c>
      <c r="AV894"/>
      <c r="AW894"/>
      <c r="FY894" s="210">
        <v>889</v>
      </c>
      <c r="FZ894">
        <v>34.69634661369318</v>
      </c>
      <c r="GA894">
        <v>39.872141681282912</v>
      </c>
      <c r="GB894">
        <v>1.4941359214428613</v>
      </c>
      <c r="GC894">
        <v>0.78402593818031596</v>
      </c>
      <c r="GD894">
        <v>0.76107680414347301</v>
      </c>
      <c r="GE894">
        <v>1.285568853356396</v>
      </c>
      <c r="GF894">
        <v>11.114312123923414</v>
      </c>
      <c r="GG894">
        <v>16.822807059279192</v>
      </c>
      <c r="GH894">
        <v>12.709680809894383</v>
      </c>
      <c r="GI894">
        <v>9.9574368908727706</v>
      </c>
      <c r="GJ894"/>
      <c r="GK894"/>
      <c r="GL894"/>
      <c r="GM894"/>
    </row>
    <row r="895" spans="1:195" s="7" customFormat="1">
      <c r="A895" s="4"/>
      <c r="B895" s="4"/>
      <c r="C895" s="4"/>
      <c r="D895" s="4"/>
      <c r="E895" s="4"/>
      <c r="F895" s="28"/>
      <c r="G895" s="28"/>
      <c r="H895" s="83"/>
      <c r="I895" s="4"/>
      <c r="J895" s="4"/>
      <c r="K895" s="4"/>
      <c r="L895" s="4"/>
      <c r="M895" s="4"/>
      <c r="N895" s="28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81"/>
      <c r="AG895" s="81"/>
      <c r="AH895" s="81"/>
      <c r="AI895" s="4"/>
      <c r="AJ895" s="81"/>
      <c r="AK895" s="81"/>
      <c r="AL895" s="81"/>
      <c r="AM895" s="43">
        <v>879</v>
      </c>
      <c r="AN895">
        <v>73.032274787978395</v>
      </c>
      <c r="AO895">
        <v>4.6625257308322388</v>
      </c>
      <c r="AP895">
        <v>39.788055877965341</v>
      </c>
      <c r="AQ895">
        <v>32.003673365278665</v>
      </c>
      <c r="AR895">
        <v>4.4114333712705065</v>
      </c>
      <c r="AS895">
        <v>80.270678598210665</v>
      </c>
      <c r="AT895">
        <v>2.8414352216978647</v>
      </c>
      <c r="AU895">
        <v>-31.846544688839884</v>
      </c>
      <c r="AV895"/>
      <c r="AW895"/>
      <c r="FY895" s="210">
        <v>890</v>
      </c>
      <c r="FZ895">
        <v>33.843629121881925</v>
      </c>
      <c r="GA895">
        <v>40.339692061689149</v>
      </c>
      <c r="GB895">
        <v>4.3651227544679729</v>
      </c>
      <c r="GC895">
        <v>2.341712515684601</v>
      </c>
      <c r="GD895">
        <v>0.89899633826357861</v>
      </c>
      <c r="GE895">
        <v>2.7451607041935215</v>
      </c>
      <c r="GF895">
        <v>12.593322952150006</v>
      </c>
      <c r="GG895">
        <v>13.620591915703198</v>
      </c>
      <c r="GH895">
        <v>9.4955285334896224</v>
      </c>
      <c r="GI895">
        <v>10.374354567580157</v>
      </c>
      <c r="GJ895"/>
      <c r="GK895"/>
      <c r="GL895"/>
      <c r="GM895"/>
    </row>
    <row r="896" spans="1:195" s="7" customFormat="1">
      <c r="A896" s="4"/>
      <c r="B896" s="4"/>
      <c r="C896" s="4"/>
      <c r="D896" s="4"/>
      <c r="E896" s="4"/>
      <c r="F896" s="28"/>
      <c r="G896" s="28"/>
      <c r="H896" s="83"/>
      <c r="I896" s="4"/>
      <c r="J896" s="4"/>
      <c r="K896" s="4"/>
      <c r="L896" s="4"/>
      <c r="M896" s="4"/>
      <c r="N896" s="28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81"/>
      <c r="AG896" s="81"/>
      <c r="AH896" s="81"/>
      <c r="AI896" s="4"/>
      <c r="AJ896" s="81"/>
      <c r="AK896" s="81"/>
      <c r="AL896" s="81"/>
      <c r="AM896" s="43">
        <v>880</v>
      </c>
      <c r="AN896">
        <v>156.28333289309765</v>
      </c>
      <c r="AO896">
        <v>11.786695317256916</v>
      </c>
      <c r="AP896">
        <v>115.52701606141272</v>
      </c>
      <c r="AQ896">
        <v>98.371995956982857</v>
      </c>
      <c r="AR896">
        <v>10.906437988519556</v>
      </c>
      <c r="AS896">
        <v>171.9456365156218</v>
      </c>
      <c r="AT896">
        <v>7.0222974460163359</v>
      </c>
      <c r="AU896">
        <v>36.336939263616991</v>
      </c>
      <c r="AV896"/>
      <c r="AW896"/>
      <c r="FY896" s="210">
        <v>891</v>
      </c>
      <c r="FZ896">
        <v>32.325082702664417</v>
      </c>
      <c r="GA896">
        <v>40.768791795798279</v>
      </c>
      <c r="GB896">
        <v>3.5257971579055716</v>
      </c>
      <c r="GC896">
        <v>1.2349239864089818</v>
      </c>
      <c r="GD896">
        <v>0.32548499030357014</v>
      </c>
      <c r="GE896">
        <v>2.7277491862873018</v>
      </c>
      <c r="GF896">
        <v>4.0484804868264046</v>
      </c>
      <c r="GG896">
        <v>2.5284265002869963</v>
      </c>
      <c r="GH896">
        <v>7.3478062377151847</v>
      </c>
      <c r="GI896">
        <v>7.7286836997627582</v>
      </c>
      <c r="GJ896"/>
      <c r="GK896"/>
      <c r="GL896"/>
      <c r="GM896"/>
    </row>
    <row r="897" spans="1:195" s="7" customFormat="1">
      <c r="A897" s="4"/>
      <c r="B897" s="4"/>
      <c r="C897" s="4"/>
      <c r="D897" s="4"/>
      <c r="E897" s="4"/>
      <c r="F897" s="28"/>
      <c r="G897" s="28"/>
      <c r="H897" s="83"/>
      <c r="I897" s="4"/>
      <c r="J897" s="4"/>
      <c r="K897" s="4"/>
      <c r="L897" s="4"/>
      <c r="M897" s="4"/>
      <c r="N897" s="28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81"/>
      <c r="AG897" s="81"/>
      <c r="AH897" s="81"/>
      <c r="AI897" s="4"/>
      <c r="AJ897" s="81"/>
      <c r="AK897" s="81"/>
      <c r="AL897" s="81"/>
      <c r="AM897" s="43">
        <v>881</v>
      </c>
      <c r="AN897">
        <v>101.88439101817353</v>
      </c>
      <c r="AO897">
        <v>9.7102523294471901</v>
      </c>
      <c r="AP897">
        <v>98.025364256462964</v>
      </c>
      <c r="AQ897">
        <v>84.641022898058594</v>
      </c>
      <c r="AR897">
        <v>9.4358600482757478</v>
      </c>
      <c r="AS897">
        <v>133.62715129657445</v>
      </c>
      <c r="AT897">
        <v>5.5657776997320338</v>
      </c>
      <c r="AU897">
        <v>9.6783738432066713</v>
      </c>
      <c r="AV897"/>
      <c r="AW897"/>
      <c r="FY897" s="210">
        <v>892</v>
      </c>
      <c r="FZ897">
        <v>24.220391441267228</v>
      </c>
      <c r="GA897">
        <v>28.87970080617562</v>
      </c>
      <c r="GB897">
        <v>4.01315051078066</v>
      </c>
      <c r="GC897">
        <v>1.9049502694511034</v>
      </c>
      <c r="GD897">
        <v>1.0529784788574115</v>
      </c>
      <c r="GE897">
        <v>2.6324792370418342</v>
      </c>
      <c r="GF897">
        <v>4.1091386122928153</v>
      </c>
      <c r="GG897">
        <v>6.5486964943890591</v>
      </c>
      <c r="GH897">
        <v>9.4749113966724288</v>
      </c>
      <c r="GI897">
        <v>7.4243915462519698</v>
      </c>
      <c r="GJ897"/>
      <c r="GK897"/>
      <c r="GL897"/>
      <c r="GM897"/>
    </row>
    <row r="898" spans="1:195" s="7" customFormat="1">
      <c r="A898" s="4"/>
      <c r="B898" s="4"/>
      <c r="C898" s="4"/>
      <c r="D898" s="4"/>
      <c r="E898" s="4"/>
      <c r="F898" s="28"/>
      <c r="G898" s="28"/>
      <c r="H898" s="83"/>
      <c r="I898" s="4"/>
      <c r="J898" s="4"/>
      <c r="K898" s="4"/>
      <c r="L898" s="4"/>
      <c r="M898" s="4"/>
      <c r="N898" s="28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81"/>
      <c r="AG898" s="81"/>
      <c r="AH898" s="81"/>
      <c r="AI898" s="4"/>
      <c r="AJ898" s="81"/>
      <c r="AK898" s="81"/>
      <c r="AL898" s="81"/>
      <c r="AM898" s="43">
        <v>882</v>
      </c>
      <c r="AN898">
        <v>85.264319983077769</v>
      </c>
      <c r="AO898">
        <v>6.7040323410899303</v>
      </c>
      <c r="AP898">
        <v>61.856395825128494</v>
      </c>
      <c r="AQ898">
        <v>52.631371502314643</v>
      </c>
      <c r="AR898">
        <v>6.435962584557533</v>
      </c>
      <c r="AS898">
        <v>105.02128900684286</v>
      </c>
      <c r="AT898">
        <v>3.7793485671048566</v>
      </c>
      <c r="AU898">
        <v>6.4813528388814667</v>
      </c>
      <c r="AV898"/>
      <c r="AW898"/>
      <c r="FY898" s="210">
        <v>893</v>
      </c>
      <c r="FZ898">
        <v>12.040021285691008</v>
      </c>
      <c r="GA898">
        <v>14.816259500698255</v>
      </c>
      <c r="GB898">
        <v>3.7104022639984153</v>
      </c>
      <c r="GC898">
        <v>2.1599866491154236</v>
      </c>
      <c r="GD898">
        <v>0.60707097742669924</v>
      </c>
      <c r="GE898">
        <v>0.99759597254249444</v>
      </c>
      <c r="GF898">
        <v>3.4401817351154276</v>
      </c>
      <c r="GG898">
        <v>6.7863554066127421</v>
      </c>
      <c r="GH898">
        <v>9.9119614945246681</v>
      </c>
      <c r="GI898">
        <v>5.233689180796409</v>
      </c>
      <c r="GJ898"/>
      <c r="GK898"/>
      <c r="GL898"/>
      <c r="GM898"/>
    </row>
    <row r="899" spans="1:195" s="7" customFormat="1">
      <c r="A899" s="4"/>
      <c r="B899" s="4"/>
      <c r="C899" s="4"/>
      <c r="D899" s="4"/>
      <c r="E899" s="4"/>
      <c r="F899" s="28"/>
      <c r="G899" s="28"/>
      <c r="H899" s="83"/>
      <c r="I899" s="4"/>
      <c r="J899" s="4"/>
      <c r="K899" s="4"/>
      <c r="L899" s="4"/>
      <c r="M899" s="4"/>
      <c r="N899" s="28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81"/>
      <c r="AG899" s="81"/>
      <c r="AH899" s="81"/>
      <c r="AI899" s="4"/>
      <c r="AJ899" s="81"/>
      <c r="AK899" s="81"/>
      <c r="AL899" s="81"/>
      <c r="AM899" s="43">
        <v>883</v>
      </c>
      <c r="AN899">
        <v>96.727986632503345</v>
      </c>
      <c r="AO899">
        <v>7.7054493562422639</v>
      </c>
      <c r="AP899">
        <v>71.15019932907046</v>
      </c>
      <c r="AQ899">
        <v>60.79863939360461</v>
      </c>
      <c r="AR899">
        <v>7.5656949839228869</v>
      </c>
      <c r="AS899">
        <v>132.88644675076338</v>
      </c>
      <c r="AT899">
        <v>4.5726098086311087</v>
      </c>
      <c r="AU899">
        <v>24.471977125775759</v>
      </c>
      <c r="AV899"/>
      <c r="AW899"/>
      <c r="FY899" s="210">
        <v>894</v>
      </c>
      <c r="FZ899">
        <v>3.2736118734149606</v>
      </c>
      <c r="GA899">
        <v>5.3384170120045935</v>
      </c>
      <c r="GB899">
        <v>2.3782498095970084</v>
      </c>
      <c r="GC899">
        <v>0.64193054617529099</v>
      </c>
      <c r="GD899">
        <v>0.62144659997392082</v>
      </c>
      <c r="GE899">
        <v>1.4839727648157048</v>
      </c>
      <c r="GF899">
        <v>5.7490605496193341</v>
      </c>
      <c r="GG899">
        <v>6.0249847485887011</v>
      </c>
      <c r="GH899">
        <v>6.4304541439931473</v>
      </c>
      <c r="GI899">
        <v>3.4922535713796687</v>
      </c>
      <c r="GJ899"/>
      <c r="GK899"/>
      <c r="GL899"/>
      <c r="GM899"/>
    </row>
    <row r="900" spans="1:195" s="7" customFormat="1">
      <c r="A900" s="4"/>
      <c r="B900" s="4"/>
      <c r="C900" s="4"/>
      <c r="D900" s="4"/>
      <c r="E900" s="4"/>
      <c r="F900" s="28"/>
      <c r="G900" s="28"/>
      <c r="H900" s="83"/>
      <c r="I900" s="4"/>
      <c r="J900" s="4"/>
      <c r="K900" s="4"/>
      <c r="L900" s="4"/>
      <c r="M900" s="4"/>
      <c r="N900" s="28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81"/>
      <c r="AG900" s="81"/>
      <c r="AH900" s="81"/>
      <c r="AI900" s="4"/>
      <c r="AJ900" s="81"/>
      <c r="AK900" s="81"/>
      <c r="AL900" s="81"/>
      <c r="AM900" s="43">
        <v>884</v>
      </c>
      <c r="AN900">
        <v>169.80023518707839</v>
      </c>
      <c r="AO900">
        <v>11.363425171400984</v>
      </c>
      <c r="AP900">
        <v>108.63401776490841</v>
      </c>
      <c r="AQ900">
        <v>90.029850042723055</v>
      </c>
      <c r="AR900">
        <v>10.896743946712229</v>
      </c>
      <c r="AS900">
        <v>211.8727524523936</v>
      </c>
      <c r="AT900">
        <v>6.7719395948730892</v>
      </c>
      <c r="AU900">
        <v>50.606057968032317</v>
      </c>
      <c r="AV900"/>
      <c r="AW900"/>
      <c r="FY900" s="210">
        <v>895</v>
      </c>
      <c r="FZ900">
        <v>44.345928567350441</v>
      </c>
      <c r="GA900">
        <v>51.729561780763348</v>
      </c>
      <c r="GB900">
        <v>2.5516834907695078</v>
      </c>
      <c r="GC900">
        <v>1.2686136308745553</v>
      </c>
      <c r="GD900">
        <v>1.3536013116615944</v>
      </c>
      <c r="GE900">
        <v>4.7059413852831762</v>
      </c>
      <c r="GF900">
        <v>11.24987653848773</v>
      </c>
      <c r="GG900">
        <v>13.611435786001557</v>
      </c>
      <c r="GH900">
        <v>11.889917943384667</v>
      </c>
      <c r="GI900">
        <v>11.879535989132094</v>
      </c>
      <c r="GJ900"/>
      <c r="GK900"/>
      <c r="GL900"/>
      <c r="GM900"/>
    </row>
    <row r="901" spans="1:195" s="7" customFormat="1">
      <c r="A901" s="4"/>
      <c r="B901" s="4"/>
      <c r="C901" s="4"/>
      <c r="D901" s="4"/>
      <c r="E901" s="4"/>
      <c r="F901" s="28"/>
      <c r="G901" s="28"/>
      <c r="H901" s="83"/>
      <c r="I901" s="4"/>
      <c r="J901" s="4"/>
      <c r="K901" s="4"/>
      <c r="L901" s="4"/>
      <c r="M901" s="4"/>
      <c r="N901" s="28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81"/>
      <c r="AG901" s="81"/>
      <c r="AH901" s="81"/>
      <c r="AI901" s="4"/>
      <c r="AJ901" s="81"/>
      <c r="AK901" s="81"/>
      <c r="AL901" s="81"/>
      <c r="AM901" s="43">
        <v>885</v>
      </c>
      <c r="AN901">
        <v>83.362841632333925</v>
      </c>
      <c r="AO901">
        <v>11.14980137497685</v>
      </c>
      <c r="AP901">
        <v>117.66317366571232</v>
      </c>
      <c r="AQ901">
        <v>101.76368378582828</v>
      </c>
      <c r="AR901">
        <v>10.596183392891078</v>
      </c>
      <c r="AS901">
        <v>145.71161170225156</v>
      </c>
      <c r="AT901">
        <v>7.5034734019371561</v>
      </c>
      <c r="AU901">
        <v>55.263112636083839</v>
      </c>
      <c r="AV901"/>
      <c r="AW901"/>
      <c r="FY901" s="210">
        <v>896</v>
      </c>
      <c r="FZ901">
        <v>33.027976818451933</v>
      </c>
      <c r="GA901">
        <v>42.106457083033661</v>
      </c>
      <c r="GB901">
        <v>3.8189309666251097</v>
      </c>
      <c r="GC901">
        <v>1.7070201892075483</v>
      </c>
      <c r="GD901">
        <v>1.2296378426414776</v>
      </c>
      <c r="GE901">
        <v>2.4706894731000157</v>
      </c>
      <c r="GF901">
        <v>3.1103174113837153</v>
      </c>
      <c r="GG901">
        <v>8.7215179469307209</v>
      </c>
      <c r="GH901">
        <v>13.59535358134692</v>
      </c>
      <c r="GI901">
        <v>9.2456783501751474</v>
      </c>
      <c r="GJ901"/>
      <c r="GK901"/>
      <c r="GL901"/>
      <c r="GM901"/>
    </row>
    <row r="902" spans="1:195" s="7" customFormat="1">
      <c r="A902" s="4"/>
      <c r="B902" s="4"/>
      <c r="C902" s="4"/>
      <c r="D902" s="4"/>
      <c r="E902" s="4"/>
      <c r="F902" s="28"/>
      <c r="G902" s="28"/>
      <c r="H902" s="83"/>
      <c r="I902" s="4"/>
      <c r="J902" s="4"/>
      <c r="K902" s="4"/>
      <c r="L902" s="4"/>
      <c r="M902" s="4"/>
      <c r="N902" s="28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81"/>
      <c r="AG902" s="81"/>
      <c r="AH902" s="81"/>
      <c r="AI902" s="4"/>
      <c r="AJ902" s="81"/>
      <c r="AK902" s="81"/>
      <c r="AL902" s="81"/>
      <c r="AM902" s="43">
        <v>886</v>
      </c>
      <c r="AN902">
        <v>83.763815349656284</v>
      </c>
      <c r="AO902">
        <v>7.6543689381413174</v>
      </c>
      <c r="AP902">
        <v>72.054976209884217</v>
      </c>
      <c r="AQ902">
        <v>61.310052421363039</v>
      </c>
      <c r="AR902">
        <v>7.4911453936647199</v>
      </c>
      <c r="AS902">
        <v>113.86272640184656</v>
      </c>
      <c r="AT902">
        <v>4.4069905521592538</v>
      </c>
      <c r="AU902">
        <v>13.847532477018254</v>
      </c>
      <c r="AV902"/>
      <c r="AW902"/>
      <c r="FY902" s="210">
        <v>897</v>
      </c>
      <c r="FZ902">
        <v>33.935681966565674</v>
      </c>
      <c r="GA902">
        <v>42.302664744989087</v>
      </c>
      <c r="GB902">
        <v>2.6379161713616601</v>
      </c>
      <c r="GC902">
        <v>0.70532675985979121</v>
      </c>
      <c r="GD902">
        <v>1.0599063246661458</v>
      </c>
      <c r="GE902">
        <v>4.80361377364492</v>
      </c>
      <c r="GF902">
        <v>16.401403871682312</v>
      </c>
      <c r="GG902">
        <v>14.492929371338457</v>
      </c>
      <c r="GH902">
        <v>10.17618771306784</v>
      </c>
      <c r="GI902">
        <v>10.865638896641121</v>
      </c>
      <c r="GJ902"/>
      <c r="GK902"/>
      <c r="GL902"/>
      <c r="GM902"/>
    </row>
    <row r="903" spans="1:195" s="7" customFormat="1">
      <c r="A903" s="4"/>
      <c r="B903" s="4"/>
      <c r="C903" s="4"/>
      <c r="D903" s="4"/>
      <c r="E903" s="4"/>
      <c r="F903" s="28"/>
      <c r="G903" s="28"/>
      <c r="H903" s="83"/>
      <c r="I903" s="4"/>
      <c r="J903" s="4"/>
      <c r="K903" s="4"/>
      <c r="L903" s="4"/>
      <c r="M903" s="4"/>
      <c r="N903" s="28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81"/>
      <c r="AG903" s="81"/>
      <c r="AH903" s="81"/>
      <c r="AI903" s="4"/>
      <c r="AJ903" s="81"/>
      <c r="AK903" s="81"/>
      <c r="AL903" s="81"/>
      <c r="AM903" s="43">
        <v>887</v>
      </c>
      <c r="AN903">
        <v>76.72374246641786</v>
      </c>
      <c r="AO903">
        <v>7.6434355984828084</v>
      </c>
      <c r="AP903">
        <v>75.535028227633987</v>
      </c>
      <c r="AQ903">
        <v>63.915898657297944</v>
      </c>
      <c r="AR903">
        <v>7.8138568364120156</v>
      </c>
      <c r="AS903">
        <v>137.66012217131805</v>
      </c>
      <c r="AT903">
        <v>4.286066266202269</v>
      </c>
      <c r="AU903">
        <v>13.209843358847397</v>
      </c>
      <c r="AV903"/>
      <c r="AW903"/>
      <c r="FY903" s="210">
        <v>898</v>
      </c>
      <c r="FZ903">
        <v>21.958197192715108</v>
      </c>
      <c r="GA903">
        <v>27.955250085962732</v>
      </c>
      <c r="GB903">
        <v>3.7249757785400139</v>
      </c>
      <c r="GC903">
        <v>1.6965697623536187</v>
      </c>
      <c r="GD903">
        <v>0.85573102925829336</v>
      </c>
      <c r="GE903">
        <v>2.3222944343833714</v>
      </c>
      <c r="GF903">
        <v>6.3441343102045842</v>
      </c>
      <c r="GG903">
        <v>7.5181805432603248</v>
      </c>
      <c r="GH903">
        <v>7.8639190153004357</v>
      </c>
      <c r="GI903">
        <v>7.051116611143895</v>
      </c>
      <c r="GJ903"/>
      <c r="GK903"/>
      <c r="GL903"/>
      <c r="GM903"/>
    </row>
    <row r="904" spans="1:195" s="7" customFormat="1">
      <c r="A904" s="4"/>
      <c r="B904" s="4"/>
      <c r="C904" s="4"/>
      <c r="D904" s="4"/>
      <c r="E904" s="4"/>
      <c r="F904" s="28"/>
      <c r="G904" s="28"/>
      <c r="H904" s="83"/>
      <c r="I904" s="4"/>
      <c r="J904" s="4"/>
      <c r="K904" s="4"/>
      <c r="L904" s="4"/>
      <c r="M904" s="4"/>
      <c r="N904" s="28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81"/>
      <c r="AG904" s="81"/>
      <c r="AH904" s="81"/>
      <c r="AI904" s="4"/>
      <c r="AJ904" s="81"/>
      <c r="AK904" s="81"/>
      <c r="AL904" s="81"/>
      <c r="AM904" s="43">
        <v>888</v>
      </c>
      <c r="AN904">
        <v>121.35702683596541</v>
      </c>
      <c r="AO904">
        <v>12.887205563900334</v>
      </c>
      <c r="AP904">
        <v>133.91882230392278</v>
      </c>
      <c r="AQ904">
        <v>114.81713792011998</v>
      </c>
      <c r="AR904">
        <v>12.242760810455609</v>
      </c>
      <c r="AS904">
        <v>176.61052490695951</v>
      </c>
      <c r="AT904">
        <v>8.1597405317612619</v>
      </c>
      <c r="AU904">
        <v>26.540930585138916</v>
      </c>
      <c r="AV904"/>
      <c r="AW904"/>
      <c r="FY904" s="210">
        <v>899</v>
      </c>
      <c r="FZ904">
        <v>25.66424410110988</v>
      </c>
      <c r="GA904">
        <v>27.482510687786608</v>
      </c>
      <c r="GB904">
        <v>2.7566610171015569</v>
      </c>
      <c r="GC904">
        <v>1.4097556461465433</v>
      </c>
      <c r="GD904">
        <v>0.70310890013867122</v>
      </c>
      <c r="GE904">
        <v>2.9945799871428398</v>
      </c>
      <c r="GF904">
        <v>7.7845658906423347</v>
      </c>
      <c r="GG904">
        <v>5.3813383447913345</v>
      </c>
      <c r="GH904">
        <v>4.3339381778764503</v>
      </c>
      <c r="GI904">
        <v>6.9764591297796672</v>
      </c>
      <c r="GJ904"/>
      <c r="GK904"/>
      <c r="GL904"/>
      <c r="GM904"/>
    </row>
    <row r="905" spans="1:195" s="7" customFormat="1">
      <c r="A905" s="4"/>
      <c r="B905" s="4"/>
      <c r="C905" s="4"/>
      <c r="D905" s="4"/>
      <c r="E905" s="4"/>
      <c r="F905" s="28"/>
      <c r="G905" s="28"/>
      <c r="H905" s="83"/>
      <c r="I905" s="4"/>
      <c r="J905" s="4"/>
      <c r="K905" s="4"/>
      <c r="L905" s="4"/>
      <c r="M905" s="4"/>
      <c r="N905" s="28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81"/>
      <c r="AG905" s="81"/>
      <c r="AH905" s="81"/>
      <c r="AI905" s="4"/>
      <c r="AJ905" s="81"/>
      <c r="AK905" s="81"/>
      <c r="AL905" s="81"/>
      <c r="AM905" s="43">
        <v>889</v>
      </c>
      <c r="AN905">
        <v>157.67847251001939</v>
      </c>
      <c r="AO905">
        <v>14.495581282931933</v>
      </c>
      <c r="AP905">
        <v>152.87247599934054</v>
      </c>
      <c r="AQ905">
        <v>129.4975326960689</v>
      </c>
      <c r="AR905">
        <v>13.892091679718218</v>
      </c>
      <c r="AS905">
        <v>219.89256033609644</v>
      </c>
      <c r="AT905">
        <v>8.2011861391853316</v>
      </c>
      <c r="AU905">
        <v>22.512797482493877</v>
      </c>
      <c r="AV905"/>
      <c r="AW905"/>
      <c r="FY905" s="210">
        <v>900</v>
      </c>
      <c r="FZ905">
        <v>24.319261323156329</v>
      </c>
      <c r="GA905">
        <v>29.599852577123478</v>
      </c>
      <c r="GB905">
        <v>3.73986255265614</v>
      </c>
      <c r="GC905">
        <v>1.3652132123561007</v>
      </c>
      <c r="GD905">
        <v>0.47402555165467325</v>
      </c>
      <c r="GE905">
        <v>1.8750834276633168</v>
      </c>
      <c r="GF905">
        <v>3.2427103359907292</v>
      </c>
      <c r="GG905">
        <v>9.1338699484983898</v>
      </c>
      <c r="GH905">
        <v>13.418735136914034</v>
      </c>
      <c r="GI905">
        <v>7.5000349743229924</v>
      </c>
      <c r="GJ905"/>
      <c r="GK905"/>
      <c r="GL905"/>
      <c r="GM905"/>
    </row>
    <row r="906" spans="1:195" s="7" customFormat="1">
      <c r="A906" s="4"/>
      <c r="B906" s="4"/>
      <c r="C906" s="4"/>
      <c r="D906" s="4"/>
      <c r="E906" s="4"/>
      <c r="F906" s="28"/>
      <c r="G906" s="28"/>
      <c r="H906" s="83"/>
      <c r="I906" s="4"/>
      <c r="J906" s="4"/>
      <c r="K906" s="4"/>
      <c r="L906" s="4"/>
      <c r="M906" s="4"/>
      <c r="N906" s="28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81"/>
      <c r="AG906" s="81"/>
      <c r="AH906" s="81"/>
      <c r="AI906" s="4"/>
      <c r="AJ906" s="81"/>
      <c r="AK906" s="81"/>
      <c r="AL906" s="81"/>
      <c r="AM906" s="43">
        <v>890</v>
      </c>
      <c r="AN906">
        <v>177.30099797552214</v>
      </c>
      <c r="AO906">
        <v>15.158860836358309</v>
      </c>
      <c r="AP906">
        <v>154.46075806068376</v>
      </c>
      <c r="AQ906">
        <v>130.61811146510374</v>
      </c>
      <c r="AR906">
        <v>14.340955630115731</v>
      </c>
      <c r="AS906">
        <v>250.85059351466458</v>
      </c>
      <c r="AT906">
        <v>8.784111013826335</v>
      </c>
      <c r="AU906">
        <v>9.3872514417217552</v>
      </c>
      <c r="AV906"/>
      <c r="AW906"/>
      <c r="FY906" s="210">
        <v>901</v>
      </c>
      <c r="FZ906">
        <v>0.94400581761746061</v>
      </c>
      <c r="GA906">
        <v>3.440063000288903</v>
      </c>
      <c r="GB906">
        <v>4.0246385571931143</v>
      </c>
      <c r="GC906">
        <v>1.8666250840619911</v>
      </c>
      <c r="GD906">
        <v>1.2926662561179096</v>
      </c>
      <c r="GE906">
        <v>3.5076602552902574</v>
      </c>
      <c r="GF906">
        <v>7.5116383613241595</v>
      </c>
      <c r="GG906">
        <v>8.9832252859172854</v>
      </c>
      <c r="GH906">
        <v>8.0906859058607168</v>
      </c>
      <c r="GI906">
        <v>4.5253073833421418</v>
      </c>
      <c r="GJ906"/>
      <c r="GK906"/>
      <c r="GL906"/>
      <c r="GM906"/>
    </row>
    <row r="907" spans="1:195" s="7" customFormat="1">
      <c r="A907" s="4"/>
      <c r="B907" s="4"/>
      <c r="C907" s="4"/>
      <c r="D907" s="4"/>
      <c r="E907" s="4"/>
      <c r="F907" s="28"/>
      <c r="G907" s="28"/>
      <c r="H907" s="83"/>
      <c r="I907" s="4"/>
      <c r="J907" s="4"/>
      <c r="K907" s="4"/>
      <c r="L907" s="4"/>
      <c r="M907" s="4"/>
      <c r="N907" s="28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81"/>
      <c r="AG907" s="81"/>
      <c r="AH907" s="81"/>
      <c r="AI907" s="4"/>
      <c r="AJ907" s="81"/>
      <c r="AK907" s="81"/>
      <c r="AL907" s="81"/>
      <c r="AM907" s="43">
        <v>891</v>
      </c>
      <c r="AN907">
        <v>87.898340490250121</v>
      </c>
      <c r="AO907">
        <v>11.166259126556328</v>
      </c>
      <c r="AP907">
        <v>120.16206858367498</v>
      </c>
      <c r="AQ907">
        <v>102.56122674395947</v>
      </c>
      <c r="AR907">
        <v>10.672587695869982</v>
      </c>
      <c r="AS907">
        <v>148.07029992641404</v>
      </c>
      <c r="AT907">
        <v>7.3510764464055756</v>
      </c>
      <c r="AU907">
        <v>5.6052941224836044</v>
      </c>
      <c r="AV907"/>
      <c r="AW907"/>
      <c r="FY907" s="210">
        <v>902</v>
      </c>
      <c r="FZ907">
        <v>22.233109317566189</v>
      </c>
      <c r="GA907">
        <v>29.242249245695351</v>
      </c>
      <c r="GB907">
        <v>2.5922742083522889</v>
      </c>
      <c r="GC907">
        <v>0.60530889393093079</v>
      </c>
      <c r="GD907">
        <v>0.38662646558304192</v>
      </c>
      <c r="GE907">
        <v>2.3090964280494299</v>
      </c>
      <c r="GF907">
        <v>4.7897629697539923</v>
      </c>
      <c r="GG907">
        <v>3.5328583467674131</v>
      </c>
      <c r="GH907">
        <v>5.9170259247750652</v>
      </c>
      <c r="GI907">
        <v>5.9515403763602901</v>
      </c>
      <c r="GJ907"/>
      <c r="GK907"/>
      <c r="GL907"/>
      <c r="GM907"/>
    </row>
    <row r="908" spans="1:195" s="7" customFormat="1">
      <c r="A908" s="4"/>
      <c r="B908" s="4"/>
      <c r="C908" s="4"/>
      <c r="D908" s="4"/>
      <c r="E908" s="4"/>
      <c r="F908" s="28"/>
      <c r="G908" s="28"/>
      <c r="H908" s="83"/>
      <c r="I908" s="4"/>
      <c r="J908" s="4"/>
      <c r="K908" s="4"/>
      <c r="L908" s="4"/>
      <c r="M908" s="4"/>
      <c r="N908" s="28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81"/>
      <c r="AG908" s="81"/>
      <c r="AH908" s="81"/>
      <c r="AI908" s="4"/>
      <c r="AJ908" s="81"/>
      <c r="AK908" s="81"/>
      <c r="AL908" s="81"/>
      <c r="AM908" s="43">
        <v>892</v>
      </c>
      <c r="AN908">
        <v>119.04594363191408</v>
      </c>
      <c r="AO908">
        <v>10.621999745462553</v>
      </c>
      <c r="AP908">
        <v>105.85591225501143</v>
      </c>
      <c r="AQ908">
        <v>90.260788793180126</v>
      </c>
      <c r="AR908">
        <v>10.287739920177874</v>
      </c>
      <c r="AS908">
        <v>163.77921326214314</v>
      </c>
      <c r="AT908">
        <v>6.0074928358666071</v>
      </c>
      <c r="AU908">
        <v>23.556192547825322</v>
      </c>
      <c r="AV908"/>
      <c r="AW908"/>
      <c r="FY908" s="210">
        <v>903</v>
      </c>
      <c r="FZ908">
        <v>42.178314556924867</v>
      </c>
      <c r="GA908">
        <v>51.091585369523472</v>
      </c>
      <c r="GB908">
        <v>1.6538703181647751</v>
      </c>
      <c r="GC908">
        <v>0.76920378375545528</v>
      </c>
      <c r="GD908">
        <v>0.98870370768845817</v>
      </c>
      <c r="GE908">
        <v>2.5140595084537223</v>
      </c>
      <c r="GF908">
        <v>7.4247928285033984</v>
      </c>
      <c r="GG908">
        <v>8.7871494635883565</v>
      </c>
      <c r="GH908">
        <v>7.5267144421979264</v>
      </c>
      <c r="GI908">
        <v>9.7492775138037313</v>
      </c>
      <c r="GJ908"/>
      <c r="GK908"/>
      <c r="GL908"/>
      <c r="GM908"/>
    </row>
    <row r="909" spans="1:195" s="7" customFormat="1">
      <c r="A909" s="4"/>
      <c r="B909" s="4"/>
      <c r="C909" s="4"/>
      <c r="D909" s="4"/>
      <c r="E909" s="4"/>
      <c r="F909" s="28"/>
      <c r="G909" s="28"/>
      <c r="H909" s="83"/>
      <c r="I909" s="4"/>
      <c r="J909" s="4"/>
      <c r="K909" s="4"/>
      <c r="L909" s="4"/>
      <c r="M909" s="4"/>
      <c r="N909" s="28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81"/>
      <c r="AG909" s="81"/>
      <c r="AH909" s="81"/>
      <c r="AI909" s="4"/>
      <c r="AJ909" s="81"/>
      <c r="AK909" s="81"/>
      <c r="AL909" s="81"/>
      <c r="AM909" s="43">
        <v>893</v>
      </c>
      <c r="AN909">
        <v>96.27551154449273</v>
      </c>
      <c r="AO909">
        <v>7.3742738333952644</v>
      </c>
      <c r="AP909">
        <v>71.791667473626802</v>
      </c>
      <c r="AQ909">
        <v>59.703524466521543</v>
      </c>
      <c r="AR909">
        <v>7.2563527619213577</v>
      </c>
      <c r="AS909">
        <v>124.14536497636433</v>
      </c>
      <c r="AT909">
        <v>4.4647211301202754</v>
      </c>
      <c r="AU909">
        <v>-21.053809333626305</v>
      </c>
      <c r="AV909"/>
      <c r="AW909"/>
      <c r="FY909" s="210">
        <v>904</v>
      </c>
      <c r="FZ909">
        <v>11.211961806716607</v>
      </c>
      <c r="GA909">
        <v>15.18616522583438</v>
      </c>
      <c r="GB909">
        <v>3.1886706046114908</v>
      </c>
      <c r="GC909">
        <v>1.5397166458347034</v>
      </c>
      <c r="GD909">
        <v>1.7403232214410318</v>
      </c>
      <c r="GE909">
        <v>5.1717631018867136</v>
      </c>
      <c r="GF909">
        <v>6.0891862714153318</v>
      </c>
      <c r="GG909">
        <v>7.1737757783573439</v>
      </c>
      <c r="GH909">
        <v>9.729662349121563</v>
      </c>
      <c r="GI909">
        <v>6.1026805270242948</v>
      </c>
      <c r="GJ909"/>
      <c r="GK909"/>
      <c r="GL909"/>
      <c r="GM909"/>
    </row>
    <row r="910" spans="1:195" s="7" customFormat="1">
      <c r="A910" s="4"/>
      <c r="B910" s="4"/>
      <c r="C910" s="4"/>
      <c r="D910" s="4"/>
      <c r="E910" s="4"/>
      <c r="F910" s="28"/>
      <c r="G910" s="28"/>
      <c r="H910" s="83"/>
      <c r="I910" s="4"/>
      <c r="J910" s="4"/>
      <c r="K910" s="4"/>
      <c r="L910" s="4"/>
      <c r="M910" s="4"/>
      <c r="N910" s="28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81"/>
      <c r="AG910" s="81"/>
      <c r="AH910" s="81"/>
      <c r="AI910" s="4"/>
      <c r="AJ910" s="81"/>
      <c r="AK910" s="81"/>
      <c r="AL910" s="81"/>
      <c r="AM910" s="43">
        <v>894</v>
      </c>
      <c r="AN910">
        <v>76.299094281775481</v>
      </c>
      <c r="AO910">
        <v>4.6498470677232149</v>
      </c>
      <c r="AP910">
        <v>44.177021108313184</v>
      </c>
      <c r="AQ910">
        <v>35.43438161956233</v>
      </c>
      <c r="AR910">
        <v>4.7862209056252176</v>
      </c>
      <c r="AS910">
        <v>95.63633296851782</v>
      </c>
      <c r="AT910">
        <v>2.7054975921773115</v>
      </c>
      <c r="AU910">
        <v>8.1916108299476349</v>
      </c>
      <c r="AV910"/>
      <c r="AW910"/>
      <c r="FY910" s="210">
        <v>905</v>
      </c>
      <c r="FZ910">
        <v>11.739763243485061</v>
      </c>
      <c r="GA910">
        <v>15.6349007918833</v>
      </c>
      <c r="GB910">
        <v>2.640909387969709</v>
      </c>
      <c r="GC910">
        <v>1.0549589171597991</v>
      </c>
      <c r="GD910">
        <v>0.81809823676428661</v>
      </c>
      <c r="GE910">
        <v>2.7711033315988813</v>
      </c>
      <c r="GF910">
        <v>7.6180899518645671</v>
      </c>
      <c r="GG910">
        <v>6.8855566099738956</v>
      </c>
      <c r="GH910">
        <v>5.9141645165583423</v>
      </c>
      <c r="GI910">
        <v>5.1824159505218317</v>
      </c>
      <c r="GJ910"/>
      <c r="GK910"/>
      <c r="GL910"/>
      <c r="GM910"/>
    </row>
    <row r="911" spans="1:195" s="7" customFormat="1">
      <c r="A911" s="4"/>
      <c r="B911" s="4"/>
      <c r="C911" s="4"/>
      <c r="D911" s="4"/>
      <c r="E911" s="4"/>
      <c r="F911" s="28"/>
      <c r="G911" s="28"/>
      <c r="H911" s="83"/>
      <c r="I911" s="4"/>
      <c r="J911" s="4"/>
      <c r="K911" s="4"/>
      <c r="L911" s="4"/>
      <c r="M911" s="4"/>
      <c r="N911" s="28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81"/>
      <c r="AG911" s="81"/>
      <c r="AH911" s="81"/>
      <c r="AI911" s="4"/>
      <c r="AJ911" s="81"/>
      <c r="AK911" s="81"/>
      <c r="AL911" s="81"/>
      <c r="AM911" s="43">
        <v>895</v>
      </c>
      <c r="AN911">
        <v>170.30431888713744</v>
      </c>
      <c r="AO911">
        <v>17.468884978080101</v>
      </c>
      <c r="AP911">
        <v>179.45135525402563</v>
      </c>
      <c r="AQ911">
        <v>154.58609642370868</v>
      </c>
      <c r="AR911">
        <v>16.433014978467053</v>
      </c>
      <c r="AS911">
        <v>276.67226033353978</v>
      </c>
      <c r="AT911">
        <v>10.335086409713831</v>
      </c>
      <c r="AU911">
        <v>79.107690306546303</v>
      </c>
      <c r="AV911"/>
      <c r="AW911"/>
      <c r="FY911" s="210">
        <v>906</v>
      </c>
      <c r="FZ911">
        <v>33.077498858321029</v>
      </c>
      <c r="GA911">
        <v>40.726688806218121</v>
      </c>
      <c r="GB911">
        <v>3.0838745447325069</v>
      </c>
      <c r="GC911">
        <v>1.4159581290361967</v>
      </c>
      <c r="GD911">
        <v>0.93831597298002678</v>
      </c>
      <c r="GE911">
        <v>1.9380093023216491</v>
      </c>
      <c r="GF911">
        <v>7.0380775907695261</v>
      </c>
      <c r="GG911">
        <v>9.9172598800218648</v>
      </c>
      <c r="GH911">
        <v>10.128616794440433</v>
      </c>
      <c r="GI911">
        <v>9.068801624445884</v>
      </c>
      <c r="GJ911"/>
      <c r="GK911"/>
      <c r="GL911"/>
      <c r="GM911"/>
    </row>
    <row r="912" spans="1:195" s="7" customFormat="1">
      <c r="A912" s="4"/>
      <c r="B912" s="4"/>
      <c r="C912" s="4"/>
      <c r="D912" s="4"/>
      <c r="E912" s="4"/>
      <c r="F912" s="28"/>
      <c r="G912" s="28"/>
      <c r="H912" s="83"/>
      <c r="I912" s="4"/>
      <c r="J912" s="4"/>
      <c r="K912" s="4"/>
      <c r="L912" s="4"/>
      <c r="M912" s="4"/>
      <c r="N912" s="28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81"/>
      <c r="AG912" s="81"/>
      <c r="AH912" s="81"/>
      <c r="AI912" s="4"/>
      <c r="AJ912" s="81"/>
      <c r="AK912" s="81"/>
      <c r="AL912" s="81"/>
      <c r="AM912" s="43">
        <v>896</v>
      </c>
      <c r="AN912">
        <v>136.05613672017847</v>
      </c>
      <c r="AO912">
        <v>13.481240445736933</v>
      </c>
      <c r="AP912">
        <v>139.05031816777696</v>
      </c>
      <c r="AQ912">
        <v>119.03357966289624</v>
      </c>
      <c r="AR912">
        <v>12.862094656933419</v>
      </c>
      <c r="AS912">
        <v>168.55675770236044</v>
      </c>
      <c r="AT912">
        <v>8.0316662175351823</v>
      </c>
      <c r="AU912">
        <v>72.673842769565695</v>
      </c>
      <c r="AV912"/>
      <c r="AW912"/>
      <c r="FY912" s="210">
        <v>907</v>
      </c>
      <c r="FZ912">
        <v>14.601871833606861</v>
      </c>
      <c r="GA912">
        <v>16.69369492873135</v>
      </c>
      <c r="GB912">
        <v>3.8728333350642052</v>
      </c>
      <c r="GC912">
        <v>1.3748259423321527</v>
      </c>
      <c r="GD912">
        <v>0.95966384965148654</v>
      </c>
      <c r="GE912">
        <v>3.3716922462122172</v>
      </c>
      <c r="GF912">
        <v>9.62218974255509</v>
      </c>
      <c r="GG912">
        <v>10.368127996514671</v>
      </c>
      <c r="GH912">
        <v>8.0300599337747904</v>
      </c>
      <c r="GI912">
        <v>6.6958790517738338</v>
      </c>
      <c r="GJ912"/>
      <c r="GK912"/>
      <c r="GL912"/>
      <c r="GM912"/>
    </row>
    <row r="913" spans="1:195" s="7" customFormat="1">
      <c r="A913" s="4"/>
      <c r="B913" s="4"/>
      <c r="C913" s="4"/>
      <c r="D913" s="4"/>
      <c r="E913" s="4"/>
      <c r="F913" s="28"/>
      <c r="G913" s="28"/>
      <c r="H913" s="83"/>
      <c r="I913" s="4"/>
      <c r="J913" s="4"/>
      <c r="K913" s="4"/>
      <c r="L913" s="4"/>
      <c r="M913" s="4"/>
      <c r="N913" s="28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81"/>
      <c r="AG913" s="81"/>
      <c r="AH913" s="81"/>
      <c r="AI913" s="4"/>
      <c r="AJ913" s="81"/>
      <c r="AK913" s="81"/>
      <c r="AL913" s="81"/>
      <c r="AM913" s="43">
        <v>897</v>
      </c>
      <c r="AN913">
        <v>176.96771061571076</v>
      </c>
      <c r="AO913">
        <v>15.786800265978973</v>
      </c>
      <c r="AP913">
        <v>162.49486148649072</v>
      </c>
      <c r="AQ913">
        <v>137.38126959381702</v>
      </c>
      <c r="AR913">
        <v>14.930721027595078</v>
      </c>
      <c r="AS913">
        <v>269.49418164562883</v>
      </c>
      <c r="AT913">
        <v>9.1024765717226241</v>
      </c>
      <c r="AU913">
        <v>23.669230623874043</v>
      </c>
      <c r="AV913"/>
      <c r="AW913"/>
      <c r="FY913" s="210">
        <v>908</v>
      </c>
      <c r="FZ913">
        <v>14.176123760342016</v>
      </c>
      <c r="GA913">
        <v>15.093694884298221</v>
      </c>
      <c r="GB913">
        <v>2.5353333040941717</v>
      </c>
      <c r="GC913">
        <v>0.95745904280093541</v>
      </c>
      <c r="GD913">
        <v>0.72876036362989649</v>
      </c>
      <c r="GE913">
        <v>1.597081512513514</v>
      </c>
      <c r="GF913">
        <v>7.7230748765271473</v>
      </c>
      <c r="GG913">
        <v>11.606085992237654</v>
      </c>
      <c r="GH913">
        <v>9.6939249635314031</v>
      </c>
      <c r="GI913">
        <v>6.0814331401593575</v>
      </c>
      <c r="GJ913"/>
      <c r="GK913"/>
      <c r="GL913"/>
      <c r="GM913"/>
    </row>
    <row r="914" spans="1:195" s="7" customFormat="1">
      <c r="A914" s="4"/>
      <c r="B914" s="4"/>
      <c r="C914" s="4"/>
      <c r="D914" s="4"/>
      <c r="E914" s="4"/>
      <c r="F914" s="28"/>
      <c r="G914" s="28"/>
      <c r="H914" s="83"/>
      <c r="I914" s="4"/>
      <c r="J914" s="4"/>
      <c r="K914" s="4"/>
      <c r="L914" s="4"/>
      <c r="M914" s="4"/>
      <c r="N914" s="28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81"/>
      <c r="AG914" s="81"/>
      <c r="AH914" s="81"/>
      <c r="AI914" s="4"/>
      <c r="AJ914" s="81"/>
      <c r="AK914" s="81"/>
      <c r="AL914" s="81"/>
      <c r="AM914" s="43">
        <v>898</v>
      </c>
      <c r="AN914">
        <v>113.16169077047402</v>
      </c>
      <c r="AO914">
        <v>10.226934663069121</v>
      </c>
      <c r="AP914">
        <v>103.04533979328968</v>
      </c>
      <c r="AQ914">
        <v>87.290368763122387</v>
      </c>
      <c r="AR914">
        <v>9.7677125301598835</v>
      </c>
      <c r="AS914">
        <v>191.65899733783402</v>
      </c>
      <c r="AT914">
        <v>6.116319253708002</v>
      </c>
      <c r="AU914">
        <v>26.586045100602263</v>
      </c>
      <c r="AV914"/>
      <c r="AW914"/>
      <c r="FY914" s="210">
        <v>909</v>
      </c>
      <c r="FZ914">
        <v>2.7150680891355572</v>
      </c>
      <c r="GA914">
        <v>2.8816472882578426</v>
      </c>
      <c r="GB914">
        <v>2.8061258341976862</v>
      </c>
      <c r="GC914">
        <v>1.3401423180782341</v>
      </c>
      <c r="GD914">
        <v>1.3192656399499323</v>
      </c>
      <c r="GE914">
        <v>3.6382735635956425</v>
      </c>
      <c r="GF914">
        <v>5.7372565204978025</v>
      </c>
      <c r="GG914">
        <v>4.9612059607066286</v>
      </c>
      <c r="GH914">
        <v>6.3714583963943063</v>
      </c>
      <c r="GI914">
        <v>3.9076983934273475</v>
      </c>
      <c r="GJ914"/>
      <c r="GK914"/>
      <c r="GL914"/>
      <c r="GM914"/>
    </row>
    <row r="915" spans="1:195" s="7" customFormat="1">
      <c r="A915" s="4"/>
      <c r="B915" s="4"/>
      <c r="C915" s="4"/>
      <c r="D915" s="4"/>
      <c r="E915" s="4"/>
      <c r="F915" s="28"/>
      <c r="G915" s="28"/>
      <c r="H915" s="83"/>
      <c r="I915" s="4"/>
      <c r="J915" s="4"/>
      <c r="K915" s="4"/>
      <c r="L915" s="4"/>
      <c r="M915" s="4"/>
      <c r="N915" s="28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81"/>
      <c r="AG915" s="81"/>
      <c r="AH915" s="81"/>
      <c r="AI915" s="4"/>
      <c r="AJ915" s="81"/>
      <c r="AK915" s="81"/>
      <c r="AL915" s="81"/>
      <c r="AM915" s="43">
        <v>899</v>
      </c>
      <c r="AN915">
        <v>104.87986488104691</v>
      </c>
      <c r="AO915">
        <v>9.8720204937061702</v>
      </c>
      <c r="AP915">
        <v>99.655001474725452</v>
      </c>
      <c r="AQ915">
        <v>85.487161882515892</v>
      </c>
      <c r="AR915">
        <v>9.5860940234739207</v>
      </c>
      <c r="AS915">
        <v>152.81356463225993</v>
      </c>
      <c r="AT915">
        <v>5.9484980896045947</v>
      </c>
      <c r="AU915">
        <v>23.321532713743402</v>
      </c>
      <c r="AV915"/>
      <c r="AW915"/>
      <c r="FY915" s="210">
        <v>910</v>
      </c>
      <c r="FZ915">
        <v>35.96200372099333</v>
      </c>
      <c r="GA915">
        <v>39.140597045954628</v>
      </c>
      <c r="GB915">
        <v>2.3135517770570995</v>
      </c>
      <c r="GC915">
        <v>1.2653992889418755</v>
      </c>
      <c r="GD915">
        <v>0.87008398198503345</v>
      </c>
      <c r="GE915">
        <v>1.9822426525243491</v>
      </c>
      <c r="GF915">
        <v>5.1428082235324855</v>
      </c>
      <c r="GG915">
        <v>8.2652460306314346</v>
      </c>
      <c r="GH915">
        <v>8.3804906578262592</v>
      </c>
      <c r="GI915">
        <v>8.6397379072531013</v>
      </c>
      <c r="GJ915"/>
      <c r="GK915"/>
      <c r="GL915"/>
      <c r="GM915"/>
    </row>
    <row r="916" spans="1:195" s="7" customFormat="1">
      <c r="A916" s="4"/>
      <c r="B916" s="4"/>
      <c r="C916" s="4"/>
      <c r="D916" s="4"/>
      <c r="E916" s="4"/>
      <c r="F916" s="28"/>
      <c r="G916" s="28"/>
      <c r="H916" s="83"/>
      <c r="I916" s="4"/>
      <c r="J916" s="4"/>
      <c r="K916" s="4"/>
      <c r="L916" s="4"/>
      <c r="M916" s="4"/>
      <c r="N916" s="28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81"/>
      <c r="AG916" s="81"/>
      <c r="AH916" s="81"/>
      <c r="AI916" s="4"/>
      <c r="AJ916" s="81"/>
      <c r="AK916" s="81"/>
      <c r="AL916" s="81"/>
      <c r="AM916" s="43">
        <v>900</v>
      </c>
      <c r="AN916">
        <v>118.19034359980461</v>
      </c>
      <c r="AO916">
        <v>10.798621338666388</v>
      </c>
      <c r="AP916">
        <v>112.31800373168382</v>
      </c>
      <c r="AQ916">
        <v>94.668649040336192</v>
      </c>
      <c r="AR916">
        <v>10.378562898649387</v>
      </c>
      <c r="AS916">
        <v>161.03385387653699</v>
      </c>
      <c r="AT916">
        <v>6.2872180466523666</v>
      </c>
      <c r="AU916">
        <v>49.983479996590169</v>
      </c>
      <c r="AV916"/>
      <c r="AW916"/>
      <c r="FY916" s="210">
        <v>911</v>
      </c>
      <c r="FZ916">
        <v>32.131307914776762</v>
      </c>
      <c r="GA916">
        <v>39.498076292058279</v>
      </c>
      <c r="GB916">
        <v>2.2681337547558127</v>
      </c>
      <c r="GC916">
        <v>0.88464548476199667</v>
      </c>
      <c r="GD916">
        <v>1.0351816255944051</v>
      </c>
      <c r="GE916">
        <v>2.2593994022221544</v>
      </c>
      <c r="GF916">
        <v>11.091351940890313</v>
      </c>
      <c r="GG916">
        <v>11.024696824530238</v>
      </c>
      <c r="GH916">
        <v>6.9315339180667035</v>
      </c>
      <c r="GI916">
        <v>9.0203326834032467</v>
      </c>
      <c r="GJ916"/>
      <c r="GK916"/>
      <c r="GL916"/>
      <c r="GM916"/>
    </row>
    <row r="917" spans="1:195" s="7" customFormat="1">
      <c r="A917" s="4"/>
      <c r="B917" s="4"/>
      <c r="C917" s="4"/>
      <c r="D917" s="4"/>
      <c r="E917" s="4"/>
      <c r="F917" s="28"/>
      <c r="G917" s="28"/>
      <c r="H917" s="83"/>
      <c r="I917" s="4"/>
      <c r="J917" s="4"/>
      <c r="K917" s="4"/>
      <c r="L917" s="4"/>
      <c r="M917" s="4"/>
      <c r="N917" s="28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81"/>
      <c r="AG917" s="81"/>
      <c r="AH917" s="81"/>
      <c r="AI917" s="4"/>
      <c r="AJ917" s="81"/>
      <c r="AK917" s="81"/>
      <c r="AL917" s="81"/>
      <c r="AM917" s="43">
        <v>901</v>
      </c>
      <c r="AN917">
        <v>120.26919020705422</v>
      </c>
      <c r="AO917">
        <v>6.4948420274088692</v>
      </c>
      <c r="AP917">
        <v>53.502981330694766</v>
      </c>
      <c r="AQ917">
        <v>44.186515907013941</v>
      </c>
      <c r="AR917">
        <v>6.1676507475622762</v>
      </c>
      <c r="AS917">
        <v>130.89404363718978</v>
      </c>
      <c r="AT917">
        <v>3.6745500628997498</v>
      </c>
      <c r="AU917">
        <v>13.001253530117356</v>
      </c>
      <c r="AV917"/>
      <c r="AW917"/>
      <c r="FY917" s="210">
        <v>912</v>
      </c>
      <c r="FZ917">
        <v>1.3252927660810034</v>
      </c>
      <c r="GA917">
        <v>3.665041630068349</v>
      </c>
      <c r="GB917">
        <v>2.865475713927395</v>
      </c>
      <c r="GC917">
        <v>1.1765742355042754</v>
      </c>
      <c r="GD917">
        <v>1.5073811199949581</v>
      </c>
      <c r="GE917">
        <v>3.2879130881982501</v>
      </c>
      <c r="GF917">
        <v>5.4209540164311081</v>
      </c>
      <c r="GG917">
        <v>6.0983399698780305</v>
      </c>
      <c r="GH917">
        <v>8.3587397031239004</v>
      </c>
      <c r="GI917">
        <v>4.0907093684096019</v>
      </c>
      <c r="GJ917"/>
      <c r="GK917"/>
      <c r="GL917"/>
      <c r="GM917"/>
    </row>
    <row r="918" spans="1:195" s="7" customFormat="1">
      <c r="A918" s="4"/>
      <c r="B918" s="4"/>
      <c r="C918" s="4"/>
      <c r="D918" s="4"/>
      <c r="E918" s="4"/>
      <c r="F918" s="28"/>
      <c r="G918" s="28"/>
      <c r="H918" s="83"/>
      <c r="I918" s="4"/>
      <c r="J918" s="4"/>
      <c r="K918" s="4"/>
      <c r="L918" s="4"/>
      <c r="M918" s="4"/>
      <c r="N918" s="28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81"/>
      <c r="AG918" s="81"/>
      <c r="AH918" s="81"/>
      <c r="AI918" s="4"/>
      <c r="AJ918" s="81"/>
      <c r="AK918" s="81"/>
      <c r="AL918" s="81"/>
      <c r="AM918" s="43">
        <v>902</v>
      </c>
      <c r="AN918">
        <v>87.67180980203716</v>
      </c>
      <c r="AO918">
        <v>8.5664736009358169</v>
      </c>
      <c r="AP918">
        <v>91.630901975931678</v>
      </c>
      <c r="AQ918">
        <v>77.559852176833985</v>
      </c>
      <c r="AR918">
        <v>8.2061103660103552</v>
      </c>
      <c r="AS918">
        <v>111.75538595165973</v>
      </c>
      <c r="AT918">
        <v>5.6227318759221312</v>
      </c>
      <c r="AU918">
        <v>14.318333430414256</v>
      </c>
      <c r="AV918"/>
      <c r="AW918"/>
      <c r="FY918" s="210">
        <v>913</v>
      </c>
      <c r="FZ918">
        <v>11.047990649613254</v>
      </c>
      <c r="GA918">
        <v>14.202258760589437</v>
      </c>
      <c r="GB918">
        <v>2.6839220314164201</v>
      </c>
      <c r="GC918">
        <v>1.5047697242488047</v>
      </c>
      <c r="GD918">
        <v>1.1234795552012355</v>
      </c>
      <c r="GE918">
        <v>4.0560283446675349</v>
      </c>
      <c r="GF918">
        <v>6.1350437139673115</v>
      </c>
      <c r="GG918">
        <v>4.802189060809499</v>
      </c>
      <c r="GH918">
        <v>6.5062763397468313</v>
      </c>
      <c r="GI918">
        <v>5.0805463706742024</v>
      </c>
      <c r="GJ918"/>
      <c r="GK918"/>
      <c r="GL918"/>
      <c r="GM918"/>
    </row>
    <row r="919" spans="1:195" s="7" customFormat="1">
      <c r="A919" s="4"/>
      <c r="B919" s="4"/>
      <c r="C919" s="4"/>
      <c r="D919" s="4"/>
      <c r="E919" s="4"/>
      <c r="F919" s="28"/>
      <c r="G919" s="28"/>
      <c r="H919" s="83"/>
      <c r="I919" s="4"/>
      <c r="J919" s="4"/>
      <c r="K919" s="4"/>
      <c r="L919" s="4"/>
      <c r="M919" s="4"/>
      <c r="N919" s="28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81"/>
      <c r="AG919" s="81"/>
      <c r="AH919" s="81"/>
      <c r="AI919" s="4"/>
      <c r="AJ919" s="81"/>
      <c r="AK919" s="81"/>
      <c r="AL919" s="81"/>
      <c r="AM919" s="43">
        <v>903</v>
      </c>
      <c r="AN919">
        <v>113.43615589102016</v>
      </c>
      <c r="AO919">
        <v>14.446543055850857</v>
      </c>
      <c r="AP919">
        <v>153.94487631738883</v>
      </c>
      <c r="AQ919">
        <v>132.68367149260419</v>
      </c>
      <c r="AR919">
        <v>13.598019524382707</v>
      </c>
      <c r="AS919">
        <v>174.86280660010121</v>
      </c>
      <c r="AT919">
        <v>9.3781953216669862</v>
      </c>
      <c r="AU919">
        <v>22.364996102653986</v>
      </c>
      <c r="AV919"/>
      <c r="AW919"/>
      <c r="FY919" s="210">
        <v>914</v>
      </c>
      <c r="FZ919">
        <v>13.221765609072461</v>
      </c>
      <c r="GA919">
        <v>15.090553407002712</v>
      </c>
      <c r="GB919">
        <v>1.7851863935771233</v>
      </c>
      <c r="GC919">
        <v>0.91510514969413137</v>
      </c>
      <c r="GD919">
        <v>1.4239440358868771</v>
      </c>
      <c r="GE919">
        <v>3.9981161846220274</v>
      </c>
      <c r="GF919">
        <v>7.222321320581127</v>
      </c>
      <c r="GG919">
        <v>8.4620651375362534</v>
      </c>
      <c r="GH919">
        <v>10.667884673255724</v>
      </c>
      <c r="GI919">
        <v>6.2381796902884981</v>
      </c>
      <c r="GJ919"/>
      <c r="GK919"/>
      <c r="GL919"/>
      <c r="GM919"/>
    </row>
    <row r="920" spans="1:195" s="7" customFormat="1">
      <c r="A920" s="4"/>
      <c r="B920" s="4"/>
      <c r="C920" s="4"/>
      <c r="D920" s="4"/>
      <c r="E920" s="4"/>
      <c r="F920" s="28"/>
      <c r="G920" s="28"/>
      <c r="H920" s="83"/>
      <c r="I920" s="4"/>
      <c r="J920" s="4"/>
      <c r="K920" s="4"/>
      <c r="L920" s="4"/>
      <c r="M920" s="4"/>
      <c r="N920" s="28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81"/>
      <c r="AG920" s="81"/>
      <c r="AH920" s="81"/>
      <c r="AI920" s="4"/>
      <c r="AJ920" s="81"/>
      <c r="AK920" s="81"/>
      <c r="AL920" s="81"/>
      <c r="AM920" s="43">
        <v>904</v>
      </c>
      <c r="AN920">
        <v>127.23165534870441</v>
      </c>
      <c r="AO920">
        <v>8.8014575249203038</v>
      </c>
      <c r="AP920">
        <v>77.683380004417359</v>
      </c>
      <c r="AQ920">
        <v>67.13390553224346</v>
      </c>
      <c r="AR920">
        <v>8.3320725533322211</v>
      </c>
      <c r="AS920">
        <v>152.56644727235832</v>
      </c>
      <c r="AT920">
        <v>4.7862521017557098</v>
      </c>
      <c r="AU920">
        <v>14.232890293548179</v>
      </c>
      <c r="AV920"/>
      <c r="AW920"/>
      <c r="FY920" s="210">
        <v>915</v>
      </c>
      <c r="FZ920">
        <v>24.191910834042634</v>
      </c>
      <c r="GA920">
        <v>30.139138948442781</v>
      </c>
      <c r="GB920">
        <v>5.4917826829717553</v>
      </c>
      <c r="GC920">
        <v>2.1196788109855209</v>
      </c>
      <c r="GD920">
        <v>0.79325093136602398</v>
      </c>
      <c r="GE920">
        <v>3.6565946825802556</v>
      </c>
      <c r="GF920">
        <v>4.2240104195276658</v>
      </c>
      <c r="GG920">
        <v>1.9899515624440192</v>
      </c>
      <c r="GH920">
        <v>5.3240532035439347</v>
      </c>
      <c r="GI920">
        <v>7.0110445759013382</v>
      </c>
      <c r="GJ920"/>
      <c r="GK920"/>
      <c r="GL920"/>
      <c r="GM920"/>
    </row>
    <row r="921" spans="1:195" s="7" customFormat="1">
      <c r="A921" s="4"/>
      <c r="B921" s="4"/>
      <c r="C921" s="4"/>
      <c r="D921" s="4"/>
      <c r="E921" s="4"/>
      <c r="F921" s="28"/>
      <c r="G921" s="28"/>
      <c r="H921" s="83"/>
      <c r="I921" s="4"/>
      <c r="J921" s="4"/>
      <c r="K921" s="4"/>
      <c r="L921" s="4"/>
      <c r="M921" s="4"/>
      <c r="N921" s="28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81"/>
      <c r="AG921" s="81"/>
      <c r="AH921" s="81"/>
      <c r="AI921" s="4"/>
      <c r="AJ921" s="81"/>
      <c r="AK921" s="81"/>
      <c r="AL921" s="81"/>
      <c r="AM921" s="43">
        <v>905</v>
      </c>
      <c r="AN921">
        <v>96.245475397653564</v>
      </c>
      <c r="AO921">
        <v>7.4337313125654392</v>
      </c>
      <c r="AP921">
        <v>71.847364362806289</v>
      </c>
      <c r="AQ921">
        <v>60.259960937779674</v>
      </c>
      <c r="AR921">
        <v>7.1261582069736491</v>
      </c>
      <c r="AS921">
        <v>115.78335300410073</v>
      </c>
      <c r="AT921">
        <v>4.0401089270130957</v>
      </c>
      <c r="AU921">
        <v>8.7826883222617553</v>
      </c>
      <c r="AV921"/>
      <c r="AW921"/>
      <c r="FY921" s="210">
        <v>916</v>
      </c>
      <c r="FZ921">
        <v>23.915626893887058</v>
      </c>
      <c r="GA921">
        <v>27.579461537904677</v>
      </c>
      <c r="GB921">
        <v>3.208895812643056</v>
      </c>
      <c r="GC921">
        <v>1.4927109885911365</v>
      </c>
      <c r="GD921">
        <v>0.91778749397063897</v>
      </c>
      <c r="GE921">
        <v>3.1437502714899233</v>
      </c>
      <c r="GF921">
        <v>5.4291135165497764</v>
      </c>
      <c r="GG921">
        <v>4.6430057156358204</v>
      </c>
      <c r="GH921">
        <v>5.2364183425458322</v>
      </c>
      <c r="GI921">
        <v>6.6707435883372135</v>
      </c>
      <c r="GJ921"/>
      <c r="GK921"/>
      <c r="GL921"/>
      <c r="GM921"/>
    </row>
    <row r="922" spans="1:195" s="7" customFormat="1">
      <c r="A922" s="4"/>
      <c r="B922" s="4"/>
      <c r="C922" s="4"/>
      <c r="D922" s="4"/>
      <c r="E922" s="4"/>
      <c r="F922" s="28"/>
      <c r="G922" s="28"/>
      <c r="H922" s="83"/>
      <c r="I922" s="4"/>
      <c r="J922" s="4"/>
      <c r="K922" s="4"/>
      <c r="L922" s="4"/>
      <c r="M922" s="4"/>
      <c r="N922" s="28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81"/>
      <c r="AG922" s="81"/>
      <c r="AH922" s="81"/>
      <c r="AI922" s="4"/>
      <c r="AJ922" s="81"/>
      <c r="AK922" s="81"/>
      <c r="AL922" s="81"/>
      <c r="AM922" s="43">
        <v>906</v>
      </c>
      <c r="AN922">
        <v>130.59564491991472</v>
      </c>
      <c r="AO922">
        <v>13.199052836273614</v>
      </c>
      <c r="AP922">
        <v>137.97894327244254</v>
      </c>
      <c r="AQ922">
        <v>117.33310150328722</v>
      </c>
      <c r="AR922">
        <v>12.632261892996542</v>
      </c>
      <c r="AS922">
        <v>204.04554057929164</v>
      </c>
      <c r="AT922">
        <v>7.4772335570309982</v>
      </c>
      <c r="AU922">
        <v>22.363148300485065</v>
      </c>
      <c r="AV922"/>
      <c r="AW922"/>
      <c r="FY922" s="210">
        <v>917</v>
      </c>
      <c r="FZ922">
        <v>32.371578483369618</v>
      </c>
      <c r="GA922">
        <v>39.736851418362455</v>
      </c>
      <c r="GB922">
        <v>2.0486694819965781</v>
      </c>
      <c r="GC922">
        <v>0.66989406046564892</v>
      </c>
      <c r="GD922">
        <v>0.41415946349693705</v>
      </c>
      <c r="GE922">
        <v>1.1935629083434049</v>
      </c>
      <c r="GF922">
        <v>5.7263765859214031</v>
      </c>
      <c r="GG922">
        <v>9.1707312486306289</v>
      </c>
      <c r="GH922">
        <v>8.3316011217939785</v>
      </c>
      <c r="GI922">
        <v>7.8894281056846332</v>
      </c>
      <c r="GJ922"/>
      <c r="GK922"/>
      <c r="GL922"/>
      <c r="GM922"/>
    </row>
    <row r="923" spans="1:195" s="7" customFormat="1">
      <c r="A923" s="4"/>
      <c r="B923" s="4"/>
      <c r="C923" s="4"/>
      <c r="D923" s="4"/>
      <c r="E923" s="4"/>
      <c r="F923" s="28"/>
      <c r="G923" s="28"/>
      <c r="H923" s="83"/>
      <c r="I923" s="4"/>
      <c r="J923" s="4"/>
      <c r="K923" s="4"/>
      <c r="L923" s="4"/>
      <c r="M923" s="4"/>
      <c r="N923" s="28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81"/>
      <c r="AG923" s="81"/>
      <c r="AH923" s="81"/>
      <c r="AI923" s="4"/>
      <c r="AJ923" s="81"/>
      <c r="AK923" s="81"/>
      <c r="AL923" s="81"/>
      <c r="AM923" s="43">
        <v>907</v>
      </c>
      <c r="AN923">
        <v>119.34518150373506</v>
      </c>
      <c r="AO923">
        <v>9.476390744088059</v>
      </c>
      <c r="AP923">
        <v>90.52594169589662</v>
      </c>
      <c r="AQ923">
        <v>75.590838860216664</v>
      </c>
      <c r="AR923">
        <v>9.207694066954021</v>
      </c>
      <c r="AS923">
        <v>187.42370182616901</v>
      </c>
      <c r="AT923">
        <v>5.5819552899054683</v>
      </c>
      <c r="AU923">
        <v>5.3781412964969988</v>
      </c>
      <c r="AV923"/>
      <c r="AW923"/>
      <c r="FY923" s="210">
        <v>918</v>
      </c>
      <c r="FZ923">
        <v>11.003913831645018</v>
      </c>
      <c r="GA923">
        <v>14.805065951468785</v>
      </c>
      <c r="GB923">
        <v>3.3689564871223494</v>
      </c>
      <c r="GC923">
        <v>1.5367167557023533</v>
      </c>
      <c r="GD923">
        <v>1.2289959161305504</v>
      </c>
      <c r="GE923">
        <v>2.6528991806246465</v>
      </c>
      <c r="GF923">
        <v>7.8023126139901064</v>
      </c>
      <c r="GG923">
        <v>10.238036798090862</v>
      </c>
      <c r="GH923">
        <v>8.8024782054091393</v>
      </c>
      <c r="GI923">
        <v>5.992652793257232</v>
      </c>
      <c r="GJ923"/>
      <c r="GK923"/>
      <c r="GL923"/>
      <c r="GM923"/>
    </row>
    <row r="924" spans="1:195" s="7" customFormat="1">
      <c r="A924" s="4"/>
      <c r="B924" s="4"/>
      <c r="C924" s="4"/>
      <c r="D924" s="4"/>
      <c r="E924" s="4"/>
      <c r="F924" s="28"/>
      <c r="G924" s="28"/>
      <c r="H924" s="83"/>
      <c r="I924" s="4"/>
      <c r="J924" s="4"/>
      <c r="K924" s="4"/>
      <c r="L924" s="4"/>
      <c r="M924" s="4"/>
      <c r="N924" s="28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81"/>
      <c r="AG924" s="81"/>
      <c r="AH924" s="81"/>
      <c r="AI924" s="4"/>
      <c r="AJ924" s="81"/>
      <c r="AK924" s="81"/>
      <c r="AL924" s="81"/>
      <c r="AM924" s="43">
        <v>908</v>
      </c>
      <c r="AN924">
        <v>97.247440955714225</v>
      </c>
      <c r="AO924">
        <v>8.5470374264859394</v>
      </c>
      <c r="AP924">
        <v>84.541176586750453</v>
      </c>
      <c r="AQ924">
        <v>70.192971840134319</v>
      </c>
      <c r="AR924">
        <v>8.4521836942849724</v>
      </c>
      <c r="AS924">
        <v>139.93748960768542</v>
      </c>
      <c r="AT924">
        <v>5.2103417616676371</v>
      </c>
      <c r="AU924">
        <v>13.069763922545508</v>
      </c>
      <c r="AV924"/>
      <c r="AW924"/>
      <c r="FY924" s="210">
        <v>919</v>
      </c>
      <c r="FZ924">
        <v>67.318265370752812</v>
      </c>
      <c r="GA924">
        <v>76.473181304993304</v>
      </c>
      <c r="GB924">
        <v>1.124782669908122</v>
      </c>
      <c r="GC924">
        <v>0.48219068232290763</v>
      </c>
      <c r="GD924">
        <v>0.96486762917541014</v>
      </c>
      <c r="GE924">
        <v>2.221258077820004</v>
      </c>
      <c r="GF924">
        <v>5.1868159795581272</v>
      </c>
      <c r="GG924">
        <v>11.074832328413525</v>
      </c>
      <c r="GH924">
        <v>12.271992844330477</v>
      </c>
      <c r="GI924">
        <v>13.657292233270502</v>
      </c>
      <c r="GJ924"/>
      <c r="GK924"/>
      <c r="GL924"/>
      <c r="GM924"/>
    </row>
    <row r="925" spans="1:195" s="7" customFormat="1">
      <c r="A925" s="4"/>
      <c r="B925" s="4"/>
      <c r="C925" s="4"/>
      <c r="D925" s="4"/>
      <c r="E925" s="4"/>
      <c r="F925" s="28"/>
      <c r="G925" s="28"/>
      <c r="H925" s="83"/>
      <c r="I925" s="4"/>
      <c r="J925" s="4"/>
      <c r="K925" s="4"/>
      <c r="L925" s="4"/>
      <c r="M925" s="4"/>
      <c r="N925" s="28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81"/>
      <c r="AG925" s="81"/>
      <c r="AH925" s="81"/>
      <c r="AI925" s="4"/>
      <c r="AJ925" s="81"/>
      <c r="AK925" s="81"/>
      <c r="AL925" s="81"/>
      <c r="AM925" s="43">
        <v>909</v>
      </c>
      <c r="AN925">
        <v>77.756292553660487</v>
      </c>
      <c r="AO925">
        <v>5.2502897433307725</v>
      </c>
      <c r="AP925">
        <v>42.226562392148885</v>
      </c>
      <c r="AQ925">
        <v>35.678142004240982</v>
      </c>
      <c r="AR925">
        <v>5.3111339288425068</v>
      </c>
      <c r="AS925">
        <v>96.612625963286192</v>
      </c>
      <c r="AT925">
        <v>3.1510610889797737</v>
      </c>
      <c r="AU925">
        <v>4.1038211993613647</v>
      </c>
      <c r="AV925"/>
      <c r="AW925"/>
      <c r="FY925" s="210">
        <v>920</v>
      </c>
      <c r="FZ925">
        <v>13.127451024102358</v>
      </c>
      <c r="GA925">
        <v>14.551825243588091</v>
      </c>
      <c r="GB925">
        <v>2.4840507311414113</v>
      </c>
      <c r="GC925">
        <v>1.3087979024299776</v>
      </c>
      <c r="GD925">
        <v>0.78623892104775583</v>
      </c>
      <c r="GE925">
        <v>2.8166559495921177</v>
      </c>
      <c r="GF925">
        <v>7.2272150816551912</v>
      </c>
      <c r="GG925">
        <v>9.3002568625287747</v>
      </c>
      <c r="GH925">
        <v>11.586937881333816</v>
      </c>
      <c r="GI925">
        <v>6.1539680401385901</v>
      </c>
      <c r="GJ925"/>
      <c r="GK925"/>
      <c r="GL925"/>
      <c r="GM925"/>
    </row>
    <row r="926" spans="1:195" s="7" customFormat="1">
      <c r="A926" s="4"/>
      <c r="B926" s="4"/>
      <c r="C926" s="4"/>
      <c r="D926" s="4"/>
      <c r="E926" s="4"/>
      <c r="F926" s="28"/>
      <c r="G926" s="28"/>
      <c r="H926" s="83"/>
      <c r="I926" s="4"/>
      <c r="J926" s="4"/>
      <c r="K926" s="4"/>
      <c r="L926" s="4"/>
      <c r="M926" s="4"/>
      <c r="N926" s="28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81"/>
      <c r="AG926" s="81"/>
      <c r="AH926" s="81"/>
      <c r="AI926" s="4"/>
      <c r="AJ926" s="81"/>
      <c r="AK926" s="81"/>
      <c r="AL926" s="81"/>
      <c r="AM926" s="43">
        <v>910</v>
      </c>
      <c r="AN926">
        <v>108.86764259754246</v>
      </c>
      <c r="AO926">
        <v>12.43052094191364</v>
      </c>
      <c r="AP926">
        <v>129.73475526707054</v>
      </c>
      <c r="AQ926">
        <v>111.9621612866996</v>
      </c>
      <c r="AR926">
        <v>12.046304272199803</v>
      </c>
      <c r="AS926">
        <v>166.27369102221274</v>
      </c>
      <c r="AT926">
        <v>7.2767841263700754</v>
      </c>
      <c r="AU926">
        <v>47.654542596250067</v>
      </c>
      <c r="AV926"/>
      <c r="AW926"/>
      <c r="FY926" s="210">
        <v>921</v>
      </c>
      <c r="FZ926">
        <v>56.827446690114485</v>
      </c>
      <c r="GA926">
        <v>63.349194789825276</v>
      </c>
      <c r="GB926">
        <v>1.3209159266021364</v>
      </c>
      <c r="GC926">
        <v>0.66773702719255834</v>
      </c>
      <c r="GD926">
        <v>0.39472716124219348</v>
      </c>
      <c r="GE926">
        <v>2.9269436118732863</v>
      </c>
      <c r="GF926">
        <v>9.7703382807555901</v>
      </c>
      <c r="GG926">
        <v>11.86111963072101</v>
      </c>
      <c r="GH926">
        <v>11.861043689844603</v>
      </c>
      <c r="GI926">
        <v>12.586701872941296</v>
      </c>
      <c r="GJ926"/>
      <c r="GK926"/>
      <c r="GL926"/>
      <c r="GM926"/>
    </row>
    <row r="927" spans="1:195" s="7" customFormat="1">
      <c r="A927" s="4"/>
      <c r="B927" s="4"/>
      <c r="C927" s="4"/>
      <c r="D927" s="4"/>
      <c r="E927" s="4"/>
      <c r="F927" s="28"/>
      <c r="G927" s="28"/>
      <c r="H927" s="83"/>
      <c r="I927" s="4"/>
      <c r="J927" s="4"/>
      <c r="K927" s="4"/>
      <c r="L927" s="4"/>
      <c r="M927" s="4"/>
      <c r="N927" s="28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81"/>
      <c r="AG927" s="81"/>
      <c r="AH927" s="81"/>
      <c r="AI927" s="4"/>
      <c r="AJ927" s="81"/>
      <c r="AK927" s="81"/>
      <c r="AL927" s="81"/>
      <c r="AM927" s="43">
        <v>911</v>
      </c>
      <c r="AN927">
        <v>117.69248281693872</v>
      </c>
      <c r="AO927">
        <v>13.12594566065656</v>
      </c>
      <c r="AP927">
        <v>136.92266566854249</v>
      </c>
      <c r="AQ927">
        <v>116.14465984105991</v>
      </c>
      <c r="AR927">
        <v>12.587605515988818</v>
      </c>
      <c r="AS927">
        <v>180.38556056929696</v>
      </c>
      <c r="AT927">
        <v>8.3609016782759777</v>
      </c>
      <c r="AU927">
        <v>8.9012061406554892</v>
      </c>
      <c r="AV927"/>
      <c r="AW927"/>
      <c r="FY927" s="210">
        <v>922</v>
      </c>
      <c r="FZ927">
        <v>23.590228948521638</v>
      </c>
      <c r="GA927">
        <v>27.099519651275724</v>
      </c>
      <c r="GB927">
        <v>3.3161455690935644</v>
      </c>
      <c r="GC927">
        <v>1.5871953628988218</v>
      </c>
      <c r="GD927">
        <v>1.0478630206877013</v>
      </c>
      <c r="GE927">
        <v>3.5934373029354334</v>
      </c>
      <c r="GF927">
        <v>10.105593649019482</v>
      </c>
      <c r="GG927">
        <v>13.86018800525045</v>
      </c>
      <c r="GH927">
        <v>15.384568031585196</v>
      </c>
      <c r="GI927">
        <v>9.1787104498411196</v>
      </c>
      <c r="GJ927"/>
      <c r="GK927"/>
      <c r="GL927"/>
      <c r="GM927"/>
    </row>
    <row r="928" spans="1:195" s="7" customFormat="1">
      <c r="A928" s="4"/>
      <c r="B928" s="4"/>
      <c r="C928" s="4"/>
      <c r="D928" s="4"/>
      <c r="E928" s="4"/>
      <c r="F928" s="28"/>
      <c r="G928" s="28"/>
      <c r="H928" s="83"/>
      <c r="I928" s="4"/>
      <c r="J928" s="4"/>
      <c r="K928" s="4"/>
      <c r="L928" s="4"/>
      <c r="M928" s="4"/>
      <c r="N928" s="28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81"/>
      <c r="AG928" s="81"/>
      <c r="AH928" s="81"/>
      <c r="AI928" s="4"/>
      <c r="AJ928" s="81"/>
      <c r="AK928" s="81"/>
      <c r="AL928" s="81"/>
      <c r="AM928" s="43">
        <v>912</v>
      </c>
      <c r="AN928">
        <v>88.519201846725707</v>
      </c>
      <c r="AO928">
        <v>5.5203766335233979</v>
      </c>
      <c r="AP928">
        <v>45.33978422711337</v>
      </c>
      <c r="AQ928">
        <v>37.796421611616879</v>
      </c>
      <c r="AR928">
        <v>5.6079883317720718</v>
      </c>
      <c r="AS928">
        <v>112.53068322778716</v>
      </c>
      <c r="AT928">
        <v>3.2985219451401893</v>
      </c>
      <c r="AU928">
        <v>6.0338831533416588</v>
      </c>
      <c r="AV928"/>
      <c r="AW928"/>
      <c r="FY928" s="210">
        <v>923</v>
      </c>
      <c r="FZ928">
        <v>23.595981862896025</v>
      </c>
      <c r="GA928">
        <v>27.144631321987866</v>
      </c>
      <c r="GB928">
        <v>3.2233038759964305</v>
      </c>
      <c r="GC928">
        <v>1.6021188813449512</v>
      </c>
      <c r="GD928">
        <v>0.64489390651393375</v>
      </c>
      <c r="GE928">
        <v>2.0690322985429739</v>
      </c>
      <c r="GF928">
        <v>6.539450202727469</v>
      </c>
      <c r="GG928">
        <v>9.0631463502309924</v>
      </c>
      <c r="GH928">
        <v>10.037595817193544</v>
      </c>
      <c r="GI928">
        <v>7.4241063458741943</v>
      </c>
      <c r="GJ928"/>
      <c r="GK928"/>
      <c r="GL928"/>
      <c r="GM928"/>
    </row>
    <row r="929" spans="1:195" s="7" customFormat="1">
      <c r="A929" s="4"/>
      <c r="B929" s="4"/>
      <c r="C929" s="4"/>
      <c r="D929" s="4"/>
      <c r="E929" s="4"/>
      <c r="F929" s="28"/>
      <c r="G929" s="28"/>
      <c r="H929" s="83"/>
      <c r="I929" s="4"/>
      <c r="J929" s="4"/>
      <c r="K929" s="4"/>
      <c r="L929" s="4"/>
      <c r="M929" s="4"/>
      <c r="N929" s="28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81"/>
      <c r="AG929" s="81"/>
      <c r="AH929" s="81"/>
      <c r="AI929" s="4"/>
      <c r="AJ929" s="81"/>
      <c r="AK929" s="81"/>
      <c r="AL929" s="81"/>
      <c r="AM929" s="43">
        <v>913</v>
      </c>
      <c r="AN929">
        <v>109.27425353770396</v>
      </c>
      <c r="AO929">
        <v>7.289893843325105</v>
      </c>
      <c r="AP929">
        <v>66.25499006522503</v>
      </c>
      <c r="AQ929">
        <v>57.142504550934532</v>
      </c>
      <c r="AR929">
        <v>6.8832732719714684</v>
      </c>
      <c r="AS929">
        <v>146.52880837971063</v>
      </c>
      <c r="AT929">
        <v>4.4064294910369926</v>
      </c>
      <c r="AU929">
        <v>7.2547181318149985</v>
      </c>
      <c r="AV929"/>
      <c r="AW929"/>
      <c r="FY929" s="210">
        <v>924</v>
      </c>
      <c r="FZ929">
        <v>12.214426060192064</v>
      </c>
      <c r="GA929">
        <v>16.021966701414193</v>
      </c>
      <c r="GB929">
        <v>2.9969286793873735</v>
      </c>
      <c r="GC929">
        <v>1.358816180468539</v>
      </c>
      <c r="GD929">
        <v>0.99650538423612245</v>
      </c>
      <c r="GE929">
        <v>2.5915392181524206</v>
      </c>
      <c r="GF929">
        <v>5.5309724277319869</v>
      </c>
      <c r="GG929">
        <v>7.016874811369572</v>
      </c>
      <c r="GH929">
        <v>7.6798792961387505</v>
      </c>
      <c r="GI929">
        <v>5.328578086707382</v>
      </c>
      <c r="GJ929"/>
      <c r="GK929"/>
      <c r="GL929"/>
      <c r="GM929"/>
    </row>
    <row r="930" spans="1:195" s="7" customFormat="1">
      <c r="A930" s="4"/>
      <c r="B930" s="4"/>
      <c r="C930" s="4"/>
      <c r="D930" s="4"/>
      <c r="E930" s="4"/>
      <c r="F930" s="28"/>
      <c r="G930" s="28"/>
      <c r="H930" s="83"/>
      <c r="I930" s="4"/>
      <c r="J930" s="4"/>
      <c r="K930" s="4"/>
      <c r="L930" s="4"/>
      <c r="M930" s="4"/>
      <c r="N930" s="28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81"/>
      <c r="AG930" s="81"/>
      <c r="AH930" s="81"/>
      <c r="AI930" s="4"/>
      <c r="AJ930" s="81"/>
      <c r="AK930" s="81"/>
      <c r="AL930" s="81"/>
      <c r="AM930" s="43">
        <v>914</v>
      </c>
      <c r="AN930">
        <v>92.844522520926745</v>
      </c>
      <c r="AO930">
        <v>8.7008089519267013</v>
      </c>
      <c r="AP930">
        <v>80.819275722257473</v>
      </c>
      <c r="AQ930">
        <v>69.025121601516943</v>
      </c>
      <c r="AR930">
        <v>8.5896143036778305</v>
      </c>
      <c r="AS930">
        <v>128.18348475652746</v>
      </c>
      <c r="AT930">
        <v>4.9283061974033435</v>
      </c>
      <c r="AU930">
        <v>4.6901688393400116</v>
      </c>
      <c r="AV930"/>
      <c r="AW930"/>
      <c r="FY930" s="210">
        <v>925</v>
      </c>
      <c r="FZ930">
        <v>34.64534432781376</v>
      </c>
      <c r="GA930">
        <v>39.752328768660313</v>
      </c>
      <c r="GB930">
        <v>1.3875752480159045</v>
      </c>
      <c r="GC930">
        <v>0.81211979249803568</v>
      </c>
      <c r="GD930">
        <v>0.8146009132649783</v>
      </c>
      <c r="GE930">
        <v>1.7497286295482026</v>
      </c>
      <c r="GF930">
        <v>5.3399223268057598</v>
      </c>
      <c r="GG930">
        <v>5.5727091680203857</v>
      </c>
      <c r="GH930">
        <v>6.4968594659710419</v>
      </c>
      <c r="GI930">
        <v>7.9278343582541764</v>
      </c>
      <c r="GJ930"/>
      <c r="GK930"/>
      <c r="GL930"/>
      <c r="GM930"/>
    </row>
    <row r="931" spans="1:195" s="7" customFormat="1">
      <c r="A931" s="4"/>
      <c r="B931" s="4"/>
      <c r="C931" s="4"/>
      <c r="D931" s="4"/>
      <c r="E931" s="4"/>
      <c r="F931" s="28"/>
      <c r="G931" s="28"/>
      <c r="H931" s="83"/>
      <c r="I931" s="4"/>
      <c r="J931" s="4"/>
      <c r="K931" s="4"/>
      <c r="L931" s="4"/>
      <c r="M931" s="4"/>
      <c r="N931" s="28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81"/>
      <c r="AG931" s="81"/>
      <c r="AH931" s="81"/>
      <c r="AI931" s="4"/>
      <c r="AJ931" s="81"/>
      <c r="AK931" s="81"/>
      <c r="AL931" s="81"/>
      <c r="AM931" s="43">
        <v>915</v>
      </c>
      <c r="AN931">
        <v>103.41859301273007</v>
      </c>
      <c r="AO931">
        <v>10.027172359932406</v>
      </c>
      <c r="AP931">
        <v>99.932906312293014</v>
      </c>
      <c r="AQ931">
        <v>84.941416651805923</v>
      </c>
      <c r="AR931">
        <v>9.6513478581428291</v>
      </c>
      <c r="AS931">
        <v>129.51301593038286</v>
      </c>
      <c r="AT931">
        <v>6.1264058106839476</v>
      </c>
      <c r="AU931">
        <v>-12.148930263971584</v>
      </c>
      <c r="AV931"/>
      <c r="AW931"/>
      <c r="FY931" s="210">
        <v>926</v>
      </c>
      <c r="FZ931">
        <v>22.328670311736463</v>
      </c>
      <c r="GA931">
        <v>31.694953894914111</v>
      </c>
      <c r="GB931">
        <v>3.6982432709645812</v>
      </c>
      <c r="GC931">
        <v>0.78349123867544246</v>
      </c>
      <c r="GD931">
        <v>0.92302852415301317</v>
      </c>
      <c r="GE931">
        <v>2.0392542625990702</v>
      </c>
      <c r="GF931">
        <v>7.2946469263313274</v>
      </c>
      <c r="GG931">
        <v>10.372731583411158</v>
      </c>
      <c r="GH931">
        <v>9.4158701121105004</v>
      </c>
      <c r="GI931">
        <v>7.5811022294779464</v>
      </c>
      <c r="GJ931"/>
      <c r="GK931"/>
      <c r="GL931"/>
      <c r="GM931"/>
    </row>
    <row r="932" spans="1:195" s="7" customFormat="1">
      <c r="A932" s="4"/>
      <c r="B932" s="4"/>
      <c r="C932" s="4"/>
      <c r="D932" s="4"/>
      <c r="E932" s="4"/>
      <c r="F932" s="28"/>
      <c r="G932" s="28"/>
      <c r="H932" s="83"/>
      <c r="I932" s="4"/>
      <c r="J932" s="4"/>
      <c r="K932" s="4"/>
      <c r="L932" s="4"/>
      <c r="M932" s="4"/>
      <c r="N932" s="28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81"/>
      <c r="AG932" s="81"/>
      <c r="AH932" s="81"/>
      <c r="AI932" s="4"/>
      <c r="AJ932" s="81"/>
      <c r="AK932" s="81"/>
      <c r="AL932" s="81"/>
      <c r="AM932" s="43">
        <v>916</v>
      </c>
      <c r="AN932">
        <v>106.87152570948243</v>
      </c>
      <c r="AO932">
        <v>9.5867018600754879</v>
      </c>
      <c r="AP932">
        <v>95.565021346863418</v>
      </c>
      <c r="AQ932">
        <v>82.23751416155514</v>
      </c>
      <c r="AR932">
        <v>9.2076593917875602</v>
      </c>
      <c r="AS932">
        <v>165.16380103058052</v>
      </c>
      <c r="AT932">
        <v>5.5530692854372319</v>
      </c>
      <c r="AU932">
        <v>30.173441006026838</v>
      </c>
      <c r="AV932"/>
      <c r="AW932"/>
      <c r="FY932" s="210">
        <v>927</v>
      </c>
      <c r="FZ932">
        <v>24.916432034117037</v>
      </c>
      <c r="GA932">
        <v>26.021838236628923</v>
      </c>
      <c r="GB932">
        <v>2.0887241058588484</v>
      </c>
      <c r="GC932">
        <v>1.0581732590924788</v>
      </c>
      <c r="GD932">
        <v>1.3091129738041509</v>
      </c>
      <c r="GE932">
        <v>4.9276159295609467</v>
      </c>
      <c r="GF932">
        <v>8.9818470061715612</v>
      </c>
      <c r="GG932">
        <v>8.3043326642926143</v>
      </c>
      <c r="GH932">
        <v>8.045581414956315</v>
      </c>
      <c r="GI932">
        <v>7.8625217089174804</v>
      </c>
      <c r="GJ932"/>
      <c r="GK932"/>
      <c r="GL932"/>
      <c r="GM932"/>
    </row>
    <row r="933" spans="1:195" s="7" customFormat="1">
      <c r="A933" s="4"/>
      <c r="B933" s="4"/>
      <c r="C933" s="4"/>
      <c r="D933" s="4"/>
      <c r="E933" s="4"/>
      <c r="F933" s="28"/>
      <c r="G933" s="28"/>
      <c r="H933" s="83"/>
      <c r="I933" s="4"/>
      <c r="J933" s="4"/>
      <c r="K933" s="4"/>
      <c r="L933" s="4"/>
      <c r="M933" s="4"/>
      <c r="N933" s="28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81"/>
      <c r="AG933" s="81"/>
      <c r="AH933" s="81"/>
      <c r="AI933" s="4"/>
      <c r="AJ933" s="81"/>
      <c r="AK933" s="81"/>
      <c r="AL933" s="81"/>
      <c r="AM933" s="43">
        <v>917</v>
      </c>
      <c r="AN933">
        <v>83.301569382064741</v>
      </c>
      <c r="AO933">
        <v>11.698935021300278</v>
      </c>
      <c r="AP933">
        <v>126.56345034365316</v>
      </c>
      <c r="AQ933">
        <v>107.55285287806531</v>
      </c>
      <c r="AR933">
        <v>11.023862550316938</v>
      </c>
      <c r="AS933">
        <v>162.9093536446922</v>
      </c>
      <c r="AT933">
        <v>7.3601436121867634</v>
      </c>
      <c r="AU933">
        <v>18.667346522881942</v>
      </c>
      <c r="AV933"/>
      <c r="AW933"/>
      <c r="FY933" s="210">
        <v>928</v>
      </c>
      <c r="FZ933">
        <v>2.5279361406041545</v>
      </c>
      <c r="GA933">
        <v>1.6091263338034651</v>
      </c>
      <c r="GB933">
        <v>1.3796368848554792</v>
      </c>
      <c r="GC933">
        <v>0.83207410095456658</v>
      </c>
      <c r="GD933">
        <v>1.4042869337718904</v>
      </c>
      <c r="GE933">
        <v>4.6255370413599248</v>
      </c>
      <c r="GF933">
        <v>11.741143258423484</v>
      </c>
      <c r="GG933">
        <v>20.505231657527133</v>
      </c>
      <c r="GH933">
        <v>21.258218830308891</v>
      </c>
      <c r="GI933">
        <v>7.0209694018193947</v>
      </c>
      <c r="GJ933"/>
      <c r="GK933"/>
      <c r="GL933"/>
      <c r="GM933"/>
    </row>
    <row r="934" spans="1:195" s="7" customFormat="1">
      <c r="A934" s="4"/>
      <c r="B934" s="4"/>
      <c r="C934" s="4"/>
      <c r="D934" s="4"/>
      <c r="E934" s="4"/>
      <c r="F934" s="28"/>
      <c r="G934" s="28"/>
      <c r="H934" s="83"/>
      <c r="I934" s="4"/>
      <c r="J934" s="4"/>
      <c r="K934" s="4"/>
      <c r="L934" s="4"/>
      <c r="M934" s="4"/>
      <c r="N934" s="28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81"/>
      <c r="AG934" s="81"/>
      <c r="AH934" s="81"/>
      <c r="AI934" s="4"/>
      <c r="AJ934" s="81"/>
      <c r="AK934" s="81"/>
      <c r="AL934" s="81"/>
      <c r="AM934" s="43">
        <v>918</v>
      </c>
      <c r="AN934">
        <v>91.09125560484253</v>
      </c>
      <c r="AO934">
        <v>8.647504750826922</v>
      </c>
      <c r="AP934">
        <v>80.752406921483143</v>
      </c>
      <c r="AQ934">
        <v>67.432028533441041</v>
      </c>
      <c r="AR934">
        <v>8.3210003626820406</v>
      </c>
      <c r="AS934">
        <v>134.29379228438881</v>
      </c>
      <c r="AT934">
        <v>5.2420430188331455</v>
      </c>
      <c r="AU934">
        <v>10.983936339215855</v>
      </c>
      <c r="AV934"/>
      <c r="AW934"/>
      <c r="FY934" s="210">
        <v>929</v>
      </c>
      <c r="FZ934">
        <v>42.911902228478567</v>
      </c>
      <c r="GA934">
        <v>52.95866798529434</v>
      </c>
      <c r="GB934">
        <v>3.7334350279652999</v>
      </c>
      <c r="GC934">
        <v>1.6300388282668585</v>
      </c>
      <c r="GD934">
        <v>0.76128533016230182</v>
      </c>
      <c r="GE934">
        <v>2.034196401658114</v>
      </c>
      <c r="GF934">
        <v>6.3213362092589396</v>
      </c>
      <c r="GG934">
        <v>7.163214026398661</v>
      </c>
      <c r="GH934">
        <v>7.6740026943836792</v>
      </c>
      <c r="GI934">
        <v>10.058490181909596</v>
      </c>
      <c r="GJ934"/>
      <c r="GK934"/>
      <c r="GL934"/>
      <c r="GM934"/>
    </row>
    <row r="935" spans="1:195" s="7" customFormat="1">
      <c r="A935" s="4"/>
      <c r="B935" s="4"/>
      <c r="C935" s="4"/>
      <c r="D935" s="4"/>
      <c r="E935" s="4"/>
      <c r="F935" s="28"/>
      <c r="G935" s="28"/>
      <c r="H935" s="83"/>
      <c r="I935" s="4"/>
      <c r="J935" s="4"/>
      <c r="K935" s="4"/>
      <c r="L935" s="4"/>
      <c r="M935" s="4"/>
      <c r="N935" s="28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81"/>
      <c r="AG935" s="81"/>
      <c r="AH935" s="81"/>
      <c r="AI935" s="4"/>
      <c r="AJ935" s="81"/>
      <c r="AK935" s="81"/>
      <c r="AL935" s="81"/>
      <c r="AM935" s="43">
        <v>919</v>
      </c>
      <c r="AN935">
        <v>141.90398972226095</v>
      </c>
      <c r="AO935">
        <v>20.044177548917965</v>
      </c>
      <c r="AP935">
        <v>219.63455457214886</v>
      </c>
      <c r="AQ935">
        <v>190.77547912054519</v>
      </c>
      <c r="AR935">
        <v>19.113196246132954</v>
      </c>
      <c r="AS935">
        <v>275.28757589667964</v>
      </c>
      <c r="AT935">
        <v>11.723059361005845</v>
      </c>
      <c r="AU935">
        <v>155.34070089115309</v>
      </c>
      <c r="AV935"/>
      <c r="AW935"/>
      <c r="FY935" s="210">
        <v>930</v>
      </c>
      <c r="FZ935">
        <v>13.119869468019459</v>
      </c>
      <c r="GA935">
        <v>14.991938210410904</v>
      </c>
      <c r="GB935">
        <v>2.37495937004035</v>
      </c>
      <c r="GC935">
        <v>1.0243708707198373</v>
      </c>
      <c r="GD935">
        <v>0.35504329613938812</v>
      </c>
      <c r="GE935">
        <v>0.70436818975816984</v>
      </c>
      <c r="GF935">
        <v>6.6762785703185958</v>
      </c>
      <c r="GG935">
        <v>9.6160929564111317</v>
      </c>
      <c r="GH935">
        <v>6.899617484314037</v>
      </c>
      <c r="GI935">
        <v>5.0251792363099863</v>
      </c>
      <c r="GJ935"/>
      <c r="GK935"/>
      <c r="GL935"/>
      <c r="GM935"/>
    </row>
    <row r="936" spans="1:195" s="7" customFormat="1">
      <c r="A936" s="4"/>
      <c r="B936" s="4"/>
      <c r="C936" s="4"/>
      <c r="D936" s="4"/>
      <c r="E936" s="4"/>
      <c r="F936" s="28"/>
      <c r="G936" s="28"/>
      <c r="H936" s="83"/>
      <c r="I936" s="4"/>
      <c r="J936" s="4"/>
      <c r="K936" s="4"/>
      <c r="L936" s="4"/>
      <c r="M936" s="4"/>
      <c r="N936" s="28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81"/>
      <c r="AG936" s="81"/>
      <c r="AH936" s="81"/>
      <c r="AI936" s="4"/>
      <c r="AJ936" s="81"/>
      <c r="AK936" s="81"/>
      <c r="AL936" s="81"/>
      <c r="AM936" s="43">
        <v>920</v>
      </c>
      <c r="AN936">
        <v>118.7262375489353</v>
      </c>
      <c r="AO936">
        <v>8.5568898610107489</v>
      </c>
      <c r="AP936">
        <v>82.533552070190609</v>
      </c>
      <c r="AQ936">
        <v>69.343397637558084</v>
      </c>
      <c r="AR936">
        <v>8.4422680589195842</v>
      </c>
      <c r="AS936">
        <v>166.09424831231419</v>
      </c>
      <c r="AT936">
        <v>4.9698940728125462</v>
      </c>
      <c r="AU936">
        <v>14.479184068072486</v>
      </c>
      <c r="AV936"/>
      <c r="AW936"/>
      <c r="FY936" s="210">
        <v>931</v>
      </c>
      <c r="FZ936">
        <v>34.208349326528896</v>
      </c>
      <c r="GA936">
        <v>40.156129682073363</v>
      </c>
      <c r="GB936">
        <v>3.065465918204958</v>
      </c>
      <c r="GC936">
        <v>1.8752767669900563</v>
      </c>
      <c r="GD936">
        <v>1.0390383734378514</v>
      </c>
      <c r="GE936">
        <v>1.1763264172010914</v>
      </c>
      <c r="GF936">
        <v>7.0768017010052322</v>
      </c>
      <c r="GG936">
        <v>7.8042312776515796</v>
      </c>
      <c r="GH936">
        <v>4.9194148097414505</v>
      </c>
      <c r="GI936">
        <v>8.4697476632127948</v>
      </c>
      <c r="GJ936"/>
      <c r="GK936"/>
      <c r="GL936"/>
      <c r="GM936"/>
    </row>
    <row r="937" spans="1:195" s="7" customFormat="1">
      <c r="A937" s="4"/>
      <c r="B937" s="4"/>
      <c r="C937" s="4"/>
      <c r="D937" s="4"/>
      <c r="E937" s="4"/>
      <c r="F937" s="28"/>
      <c r="G937" s="28"/>
      <c r="H937" s="83"/>
      <c r="I937" s="4"/>
      <c r="J937" s="4"/>
      <c r="K937" s="4"/>
      <c r="L937" s="4"/>
      <c r="M937" s="4"/>
      <c r="N937" s="28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81"/>
      <c r="AG937" s="81"/>
      <c r="AH937" s="81"/>
      <c r="AI937" s="4"/>
      <c r="AJ937" s="81"/>
      <c r="AK937" s="81"/>
      <c r="AL937" s="81"/>
      <c r="AM937" s="43">
        <v>921</v>
      </c>
      <c r="AN937">
        <v>170.59203128554293</v>
      </c>
      <c r="AO937">
        <v>18.307968856022235</v>
      </c>
      <c r="AP937">
        <v>199.30974346714098</v>
      </c>
      <c r="AQ937">
        <v>171.56616868111243</v>
      </c>
      <c r="AR937">
        <v>17.450220059256338</v>
      </c>
      <c r="AS937">
        <v>263.89359449355891</v>
      </c>
      <c r="AT937">
        <v>11.334182115642257</v>
      </c>
      <c r="AU937">
        <v>42.85906519405097</v>
      </c>
      <c r="AV937"/>
      <c r="AW937"/>
      <c r="FY937" s="210">
        <v>932</v>
      </c>
      <c r="FZ937">
        <v>11.007704609686467</v>
      </c>
      <c r="GA937">
        <v>12.853863993990672</v>
      </c>
      <c r="GB937">
        <v>1.714993273411207</v>
      </c>
      <c r="GC937">
        <v>1.0822977099165378</v>
      </c>
      <c r="GD937">
        <v>0.60305825392308898</v>
      </c>
      <c r="GE937">
        <v>2.9701024279350765</v>
      </c>
      <c r="GF937">
        <v>8.2129938408381555</v>
      </c>
      <c r="GG937">
        <v>6.4384570680822657</v>
      </c>
      <c r="GH937">
        <v>7.0801732056913735</v>
      </c>
      <c r="GI937">
        <v>4.9984853172826798</v>
      </c>
      <c r="GJ937"/>
      <c r="GK937"/>
      <c r="GL937"/>
      <c r="GM937"/>
    </row>
    <row r="938" spans="1:195" s="7" customFormat="1">
      <c r="A938" s="4"/>
      <c r="B938" s="4"/>
      <c r="C938" s="4"/>
      <c r="D938" s="4"/>
      <c r="E938" s="4"/>
      <c r="F938" s="28"/>
      <c r="G938" s="28"/>
      <c r="H938" s="83"/>
      <c r="I938" s="4"/>
      <c r="J938" s="4"/>
      <c r="K938" s="4"/>
      <c r="L938" s="4"/>
      <c r="M938" s="4"/>
      <c r="N938" s="28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81"/>
      <c r="AG938" s="81"/>
      <c r="AH938" s="81"/>
      <c r="AI938" s="4"/>
      <c r="AJ938" s="81"/>
      <c r="AK938" s="81"/>
      <c r="AL938" s="81"/>
      <c r="AM938" s="43">
        <v>922</v>
      </c>
      <c r="AN938">
        <v>153.48587550344527</v>
      </c>
      <c r="AO938">
        <v>13.019452160127543</v>
      </c>
      <c r="AP938">
        <v>129.06841138077613</v>
      </c>
      <c r="AQ938">
        <v>108.76344999110914</v>
      </c>
      <c r="AR938">
        <v>12.661316156948022</v>
      </c>
      <c r="AS938">
        <v>203.46448536696926</v>
      </c>
      <c r="AT938">
        <v>8.2588052800791676</v>
      </c>
      <c r="AU938">
        <v>19.388146785379526</v>
      </c>
      <c r="AV938"/>
      <c r="AW938"/>
      <c r="FY938" s="210">
        <v>933</v>
      </c>
      <c r="FZ938">
        <v>15.253232981447562</v>
      </c>
      <c r="GA938">
        <v>15.716925907102492</v>
      </c>
      <c r="GB938">
        <v>1.2848327285318728</v>
      </c>
      <c r="GC938">
        <v>0.45966499969369856</v>
      </c>
      <c r="GD938">
        <v>0.70144676623148061</v>
      </c>
      <c r="GE938">
        <v>2.4248448615620428</v>
      </c>
      <c r="GF938">
        <v>7.2710684688285694</v>
      </c>
      <c r="GG938">
        <v>7.4266199175358558</v>
      </c>
      <c r="GH938">
        <v>7.7705831926575275</v>
      </c>
      <c r="GI938">
        <v>5.5237587558507286</v>
      </c>
      <c r="GJ938"/>
      <c r="GK938"/>
      <c r="GL938"/>
      <c r="GM938"/>
    </row>
    <row r="939" spans="1:195" s="7" customFormat="1">
      <c r="A939" s="4"/>
      <c r="B939" s="4"/>
      <c r="C939" s="4"/>
      <c r="D939" s="4"/>
      <c r="E939" s="4"/>
      <c r="F939" s="28"/>
      <c r="G939" s="28"/>
      <c r="H939" s="83"/>
      <c r="I939" s="4"/>
      <c r="J939" s="4"/>
      <c r="K939" s="4"/>
      <c r="L939" s="4"/>
      <c r="M939" s="4"/>
      <c r="N939" s="28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81"/>
      <c r="AG939" s="81"/>
      <c r="AH939" s="81"/>
      <c r="AI939" s="4"/>
      <c r="AJ939" s="81"/>
      <c r="AK939" s="81"/>
      <c r="AL939" s="81"/>
      <c r="AM939" s="43">
        <v>923</v>
      </c>
      <c r="AN939">
        <v>113.47736694110336</v>
      </c>
      <c r="AO939">
        <v>10.610434501487488</v>
      </c>
      <c r="AP939">
        <v>108.02961137632539</v>
      </c>
      <c r="AQ939">
        <v>91.344260863308378</v>
      </c>
      <c r="AR939">
        <v>10.273082443516021</v>
      </c>
      <c r="AS939">
        <v>154.16603996705544</v>
      </c>
      <c r="AT939">
        <v>6.1767585525983888</v>
      </c>
      <c r="AU939">
        <v>11.860252926941893</v>
      </c>
      <c r="AV939"/>
      <c r="AW939"/>
      <c r="FY939" s="210">
        <v>934</v>
      </c>
      <c r="FZ939">
        <v>0.57353269859610356</v>
      </c>
      <c r="GA939">
        <v>4.2309396978868623</v>
      </c>
      <c r="GB939">
        <v>3.5595766701452813</v>
      </c>
      <c r="GC939">
        <v>1.1873047305756637</v>
      </c>
      <c r="GD939">
        <v>0.7394353235943727</v>
      </c>
      <c r="GE939">
        <v>2.4862609345401729</v>
      </c>
      <c r="GF939">
        <v>10.261726851174251</v>
      </c>
      <c r="GG939">
        <v>11.932835551548571</v>
      </c>
      <c r="GH939">
        <v>9.4482828975096265</v>
      </c>
      <c r="GI939">
        <v>4.7510457767278629</v>
      </c>
      <c r="GJ939"/>
      <c r="GK939"/>
      <c r="GL939"/>
      <c r="GM939"/>
    </row>
    <row r="940" spans="1:195" s="7" customFormat="1">
      <c r="A940" s="4"/>
      <c r="B940" s="4"/>
      <c r="C940" s="4"/>
      <c r="D940" s="4"/>
      <c r="E940" s="4"/>
      <c r="F940" s="28"/>
      <c r="G940" s="28"/>
      <c r="H940" s="83"/>
      <c r="I940" s="4"/>
      <c r="J940" s="4"/>
      <c r="K940" s="4"/>
      <c r="L940" s="4"/>
      <c r="M940" s="4"/>
      <c r="N940" s="28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81"/>
      <c r="AG940" s="81"/>
      <c r="AH940" s="81"/>
      <c r="AI940" s="4"/>
      <c r="AJ940" s="81"/>
      <c r="AK940" s="81"/>
      <c r="AL940" s="81"/>
      <c r="AM940" s="43">
        <v>924</v>
      </c>
      <c r="AN940">
        <v>105.60392651103614</v>
      </c>
      <c r="AO940">
        <v>7.637085633950778</v>
      </c>
      <c r="AP940">
        <v>72.953628953120187</v>
      </c>
      <c r="AQ940">
        <v>61.73648684579841</v>
      </c>
      <c r="AR940">
        <v>7.3349573101247243</v>
      </c>
      <c r="AS940">
        <v>145.79666564603241</v>
      </c>
      <c r="AT940">
        <v>4.5415666343740169</v>
      </c>
      <c r="AU940">
        <v>12.203995608862648</v>
      </c>
      <c r="AV940"/>
      <c r="AW940"/>
      <c r="FY940" s="210">
        <v>935</v>
      </c>
      <c r="FZ940">
        <v>22.539137249545014</v>
      </c>
      <c r="GA940">
        <v>29.162306238857802</v>
      </c>
      <c r="GB940">
        <v>3.4657155718962578</v>
      </c>
      <c r="GC940">
        <v>1.4432905199340225</v>
      </c>
      <c r="GD940">
        <v>1.0824625185471184</v>
      </c>
      <c r="GE940">
        <v>2.9814971088330546</v>
      </c>
      <c r="GF940">
        <v>2.577735506441988</v>
      </c>
      <c r="GG940">
        <v>5.3654237285230675</v>
      </c>
      <c r="GH940">
        <v>9.168180356501189</v>
      </c>
      <c r="GI940">
        <v>6.740618595519968</v>
      </c>
      <c r="GJ940"/>
      <c r="GK940"/>
      <c r="GL940"/>
      <c r="GM940"/>
    </row>
    <row r="941" spans="1:195" s="7" customFormat="1">
      <c r="A941" s="4"/>
      <c r="B941" s="4"/>
      <c r="C941" s="4"/>
      <c r="D941" s="4"/>
      <c r="E941" s="4"/>
      <c r="F941" s="28"/>
      <c r="G941" s="28"/>
      <c r="H941" s="83"/>
      <c r="I941" s="4"/>
      <c r="J941" s="4"/>
      <c r="K941" s="4"/>
      <c r="L941" s="4"/>
      <c r="M941" s="4"/>
      <c r="N941" s="28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81"/>
      <c r="AG941" s="81"/>
      <c r="AH941" s="81"/>
      <c r="AI941" s="4"/>
      <c r="AJ941" s="81"/>
      <c r="AK941" s="81"/>
      <c r="AL941" s="81"/>
      <c r="AM941" s="43">
        <v>925</v>
      </c>
      <c r="AN941">
        <v>106.6321082569473</v>
      </c>
      <c r="AO941">
        <v>11.338859503696774</v>
      </c>
      <c r="AP941">
        <v>120.8186013694401</v>
      </c>
      <c r="AQ941">
        <v>104.49902299885257</v>
      </c>
      <c r="AR941">
        <v>11.048054093219561</v>
      </c>
      <c r="AS941">
        <v>191.01602041558095</v>
      </c>
      <c r="AT941">
        <v>6.7036354371225082</v>
      </c>
      <c r="AU941">
        <v>-14.369620931101164</v>
      </c>
      <c r="AV941"/>
      <c r="AW941"/>
      <c r="FY941" s="210">
        <v>936</v>
      </c>
      <c r="FZ941">
        <v>11.247975178279322</v>
      </c>
      <c r="GA941">
        <v>15.564650927553618</v>
      </c>
      <c r="GB941">
        <v>1.5458888554346615</v>
      </c>
      <c r="GC941">
        <v>0.31950645701232727</v>
      </c>
      <c r="GD941">
        <v>0.85965455760807941</v>
      </c>
      <c r="GE941">
        <v>1.9748411081794885</v>
      </c>
      <c r="GF941">
        <v>5.6426170106455897</v>
      </c>
      <c r="GG941">
        <v>8.3361616439282624</v>
      </c>
      <c r="GH941">
        <v>8.2005483061900541</v>
      </c>
      <c r="GI941">
        <v>4.8643316735383202</v>
      </c>
      <c r="GJ941"/>
      <c r="GK941"/>
      <c r="GL941"/>
      <c r="GM941"/>
    </row>
    <row r="942" spans="1:195" s="7" customFormat="1">
      <c r="A942" s="4"/>
      <c r="B942" s="4"/>
      <c r="C942" s="4"/>
      <c r="D942" s="4"/>
      <c r="E942" s="4"/>
      <c r="F942" s="28"/>
      <c r="G942" s="28"/>
      <c r="H942" s="83"/>
      <c r="I942" s="4"/>
      <c r="J942" s="4"/>
      <c r="K942" s="4"/>
      <c r="L942" s="4"/>
      <c r="M942" s="4"/>
      <c r="N942" s="28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81"/>
      <c r="AG942" s="81"/>
      <c r="AH942" s="81"/>
      <c r="AI942" s="4"/>
      <c r="AJ942" s="81"/>
      <c r="AK942" s="81"/>
      <c r="AL942" s="81"/>
      <c r="AM942" s="43">
        <v>926</v>
      </c>
      <c r="AN942">
        <v>101.83296726030183</v>
      </c>
      <c r="AO942">
        <v>11.102964175225155</v>
      </c>
      <c r="AP942">
        <v>115.10518881186451</v>
      </c>
      <c r="AQ942">
        <v>96.131992354373608</v>
      </c>
      <c r="AR942">
        <v>10.572690799768417</v>
      </c>
      <c r="AS942">
        <v>163.88362439566964</v>
      </c>
      <c r="AT942">
        <v>5.9200598495339856</v>
      </c>
      <c r="AU942">
        <v>18.634323537885987</v>
      </c>
      <c r="AV942"/>
      <c r="AW942"/>
      <c r="FY942" s="210">
        <v>937</v>
      </c>
      <c r="FZ942">
        <v>45.228498481690778</v>
      </c>
      <c r="GA942">
        <v>53.082191843839198</v>
      </c>
      <c r="GB942">
        <v>3.457464163916832</v>
      </c>
      <c r="GC942">
        <v>1.7471818614420971</v>
      </c>
      <c r="GD942">
        <v>1.1673000777570155</v>
      </c>
      <c r="GE942">
        <v>3.8013213821184513</v>
      </c>
      <c r="GF942">
        <v>4.3470232514259264</v>
      </c>
      <c r="GG942">
        <v>11.064045390989897</v>
      </c>
      <c r="GH942">
        <v>16.600388713457363</v>
      </c>
      <c r="GI942">
        <v>11.618593027251361</v>
      </c>
      <c r="GJ942"/>
      <c r="GK942"/>
      <c r="GL942"/>
      <c r="GM942"/>
    </row>
    <row r="943" spans="1:195" s="7" customFormat="1">
      <c r="A943" s="4"/>
      <c r="B943" s="4"/>
      <c r="C943" s="4"/>
      <c r="D943" s="4"/>
      <c r="E943" s="4"/>
      <c r="F943" s="28"/>
      <c r="G943" s="28"/>
      <c r="H943" s="83"/>
      <c r="I943" s="4"/>
      <c r="J943" s="4"/>
      <c r="K943" s="4"/>
      <c r="L943" s="4"/>
      <c r="M943" s="4"/>
      <c r="N943" s="28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81"/>
      <c r="AG943" s="81"/>
      <c r="AH943" s="81"/>
      <c r="AI943" s="4"/>
      <c r="AJ943" s="81"/>
      <c r="AK943" s="81"/>
      <c r="AL943" s="81"/>
      <c r="AM943" s="43">
        <v>927</v>
      </c>
      <c r="AN943">
        <v>112.55213626992452</v>
      </c>
      <c r="AO943">
        <v>11.177647498477571</v>
      </c>
      <c r="AP943">
        <v>108.1306593193592</v>
      </c>
      <c r="AQ943">
        <v>93.516179333400359</v>
      </c>
      <c r="AR943">
        <v>10.787989713178495</v>
      </c>
      <c r="AS943">
        <v>179.69292694798332</v>
      </c>
      <c r="AT943">
        <v>6.9108746678201172</v>
      </c>
      <c r="AU943">
        <v>23.028339665186003</v>
      </c>
      <c r="AV943"/>
      <c r="AW943"/>
      <c r="FY943" s="210">
        <v>938</v>
      </c>
      <c r="FZ943">
        <v>3.7381610712102034</v>
      </c>
      <c r="GA943">
        <v>3.1539378460531435</v>
      </c>
      <c r="GB943">
        <v>2.80817697226533</v>
      </c>
      <c r="GC943">
        <v>1.2044385205503529</v>
      </c>
      <c r="GD943">
        <v>0.63788211578375997</v>
      </c>
      <c r="GE943">
        <v>1.9287591093734069</v>
      </c>
      <c r="GF943">
        <v>9.9562053851531829</v>
      </c>
      <c r="GG943">
        <v>8.8490063918005042</v>
      </c>
      <c r="GH943">
        <v>5.3600681516073543</v>
      </c>
      <c r="GI943">
        <v>4.2702033960974255</v>
      </c>
      <c r="GJ943"/>
      <c r="GK943"/>
      <c r="GL943"/>
      <c r="GM943"/>
    </row>
    <row r="944" spans="1:195" s="7" customFormat="1">
      <c r="A944" s="4"/>
      <c r="B944" s="4"/>
      <c r="C944" s="4"/>
      <c r="D944" s="4"/>
      <c r="E944" s="4"/>
      <c r="F944" s="28"/>
      <c r="G944" s="28"/>
      <c r="H944" s="83"/>
      <c r="I944" s="4"/>
      <c r="J944" s="4"/>
      <c r="K944" s="4"/>
      <c r="L944" s="4"/>
      <c r="M944" s="4"/>
      <c r="N944" s="28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81"/>
      <c r="AG944" s="81"/>
      <c r="AH944" s="81"/>
      <c r="AI944" s="4"/>
      <c r="AJ944" s="81"/>
      <c r="AK944" s="81"/>
      <c r="AL944" s="81"/>
      <c r="AM944" s="43">
        <v>928</v>
      </c>
      <c r="AN944">
        <v>185.46929182703505</v>
      </c>
      <c r="AO944">
        <v>9.920512336890198</v>
      </c>
      <c r="AP944">
        <v>87.785884729286764</v>
      </c>
      <c r="AQ944">
        <v>72.904160583428393</v>
      </c>
      <c r="AR944">
        <v>9.5627885210075778</v>
      </c>
      <c r="AS944">
        <v>165.25575428916721</v>
      </c>
      <c r="AT944">
        <v>5.4306991018225856</v>
      </c>
      <c r="AU944">
        <v>46.893401080030053</v>
      </c>
      <c r="AV944"/>
      <c r="AW944"/>
      <c r="FY944" s="210">
        <v>939</v>
      </c>
      <c r="FZ944">
        <v>22.727798235831514</v>
      </c>
      <c r="GA944">
        <v>28.165907063616004</v>
      </c>
      <c r="GB944">
        <v>2.0054049348122311</v>
      </c>
      <c r="GC944">
        <v>0.94971835100735591</v>
      </c>
      <c r="GD944">
        <v>0.86940131015271827</v>
      </c>
      <c r="GE944">
        <v>2.1743312065604989</v>
      </c>
      <c r="GF944">
        <v>10.192200559745233</v>
      </c>
      <c r="GG944">
        <v>12.294915950417503</v>
      </c>
      <c r="GH944">
        <v>9.2857446362620575</v>
      </c>
      <c r="GI944">
        <v>7.661668981970216</v>
      </c>
      <c r="GJ944"/>
      <c r="GK944"/>
      <c r="GL944"/>
      <c r="GM944"/>
    </row>
    <row r="945" spans="1:195" s="7" customFormat="1">
      <c r="A945" s="4"/>
      <c r="B945" s="4"/>
      <c r="C945" s="4"/>
      <c r="D945" s="4"/>
      <c r="E945" s="4"/>
      <c r="F945" s="28"/>
      <c r="G945" s="28"/>
      <c r="H945" s="83"/>
      <c r="I945" s="4"/>
      <c r="J945" s="4"/>
      <c r="K945" s="4"/>
      <c r="L945" s="4"/>
      <c r="M945" s="4"/>
      <c r="N945" s="28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81"/>
      <c r="AG945" s="81"/>
      <c r="AH945" s="81"/>
      <c r="AI945" s="4"/>
      <c r="AJ945" s="81"/>
      <c r="AK945" s="81"/>
      <c r="AL945" s="81"/>
      <c r="AM945" s="43">
        <v>929</v>
      </c>
      <c r="AN945">
        <v>112.15112929511379</v>
      </c>
      <c r="AO945">
        <v>14.782440059260839</v>
      </c>
      <c r="AP945">
        <v>158.17837041214173</v>
      </c>
      <c r="AQ945">
        <v>135.24656891377634</v>
      </c>
      <c r="AR945">
        <v>14.031645263167135</v>
      </c>
      <c r="AS945">
        <v>232.513775294553</v>
      </c>
      <c r="AT945">
        <v>8.9201137512806437</v>
      </c>
      <c r="AU945">
        <v>20.325974627232558</v>
      </c>
      <c r="AV945"/>
      <c r="AW945"/>
      <c r="FY945" s="210">
        <v>940</v>
      </c>
      <c r="FZ945">
        <v>12.353739204458559</v>
      </c>
      <c r="GA945">
        <v>15.906381435435435</v>
      </c>
      <c r="GB945">
        <v>1.9271201414568291</v>
      </c>
      <c r="GC945">
        <v>0.54735937580798821</v>
      </c>
      <c r="GD945">
        <v>0.69444838923477059</v>
      </c>
      <c r="GE945">
        <v>1.507110431827654</v>
      </c>
      <c r="GF945">
        <v>5.2742797868485427</v>
      </c>
      <c r="GG945">
        <v>6.5306445114679477</v>
      </c>
      <c r="GH945">
        <v>5.5860396798272767</v>
      </c>
      <c r="GI945">
        <v>4.5439342172680446</v>
      </c>
      <c r="GJ945"/>
      <c r="GK945"/>
      <c r="GL945"/>
      <c r="GM945"/>
    </row>
    <row r="946" spans="1:195" s="7" customFormat="1">
      <c r="A946" s="4"/>
      <c r="B946" s="4"/>
      <c r="C946" s="4"/>
      <c r="D946" s="4"/>
      <c r="E946" s="4"/>
      <c r="F946" s="28"/>
      <c r="G946" s="28"/>
      <c r="H946" s="83"/>
      <c r="I946" s="4"/>
      <c r="J946" s="4"/>
      <c r="K946" s="4"/>
      <c r="L946" s="4"/>
      <c r="M946" s="4"/>
      <c r="N946" s="28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81"/>
      <c r="AG946" s="81"/>
      <c r="AH946" s="81"/>
      <c r="AI946" s="4"/>
      <c r="AJ946" s="81"/>
      <c r="AK946" s="81"/>
      <c r="AL946" s="81"/>
      <c r="AM946" s="43">
        <v>930</v>
      </c>
      <c r="AN946">
        <v>104.18971198689376</v>
      </c>
      <c r="AO946">
        <v>7.2122409345834937</v>
      </c>
      <c r="AP946">
        <v>73.339314521442034</v>
      </c>
      <c r="AQ946">
        <v>60.787717652441856</v>
      </c>
      <c r="AR946">
        <v>6.9858458651190043</v>
      </c>
      <c r="AS946">
        <v>122.80612155027315</v>
      </c>
      <c r="AT946">
        <v>4.2685522786007075</v>
      </c>
      <c r="AU946">
        <v>47.719998553792308</v>
      </c>
      <c r="AV946"/>
      <c r="AW946"/>
      <c r="FY946" s="210">
        <v>941</v>
      </c>
      <c r="FZ946">
        <v>21.491224362796835</v>
      </c>
      <c r="GA946">
        <v>26.252554293590926</v>
      </c>
      <c r="GB946">
        <v>2.6153525940812017</v>
      </c>
      <c r="GC946">
        <v>1.4675633649948465</v>
      </c>
      <c r="GD946">
        <v>0.7174346834180132</v>
      </c>
      <c r="GE946">
        <v>3.981897233274005</v>
      </c>
      <c r="GF946">
        <v>9.465780059022693</v>
      </c>
      <c r="GG946">
        <v>16.562941077133299</v>
      </c>
      <c r="GH946">
        <v>18.361151312745818</v>
      </c>
      <c r="GI946">
        <v>8.8527845057243262</v>
      </c>
      <c r="GJ946"/>
      <c r="GK946"/>
      <c r="GL946"/>
      <c r="GM946"/>
    </row>
    <row r="947" spans="1:195" s="7" customFormat="1">
      <c r="A947" s="4"/>
      <c r="B947" s="4"/>
      <c r="C947" s="4"/>
      <c r="D947" s="4"/>
      <c r="E947" s="4"/>
      <c r="F947" s="28"/>
      <c r="G947" s="28"/>
      <c r="H947" s="83"/>
      <c r="I947" s="4"/>
      <c r="J947" s="4"/>
      <c r="K947" s="4"/>
      <c r="L947" s="4"/>
      <c r="M947" s="4"/>
      <c r="N947" s="28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81"/>
      <c r="AG947" s="81"/>
      <c r="AH947" s="81"/>
      <c r="AI947" s="4"/>
      <c r="AJ947" s="81"/>
      <c r="AK947" s="81"/>
      <c r="AL947" s="81"/>
      <c r="AM947" s="43">
        <v>931</v>
      </c>
      <c r="AN947">
        <v>114.08410114036694</v>
      </c>
      <c r="AO947">
        <v>12.35150923433957</v>
      </c>
      <c r="AP947">
        <v>128.2884377573339</v>
      </c>
      <c r="AQ947">
        <v>109.7907819360473</v>
      </c>
      <c r="AR947">
        <v>11.844772383716705</v>
      </c>
      <c r="AS947">
        <v>181.15445499866703</v>
      </c>
      <c r="AT947">
        <v>7.4441936098655939</v>
      </c>
      <c r="AU947">
        <v>13.531966644616427</v>
      </c>
      <c r="AV947"/>
      <c r="AW947"/>
      <c r="FY947" s="210">
        <v>942</v>
      </c>
      <c r="FZ947">
        <v>4.3692134889376604</v>
      </c>
      <c r="GA947">
        <v>3.1704145510911124</v>
      </c>
      <c r="GB947">
        <v>2.2924232841257521</v>
      </c>
      <c r="GC947">
        <v>1.1140875572321947</v>
      </c>
      <c r="GD947">
        <v>0.87442198215881861</v>
      </c>
      <c r="GE947">
        <v>3.1943617100160902</v>
      </c>
      <c r="GF947">
        <v>8.0159834930575844</v>
      </c>
      <c r="GG947">
        <v>6.9067078632042547</v>
      </c>
      <c r="GH947">
        <v>7.9638355222228174</v>
      </c>
      <c r="GI947">
        <v>4.4218096930739055</v>
      </c>
      <c r="GJ947"/>
      <c r="GK947"/>
      <c r="GL947"/>
      <c r="GM947"/>
    </row>
    <row r="948" spans="1:195" s="7" customFormat="1">
      <c r="A948" s="4"/>
      <c r="B948" s="4"/>
      <c r="C948" s="4"/>
      <c r="D948" s="4"/>
      <c r="E948" s="4"/>
      <c r="F948" s="28"/>
      <c r="G948" s="28"/>
      <c r="H948" s="83"/>
      <c r="I948" s="4"/>
      <c r="J948" s="4"/>
      <c r="K948" s="4"/>
      <c r="L948" s="4"/>
      <c r="M948" s="4"/>
      <c r="N948" s="28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81"/>
      <c r="AG948" s="81"/>
      <c r="AH948" s="81"/>
      <c r="AI948" s="4"/>
      <c r="AJ948" s="81"/>
      <c r="AK948" s="81"/>
      <c r="AL948" s="81"/>
      <c r="AM948" s="43">
        <v>932</v>
      </c>
      <c r="AN948">
        <v>91.686549213610874</v>
      </c>
      <c r="AO948">
        <v>7.0064261132589767</v>
      </c>
      <c r="AP948">
        <v>67.561767826763898</v>
      </c>
      <c r="AQ948">
        <v>56.962129700757522</v>
      </c>
      <c r="AR948">
        <v>6.8006617639723848</v>
      </c>
      <c r="AS948">
        <v>127.81982782852886</v>
      </c>
      <c r="AT948">
        <v>4.4696702484076223</v>
      </c>
      <c r="AU948">
        <v>2.5938749809240953</v>
      </c>
      <c r="AV948"/>
      <c r="AW948"/>
      <c r="FY948" s="210">
        <v>943</v>
      </c>
      <c r="FZ948">
        <v>13.408290261176926</v>
      </c>
      <c r="GA948">
        <v>15.64898336137272</v>
      </c>
      <c r="GB948">
        <v>2.7640717040556955</v>
      </c>
      <c r="GC948">
        <v>1.3868170666306301</v>
      </c>
      <c r="GD948">
        <v>1.0153427719106132</v>
      </c>
      <c r="GE948">
        <v>3.392931734182592</v>
      </c>
      <c r="GF948">
        <v>9.8439178569365975</v>
      </c>
      <c r="GG948">
        <v>14.886078292965578</v>
      </c>
      <c r="GH948">
        <v>16.362892126564287</v>
      </c>
      <c r="GI948">
        <v>7.6156346225597931</v>
      </c>
      <c r="GJ948"/>
      <c r="GK948"/>
      <c r="GL948"/>
      <c r="GM948"/>
    </row>
    <row r="949" spans="1:195" s="7" customFormat="1">
      <c r="A949" s="4"/>
      <c r="B949" s="4"/>
      <c r="C949" s="4"/>
      <c r="D949" s="4"/>
      <c r="E949" s="4"/>
      <c r="F949" s="28"/>
      <c r="G949" s="28"/>
      <c r="H949" s="83"/>
      <c r="I949" s="4"/>
      <c r="J949" s="4"/>
      <c r="K949" s="4"/>
      <c r="L949" s="4"/>
      <c r="M949" s="4"/>
      <c r="N949" s="28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81"/>
      <c r="AG949" s="81"/>
      <c r="AH949" s="81"/>
      <c r="AI949" s="4"/>
      <c r="AJ949" s="81"/>
      <c r="AK949" s="81"/>
      <c r="AL949" s="81"/>
      <c r="AM949" s="43">
        <v>933</v>
      </c>
      <c r="AN949">
        <v>85.838795693411001</v>
      </c>
      <c r="AO949">
        <v>7.5479707740377879</v>
      </c>
      <c r="AP949">
        <v>75.479026919145554</v>
      </c>
      <c r="AQ949">
        <v>63.832978579441821</v>
      </c>
      <c r="AR949">
        <v>7.5907793290960619</v>
      </c>
      <c r="AS949">
        <v>116.07720216012541</v>
      </c>
      <c r="AT949">
        <v>4.24680100209416</v>
      </c>
      <c r="AU949">
        <v>9.1076446698402354</v>
      </c>
      <c r="AV949"/>
      <c r="AW949"/>
      <c r="FY949" s="210">
        <v>944</v>
      </c>
      <c r="FZ949">
        <v>32.346155951655213</v>
      </c>
      <c r="GA949">
        <v>41.505505499043245</v>
      </c>
      <c r="GB949">
        <v>2.0912314602834874</v>
      </c>
      <c r="GC949">
        <v>0.45345537766194222</v>
      </c>
      <c r="GD949">
        <v>0.9858209032407782</v>
      </c>
      <c r="GE949">
        <v>2.4305605476950447</v>
      </c>
      <c r="GF949">
        <v>4.0676466468445502</v>
      </c>
      <c r="GG949">
        <v>4.2285702118714079</v>
      </c>
      <c r="GH949">
        <v>6.5098751732318316</v>
      </c>
      <c r="GI949">
        <v>7.6395063044324072</v>
      </c>
      <c r="GJ949"/>
      <c r="GK949"/>
      <c r="GL949"/>
      <c r="GM949"/>
    </row>
    <row r="950" spans="1:195" s="7" customFormat="1">
      <c r="A950" s="4"/>
      <c r="B950" s="4"/>
      <c r="C950" s="4"/>
      <c r="D950" s="4"/>
      <c r="E950" s="4"/>
      <c r="F950" s="28"/>
      <c r="G950" s="28"/>
      <c r="H950" s="83"/>
      <c r="I950" s="4"/>
      <c r="J950" s="4"/>
      <c r="K950" s="4"/>
      <c r="L950" s="4"/>
      <c r="M950" s="4"/>
      <c r="N950" s="28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81"/>
      <c r="AG950" s="81"/>
      <c r="AH950" s="81"/>
      <c r="AI950" s="4"/>
      <c r="AJ950" s="81"/>
      <c r="AK950" s="81"/>
      <c r="AL950" s="81"/>
      <c r="AM950" s="43">
        <v>934</v>
      </c>
      <c r="AN950">
        <v>123.1618078219864</v>
      </c>
      <c r="AO950">
        <v>6.7727151042439955</v>
      </c>
      <c r="AP950">
        <v>61.898838257710409</v>
      </c>
      <c r="AQ950">
        <v>49.170941132298772</v>
      </c>
      <c r="AR950">
        <v>6.4918416568234809</v>
      </c>
      <c r="AS950">
        <v>123.10788857724376</v>
      </c>
      <c r="AT950">
        <v>3.7222017022125797</v>
      </c>
      <c r="AU950">
        <v>23.035528687615976</v>
      </c>
      <c r="AV950"/>
      <c r="AW950"/>
      <c r="FY950" s="210">
        <v>945</v>
      </c>
      <c r="FZ950">
        <v>25.566106921752034</v>
      </c>
      <c r="GA950">
        <v>27.244259201479871</v>
      </c>
      <c r="GB950">
        <v>1.734295763272701</v>
      </c>
      <c r="GC950">
        <v>0.83075697745423471</v>
      </c>
      <c r="GD950">
        <v>0.38401132720796038</v>
      </c>
      <c r="GE950">
        <v>1.6093478683557749</v>
      </c>
      <c r="GF950">
        <v>8.3988052108718012</v>
      </c>
      <c r="GG950">
        <v>12.192768540267149</v>
      </c>
      <c r="GH950">
        <v>11.349310646639825</v>
      </c>
      <c r="GI950">
        <v>7.7393368604031822</v>
      </c>
      <c r="GJ950"/>
      <c r="GK950"/>
      <c r="GL950"/>
      <c r="GM950"/>
    </row>
    <row r="951" spans="1:195" s="7" customFormat="1">
      <c r="A951" s="4"/>
      <c r="B951" s="4"/>
      <c r="C951" s="4"/>
      <c r="D951" s="4"/>
      <c r="E951" s="4"/>
      <c r="F951" s="28"/>
      <c r="G951" s="28"/>
      <c r="H951" s="83"/>
      <c r="I951" s="4"/>
      <c r="J951" s="4"/>
      <c r="K951" s="4"/>
      <c r="L951" s="4"/>
      <c r="M951" s="4"/>
      <c r="N951" s="28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81"/>
      <c r="AG951" s="81"/>
      <c r="AH951" s="81"/>
      <c r="AI951" s="4"/>
      <c r="AJ951" s="81"/>
      <c r="AK951" s="81"/>
      <c r="AL951" s="81"/>
      <c r="AM951" s="43">
        <v>935</v>
      </c>
      <c r="AN951">
        <v>101.9449306322123</v>
      </c>
      <c r="AO951">
        <v>9.8519069406267814</v>
      </c>
      <c r="AP951">
        <v>98.397988325613852</v>
      </c>
      <c r="AQ951">
        <v>84.526367394599461</v>
      </c>
      <c r="AR951">
        <v>9.3304977414351296</v>
      </c>
      <c r="AS951">
        <v>139.72110631023673</v>
      </c>
      <c r="AT951">
        <v>5.5189431066387442</v>
      </c>
      <c r="AU951">
        <v>28.776374454831139</v>
      </c>
      <c r="AV951"/>
      <c r="AW951"/>
      <c r="FY951" s="210">
        <v>946</v>
      </c>
      <c r="FZ951">
        <v>31.929187051928658</v>
      </c>
      <c r="GA951">
        <v>38.418777243798424</v>
      </c>
      <c r="GB951">
        <v>2.510638278411494</v>
      </c>
      <c r="GC951">
        <v>1.3798482561983705</v>
      </c>
      <c r="GD951">
        <v>0.92921097731102464</v>
      </c>
      <c r="GE951">
        <v>2.8958837407775713</v>
      </c>
      <c r="GF951">
        <v>8.4177603923241229</v>
      </c>
      <c r="GG951">
        <v>9.1543986728652804</v>
      </c>
      <c r="GH951">
        <v>9.0331542102946507</v>
      </c>
      <c r="GI951">
        <v>8.8275856848684757</v>
      </c>
      <c r="GJ951"/>
      <c r="GK951"/>
      <c r="GL951"/>
      <c r="GM951"/>
    </row>
    <row r="952" spans="1:195" s="7" customFormat="1">
      <c r="A952" s="4"/>
      <c r="B952" s="4"/>
      <c r="C952" s="4"/>
      <c r="D952" s="4"/>
      <c r="E952" s="4"/>
      <c r="F952" s="28"/>
      <c r="G952" s="28"/>
      <c r="H952" s="83"/>
      <c r="I952" s="4"/>
      <c r="J952" s="4"/>
      <c r="K952" s="4"/>
      <c r="L952" s="4"/>
      <c r="M952" s="4"/>
      <c r="N952" s="28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81"/>
      <c r="AG952" s="81"/>
      <c r="AH952" s="81"/>
      <c r="AI952" s="4"/>
      <c r="AJ952" s="81"/>
      <c r="AK952" s="81"/>
      <c r="AL952" s="81"/>
      <c r="AM952" s="43">
        <v>936</v>
      </c>
      <c r="AN952">
        <v>86.03622564776046</v>
      </c>
      <c r="AO952">
        <v>7.0052786154434257</v>
      </c>
      <c r="AP952">
        <v>69.720143026048149</v>
      </c>
      <c r="AQ952">
        <v>58.556175718369715</v>
      </c>
      <c r="AR952">
        <v>6.7531824938085894</v>
      </c>
      <c r="AS952">
        <v>125.92195247306506</v>
      </c>
      <c r="AT952">
        <v>4.3154479404896113</v>
      </c>
      <c r="AU952">
        <v>28.195009611036539</v>
      </c>
      <c r="AV952"/>
      <c r="AW952"/>
      <c r="FY952" s="210">
        <v>947</v>
      </c>
      <c r="FZ952">
        <v>26.46490749022318</v>
      </c>
      <c r="GA952">
        <v>29.108888518813743</v>
      </c>
      <c r="GB952">
        <v>2.311654246347441</v>
      </c>
      <c r="GC952">
        <v>0.51895475062857943</v>
      </c>
      <c r="GD952">
        <v>1.1300308821863709</v>
      </c>
      <c r="GE952">
        <v>4.1996431989299117</v>
      </c>
      <c r="GF952">
        <v>7.9376165035260193</v>
      </c>
      <c r="GG952">
        <v>6.0032923429795257</v>
      </c>
      <c r="GH952">
        <v>5.7131902860737931</v>
      </c>
      <c r="GI952">
        <v>7.4973572130733563</v>
      </c>
      <c r="GJ952"/>
      <c r="GK952"/>
      <c r="GL952"/>
      <c r="GM952"/>
    </row>
    <row r="953" spans="1:195" s="7" customFormat="1">
      <c r="A953" s="4"/>
      <c r="B953" s="4"/>
      <c r="C953" s="4"/>
      <c r="D953" s="4"/>
      <c r="E953" s="4"/>
      <c r="F953" s="28"/>
      <c r="G953" s="28"/>
      <c r="H953" s="83"/>
      <c r="I953" s="4"/>
      <c r="J953" s="4"/>
      <c r="K953" s="4"/>
      <c r="L953" s="4"/>
      <c r="M953" s="4"/>
      <c r="N953" s="28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81"/>
      <c r="AG953" s="81"/>
      <c r="AH953" s="81"/>
      <c r="AI953" s="4"/>
      <c r="AJ953" s="81"/>
      <c r="AK953" s="81"/>
      <c r="AL953" s="81"/>
      <c r="AM953" s="43">
        <v>937</v>
      </c>
      <c r="AN953">
        <v>179.36888090513835</v>
      </c>
      <c r="AO953">
        <v>16.983920063989654</v>
      </c>
      <c r="AP953">
        <v>176.15807254282674</v>
      </c>
      <c r="AQ953">
        <v>152.11400819388891</v>
      </c>
      <c r="AR953">
        <v>16.097037240613783</v>
      </c>
      <c r="AS953">
        <v>267.53834949372242</v>
      </c>
      <c r="AT953">
        <v>9.3744592359974437</v>
      </c>
      <c r="AU953">
        <v>33.31434499922868</v>
      </c>
      <c r="AV953"/>
      <c r="AW953"/>
      <c r="FY953" s="210">
        <v>948</v>
      </c>
      <c r="FZ953">
        <v>11.977007552914014</v>
      </c>
      <c r="GA953">
        <v>16.032300544988754</v>
      </c>
      <c r="GB953">
        <v>2.3852751490257984</v>
      </c>
      <c r="GC953">
        <v>0.93750473434440451</v>
      </c>
      <c r="GD953">
        <v>1.2363974878189468</v>
      </c>
      <c r="GE953">
        <v>2.4628042325788853</v>
      </c>
      <c r="GF953">
        <v>5.3461923623833707</v>
      </c>
      <c r="GG953">
        <v>7.9788162614509979</v>
      </c>
      <c r="GH953">
        <v>8.324222717574024</v>
      </c>
      <c r="GI953">
        <v>5.3684858572919261</v>
      </c>
      <c r="GJ953"/>
      <c r="GK953"/>
      <c r="GL953"/>
      <c r="GM953"/>
    </row>
    <row r="954" spans="1:195" s="7" customFormat="1">
      <c r="A954" s="4"/>
      <c r="B954" s="4"/>
      <c r="C954" s="4"/>
      <c r="D954" s="4"/>
      <c r="E954" s="4"/>
      <c r="F954" s="28"/>
      <c r="G954" s="28"/>
      <c r="H954" s="83"/>
      <c r="I954" s="4"/>
      <c r="J954" s="4"/>
      <c r="K954" s="4"/>
      <c r="L954" s="4"/>
      <c r="M954" s="4"/>
      <c r="N954" s="28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81"/>
      <c r="AG954" s="81"/>
      <c r="AH954" s="81"/>
      <c r="AI954" s="4"/>
      <c r="AJ954" s="81"/>
      <c r="AK954" s="81"/>
      <c r="AL954" s="81"/>
      <c r="AM954" s="43">
        <v>938</v>
      </c>
      <c r="AN954">
        <v>105.37506480316571</v>
      </c>
      <c r="AO954">
        <v>5.7446572322421021</v>
      </c>
      <c r="AP954">
        <v>52.187257848947226</v>
      </c>
      <c r="AQ954">
        <v>41.906838959894671</v>
      </c>
      <c r="AR954">
        <v>5.8398623607672784</v>
      </c>
      <c r="AS954">
        <v>123.49224971458366</v>
      </c>
      <c r="AT954">
        <v>3.6086661807532567</v>
      </c>
      <c r="AU954">
        <v>-14.258020946242132</v>
      </c>
      <c r="AV954"/>
      <c r="AW954"/>
      <c r="FY954" s="210">
        <v>949</v>
      </c>
      <c r="FZ954">
        <v>23.676072052426978</v>
      </c>
      <c r="GA954">
        <v>25.837498239617741</v>
      </c>
      <c r="GB954">
        <v>1.4174873135565527</v>
      </c>
      <c r="GC954">
        <v>1.0499321308055332</v>
      </c>
      <c r="GD954">
        <v>1.0303264536854155</v>
      </c>
      <c r="GE954">
        <v>3.4536387477325023</v>
      </c>
      <c r="GF954">
        <v>5.625748486421946</v>
      </c>
      <c r="GG954">
        <v>8.8737543717069354</v>
      </c>
      <c r="GH954">
        <v>12.976640197535898</v>
      </c>
      <c r="GI954">
        <v>7.5032417142010805</v>
      </c>
      <c r="GJ954"/>
      <c r="GK954"/>
      <c r="GL954"/>
      <c r="GM954"/>
    </row>
    <row r="955" spans="1:195" s="7" customFormat="1">
      <c r="A955" s="4"/>
      <c r="B955" s="4"/>
      <c r="C955" s="4"/>
      <c r="D955" s="4"/>
      <c r="E955" s="4"/>
      <c r="F955" s="28"/>
      <c r="G955" s="28"/>
      <c r="H955" s="83"/>
      <c r="I955" s="4"/>
      <c r="J955" s="4"/>
      <c r="K955" s="4"/>
      <c r="L955" s="4"/>
      <c r="M955" s="4"/>
      <c r="N955" s="28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81"/>
      <c r="AG955" s="81"/>
      <c r="AH955" s="81"/>
      <c r="AI955" s="4"/>
      <c r="AJ955" s="81"/>
      <c r="AK955" s="81"/>
      <c r="AL955" s="81"/>
      <c r="AM955" s="43">
        <v>939</v>
      </c>
      <c r="AN955">
        <v>149.85493532752511</v>
      </c>
      <c r="AO955">
        <v>11.145547407305839</v>
      </c>
      <c r="AP955">
        <v>113.93376202158953</v>
      </c>
      <c r="AQ955">
        <v>96.327091230375316</v>
      </c>
      <c r="AR955">
        <v>10.595999226415193</v>
      </c>
      <c r="AS955">
        <v>197.85970070897142</v>
      </c>
      <c r="AT955">
        <v>6.4756128964945576</v>
      </c>
      <c r="AU955">
        <v>55.109633980345535</v>
      </c>
      <c r="AV955"/>
      <c r="AW955"/>
      <c r="FY955" s="210">
        <v>950</v>
      </c>
      <c r="FZ955">
        <v>32.483782835715999</v>
      </c>
      <c r="GA955">
        <v>39.023569015780296</v>
      </c>
      <c r="GB955">
        <v>1.0209430372375783</v>
      </c>
      <c r="GC955">
        <v>0.61279982328182359</v>
      </c>
      <c r="GD955">
        <v>0.76313227449373477</v>
      </c>
      <c r="GE955">
        <v>2.3608480293088818</v>
      </c>
      <c r="GF955">
        <v>4.9750630134154195</v>
      </c>
      <c r="GG955">
        <v>7.0949198982071984</v>
      </c>
      <c r="GH955">
        <v>9.019050550154752</v>
      </c>
      <c r="GI955">
        <v>7.820434757420589</v>
      </c>
      <c r="GJ955"/>
      <c r="GK955"/>
      <c r="GL955"/>
      <c r="GM955"/>
    </row>
    <row r="956" spans="1:195" s="7" customFormat="1">
      <c r="A956" s="4"/>
      <c r="B956" s="4"/>
      <c r="C956" s="4"/>
      <c r="D956" s="4"/>
      <c r="E956" s="4"/>
      <c r="F956" s="28"/>
      <c r="G956" s="28"/>
      <c r="H956" s="83"/>
      <c r="I956" s="4"/>
      <c r="J956" s="4"/>
      <c r="K956" s="4"/>
      <c r="L956" s="4"/>
      <c r="M956" s="4"/>
      <c r="N956" s="28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81"/>
      <c r="AG956" s="81"/>
      <c r="AH956" s="81"/>
      <c r="AI956" s="4"/>
      <c r="AJ956" s="81"/>
      <c r="AK956" s="81"/>
      <c r="AL956" s="81"/>
      <c r="AM956" s="43">
        <v>940</v>
      </c>
      <c r="AN956">
        <v>79.358784866959979</v>
      </c>
      <c r="AO956">
        <v>6.4811808379751934</v>
      </c>
      <c r="AP956">
        <v>65.356556735928166</v>
      </c>
      <c r="AQ956">
        <v>54.871057173633048</v>
      </c>
      <c r="AR956">
        <v>6.3144747704250808</v>
      </c>
      <c r="AS956">
        <v>101.22012654915719</v>
      </c>
      <c r="AT956">
        <v>3.7299001013924649</v>
      </c>
      <c r="AU956">
        <v>32.438854991700921</v>
      </c>
      <c r="AV956"/>
      <c r="AW956"/>
      <c r="FY956" s="210">
        <v>951</v>
      </c>
      <c r="FZ956">
        <v>16.067513469573075</v>
      </c>
      <c r="GA956">
        <v>16.972938060952185</v>
      </c>
      <c r="GB956">
        <v>3.2942661895478293</v>
      </c>
      <c r="GC956">
        <v>1.1362025094942689</v>
      </c>
      <c r="GD956">
        <v>1.119561302597923</v>
      </c>
      <c r="GE956">
        <v>4.2274108727785737</v>
      </c>
      <c r="GF956">
        <v>5.9309428577058263</v>
      </c>
      <c r="GG956">
        <v>9.2478807844313167</v>
      </c>
      <c r="GH956">
        <v>12.907992020678945</v>
      </c>
      <c r="GI956">
        <v>6.9503370000193208</v>
      </c>
      <c r="GJ956"/>
      <c r="GK956"/>
      <c r="GL956"/>
      <c r="GM956"/>
    </row>
    <row r="957" spans="1:195" s="7" customFormat="1">
      <c r="A957" s="4"/>
      <c r="B957" s="4"/>
      <c r="C957" s="4"/>
      <c r="D957" s="4"/>
      <c r="E957" s="4"/>
      <c r="F957" s="28"/>
      <c r="G957" s="28"/>
      <c r="H957" s="83"/>
      <c r="I957" s="4"/>
      <c r="J957" s="4"/>
      <c r="K957" s="4"/>
      <c r="L957" s="4"/>
      <c r="M957" s="4"/>
      <c r="N957" s="28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81"/>
      <c r="AG957" s="81"/>
      <c r="AH957" s="81"/>
      <c r="AI957" s="4"/>
      <c r="AJ957" s="81"/>
      <c r="AK957" s="81"/>
      <c r="AL957" s="81"/>
      <c r="AM957" s="43">
        <v>941</v>
      </c>
      <c r="AN957">
        <v>180.7991260443211</v>
      </c>
      <c r="AO957">
        <v>13.095575284505099</v>
      </c>
      <c r="AP957">
        <v>130.0135694447265</v>
      </c>
      <c r="AQ957">
        <v>109.76868348678197</v>
      </c>
      <c r="AR957">
        <v>12.108128908368656</v>
      </c>
      <c r="AS957">
        <v>207.90888966581912</v>
      </c>
      <c r="AT957">
        <v>7.6133942470857621</v>
      </c>
      <c r="AU957">
        <v>57.806300489482197</v>
      </c>
      <c r="AV957"/>
      <c r="AW957"/>
      <c r="FY957" s="210">
        <v>952</v>
      </c>
      <c r="FZ957">
        <v>11.356545975034869</v>
      </c>
      <c r="GA957">
        <v>15.031205716326044</v>
      </c>
      <c r="GB957">
        <v>2.9072682162827799</v>
      </c>
      <c r="GC957">
        <v>1.4958715633288018</v>
      </c>
      <c r="GD957">
        <v>0.7102650877859511</v>
      </c>
      <c r="GE957">
        <v>2.8862530764559855</v>
      </c>
      <c r="GF957">
        <v>4.0413397033174006</v>
      </c>
      <c r="GG957">
        <v>5.329681183202565</v>
      </c>
      <c r="GH957">
        <v>10.754383709962536</v>
      </c>
      <c r="GI957">
        <v>5.2412984119658672</v>
      </c>
      <c r="GJ957"/>
      <c r="GK957"/>
      <c r="GL957"/>
      <c r="GM957"/>
    </row>
    <row r="958" spans="1:195" s="7" customFormat="1">
      <c r="A958" s="4"/>
      <c r="B958" s="4"/>
      <c r="C958" s="4"/>
      <c r="D958" s="4"/>
      <c r="E958" s="4"/>
      <c r="F958" s="28"/>
      <c r="G958" s="28"/>
      <c r="H958" s="83"/>
      <c r="I958" s="4"/>
      <c r="J958" s="4"/>
      <c r="K958" s="4"/>
      <c r="L958" s="4"/>
      <c r="M958" s="4"/>
      <c r="N958" s="28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81"/>
      <c r="AG958" s="81"/>
      <c r="AH958" s="81"/>
      <c r="AI958" s="4"/>
      <c r="AJ958" s="81"/>
      <c r="AK958" s="81"/>
      <c r="AL958" s="81"/>
      <c r="AM958" s="43">
        <v>942</v>
      </c>
      <c r="AN958">
        <v>99.618816607224886</v>
      </c>
      <c r="AO958">
        <v>5.7947695039866556</v>
      </c>
      <c r="AP958">
        <v>50.975687881661521</v>
      </c>
      <c r="AQ958">
        <v>42.323259145120183</v>
      </c>
      <c r="AR958">
        <v>5.9676001663981024</v>
      </c>
      <c r="AS958">
        <v>115.06238029461336</v>
      </c>
      <c r="AT958">
        <v>3.809420008598289</v>
      </c>
      <c r="AU958">
        <v>7.213591173154339</v>
      </c>
      <c r="AV958"/>
      <c r="AW958"/>
      <c r="FY958" s="210">
        <v>953</v>
      </c>
      <c r="FZ958">
        <v>33.066733820623618</v>
      </c>
      <c r="GA958">
        <v>40.852672960608189</v>
      </c>
      <c r="GB958">
        <v>2.9736905588685207</v>
      </c>
      <c r="GC958">
        <v>1.3354072703812623</v>
      </c>
      <c r="GD958">
        <v>0.42054533315651554</v>
      </c>
      <c r="GE958">
        <v>1.823943044831533</v>
      </c>
      <c r="GF958">
        <v>8.9456612316388036</v>
      </c>
      <c r="GG958">
        <v>10.70175007875565</v>
      </c>
      <c r="GH958">
        <v>9.2219782759411917</v>
      </c>
      <c r="GI958">
        <v>8.9384129332831357</v>
      </c>
      <c r="GJ958"/>
      <c r="GK958"/>
      <c r="GL958"/>
      <c r="GM958"/>
    </row>
    <row r="959" spans="1:195" s="7" customFormat="1">
      <c r="A959" s="4"/>
      <c r="B959" s="4"/>
      <c r="C959" s="4"/>
      <c r="D959" s="4"/>
      <c r="E959" s="4"/>
      <c r="F959" s="28"/>
      <c r="G959" s="28"/>
      <c r="H959" s="83"/>
      <c r="I959" s="4"/>
      <c r="J959" s="4"/>
      <c r="K959" s="4"/>
      <c r="L959" s="4"/>
      <c r="M959" s="4"/>
      <c r="N959" s="28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81"/>
      <c r="AG959" s="81"/>
      <c r="AH959" s="81"/>
      <c r="AI959" s="4"/>
      <c r="AJ959" s="81"/>
      <c r="AK959" s="81"/>
      <c r="AL959" s="81"/>
      <c r="AM959" s="43">
        <v>943</v>
      </c>
      <c r="AN959">
        <v>162.39872283237037</v>
      </c>
      <c r="AO959">
        <v>10.762508215599549</v>
      </c>
      <c r="AP959">
        <v>103.52136756126673</v>
      </c>
      <c r="AQ959">
        <v>86.324959798355422</v>
      </c>
      <c r="AR959">
        <v>10.4448291148446</v>
      </c>
      <c r="AS959">
        <v>180.41265255558778</v>
      </c>
      <c r="AT959">
        <v>6.3053220688756992</v>
      </c>
      <c r="AU959">
        <v>16.012794176436891</v>
      </c>
      <c r="AV959"/>
      <c r="AW959"/>
      <c r="FY959" s="210">
        <v>954</v>
      </c>
      <c r="FZ959">
        <v>11.574420271077223</v>
      </c>
      <c r="GA959">
        <v>18.222647310357644</v>
      </c>
      <c r="GB959">
        <v>4.2909241858390565</v>
      </c>
      <c r="GC959">
        <v>1.1113388766553771</v>
      </c>
      <c r="GD959">
        <v>1.0628039940714051</v>
      </c>
      <c r="GE959">
        <v>3.9017263751291567</v>
      </c>
      <c r="GF959">
        <v>12.003591502280916</v>
      </c>
      <c r="GG959">
        <v>12.436878811923826</v>
      </c>
      <c r="GH959">
        <v>9.1823480709029255</v>
      </c>
      <c r="GI959">
        <v>7.0345987508323597</v>
      </c>
      <c r="GJ959"/>
      <c r="GK959"/>
      <c r="GL959"/>
      <c r="GM959"/>
    </row>
    <row r="960" spans="1:195" s="7" customFormat="1">
      <c r="A960" s="4"/>
      <c r="B960" s="4"/>
      <c r="C960" s="4"/>
      <c r="D960" s="4"/>
      <c r="E960" s="4"/>
      <c r="F960" s="28"/>
      <c r="G960" s="28"/>
      <c r="H960" s="83"/>
      <c r="I960" s="4"/>
      <c r="J960" s="4"/>
      <c r="K960" s="4"/>
      <c r="L960" s="4"/>
      <c r="M960" s="4"/>
      <c r="N960" s="28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81"/>
      <c r="AG960" s="81"/>
      <c r="AH960" s="81"/>
      <c r="AI960" s="4"/>
      <c r="AJ960" s="81"/>
      <c r="AK960" s="81"/>
      <c r="AL960" s="81"/>
      <c r="AM960" s="43">
        <v>944</v>
      </c>
      <c r="AN960">
        <v>61.797343823989173</v>
      </c>
      <c r="AO960">
        <v>11.126231597359837</v>
      </c>
      <c r="AP960">
        <v>119.00427277852444</v>
      </c>
      <c r="AQ960">
        <v>102.25832807595991</v>
      </c>
      <c r="AR960">
        <v>10.639613274193845</v>
      </c>
      <c r="AS960">
        <v>133.36613101062753</v>
      </c>
      <c r="AT960" t="e">
        <v>#DIV/0!</v>
      </c>
      <c r="AU960" t="e">
        <v>#DIV/0!</v>
      </c>
      <c r="AV960"/>
      <c r="AW960"/>
      <c r="FY960" s="210">
        <v>955</v>
      </c>
      <c r="FZ960">
        <v>21.831129332156337</v>
      </c>
      <c r="GA960">
        <v>26.070456975245413</v>
      </c>
      <c r="GB960">
        <v>1.9682828305292757</v>
      </c>
      <c r="GC960">
        <v>1.2529926468484669</v>
      </c>
      <c r="GD960">
        <v>1.0653249206514341</v>
      </c>
      <c r="GE960">
        <v>4.3977188822080375</v>
      </c>
      <c r="GF960">
        <v>10.250566422796437</v>
      </c>
      <c r="GG960">
        <v>7.672766011892449</v>
      </c>
      <c r="GH960">
        <v>8.5746922908891836</v>
      </c>
      <c r="GI960">
        <v>7.5413693544585838</v>
      </c>
      <c r="GJ960"/>
      <c r="GK960"/>
      <c r="GL960"/>
      <c r="GM960"/>
    </row>
    <row r="961" spans="1:195" s="7" customFormat="1">
      <c r="A961" s="4"/>
      <c r="B961" s="4"/>
      <c r="C961" s="4"/>
      <c r="D961" s="4"/>
      <c r="E961" s="4"/>
      <c r="F961" s="28"/>
      <c r="G961" s="28"/>
      <c r="H961" s="83"/>
      <c r="I961" s="4"/>
      <c r="J961" s="4"/>
      <c r="K961" s="4"/>
      <c r="L961" s="4"/>
      <c r="M961" s="4"/>
      <c r="N961" s="28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81"/>
      <c r="AG961" s="81"/>
      <c r="AH961" s="81"/>
      <c r="AI961" s="4"/>
      <c r="AJ961" s="81"/>
      <c r="AK961" s="81"/>
      <c r="AL961" s="81"/>
      <c r="AM961" s="43">
        <v>945</v>
      </c>
      <c r="AN961">
        <v>124.90015516553679</v>
      </c>
      <c r="AO961">
        <v>10.996564628224151</v>
      </c>
      <c r="AP961">
        <v>115.01103328676243</v>
      </c>
      <c r="AQ961">
        <v>97.048999317704528</v>
      </c>
      <c r="AR961">
        <v>10.728366731983932</v>
      </c>
      <c r="AS961">
        <v>177.74161565652815</v>
      </c>
      <c r="AT961">
        <v>6.4821790579752525</v>
      </c>
      <c r="AU961">
        <v>15.282461000654731</v>
      </c>
      <c r="AV961"/>
      <c r="AW961"/>
      <c r="FY961" s="210">
        <v>956</v>
      </c>
      <c r="FZ961">
        <v>21.998765861196826</v>
      </c>
      <c r="GA961">
        <v>26.65035968225828</v>
      </c>
      <c r="GB961">
        <v>1.970660246354299</v>
      </c>
      <c r="GC961">
        <v>1.0907353051594466</v>
      </c>
      <c r="GD961">
        <v>1.0095511716185106</v>
      </c>
      <c r="GE961">
        <v>3.9860901233800785</v>
      </c>
      <c r="GF961">
        <v>10.350649272775833</v>
      </c>
      <c r="GG961">
        <v>7.3885965293749791</v>
      </c>
      <c r="GH961">
        <v>5.2500439432037993</v>
      </c>
      <c r="GI961">
        <v>7.0208498604555203</v>
      </c>
      <c r="GJ961"/>
      <c r="GK961"/>
      <c r="GL961"/>
      <c r="GM961"/>
    </row>
    <row r="962" spans="1:195" s="7" customFormat="1">
      <c r="A962" s="4"/>
      <c r="B962" s="4"/>
      <c r="C962" s="4"/>
      <c r="D962" s="4"/>
      <c r="E962" s="4"/>
      <c r="F962" s="28"/>
      <c r="G962" s="28"/>
      <c r="H962" s="83"/>
      <c r="I962" s="4"/>
      <c r="J962" s="4"/>
      <c r="K962" s="4"/>
      <c r="L962" s="4"/>
      <c r="M962" s="4"/>
      <c r="N962" s="28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81"/>
      <c r="AG962" s="81"/>
      <c r="AH962" s="81"/>
      <c r="AI962" s="4"/>
      <c r="AJ962" s="81"/>
      <c r="AK962" s="81"/>
      <c r="AL962" s="81"/>
      <c r="AM962" s="43">
        <v>946</v>
      </c>
      <c r="AN962">
        <v>127.08747390984365</v>
      </c>
      <c r="AO962">
        <v>12.8706906092147</v>
      </c>
      <c r="AP962">
        <v>132.75939156026305</v>
      </c>
      <c r="AQ962">
        <v>113.4964445087781</v>
      </c>
      <c r="AR962">
        <v>12.230199241262268</v>
      </c>
      <c r="AS962">
        <v>204.61477901698299</v>
      </c>
      <c r="AT962">
        <v>8.326833168893355</v>
      </c>
      <c r="AU962">
        <v>12.9083831039567</v>
      </c>
      <c r="AV962"/>
      <c r="AW962"/>
      <c r="FY962" s="210">
        <v>957</v>
      </c>
      <c r="FZ962">
        <v>26.752438358398781</v>
      </c>
      <c r="GA962">
        <v>26.660214605103853</v>
      </c>
      <c r="GB962">
        <v>2.0487296435437643</v>
      </c>
      <c r="GC962">
        <v>1.1532908084874465</v>
      </c>
      <c r="GD962">
        <v>1.0765003065926109</v>
      </c>
      <c r="GE962">
        <v>2.62983486191139</v>
      </c>
      <c r="GF962">
        <v>6.4368337421561783</v>
      </c>
      <c r="GG962">
        <v>6.5013711699782988</v>
      </c>
      <c r="GH962">
        <v>5.6824181037451034</v>
      </c>
      <c r="GI962">
        <v>7.1507683611005008</v>
      </c>
      <c r="GJ962"/>
      <c r="GK962"/>
      <c r="GL962"/>
      <c r="GM962"/>
    </row>
    <row r="963" spans="1:195" s="7" customFormat="1">
      <c r="A963" s="4"/>
      <c r="B963" s="4"/>
      <c r="C963" s="4"/>
      <c r="D963" s="4"/>
      <c r="E963" s="4"/>
      <c r="F963" s="28"/>
      <c r="G963" s="28"/>
      <c r="H963" s="83"/>
      <c r="I963" s="4"/>
      <c r="J963" s="4"/>
      <c r="K963" s="4"/>
      <c r="L963" s="4"/>
      <c r="M963" s="4"/>
      <c r="N963" s="28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81"/>
      <c r="AG963" s="81"/>
      <c r="AH963" s="81"/>
      <c r="AI963" s="4"/>
      <c r="AJ963" s="81"/>
      <c r="AK963" s="81"/>
      <c r="AL963" s="81"/>
      <c r="AM963" s="43">
        <v>947</v>
      </c>
      <c r="AN963">
        <v>99.626320928940316</v>
      </c>
      <c r="AO963">
        <v>10.533760549342757</v>
      </c>
      <c r="AP963">
        <v>105.64059232193149</v>
      </c>
      <c r="AQ963">
        <v>90.885535432781921</v>
      </c>
      <c r="AR963">
        <v>10.322990109309183</v>
      </c>
      <c r="AS963">
        <v>138.43939516289652</v>
      </c>
      <c r="AT963">
        <v>6.2293914614446537</v>
      </c>
      <c r="AU963">
        <v>8.9727041421680696</v>
      </c>
      <c r="AV963"/>
      <c r="AW963"/>
      <c r="FY963" s="210">
        <v>958</v>
      </c>
      <c r="FZ963">
        <v>23.741347525490326</v>
      </c>
      <c r="GA963">
        <v>28.35211640057873</v>
      </c>
      <c r="GB963">
        <v>2.7995201357636792</v>
      </c>
      <c r="GC963">
        <v>0.88491999646510677</v>
      </c>
      <c r="GD963">
        <v>1.2689392170215346</v>
      </c>
      <c r="GE963">
        <v>3.671855550577849</v>
      </c>
      <c r="GF963">
        <v>9.7631069143249292</v>
      </c>
      <c r="GG963">
        <v>11.661427048068246</v>
      </c>
      <c r="GH963">
        <v>10.576679508118101</v>
      </c>
      <c r="GI963">
        <v>8.3838128946495605</v>
      </c>
      <c r="GJ963"/>
      <c r="GK963"/>
      <c r="GL963"/>
      <c r="GM963"/>
    </row>
    <row r="964" spans="1:195" s="7" customFormat="1">
      <c r="A964" s="4"/>
      <c r="B964" s="4"/>
      <c r="C964" s="4"/>
      <c r="D964" s="4"/>
      <c r="E964" s="4"/>
      <c r="F964" s="28"/>
      <c r="G964" s="28"/>
      <c r="H964" s="83"/>
      <c r="I964" s="4"/>
      <c r="J964" s="4"/>
      <c r="K964" s="4"/>
      <c r="L964" s="4"/>
      <c r="M964" s="4"/>
      <c r="N964" s="28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81"/>
      <c r="AG964" s="81"/>
      <c r="AH964" s="81"/>
      <c r="AI964" s="4"/>
      <c r="AJ964" s="81"/>
      <c r="AK964" s="81"/>
      <c r="AL964" s="81"/>
      <c r="AM964" s="43">
        <v>948</v>
      </c>
      <c r="AN964">
        <v>100.38726558722699</v>
      </c>
      <c r="AO964">
        <v>7.6857100731087327</v>
      </c>
      <c r="AP964">
        <v>73.162977654657354</v>
      </c>
      <c r="AQ964">
        <v>62.049006900371111</v>
      </c>
      <c r="AR964">
        <v>7.460619225340043</v>
      </c>
      <c r="AS964">
        <v>119.54410612918839</v>
      </c>
      <c r="AT964">
        <v>4.3356555018432887</v>
      </c>
      <c r="AU964">
        <v>13.492475650308544</v>
      </c>
      <c r="AV964"/>
      <c r="AW964"/>
      <c r="FY964" s="210">
        <v>959</v>
      </c>
      <c r="FZ964">
        <v>46.1999330897143</v>
      </c>
      <c r="GA964">
        <v>53.651365397510844</v>
      </c>
      <c r="GB964">
        <v>3.0437907834880695</v>
      </c>
      <c r="GC964">
        <v>1.296533040515043</v>
      </c>
      <c r="GD964">
        <v>1.3836738660534746</v>
      </c>
      <c r="GE964">
        <v>2.5837982207978261</v>
      </c>
      <c r="GF964">
        <v>7.6489155405998384</v>
      </c>
      <c r="GG964">
        <v>10.681007368755282</v>
      </c>
      <c r="GH964">
        <v>10.779677475160257</v>
      </c>
      <c r="GI964">
        <v>11.475082908922467</v>
      </c>
      <c r="GJ964"/>
      <c r="GK964"/>
      <c r="GL964"/>
      <c r="GM964"/>
    </row>
    <row r="965" spans="1:195" s="7" customFormat="1">
      <c r="A965" s="4"/>
      <c r="B965" s="4"/>
      <c r="C965" s="4"/>
      <c r="D965" s="4"/>
      <c r="E965" s="4"/>
      <c r="F965" s="28"/>
      <c r="G965" s="28"/>
      <c r="H965" s="83"/>
      <c r="I965" s="4"/>
      <c r="J965" s="4"/>
      <c r="K965" s="4"/>
      <c r="L965" s="4"/>
      <c r="M965" s="4"/>
      <c r="N965" s="28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81"/>
      <c r="AG965" s="81"/>
      <c r="AH965" s="81"/>
      <c r="AI965" s="4"/>
      <c r="AJ965" s="81"/>
      <c r="AK965" s="81"/>
      <c r="AL965" s="81"/>
      <c r="AM965" s="43">
        <v>949</v>
      </c>
      <c r="AN965">
        <v>127.31682027999207</v>
      </c>
      <c r="AO965">
        <v>10.623255323891822</v>
      </c>
      <c r="AP965">
        <v>105.85819226605459</v>
      </c>
      <c r="AQ965">
        <v>91.444339707690588</v>
      </c>
      <c r="AR965">
        <v>10.323726233838473</v>
      </c>
      <c r="AS965">
        <v>193.89126991916302</v>
      </c>
      <c r="AT965">
        <v>6.2938446800443977</v>
      </c>
      <c r="AU965">
        <v>19.855077607977954</v>
      </c>
      <c r="AV965"/>
      <c r="AW965"/>
      <c r="FY965" s="210">
        <v>960</v>
      </c>
      <c r="FZ965">
        <v>16.533114484186861</v>
      </c>
      <c r="GA965">
        <v>14.670312656705846</v>
      </c>
      <c r="GB965">
        <v>1.3682125966072247</v>
      </c>
      <c r="GC965">
        <v>0.71939889237934385</v>
      </c>
      <c r="GD965">
        <v>1.1916457019699065</v>
      </c>
      <c r="GE965">
        <v>2.9782536839583442</v>
      </c>
      <c r="GF965">
        <v>4.6859415690811321</v>
      </c>
      <c r="GG965">
        <v>6.6453609947143324</v>
      </c>
      <c r="GH965">
        <v>9.199438462987148</v>
      </c>
      <c r="GI965">
        <v>5.7891624819274323</v>
      </c>
      <c r="GJ965"/>
      <c r="GK965"/>
      <c r="GL965"/>
      <c r="GM965"/>
    </row>
    <row r="966" spans="1:195" s="7" customFormat="1">
      <c r="A966" s="4"/>
      <c r="B966" s="4"/>
      <c r="C966" s="4"/>
      <c r="D966" s="4"/>
      <c r="E966" s="4"/>
      <c r="F966" s="28"/>
      <c r="G966" s="28"/>
      <c r="H966" s="83"/>
      <c r="I966" s="4"/>
      <c r="J966" s="4"/>
      <c r="K966" s="4"/>
      <c r="L966" s="4"/>
      <c r="M966" s="4"/>
      <c r="N966" s="28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81"/>
      <c r="AG966" s="81"/>
      <c r="AH966" s="81"/>
      <c r="AI966" s="4"/>
      <c r="AJ966" s="81"/>
      <c r="AK966" s="81"/>
      <c r="AL966" s="81"/>
      <c r="AM966" s="43">
        <v>950</v>
      </c>
      <c r="AN966">
        <v>95.997228557840714</v>
      </c>
      <c r="AO966">
        <v>11.474474448404603</v>
      </c>
      <c r="AP966">
        <v>121.6889498003781</v>
      </c>
      <c r="AQ966">
        <v>105.17454323501626</v>
      </c>
      <c r="AR966">
        <v>10.856191068407409</v>
      </c>
      <c r="AS966">
        <v>144.9406871716277</v>
      </c>
      <c r="AT966">
        <v>6.8824184048785559</v>
      </c>
      <c r="AU966">
        <v>17.405437411689732</v>
      </c>
      <c r="AV966"/>
      <c r="AW966"/>
      <c r="FY966" s="210">
        <v>961</v>
      </c>
      <c r="FZ966">
        <v>32.613859980040182</v>
      </c>
      <c r="GA966">
        <v>40.410973577606697</v>
      </c>
      <c r="GB966">
        <v>1.3184210340626799</v>
      </c>
      <c r="GC966">
        <v>0.55580095087292669</v>
      </c>
      <c r="GD966">
        <v>0.89877034469554085</v>
      </c>
      <c r="GE966">
        <v>3.2972461726311284</v>
      </c>
      <c r="GF966">
        <v>4.8563259301640258</v>
      </c>
      <c r="GG966">
        <v>5.7415518589311176</v>
      </c>
      <c r="GH966">
        <v>8.2595738696155685</v>
      </c>
      <c r="GI966">
        <v>7.8464072578250121</v>
      </c>
      <c r="GJ966"/>
      <c r="GK966"/>
      <c r="GL966"/>
      <c r="GM966"/>
    </row>
    <row r="967" spans="1:195" s="7" customFormat="1">
      <c r="A967" s="4"/>
      <c r="B967" s="4"/>
      <c r="C967" s="4"/>
      <c r="D967" s="4"/>
      <c r="E967" s="4"/>
      <c r="F967" s="28"/>
      <c r="G967" s="28"/>
      <c r="H967" s="83"/>
      <c r="I967" s="4"/>
      <c r="J967" s="4"/>
      <c r="K967" s="4"/>
      <c r="L967" s="4"/>
      <c r="M967" s="4"/>
      <c r="N967" s="28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81"/>
      <c r="AG967" s="81"/>
      <c r="AH967" s="81"/>
      <c r="AI967" s="4"/>
      <c r="AJ967" s="81"/>
      <c r="AK967" s="81"/>
      <c r="AL967" s="81"/>
      <c r="AM967" s="43">
        <v>951</v>
      </c>
      <c r="AN967">
        <v>140.44869059573676</v>
      </c>
      <c r="AO967">
        <v>9.6410754706425585</v>
      </c>
      <c r="AP967">
        <v>91.760376213664117</v>
      </c>
      <c r="AQ967">
        <v>77.855045067779258</v>
      </c>
      <c r="AR967">
        <v>9.5061100550991764</v>
      </c>
      <c r="AS967">
        <v>165.37411519310447</v>
      </c>
      <c r="AT967">
        <v>6.0446650627201164</v>
      </c>
      <c r="AU967">
        <v>14.579949275761081</v>
      </c>
      <c r="AV967"/>
      <c r="AW967"/>
      <c r="FY967" s="210">
        <v>962</v>
      </c>
      <c r="FZ967">
        <v>10.969554903941717</v>
      </c>
      <c r="GA967">
        <v>13.708387078094905</v>
      </c>
      <c r="GB967">
        <v>1.9019533834899023</v>
      </c>
      <c r="GC967">
        <v>0.91105036440772547</v>
      </c>
      <c r="GD967">
        <v>1.960248716012712</v>
      </c>
      <c r="GE967">
        <v>5.2664319071987746</v>
      </c>
      <c r="GF967">
        <v>5.2461746325710035</v>
      </c>
      <c r="GG967">
        <v>6.9514791058972598</v>
      </c>
      <c r="GH967">
        <v>8.469599604431048</v>
      </c>
      <c r="GI967">
        <v>5.5430785954454933</v>
      </c>
      <c r="GJ967"/>
      <c r="GK967"/>
      <c r="GL967"/>
      <c r="GM967"/>
    </row>
    <row r="968" spans="1:195" s="7" customFormat="1">
      <c r="A968" s="4"/>
      <c r="B968" s="4"/>
      <c r="C968" s="4"/>
      <c r="D968" s="4"/>
      <c r="E968" s="4"/>
      <c r="F968" s="28"/>
      <c r="G968" s="28"/>
      <c r="H968" s="83"/>
      <c r="I968" s="4"/>
      <c r="J968" s="4"/>
      <c r="K968" s="4"/>
      <c r="L968" s="4"/>
      <c r="M968" s="4"/>
      <c r="N968" s="28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81"/>
      <c r="AG968" s="81"/>
      <c r="AH968" s="81"/>
      <c r="AI968" s="4"/>
      <c r="AJ968" s="81"/>
      <c r="AK968" s="81"/>
      <c r="AL968" s="81"/>
      <c r="AM968" s="43">
        <v>952</v>
      </c>
      <c r="AN968">
        <v>96.915213045914768</v>
      </c>
      <c r="AO968">
        <v>7.3660878703283572</v>
      </c>
      <c r="AP968">
        <v>70.867746801308883</v>
      </c>
      <c r="AQ968">
        <v>59.754112643662801</v>
      </c>
      <c r="AR968">
        <v>7.1446810123431828</v>
      </c>
      <c r="AS968">
        <v>121.95660069747676</v>
      </c>
      <c r="AT968">
        <v>4.6152110065791154</v>
      </c>
      <c r="AU968">
        <v>10.673297032794649</v>
      </c>
      <c r="AV968"/>
      <c r="AW968"/>
      <c r="FY968" s="210">
        <v>963</v>
      </c>
      <c r="FZ968">
        <v>43.803708142761216</v>
      </c>
      <c r="GA968">
        <v>53.63630133260812</v>
      </c>
      <c r="GB968">
        <v>3.7390902981351903</v>
      </c>
      <c r="GC968">
        <v>1.5386240112300011</v>
      </c>
      <c r="GD968">
        <v>0.72430316011172668</v>
      </c>
      <c r="GE968">
        <v>3.982088599195269</v>
      </c>
      <c r="GF968">
        <v>13.468563922093212</v>
      </c>
      <c r="GG968">
        <v>10.09799076405816</v>
      </c>
      <c r="GH968">
        <v>6.4401818252580423</v>
      </c>
      <c r="GI968">
        <v>11.276769741601484</v>
      </c>
      <c r="GJ968"/>
      <c r="GK968"/>
      <c r="GL968"/>
      <c r="GM968"/>
    </row>
    <row r="969" spans="1:195" s="7" customFormat="1">
      <c r="A969" s="4"/>
      <c r="B969" s="4"/>
      <c r="C969" s="4"/>
      <c r="D969" s="4"/>
      <c r="E969" s="4"/>
      <c r="F969" s="28"/>
      <c r="G969" s="28"/>
      <c r="H969" s="83"/>
      <c r="I969" s="4"/>
      <c r="J969" s="4"/>
      <c r="K969" s="4"/>
      <c r="L969" s="4"/>
      <c r="M969" s="4"/>
      <c r="N969" s="28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81"/>
      <c r="AG969" s="81"/>
      <c r="AH969" s="81"/>
      <c r="AI969" s="4"/>
      <c r="AJ969" s="81"/>
      <c r="AK969" s="81"/>
      <c r="AL969" s="81"/>
      <c r="AM969" s="43">
        <v>953</v>
      </c>
      <c r="AN969">
        <v>131.28901112628552</v>
      </c>
      <c r="AO969">
        <v>13.143828554094204</v>
      </c>
      <c r="AP969">
        <v>139.6866773910734</v>
      </c>
      <c r="AQ969">
        <v>118.28079550808843</v>
      </c>
      <c r="AR969">
        <v>12.38686360320693</v>
      </c>
      <c r="AS969">
        <v>189.10846587101301</v>
      </c>
      <c r="AT969">
        <v>7.3885768843117878</v>
      </c>
      <c r="AU969">
        <v>32.369727400827934</v>
      </c>
      <c r="AV969"/>
      <c r="AW969"/>
      <c r="FY969" s="210">
        <v>964</v>
      </c>
      <c r="FZ969">
        <v>25.688012188964866</v>
      </c>
      <c r="GA969">
        <v>28.473444570785844</v>
      </c>
      <c r="GB969">
        <v>2.4526851422984248</v>
      </c>
      <c r="GC969">
        <v>0.92647453431849791</v>
      </c>
      <c r="GD969">
        <v>0.67214546483792703</v>
      </c>
      <c r="GE969">
        <v>1.7065148654748512</v>
      </c>
      <c r="GF969">
        <v>4.4035929815401804</v>
      </c>
      <c r="GG969">
        <v>8.2047835810991501</v>
      </c>
      <c r="GH969">
        <v>10.542404251611918</v>
      </c>
      <c r="GI969">
        <v>7.262325075128123</v>
      </c>
      <c r="GJ969"/>
      <c r="GK969"/>
      <c r="GL969"/>
      <c r="GM969"/>
    </row>
    <row r="970" spans="1:195" s="7" customFormat="1">
      <c r="A970" s="4"/>
      <c r="B970" s="4"/>
      <c r="C970" s="4"/>
      <c r="D970" s="4"/>
      <c r="E970" s="4"/>
      <c r="F970" s="28"/>
      <c r="G970" s="28"/>
      <c r="H970" s="83"/>
      <c r="I970" s="4"/>
      <c r="J970" s="4"/>
      <c r="K970" s="4"/>
      <c r="L970" s="4"/>
      <c r="M970" s="4"/>
      <c r="N970" s="28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81"/>
      <c r="AG970" s="81"/>
      <c r="AH970" s="81"/>
      <c r="AI970" s="4"/>
      <c r="AJ970" s="81"/>
      <c r="AK970" s="81"/>
      <c r="AL970" s="81"/>
      <c r="AM970" s="43">
        <v>954</v>
      </c>
      <c r="AN970">
        <v>118.61894572040475</v>
      </c>
      <c r="AO970">
        <v>10.22161471314819</v>
      </c>
      <c r="AP970">
        <v>98.373114846466791</v>
      </c>
      <c r="AQ970">
        <v>80.821278149069869</v>
      </c>
      <c r="AR970">
        <v>9.6642719211004326</v>
      </c>
      <c r="AS970">
        <v>171.13376562942329</v>
      </c>
      <c r="AT970">
        <v>6.1059339265737647</v>
      </c>
      <c r="AU970">
        <v>1.6194809071577991</v>
      </c>
      <c r="AV970"/>
      <c r="AW970"/>
      <c r="FY970" s="210">
        <v>965</v>
      </c>
      <c r="FZ970">
        <v>23.288473684906887</v>
      </c>
      <c r="GA970">
        <v>28.203687086067124</v>
      </c>
      <c r="GB970">
        <v>3.2306544014033829</v>
      </c>
      <c r="GC970">
        <v>1.4016419032287262</v>
      </c>
      <c r="GD970">
        <v>1.0746930426513106</v>
      </c>
      <c r="GE970">
        <v>2.0334723826805097</v>
      </c>
      <c r="GF970">
        <v>10.087629527714412</v>
      </c>
      <c r="GG970">
        <v>14.553527918560317</v>
      </c>
      <c r="GH970">
        <v>12.079205745327</v>
      </c>
      <c r="GI970">
        <v>8.6064850433879858</v>
      </c>
      <c r="GJ970"/>
      <c r="GK970"/>
      <c r="GL970"/>
      <c r="GM970"/>
    </row>
    <row r="971" spans="1:195" s="7" customFormat="1">
      <c r="A971" s="4"/>
      <c r="B971" s="4"/>
      <c r="C971" s="4"/>
      <c r="D971" s="4"/>
      <c r="E971" s="4"/>
      <c r="F971" s="28"/>
      <c r="G971" s="28"/>
      <c r="H971" s="83"/>
      <c r="I971" s="4"/>
      <c r="J971" s="4"/>
      <c r="K971" s="4"/>
      <c r="L971" s="4"/>
      <c r="M971" s="4"/>
      <c r="N971" s="28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81"/>
      <c r="AG971" s="81"/>
      <c r="AH971" s="81"/>
      <c r="AI971" s="4"/>
      <c r="AJ971" s="81"/>
      <c r="AK971" s="81"/>
      <c r="AL971" s="81"/>
      <c r="AM971" s="43">
        <v>955</v>
      </c>
      <c r="AN971">
        <v>115.74551747568805</v>
      </c>
      <c r="AO971">
        <v>10.765384579267842</v>
      </c>
      <c r="AP971">
        <v>105.88032935159136</v>
      </c>
      <c r="AQ971">
        <v>90.62529966767562</v>
      </c>
      <c r="AR971">
        <v>10.322159229461763</v>
      </c>
      <c r="AS971">
        <v>157.71470074341318</v>
      </c>
      <c r="AT971">
        <v>6.9384039786779894</v>
      </c>
      <c r="AU971">
        <v>-8.2464934719006511</v>
      </c>
      <c r="AV971"/>
      <c r="AW971"/>
      <c r="FY971" s="210">
        <v>966</v>
      </c>
      <c r="FZ971">
        <v>25.181235209442431</v>
      </c>
      <c r="GA971">
        <v>28.072268116363993</v>
      </c>
      <c r="GB971">
        <v>2.3484089891501241</v>
      </c>
      <c r="GC971">
        <v>1.0552833413665701</v>
      </c>
      <c r="GD971">
        <v>0.53246223775267265</v>
      </c>
      <c r="GE971">
        <v>2.0423156396769508</v>
      </c>
      <c r="GF971">
        <v>5.1720152966436936</v>
      </c>
      <c r="GG971">
        <v>5.0539555483525191</v>
      </c>
      <c r="GH971">
        <v>5.5531434286088448</v>
      </c>
      <c r="GI971">
        <v>6.4230210953539597</v>
      </c>
      <c r="GJ971"/>
      <c r="GK971"/>
      <c r="GL971"/>
      <c r="GM971"/>
    </row>
    <row r="972" spans="1:195" s="7" customFormat="1">
      <c r="A972" s="4"/>
      <c r="B972" s="4"/>
      <c r="C972" s="4"/>
      <c r="D972" s="4"/>
      <c r="E972" s="4"/>
      <c r="F972" s="28"/>
      <c r="G972" s="28"/>
      <c r="H972" s="83"/>
      <c r="I972" s="4"/>
      <c r="J972" s="4"/>
      <c r="K972" s="4"/>
      <c r="L972" s="4"/>
      <c r="M972" s="4"/>
      <c r="N972" s="28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81"/>
      <c r="AG972" s="81"/>
      <c r="AH972" s="81"/>
      <c r="AI972" s="4"/>
      <c r="AJ972" s="81"/>
      <c r="AK972" s="81"/>
      <c r="AL972" s="81"/>
      <c r="AM972" s="43">
        <v>956</v>
      </c>
      <c r="AN972">
        <v>125.19549165660094</v>
      </c>
      <c r="AO972">
        <v>10.202605446867029</v>
      </c>
      <c r="AP972">
        <v>101.0512367624882</v>
      </c>
      <c r="AQ972">
        <v>86.71630199577757</v>
      </c>
      <c r="AR972">
        <v>9.6033174310204554</v>
      </c>
      <c r="AS972">
        <v>181.08766079313313</v>
      </c>
      <c r="AT972">
        <v>6.1924305289916104</v>
      </c>
      <c r="AU972">
        <v>35.624840147750007</v>
      </c>
      <c r="AV972"/>
      <c r="AW972"/>
      <c r="FY972" s="210">
        <v>967</v>
      </c>
      <c r="FZ972">
        <v>26.707597021552992</v>
      </c>
      <c r="GA972">
        <v>27.616407200379154</v>
      </c>
      <c r="GB972">
        <v>2.5646055793674045</v>
      </c>
      <c r="GC972">
        <v>1.0089327272366206</v>
      </c>
      <c r="GD972">
        <v>0.77854640640340955</v>
      </c>
      <c r="GE972">
        <v>2.4051468645953018</v>
      </c>
      <c r="GF972">
        <v>6.6855221141896042</v>
      </c>
      <c r="GG972">
        <v>9.5626097325080934</v>
      </c>
      <c r="GH972">
        <v>9.6241830805484092</v>
      </c>
      <c r="GI972">
        <v>7.7698147090828513</v>
      </c>
      <c r="GJ972"/>
      <c r="GK972"/>
      <c r="GL972"/>
      <c r="GM972"/>
    </row>
    <row r="973" spans="1:195" s="7" customFormat="1">
      <c r="A973" s="4"/>
      <c r="B973" s="4"/>
      <c r="C973" s="4"/>
      <c r="D973" s="4"/>
      <c r="E973" s="4"/>
      <c r="F973" s="28"/>
      <c r="G973" s="28"/>
      <c r="H973" s="83"/>
      <c r="I973" s="4"/>
      <c r="J973" s="4"/>
      <c r="K973" s="4"/>
      <c r="L973" s="4"/>
      <c r="M973" s="4"/>
      <c r="N973" s="28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81"/>
      <c r="AG973" s="81"/>
      <c r="AH973" s="81"/>
      <c r="AI973" s="4"/>
      <c r="AJ973" s="81"/>
      <c r="AK973" s="81"/>
      <c r="AL973" s="81"/>
      <c r="AM973" s="43">
        <v>957</v>
      </c>
      <c r="AN973">
        <v>85.637452965548817</v>
      </c>
      <c r="AO973">
        <v>9.97087146424421</v>
      </c>
      <c r="AP973">
        <v>99.564689444362727</v>
      </c>
      <c r="AQ973">
        <v>86.092399961017946</v>
      </c>
      <c r="AR973">
        <v>9.9290792328716861</v>
      </c>
      <c r="AS973">
        <v>141.74856792331661</v>
      </c>
      <c r="AT973">
        <v>6.2244150444643944</v>
      </c>
      <c r="AU973">
        <v>8.7289038727403927</v>
      </c>
      <c r="AV973"/>
      <c r="AW973"/>
      <c r="FY973" s="210">
        <v>968</v>
      </c>
      <c r="FZ973">
        <v>11.003149312767471</v>
      </c>
      <c r="GA973">
        <v>14.458744504240768</v>
      </c>
      <c r="GB973">
        <v>2.4177070716294802</v>
      </c>
      <c r="GC973">
        <v>1.3664879830037033</v>
      </c>
      <c r="GD973">
        <v>1.3067222614003247</v>
      </c>
      <c r="GE973">
        <v>2.3840047875760111</v>
      </c>
      <c r="GF973">
        <v>5.4853587441576481</v>
      </c>
      <c r="GG973">
        <v>9.0520587961267935</v>
      </c>
      <c r="GH973">
        <v>10.110249831201958</v>
      </c>
      <c r="GI973">
        <v>5.5792847162958727</v>
      </c>
      <c r="GJ973"/>
      <c r="GK973"/>
      <c r="GL973"/>
      <c r="GM973"/>
    </row>
    <row r="974" spans="1:195" s="7" customFormat="1">
      <c r="A974" s="4"/>
      <c r="B974" s="4"/>
      <c r="C974" s="4"/>
      <c r="D974" s="4"/>
      <c r="E974" s="4"/>
      <c r="F974" s="28"/>
      <c r="G974" s="28"/>
      <c r="H974" s="83"/>
      <c r="I974" s="4"/>
      <c r="J974" s="4"/>
      <c r="K974" s="4"/>
      <c r="L974" s="4"/>
      <c r="M974" s="4"/>
      <c r="N974" s="28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81"/>
      <c r="AG974" s="81"/>
      <c r="AH974" s="81"/>
      <c r="AI974" s="4"/>
      <c r="AJ974" s="81"/>
      <c r="AK974" s="81"/>
      <c r="AL974" s="81"/>
      <c r="AM974" s="43">
        <v>958</v>
      </c>
      <c r="AN974">
        <v>121.87506274032349</v>
      </c>
      <c r="AO974">
        <v>11.970808537122945</v>
      </c>
      <c r="AP974">
        <v>119.15847844008623</v>
      </c>
      <c r="AQ974">
        <v>101.10372519105806</v>
      </c>
      <c r="AR974">
        <v>11.595865568525646</v>
      </c>
      <c r="AS974">
        <v>186.51533328507631</v>
      </c>
      <c r="AT974">
        <v>7.0723555774742346</v>
      </c>
      <c r="AU974">
        <v>24.82077300901528</v>
      </c>
      <c r="AV974"/>
      <c r="AW974"/>
      <c r="FY974" s="210">
        <v>969</v>
      </c>
      <c r="FZ974">
        <v>23.245004163365589</v>
      </c>
      <c r="GA974">
        <v>29.033025233745633</v>
      </c>
      <c r="GB974">
        <v>2.7027153665982508</v>
      </c>
      <c r="GC974">
        <v>0.70617259370206464</v>
      </c>
      <c r="GD974">
        <v>1.6934031909155478</v>
      </c>
      <c r="GE974">
        <v>3.0290616589153814</v>
      </c>
      <c r="GF974">
        <v>5.0586815839573891</v>
      </c>
      <c r="GG974">
        <v>6.0424065546773704</v>
      </c>
      <c r="GH974">
        <v>5.4600614875754907</v>
      </c>
      <c r="GI974">
        <v>6.8809634806948132</v>
      </c>
      <c r="GJ974"/>
      <c r="GK974"/>
      <c r="GL974"/>
      <c r="GM974"/>
    </row>
    <row r="975" spans="1:195" s="7" customFormat="1">
      <c r="A975" s="4"/>
      <c r="B975" s="4"/>
      <c r="C975" s="4"/>
      <c r="D975" s="4"/>
      <c r="E975" s="4"/>
      <c r="F975" s="28"/>
      <c r="G975" s="28"/>
      <c r="H975" s="83"/>
      <c r="I975" s="4"/>
      <c r="J975" s="4"/>
      <c r="K975" s="4"/>
      <c r="L975" s="4"/>
      <c r="M975" s="4"/>
      <c r="N975" s="28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81"/>
      <c r="AG975" s="81"/>
      <c r="AH975" s="81"/>
      <c r="AI975" s="4"/>
      <c r="AJ975" s="81"/>
      <c r="AK975" s="81"/>
      <c r="AL975" s="81"/>
      <c r="AM975" s="43">
        <v>959</v>
      </c>
      <c r="AN975">
        <v>133.85948522747907</v>
      </c>
      <c r="AO975">
        <v>16.511105367579571</v>
      </c>
      <c r="AP975">
        <v>173.19994746316527</v>
      </c>
      <c r="AQ975">
        <v>148.74377769151741</v>
      </c>
      <c r="AR975">
        <v>16.038352275992974</v>
      </c>
      <c r="AS975">
        <v>226.07901172106457</v>
      </c>
      <c r="AT975">
        <v>9.9229775734350429</v>
      </c>
      <c r="AU975">
        <v>3.1327749418797901</v>
      </c>
      <c r="AV975"/>
      <c r="AW975"/>
      <c r="FY975" s="210">
        <v>970</v>
      </c>
      <c r="FZ975">
        <v>2.2180089998780517</v>
      </c>
      <c r="GA975">
        <v>2.8385632081668812</v>
      </c>
      <c r="GB975">
        <v>3.620760322420447</v>
      </c>
      <c r="GC975">
        <v>1.5362666920625256</v>
      </c>
      <c r="GD975">
        <v>0.8074016294376003</v>
      </c>
      <c r="GE975">
        <v>2.6684168068228002</v>
      </c>
      <c r="GF975">
        <v>8.7841999084660767</v>
      </c>
      <c r="GG975">
        <v>15.900843580344777</v>
      </c>
      <c r="GH975">
        <v>17.34390604502715</v>
      </c>
      <c r="GI975">
        <v>6.0330261794780959</v>
      </c>
      <c r="GJ975"/>
      <c r="GK975"/>
      <c r="GL975"/>
      <c r="GM975"/>
    </row>
    <row r="976" spans="1:195" s="7" customFormat="1">
      <c r="A976" s="4"/>
      <c r="B976" s="4"/>
      <c r="C976" s="4"/>
      <c r="D976" s="4"/>
      <c r="E976" s="4"/>
      <c r="F976" s="28"/>
      <c r="G976" s="28"/>
      <c r="H976" s="83"/>
      <c r="I976" s="4"/>
      <c r="J976" s="4"/>
      <c r="K976" s="4"/>
      <c r="L976" s="4"/>
      <c r="M976" s="4"/>
      <c r="N976" s="28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81"/>
      <c r="AG976" s="81"/>
      <c r="AH976" s="81"/>
      <c r="AI976" s="4"/>
      <c r="AJ976" s="81"/>
      <c r="AK976" s="81"/>
      <c r="AL976" s="81"/>
      <c r="AM976" s="43">
        <v>960</v>
      </c>
      <c r="AN976">
        <v>81.459952904690709</v>
      </c>
      <c r="AO976">
        <v>7.7783994096520983</v>
      </c>
      <c r="AP976">
        <v>73.815793679750726</v>
      </c>
      <c r="AQ976">
        <v>63.780841524517562</v>
      </c>
      <c r="AR976">
        <v>8.0112571992908279</v>
      </c>
      <c r="AS976">
        <v>121.74902069886792</v>
      </c>
      <c r="AT976">
        <v>4.6791110064137973</v>
      </c>
      <c r="AU976">
        <v>16.257194738352283</v>
      </c>
      <c r="AV976"/>
      <c r="AW976"/>
      <c r="FY976" s="210">
        <v>971</v>
      </c>
      <c r="FZ976">
        <v>24.162540301836167</v>
      </c>
      <c r="GA976">
        <v>29.510994047513876</v>
      </c>
      <c r="GB976">
        <v>4.1371566090274001</v>
      </c>
      <c r="GC976">
        <v>1.8087912128044956</v>
      </c>
      <c r="GD976">
        <v>0.98493979907793849</v>
      </c>
      <c r="GE976">
        <v>2.3005404723430121</v>
      </c>
      <c r="GF976">
        <v>3.2819383214059212</v>
      </c>
      <c r="GG976">
        <v>3.8031792380752361</v>
      </c>
      <c r="GH976">
        <v>5.2226235402427168</v>
      </c>
      <c r="GI976">
        <v>6.5786354889445873</v>
      </c>
      <c r="GJ976"/>
      <c r="GK976"/>
      <c r="GL976"/>
      <c r="GM976"/>
    </row>
    <row r="977" spans="1:195" s="7" customFormat="1">
      <c r="A977" s="4"/>
      <c r="B977" s="4"/>
      <c r="C977" s="4"/>
      <c r="D977" s="4"/>
      <c r="E977" s="4"/>
      <c r="F977" s="28"/>
      <c r="G977" s="28"/>
      <c r="H977" s="83"/>
      <c r="I977" s="4"/>
      <c r="J977" s="4"/>
      <c r="K977" s="4"/>
      <c r="L977" s="4"/>
      <c r="M977" s="4"/>
      <c r="N977" s="28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81"/>
      <c r="AG977" s="81"/>
      <c r="AH977" s="81"/>
      <c r="AI977" s="4"/>
      <c r="AJ977" s="81"/>
      <c r="AK977" s="81"/>
      <c r="AL977" s="81"/>
      <c r="AM977" s="43">
        <v>961</v>
      </c>
      <c r="AN977">
        <v>114.21690545178224</v>
      </c>
      <c r="AO977">
        <v>11.575573709954671</v>
      </c>
      <c r="AP977">
        <v>121.85587184850708</v>
      </c>
      <c r="AQ977">
        <v>105.79893097644485</v>
      </c>
      <c r="AR977">
        <v>10.824634875829647</v>
      </c>
      <c r="AS977">
        <v>184.12297484222555</v>
      </c>
      <c r="AT977">
        <v>6.529319997648007</v>
      </c>
      <c r="AU977">
        <v>47.43522466458424</v>
      </c>
      <c r="AV977"/>
      <c r="AW977"/>
      <c r="FY977" s="210">
        <v>972</v>
      </c>
      <c r="FZ977">
        <v>23.514362635609977</v>
      </c>
      <c r="GA977">
        <v>28.112874653565537</v>
      </c>
      <c r="GB977">
        <v>3.6256362274019414</v>
      </c>
      <c r="GC977">
        <v>1.6831603052359245</v>
      </c>
      <c r="GD977">
        <v>1.0838067053894282</v>
      </c>
      <c r="GE977">
        <v>3.5724319855607782</v>
      </c>
      <c r="GF977">
        <v>7.7897286819012947</v>
      </c>
      <c r="GG977">
        <v>9.3150351914932266</v>
      </c>
      <c r="GH977">
        <v>9.2047374759468443</v>
      </c>
      <c r="GI977">
        <v>7.864451973747463</v>
      </c>
      <c r="GJ977"/>
      <c r="GK977"/>
      <c r="GL977"/>
      <c r="GM977"/>
    </row>
    <row r="978" spans="1:195" s="7" customFormat="1">
      <c r="A978" s="4"/>
      <c r="B978" s="4"/>
      <c r="C978" s="4"/>
      <c r="D978" s="4"/>
      <c r="E978" s="4"/>
      <c r="F978" s="28"/>
      <c r="G978" s="28"/>
      <c r="H978" s="83"/>
      <c r="I978" s="4"/>
      <c r="J978" s="4"/>
      <c r="K978" s="4"/>
      <c r="L978" s="4"/>
      <c r="M978" s="4"/>
      <c r="N978" s="28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81"/>
      <c r="AG978" s="81"/>
      <c r="AH978" s="81"/>
      <c r="AI978" s="4"/>
      <c r="AJ978" s="81"/>
      <c r="AK978" s="81"/>
      <c r="AL978" s="81"/>
      <c r="AM978" s="43">
        <v>962</v>
      </c>
      <c r="AN978">
        <v>86.946031704272414</v>
      </c>
      <c r="AO978">
        <v>8.052772541646112</v>
      </c>
      <c r="AP978">
        <v>69.321014147667611</v>
      </c>
      <c r="AQ978">
        <v>60.927958291490533</v>
      </c>
      <c r="AR978">
        <v>7.6249227937853536</v>
      </c>
      <c r="AS978">
        <v>137.91058735327493</v>
      </c>
      <c r="AT978">
        <v>4.7146593215805144</v>
      </c>
      <c r="AU978">
        <v>12.440867965633638</v>
      </c>
      <c r="AV978"/>
      <c r="AW978"/>
      <c r="FY978" s="210">
        <v>973</v>
      </c>
      <c r="FZ978">
        <v>35.703078866146647</v>
      </c>
      <c r="GA978">
        <v>38.522729910337738</v>
      </c>
      <c r="GB978">
        <v>0.76493243936309629</v>
      </c>
      <c r="GC978">
        <v>0.57794955493697153</v>
      </c>
      <c r="GD978">
        <v>0.25805236895952532</v>
      </c>
      <c r="GE978">
        <v>1.3181814766890771</v>
      </c>
      <c r="GF978">
        <v>10.511790897337294</v>
      </c>
      <c r="GG978">
        <v>12.231966751137083</v>
      </c>
      <c r="GH978">
        <v>9.710803872749203</v>
      </c>
      <c r="GI978">
        <v>9.0485923987762433</v>
      </c>
      <c r="GJ978"/>
      <c r="GK978"/>
      <c r="GL978"/>
      <c r="GM978"/>
    </row>
    <row r="979" spans="1:195" s="7" customFormat="1">
      <c r="A979" s="4"/>
      <c r="B979" s="4"/>
      <c r="C979" s="4"/>
      <c r="D979" s="4"/>
      <c r="E979" s="4"/>
      <c r="F979" s="28"/>
      <c r="G979" s="28"/>
      <c r="H979" s="83"/>
      <c r="I979" s="4"/>
      <c r="J979" s="4"/>
      <c r="K979" s="4"/>
      <c r="L979" s="4"/>
      <c r="M979" s="4"/>
      <c r="N979" s="28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81"/>
      <c r="AG979" s="81"/>
      <c r="AH979" s="81"/>
      <c r="AI979" s="4"/>
      <c r="AJ979" s="81"/>
      <c r="AK979" s="81"/>
      <c r="AL979" s="81"/>
      <c r="AM979" s="43">
        <v>963</v>
      </c>
      <c r="AN979">
        <v>152.99213714783937</v>
      </c>
      <c r="AO979">
        <v>16.590320908492174</v>
      </c>
      <c r="AP979">
        <v>174.59937920423093</v>
      </c>
      <c r="AQ979">
        <v>148.70762179705241</v>
      </c>
      <c r="AR979">
        <v>15.543108732123979</v>
      </c>
      <c r="AS979">
        <v>277.4093961493968</v>
      </c>
      <c r="AT979">
        <v>10.022436755767771</v>
      </c>
      <c r="AU979">
        <v>29.684049650267831</v>
      </c>
      <c r="AV979"/>
      <c r="AW979"/>
      <c r="FY979" s="210">
        <v>974</v>
      </c>
      <c r="FZ979">
        <v>33.706892162803008</v>
      </c>
      <c r="GA979">
        <v>38.754428578172941</v>
      </c>
      <c r="GB979">
        <v>1.7759663004900652</v>
      </c>
      <c r="GC979">
        <v>0.87007827836829743</v>
      </c>
      <c r="GD979">
        <v>0.97709793500367059</v>
      </c>
      <c r="GE979">
        <v>2.0651021854390401</v>
      </c>
      <c r="GF979">
        <v>3.2475871394666602</v>
      </c>
      <c r="GG979">
        <v>4.5485218257557047</v>
      </c>
      <c r="GH979">
        <v>5.5667048830059471</v>
      </c>
      <c r="GI979">
        <v>7.4558368577336838</v>
      </c>
      <c r="GJ979"/>
      <c r="GK979"/>
      <c r="GL979"/>
      <c r="GM979"/>
    </row>
    <row r="980" spans="1:195" s="7" customFormat="1">
      <c r="A980" s="4"/>
      <c r="B980" s="4"/>
      <c r="C980" s="4"/>
      <c r="D980" s="4"/>
      <c r="E980" s="4"/>
      <c r="F980" s="28"/>
      <c r="G980" s="28"/>
      <c r="H980" s="83"/>
      <c r="I980" s="4"/>
      <c r="J980" s="4"/>
      <c r="K980" s="4"/>
      <c r="L980" s="4"/>
      <c r="M980" s="4"/>
      <c r="N980" s="28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81"/>
      <c r="AG980" s="81"/>
      <c r="AH980" s="81"/>
      <c r="AI980" s="4"/>
      <c r="AJ980" s="81"/>
      <c r="AK980" s="81"/>
      <c r="AL980" s="81"/>
      <c r="AM980" s="43">
        <v>964</v>
      </c>
      <c r="AN980">
        <v>98.126651096308962</v>
      </c>
      <c r="AO980">
        <v>10.216423543535956</v>
      </c>
      <c r="AP980">
        <v>106.19027559269374</v>
      </c>
      <c r="AQ980">
        <v>90.332382656059778</v>
      </c>
      <c r="AR980">
        <v>10.111528272695042</v>
      </c>
      <c r="AS980">
        <v>172.81950394449834</v>
      </c>
      <c r="AT980">
        <v>6.1823502143378759</v>
      </c>
      <c r="AU980">
        <v>48.13609572586801</v>
      </c>
      <c r="AV980"/>
      <c r="AW980"/>
      <c r="FY980" s="210">
        <v>975</v>
      </c>
      <c r="FZ980">
        <v>32.225497093642538</v>
      </c>
      <c r="GA980">
        <v>39.785968998373725</v>
      </c>
      <c r="GB980">
        <v>1.7740782112833351</v>
      </c>
      <c r="GC980">
        <v>0.90044119176418103</v>
      </c>
      <c r="GD980">
        <v>1.5221909791487449</v>
      </c>
      <c r="GE980">
        <v>4.175261501396446</v>
      </c>
      <c r="GF980">
        <v>3.5433854616925609</v>
      </c>
      <c r="GG980">
        <v>4.3767091997860366</v>
      </c>
      <c r="GH980">
        <v>8.2869041637574909</v>
      </c>
      <c r="GI980">
        <v>8.0434282215023831</v>
      </c>
      <c r="GJ980"/>
      <c r="GK980"/>
      <c r="GL980"/>
      <c r="GM980"/>
    </row>
    <row r="981" spans="1:195" s="7" customFormat="1">
      <c r="A981" s="4"/>
      <c r="B981" s="4"/>
      <c r="C981" s="4"/>
      <c r="D981" s="4"/>
      <c r="E981" s="4"/>
      <c r="F981" s="28"/>
      <c r="G981" s="28"/>
      <c r="H981" s="83"/>
      <c r="I981" s="4"/>
      <c r="J981" s="4"/>
      <c r="K981" s="4"/>
      <c r="L981" s="4"/>
      <c r="M981" s="4"/>
      <c r="N981" s="28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81"/>
      <c r="AG981" s="81"/>
      <c r="AH981" s="81"/>
      <c r="AI981" s="4"/>
      <c r="AJ981" s="81"/>
      <c r="AK981" s="81"/>
      <c r="AL981" s="81"/>
      <c r="AM981" s="43">
        <v>965</v>
      </c>
      <c r="AN981">
        <v>130.38838772935094</v>
      </c>
      <c r="AO981">
        <v>12.398500133462143</v>
      </c>
      <c r="AP981">
        <v>124.86330825324923</v>
      </c>
      <c r="AQ981">
        <v>104.55947073592768</v>
      </c>
      <c r="AR981">
        <v>11.970006486423832</v>
      </c>
      <c r="AS981">
        <v>204.47441222953739</v>
      </c>
      <c r="AT981">
        <v>7.4688130216489306</v>
      </c>
      <c r="AU981">
        <v>37.661870504972256</v>
      </c>
      <c r="AV981"/>
      <c r="AW981"/>
      <c r="FY981" s="210">
        <v>976</v>
      </c>
      <c r="FZ981">
        <v>11.770505590996009</v>
      </c>
      <c r="GA981">
        <v>15.70787657705387</v>
      </c>
      <c r="GB981">
        <v>3.4699519395458451</v>
      </c>
      <c r="GC981">
        <v>1.3037031145796414</v>
      </c>
      <c r="GD981">
        <v>0.67286987038868062</v>
      </c>
      <c r="GE981">
        <v>2.0552879431096001</v>
      </c>
      <c r="GF981">
        <v>5.0176549789652514</v>
      </c>
      <c r="GG981">
        <v>7.2157469393918348</v>
      </c>
      <c r="GH981">
        <v>6.3670820814078466</v>
      </c>
      <c r="GI981">
        <v>4.9003012694308117</v>
      </c>
      <c r="GJ981"/>
      <c r="GK981"/>
      <c r="GL981"/>
      <c r="GM981"/>
    </row>
    <row r="982" spans="1:195" s="7" customFormat="1">
      <c r="A982" s="4"/>
      <c r="B982" s="4"/>
      <c r="C982" s="4"/>
      <c r="D982" s="4"/>
      <c r="E982" s="4"/>
      <c r="F982" s="28"/>
      <c r="G982" s="28"/>
      <c r="H982" s="83"/>
      <c r="I982" s="4"/>
      <c r="J982" s="4"/>
      <c r="K982" s="4"/>
      <c r="L982" s="4"/>
      <c r="M982" s="4"/>
      <c r="N982" s="28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81"/>
      <c r="AG982" s="81"/>
      <c r="AH982" s="81"/>
      <c r="AI982" s="4"/>
      <c r="AJ982" s="81"/>
      <c r="AK982" s="81"/>
      <c r="AL982" s="81"/>
      <c r="AM982" s="43">
        <v>966</v>
      </c>
      <c r="AN982">
        <v>80.284533182208605</v>
      </c>
      <c r="AO982">
        <v>9.1447796815584006</v>
      </c>
      <c r="AP982">
        <v>95.188208765437096</v>
      </c>
      <c r="AQ982">
        <v>81.434108902711756</v>
      </c>
      <c r="AR982">
        <v>8.8677587194361855</v>
      </c>
      <c r="AS982">
        <v>141.50244151551911</v>
      </c>
      <c r="AT982">
        <v>5.4190929070367879</v>
      </c>
      <c r="AU982">
        <v>6.1074636970943228</v>
      </c>
      <c r="AV982"/>
      <c r="AW982"/>
      <c r="FY982" s="210">
        <v>977</v>
      </c>
      <c r="FZ982">
        <v>34.819906324765434</v>
      </c>
      <c r="GA982">
        <v>41.117121864959799</v>
      </c>
      <c r="GB982">
        <v>3.4270030542633347</v>
      </c>
      <c r="GC982">
        <v>1.3415141376621984</v>
      </c>
      <c r="GD982">
        <v>0.99773265008429635</v>
      </c>
      <c r="GE982">
        <v>3.214209137944251</v>
      </c>
      <c r="GF982">
        <v>2.8717515742667268</v>
      </c>
      <c r="GG982">
        <v>1.4714245479296544</v>
      </c>
      <c r="GH982">
        <v>4.239233742769219</v>
      </c>
      <c r="GI982">
        <v>7.754171568846159</v>
      </c>
      <c r="GJ982"/>
      <c r="GK982"/>
      <c r="GL982"/>
      <c r="GM982"/>
    </row>
    <row r="983" spans="1:195" s="7" customFormat="1">
      <c r="A983" s="4"/>
      <c r="B983" s="4"/>
      <c r="C983" s="4"/>
      <c r="D983" s="4"/>
      <c r="E983" s="4"/>
      <c r="F983" s="28"/>
      <c r="G983" s="28"/>
      <c r="H983" s="83"/>
      <c r="I983" s="4"/>
      <c r="J983" s="4"/>
      <c r="K983" s="4"/>
      <c r="L983" s="4"/>
      <c r="M983" s="4"/>
      <c r="N983" s="28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81"/>
      <c r="AG983" s="81"/>
      <c r="AH983" s="81"/>
      <c r="AI983" s="4"/>
      <c r="AJ983" s="81"/>
      <c r="AK983" s="81"/>
      <c r="AL983" s="81"/>
      <c r="AM983" s="43">
        <v>967</v>
      </c>
      <c r="AN983">
        <v>99.819694795265349</v>
      </c>
      <c r="AO983">
        <v>10.92626565617817</v>
      </c>
      <c r="AP983">
        <v>111.39323176315871</v>
      </c>
      <c r="AQ983">
        <v>94.723365435863826</v>
      </c>
      <c r="AR983">
        <v>10.784678653455561</v>
      </c>
      <c r="AS983">
        <v>179.15494600739848</v>
      </c>
      <c r="AT983">
        <v>6.8929022789577781</v>
      </c>
      <c r="AU983">
        <v>0.25020794118164957</v>
      </c>
      <c r="AV983"/>
      <c r="AW983"/>
      <c r="FY983" s="210">
        <v>978</v>
      </c>
      <c r="FZ983">
        <v>13.45687358431938</v>
      </c>
      <c r="GA983">
        <v>14.449920239923872</v>
      </c>
      <c r="GB983">
        <v>2.6165084415267779</v>
      </c>
      <c r="GC983">
        <v>1.6156231088483666</v>
      </c>
      <c r="GD983">
        <v>0.95399641674337654</v>
      </c>
      <c r="GE983">
        <v>3.3777090832204579</v>
      </c>
      <c r="GF983">
        <v>9.5268126999811198</v>
      </c>
      <c r="GG983">
        <v>9.1711433834371405</v>
      </c>
      <c r="GH983">
        <v>7.9770890374168522</v>
      </c>
      <c r="GI983">
        <v>6.1680341094497226</v>
      </c>
      <c r="GJ983"/>
      <c r="GK983"/>
      <c r="GL983"/>
      <c r="GM983"/>
    </row>
    <row r="984" spans="1:195" s="7" customFormat="1">
      <c r="A984" s="4"/>
      <c r="B984" s="4"/>
      <c r="C984" s="4"/>
      <c r="D984" s="4"/>
      <c r="E984" s="4"/>
      <c r="F984" s="28"/>
      <c r="G984" s="28"/>
      <c r="H984" s="83"/>
      <c r="I984" s="4"/>
      <c r="J984" s="4"/>
      <c r="K984" s="4"/>
      <c r="L984" s="4"/>
      <c r="M984" s="4"/>
      <c r="N984" s="28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81"/>
      <c r="AG984" s="81"/>
      <c r="AH984" s="81"/>
      <c r="AI984" s="4"/>
      <c r="AJ984" s="81"/>
      <c r="AK984" s="81"/>
      <c r="AL984" s="81"/>
      <c r="AM984" s="43">
        <v>968</v>
      </c>
      <c r="AN984">
        <v>87.421034952063835</v>
      </c>
      <c r="AO984">
        <v>7.9991080978594313</v>
      </c>
      <c r="AP984">
        <v>74.707991716167484</v>
      </c>
      <c r="AQ984">
        <v>63.163768008400041</v>
      </c>
      <c r="AR984">
        <v>7.7477389350196155</v>
      </c>
      <c r="AS984">
        <v>125.00135907514159</v>
      </c>
      <c r="AT984">
        <v>5.0208997209717987</v>
      </c>
      <c r="AU984">
        <v>8.5959309588740105</v>
      </c>
      <c r="AV984"/>
      <c r="AW984"/>
      <c r="FY984" s="210">
        <v>979</v>
      </c>
      <c r="FZ984">
        <v>45.05119285413015</v>
      </c>
      <c r="GA984">
        <v>51.32796092337297</v>
      </c>
      <c r="GB984">
        <v>1.6668564178623795</v>
      </c>
      <c r="GC984">
        <v>1.3435094012189408</v>
      </c>
      <c r="GD984">
        <v>1.7214771266434248</v>
      </c>
      <c r="GE984">
        <v>4.2544971380630825</v>
      </c>
      <c r="GF984">
        <v>5.5587305343775695</v>
      </c>
      <c r="GG984">
        <v>6.9617487642006068</v>
      </c>
      <c r="GH984">
        <v>7.9705095113882916</v>
      </c>
      <c r="GI984">
        <v>10.343311373620995</v>
      </c>
      <c r="GJ984"/>
      <c r="GK984"/>
      <c r="GL984"/>
      <c r="GM984"/>
    </row>
    <row r="985" spans="1:195" s="7" customFormat="1">
      <c r="A985" s="4"/>
      <c r="B985" s="4"/>
      <c r="C985" s="4"/>
      <c r="D985" s="4"/>
      <c r="E985" s="4"/>
      <c r="F985" s="28"/>
      <c r="G985" s="28"/>
      <c r="H985" s="83"/>
      <c r="I985" s="4"/>
      <c r="J985" s="4"/>
      <c r="K985" s="4"/>
      <c r="L985" s="4"/>
      <c r="M985" s="4"/>
      <c r="N985" s="28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81"/>
      <c r="AG985" s="81"/>
      <c r="AH985" s="81"/>
      <c r="AI985" s="4"/>
      <c r="AJ985" s="81"/>
      <c r="AK985" s="81"/>
      <c r="AL985" s="81"/>
      <c r="AM985" s="43">
        <v>969</v>
      </c>
      <c r="AN985">
        <v>68.838094043072076</v>
      </c>
      <c r="AO985">
        <v>9.8625148036784367</v>
      </c>
      <c r="AP985">
        <v>97.348819364192735</v>
      </c>
      <c r="AQ985">
        <v>83.851495314147527</v>
      </c>
      <c r="AR985">
        <v>9.6447713314566972</v>
      </c>
      <c r="AS985">
        <v>136.90876073562117</v>
      </c>
      <c r="AT985">
        <v>6.2201447594532526</v>
      </c>
      <c r="AU985">
        <v>10.903348281299863</v>
      </c>
      <c r="AV985"/>
      <c r="AW985"/>
      <c r="FY985" s="210">
        <v>980</v>
      </c>
      <c r="FZ985">
        <v>44.24568687015686</v>
      </c>
      <c r="GA985">
        <v>51.779637324633313</v>
      </c>
      <c r="GB985">
        <v>2.0757987031899781</v>
      </c>
      <c r="GC985">
        <v>0.74685780765346932</v>
      </c>
      <c r="GD985">
        <v>0.68184805573783525</v>
      </c>
      <c r="GE985">
        <v>1.6378347972295306</v>
      </c>
      <c r="GF985">
        <v>4.9872424204453543</v>
      </c>
      <c r="GG985">
        <v>6.535599454052349</v>
      </c>
      <c r="GH985">
        <v>6.1151457461886043</v>
      </c>
      <c r="GI985">
        <v>9.3193934199201571</v>
      </c>
      <c r="GJ985"/>
      <c r="GK985"/>
      <c r="GL985"/>
      <c r="GM985"/>
    </row>
    <row r="986" spans="1:195" s="7" customFormat="1">
      <c r="A986" s="4"/>
      <c r="B986" s="4"/>
      <c r="C986" s="4"/>
      <c r="D986" s="4"/>
      <c r="E986" s="4"/>
      <c r="F986" s="28"/>
      <c r="G986" s="28"/>
      <c r="H986" s="83"/>
      <c r="I986" s="4"/>
      <c r="J986" s="4"/>
      <c r="K986" s="4"/>
      <c r="L986" s="4"/>
      <c r="M986" s="4"/>
      <c r="N986" s="28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81"/>
      <c r="AG986" s="81"/>
      <c r="AH986" s="81"/>
      <c r="AI986" s="4"/>
      <c r="AJ986" s="81"/>
      <c r="AK986" s="81"/>
      <c r="AL986" s="81"/>
      <c r="AM986" s="43">
        <v>970</v>
      </c>
      <c r="AN986">
        <v>148.97406578486914</v>
      </c>
      <c r="AO986">
        <v>8.4123825371113679</v>
      </c>
      <c r="AP986">
        <v>76.587165624468525</v>
      </c>
      <c r="AQ986">
        <v>61.751393372104417</v>
      </c>
      <c r="AR986">
        <v>8.2776069794228295</v>
      </c>
      <c r="AS986">
        <v>174.44259340511741</v>
      </c>
      <c r="AT986">
        <v>4.6257573987533673</v>
      </c>
      <c r="AU986">
        <v>-9.5384237196885344</v>
      </c>
      <c r="AV986"/>
      <c r="AW986"/>
      <c r="FY986" s="210">
        <v>981</v>
      </c>
      <c r="FZ986">
        <v>4.2344556415901611</v>
      </c>
      <c r="GA986">
        <v>4.1574281270053586</v>
      </c>
      <c r="GB986">
        <v>2.4821811634613056</v>
      </c>
      <c r="GC986">
        <v>0.86863495304211935</v>
      </c>
      <c r="GD986">
        <v>1.2200453720428337</v>
      </c>
      <c r="GE986">
        <v>3.1783896462926995</v>
      </c>
      <c r="GF986">
        <v>9.2070179805511607</v>
      </c>
      <c r="GG986">
        <v>11.026436709031609</v>
      </c>
      <c r="GH986">
        <v>8.2782560616184213</v>
      </c>
      <c r="GI986">
        <v>4.9369333118904155</v>
      </c>
      <c r="GJ986"/>
      <c r="GK986"/>
      <c r="GL986"/>
      <c r="GM986"/>
    </row>
    <row r="987" spans="1:195" s="7" customFormat="1">
      <c r="A987" s="4"/>
      <c r="B987" s="4"/>
      <c r="C987" s="4"/>
      <c r="D987" s="4"/>
      <c r="E987" s="4"/>
      <c r="F987" s="28"/>
      <c r="G987" s="28"/>
      <c r="H987" s="83"/>
      <c r="I987" s="4"/>
      <c r="J987" s="4"/>
      <c r="K987" s="4"/>
      <c r="L987" s="4"/>
      <c r="M987" s="4"/>
      <c r="N987" s="28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81"/>
      <c r="AG987" s="81"/>
      <c r="AH987" s="81"/>
      <c r="AI987" s="4"/>
      <c r="AJ987" s="81"/>
      <c r="AK987" s="81"/>
      <c r="AL987" s="81"/>
      <c r="AM987" s="43">
        <v>971</v>
      </c>
      <c r="AN987">
        <v>95.676735674301852</v>
      </c>
      <c r="AO987">
        <v>9.4795455663824608</v>
      </c>
      <c r="AP987">
        <v>95.256415414216079</v>
      </c>
      <c r="AQ987">
        <v>81.791339031271335</v>
      </c>
      <c r="AR987">
        <v>9.1264525093571418</v>
      </c>
      <c r="AS987">
        <v>160.76624027045685</v>
      </c>
      <c r="AT987">
        <v>5.6581775032218298</v>
      </c>
      <c r="AU987">
        <v>-3.2530421400336809</v>
      </c>
      <c r="AV987"/>
      <c r="AW987"/>
      <c r="FY987" s="210">
        <v>982</v>
      </c>
      <c r="FZ987">
        <v>11.506900033126009</v>
      </c>
      <c r="GA987">
        <v>15.340487689063139</v>
      </c>
      <c r="GB987">
        <v>1.8740888593998828</v>
      </c>
      <c r="GC987">
        <v>0.71412217158068003</v>
      </c>
      <c r="GD987">
        <v>0.92816114286584495</v>
      </c>
      <c r="GE987">
        <v>3.463668883210163</v>
      </c>
      <c r="GF987">
        <v>7.0230078776701985</v>
      </c>
      <c r="GG987">
        <v>6.2927405654870157</v>
      </c>
      <c r="GH987">
        <v>6.9731328058497866</v>
      </c>
      <c r="GI987">
        <v>5.0751768894698568</v>
      </c>
      <c r="GJ987"/>
      <c r="GK987"/>
      <c r="GL987"/>
      <c r="GM987"/>
    </row>
    <row r="988" spans="1:195" s="7" customFormat="1">
      <c r="A988" s="4"/>
      <c r="B988" s="4"/>
      <c r="C988" s="4"/>
      <c r="D988" s="4"/>
      <c r="E988" s="4"/>
      <c r="F988" s="28"/>
      <c r="G988" s="28"/>
      <c r="H988" s="83"/>
      <c r="I988" s="4"/>
      <c r="J988" s="4"/>
      <c r="K988" s="4"/>
      <c r="L988" s="4"/>
      <c r="M988" s="4"/>
      <c r="N988" s="28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81"/>
      <c r="AG988" s="81"/>
      <c r="AH988" s="81"/>
      <c r="AI988" s="4"/>
      <c r="AJ988" s="81"/>
      <c r="AK988" s="81"/>
      <c r="AL988" s="81"/>
      <c r="AM988" s="43">
        <v>972</v>
      </c>
      <c r="AN988">
        <v>132.99203176987035</v>
      </c>
      <c r="AO988">
        <v>11.407454065055969</v>
      </c>
      <c r="AP988">
        <v>112.42605595794244</v>
      </c>
      <c r="AQ988">
        <v>95.766225835852396</v>
      </c>
      <c r="AR988">
        <v>10.834974000194112</v>
      </c>
      <c r="AS988">
        <v>197.14779014869578</v>
      </c>
      <c r="AT988">
        <v>6.8459604010888855</v>
      </c>
      <c r="AU988">
        <v>25.708253789234689</v>
      </c>
      <c r="AV988"/>
      <c r="AW988"/>
      <c r="FY988" s="210">
        <v>983</v>
      </c>
      <c r="FZ988">
        <v>24.948546196932472</v>
      </c>
      <c r="GA988">
        <v>28.021194131932781</v>
      </c>
      <c r="GB988">
        <v>2.6530237424770071</v>
      </c>
      <c r="GC988">
        <v>1.0791576949148505</v>
      </c>
      <c r="GD988">
        <v>1.02153977460537</v>
      </c>
      <c r="GE988">
        <v>3.4773540658909012</v>
      </c>
      <c r="GF988">
        <v>9.9625666745214598</v>
      </c>
      <c r="GG988">
        <v>10.431837530500429</v>
      </c>
      <c r="GH988">
        <v>9.5883877516560645</v>
      </c>
      <c r="GI988">
        <v>8.2615151221526446</v>
      </c>
      <c r="GJ988"/>
      <c r="GK988"/>
      <c r="GL988"/>
      <c r="GM988"/>
    </row>
    <row r="989" spans="1:195" s="7" customFormat="1">
      <c r="A989" s="4"/>
      <c r="B989" s="4"/>
      <c r="C989" s="4"/>
      <c r="D989" s="4"/>
      <c r="E989" s="4"/>
      <c r="F989" s="28"/>
      <c r="G989" s="28"/>
      <c r="H989" s="83"/>
      <c r="I989" s="4"/>
      <c r="J989" s="4"/>
      <c r="K989" s="4"/>
      <c r="L989" s="4"/>
      <c r="M989" s="4"/>
      <c r="N989" s="28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81"/>
      <c r="AG989" s="81"/>
      <c r="AH989" s="81"/>
      <c r="AI989" s="4"/>
      <c r="AJ989" s="81"/>
      <c r="AK989" s="81"/>
      <c r="AL989" s="81"/>
      <c r="AM989" s="43">
        <v>973</v>
      </c>
      <c r="AN989">
        <v>127.64826092649537</v>
      </c>
      <c r="AO989">
        <v>12.940315040911766</v>
      </c>
      <c r="AP989">
        <v>139.67899550083257</v>
      </c>
      <c r="AQ989">
        <v>118.64807853643288</v>
      </c>
      <c r="AR989">
        <v>12.563199144593675</v>
      </c>
      <c r="AS989">
        <v>225.37197884719612</v>
      </c>
      <c r="AT989">
        <v>7.9320163390528444</v>
      </c>
      <c r="AU989">
        <v>28.084795031736689</v>
      </c>
      <c r="AV989"/>
      <c r="AW989"/>
      <c r="FY989" s="210">
        <v>984</v>
      </c>
      <c r="FZ989">
        <v>22.012100331654107</v>
      </c>
      <c r="GA989">
        <v>26.809053675342518</v>
      </c>
      <c r="GB989">
        <v>1.7229350184331191</v>
      </c>
      <c r="GC989">
        <v>0.9663751378179084</v>
      </c>
      <c r="GD989">
        <v>0.68939256116030434</v>
      </c>
      <c r="GE989">
        <v>1.3037129823775391</v>
      </c>
      <c r="GF989">
        <v>3.521008180486493</v>
      </c>
      <c r="GG989">
        <v>4.823375572261015</v>
      </c>
      <c r="GH989">
        <v>6.4747827514062806</v>
      </c>
      <c r="GI989">
        <v>5.7334225997547081</v>
      </c>
      <c r="GJ989"/>
      <c r="GK989"/>
      <c r="GL989"/>
      <c r="GM989"/>
    </row>
    <row r="990" spans="1:195" s="7" customFormat="1">
      <c r="A990" s="4"/>
      <c r="B990" s="4"/>
      <c r="C990" s="4"/>
      <c r="D990" s="4"/>
      <c r="E990" s="4"/>
      <c r="F990" s="28"/>
      <c r="G990" s="28"/>
      <c r="H990" s="83"/>
      <c r="I990" s="4"/>
      <c r="J990" s="4"/>
      <c r="K990" s="4"/>
      <c r="L990" s="4"/>
      <c r="M990" s="4"/>
      <c r="N990" s="28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81"/>
      <c r="AG990" s="81"/>
      <c r="AH990" s="81"/>
      <c r="AI990" s="4"/>
      <c r="AJ990" s="81"/>
      <c r="AK990" s="81"/>
      <c r="AL990" s="81"/>
      <c r="AM990" s="43">
        <v>974</v>
      </c>
      <c r="AN990">
        <v>60.961654095514085</v>
      </c>
      <c r="AO990">
        <v>10.833563858069306</v>
      </c>
      <c r="AP990">
        <v>113.95141064521351</v>
      </c>
      <c r="AQ990">
        <v>98.96821614623903</v>
      </c>
      <c r="AR990">
        <v>10.420152738125381</v>
      </c>
      <c r="AS990">
        <v>130.27635543193585</v>
      </c>
      <c r="AT990">
        <v>7.2073752115068146</v>
      </c>
      <c r="AU990">
        <v>16.122630678709406</v>
      </c>
      <c r="AV990"/>
      <c r="AW990"/>
      <c r="FY990" s="210">
        <v>985</v>
      </c>
      <c r="FZ990">
        <v>32.860340289411447</v>
      </c>
      <c r="GA990">
        <v>39.634956414471297</v>
      </c>
      <c r="GB990">
        <v>2.8975092508857854</v>
      </c>
      <c r="GC990">
        <v>1.3513922290405576</v>
      </c>
      <c r="GD990">
        <v>0.68478784620994038</v>
      </c>
      <c r="GE990">
        <v>1.4476497413471807</v>
      </c>
      <c r="GF990">
        <v>9.0391962304265423</v>
      </c>
      <c r="GG990">
        <v>11.182572742052178</v>
      </c>
      <c r="GH990">
        <v>9.2577460830268024</v>
      </c>
      <c r="GI990">
        <v>9.0672535665792466</v>
      </c>
      <c r="GJ990"/>
      <c r="GK990"/>
      <c r="GL990"/>
      <c r="GM990"/>
    </row>
    <row r="991" spans="1:195" s="7" customFormat="1">
      <c r="A991" s="4"/>
      <c r="B991" s="4"/>
      <c r="C991" s="4"/>
      <c r="D991" s="4"/>
      <c r="E991" s="4"/>
      <c r="F991" s="28"/>
      <c r="G991" s="28"/>
      <c r="H991" s="83"/>
      <c r="I991" s="4"/>
      <c r="J991" s="4"/>
      <c r="K991" s="4"/>
      <c r="L991" s="4"/>
      <c r="M991" s="4"/>
      <c r="N991" s="28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81"/>
      <c r="AG991" s="81"/>
      <c r="AH991" s="81"/>
      <c r="AI991" s="4"/>
      <c r="AJ991" s="81"/>
      <c r="AK991" s="81"/>
      <c r="AL991" s="81"/>
      <c r="AM991" s="43">
        <v>975</v>
      </c>
      <c r="AN991">
        <v>107.7991251641461</v>
      </c>
      <c r="AO991">
        <v>11.794646834409656</v>
      </c>
      <c r="AP991">
        <v>119.38824341969601</v>
      </c>
      <c r="AQ991">
        <v>104.63386502234746</v>
      </c>
      <c r="AR991">
        <v>11.134738406735243</v>
      </c>
      <c r="AS991">
        <v>176.9925463417776</v>
      </c>
      <c r="AT991">
        <v>7.0238058089546946</v>
      </c>
      <c r="AU991">
        <v>60.587069432009635</v>
      </c>
      <c r="AV991"/>
      <c r="AW991"/>
      <c r="FY991" s="210">
        <v>986</v>
      </c>
      <c r="FZ991">
        <v>32.748743233492</v>
      </c>
      <c r="GA991">
        <v>40.41642010478305</v>
      </c>
      <c r="GB991">
        <v>1.9730547564178249</v>
      </c>
      <c r="GC991">
        <v>0.90808226267881587</v>
      </c>
      <c r="GD991">
        <v>1.0615119837284257</v>
      </c>
      <c r="GE991">
        <v>2.8579736385267243</v>
      </c>
      <c r="GF991">
        <v>4.4726884227393064</v>
      </c>
      <c r="GG991">
        <v>6.4484541495880379</v>
      </c>
      <c r="GH991">
        <v>9.1528163776128864</v>
      </c>
      <c r="GI991">
        <v>8.2064576072594377</v>
      </c>
      <c r="GJ991"/>
      <c r="GK991"/>
      <c r="GL991"/>
      <c r="GM991"/>
    </row>
    <row r="992" spans="1:195" s="7" customFormat="1">
      <c r="A992" s="4"/>
      <c r="B992" s="4"/>
      <c r="C992" s="4"/>
      <c r="D992" s="4"/>
      <c r="E992" s="4"/>
      <c r="F992" s="28"/>
      <c r="G992" s="28"/>
      <c r="H992" s="83"/>
      <c r="I992" s="4"/>
      <c r="J992" s="4"/>
      <c r="K992" s="4"/>
      <c r="L992" s="4"/>
      <c r="M992" s="4"/>
      <c r="N992" s="28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81"/>
      <c r="AG992" s="81"/>
      <c r="AH992" s="81"/>
      <c r="AI992" s="4"/>
      <c r="AJ992" s="81"/>
      <c r="AK992" s="81"/>
      <c r="AL992" s="81"/>
      <c r="AM992" s="43">
        <v>976</v>
      </c>
      <c r="AN992">
        <v>93.365980421703384</v>
      </c>
      <c r="AO992">
        <v>7.1847419008090636</v>
      </c>
      <c r="AP992">
        <v>69.890895998385517</v>
      </c>
      <c r="AQ992">
        <v>58.480980304869391</v>
      </c>
      <c r="AR992">
        <v>6.7730842857570011</v>
      </c>
      <c r="AS992">
        <v>126.63037188383331</v>
      </c>
      <c r="AT992">
        <v>3.9346890500224423</v>
      </c>
      <c r="AU992">
        <v>6.7750907096023827</v>
      </c>
      <c r="AV992"/>
      <c r="AW992"/>
      <c r="FY992" s="210">
        <v>987</v>
      </c>
      <c r="FZ992">
        <v>56.360478529582274</v>
      </c>
      <c r="GA992">
        <v>64.247013566850995</v>
      </c>
      <c r="GB992">
        <v>3.1885269890208661</v>
      </c>
      <c r="GC992">
        <v>1.923193268397819</v>
      </c>
      <c r="GD992">
        <v>0.72672546755789758</v>
      </c>
      <c r="GE992">
        <v>2.8330946287029479</v>
      </c>
      <c r="GF992">
        <v>7.9194011720505753</v>
      </c>
      <c r="GG992">
        <v>8.7259649019527128</v>
      </c>
      <c r="GH992">
        <v>9.2502366154660027</v>
      </c>
      <c r="GI992">
        <v>12.41848922788035</v>
      </c>
      <c r="GJ992"/>
      <c r="GK992"/>
      <c r="GL992"/>
      <c r="GM992"/>
    </row>
    <row r="993" spans="1:195" s="7" customFormat="1">
      <c r="A993" s="4"/>
      <c r="B993" s="4"/>
      <c r="C993" s="4"/>
      <c r="D993" s="4"/>
      <c r="E993" s="4"/>
      <c r="F993" s="28"/>
      <c r="G993" s="28"/>
      <c r="H993" s="83"/>
      <c r="I993" s="4"/>
      <c r="J993" s="4"/>
      <c r="K993" s="4"/>
      <c r="L993" s="4"/>
      <c r="M993" s="4"/>
      <c r="N993" s="28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81"/>
      <c r="AG993" s="81"/>
      <c r="AH993" s="81"/>
      <c r="AI993" s="4"/>
      <c r="AJ993" s="81"/>
      <c r="AK993" s="81"/>
      <c r="AL993" s="81"/>
      <c r="AM993" s="43">
        <v>977</v>
      </c>
      <c r="AN993">
        <v>91.142222372266914</v>
      </c>
      <c r="AO993">
        <v>11.178083440024661</v>
      </c>
      <c r="AP993">
        <v>116.31677126361134</v>
      </c>
      <c r="AQ993">
        <v>101.25406860349108</v>
      </c>
      <c r="AR993">
        <v>10.750852148983366</v>
      </c>
      <c r="AS993">
        <v>125.03739779811725</v>
      </c>
      <c r="AT993">
        <v>6.5339570189040472</v>
      </c>
      <c r="AU993">
        <v>3.8711600364774146</v>
      </c>
      <c r="AV993"/>
      <c r="AW993"/>
      <c r="FY993" s="210">
        <v>988</v>
      </c>
      <c r="FZ993">
        <v>2.5757549448690611</v>
      </c>
      <c r="GA993">
        <v>2.9107046333608046</v>
      </c>
      <c r="GB993">
        <v>2.7879010441895073</v>
      </c>
      <c r="GC993">
        <v>1.4604117271821264</v>
      </c>
      <c r="GD993">
        <v>1.2517766811195923</v>
      </c>
      <c r="GE993">
        <v>4.0919413872215449</v>
      </c>
      <c r="GF993">
        <v>8.8291709087798917</v>
      </c>
      <c r="GG993">
        <v>5.4018412701749563</v>
      </c>
      <c r="GH993">
        <v>4.0065889203606382</v>
      </c>
      <c r="GI993">
        <v>4.0356304614064733</v>
      </c>
      <c r="GJ993"/>
      <c r="GK993"/>
      <c r="GL993"/>
      <c r="GM993"/>
    </row>
    <row r="994" spans="1:195" s="7" customFormat="1">
      <c r="A994" s="4"/>
      <c r="B994" s="4"/>
      <c r="C994" s="4"/>
      <c r="D994" s="4"/>
      <c r="E994" s="4"/>
      <c r="F994" s="28"/>
      <c r="G994" s="28"/>
      <c r="H994" s="83"/>
      <c r="I994" s="4"/>
      <c r="J994" s="4"/>
      <c r="K994" s="4"/>
      <c r="L994" s="4"/>
      <c r="M994" s="4"/>
      <c r="N994" s="28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81"/>
      <c r="AG994" s="81"/>
      <c r="AH994" s="81"/>
      <c r="AI994" s="4"/>
      <c r="AJ994" s="81"/>
      <c r="AK994" s="81"/>
      <c r="AL994" s="81"/>
      <c r="AM994" s="43">
        <v>978</v>
      </c>
      <c r="AN994">
        <v>144.66377173889745</v>
      </c>
      <c r="AO994">
        <v>8.7279510954105355</v>
      </c>
      <c r="AP994">
        <v>81.922193896010057</v>
      </c>
      <c r="AQ994">
        <v>69.31371010486707</v>
      </c>
      <c r="AR994">
        <v>8.4311102227695791</v>
      </c>
      <c r="AS994">
        <v>161.03564583762088</v>
      </c>
      <c r="AT994">
        <v>5.2339350087797483</v>
      </c>
      <c r="AU994">
        <v>12.990154902454005</v>
      </c>
      <c r="AV994"/>
      <c r="AW994"/>
      <c r="FY994" s="210">
        <v>989</v>
      </c>
      <c r="FZ994">
        <v>32.36465301545843</v>
      </c>
      <c r="GA994">
        <v>40.934578714511204</v>
      </c>
      <c r="GB994">
        <v>3.573327210121672</v>
      </c>
      <c r="GC994">
        <v>1.6919549092072732</v>
      </c>
      <c r="GD994">
        <v>0.92214683951705023</v>
      </c>
      <c r="GE994">
        <v>3.0382096403940704</v>
      </c>
      <c r="GF994">
        <v>3.6078890859498753</v>
      </c>
      <c r="GG994">
        <v>10.675833088989069</v>
      </c>
      <c r="GH994">
        <v>16.672392950183557</v>
      </c>
      <c r="GI994">
        <v>9.4843454439558297</v>
      </c>
      <c r="GJ994"/>
      <c r="GK994"/>
      <c r="GL994"/>
      <c r="GM994"/>
    </row>
    <row r="995" spans="1:195" s="7" customFormat="1">
      <c r="A995" s="4"/>
      <c r="B995" s="4"/>
      <c r="C995" s="4"/>
      <c r="D995" s="4"/>
      <c r="E995" s="4"/>
      <c r="F995" s="28"/>
      <c r="G995" s="28"/>
      <c r="H995" s="83"/>
      <c r="I995" s="4"/>
      <c r="J995" s="4"/>
      <c r="K995" s="4"/>
      <c r="L995" s="4"/>
      <c r="M995" s="4"/>
      <c r="N995" s="28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81"/>
      <c r="AG995" s="81"/>
      <c r="AH995" s="81"/>
      <c r="AI995" s="4"/>
      <c r="AJ995" s="81"/>
      <c r="AK995" s="81"/>
      <c r="AL995" s="81"/>
      <c r="AM995" s="43">
        <v>979</v>
      </c>
      <c r="AN995">
        <v>119.57276420545979</v>
      </c>
      <c r="AO995">
        <v>15.205193972387709</v>
      </c>
      <c r="AP995">
        <v>155.01210189217633</v>
      </c>
      <c r="AQ995">
        <v>136.19979404487842</v>
      </c>
      <c r="AR995">
        <v>14.358139644547112</v>
      </c>
      <c r="AS995">
        <v>219.50752886759088</v>
      </c>
      <c r="AT995">
        <v>8.9112888157422976</v>
      </c>
      <c r="AU995">
        <v>71.815572966203931</v>
      </c>
      <c r="AV995"/>
      <c r="AW995"/>
      <c r="FY995" s="210">
        <v>990</v>
      </c>
      <c r="FZ995">
        <v>53.243430455036858</v>
      </c>
      <c r="GA995">
        <v>66.37080903763048</v>
      </c>
      <c r="GB995">
        <v>4.2530196552322392</v>
      </c>
      <c r="GC995">
        <v>1.4738762974357009</v>
      </c>
      <c r="GD995">
        <v>0.6814860195052852</v>
      </c>
      <c r="GE995">
        <v>2.1834691641519877</v>
      </c>
      <c r="GF995">
        <v>1.8228954783156268</v>
      </c>
      <c r="GG995">
        <v>3.9236803219023115</v>
      </c>
      <c r="GH995">
        <v>8.4002584430913458</v>
      </c>
      <c r="GI995">
        <v>10.964441594520823</v>
      </c>
      <c r="GJ995"/>
      <c r="GK995"/>
      <c r="GL995"/>
      <c r="GM995"/>
    </row>
    <row r="996" spans="1:195" s="7" customFormat="1">
      <c r="A996" s="4"/>
      <c r="B996" s="4"/>
      <c r="C996" s="4"/>
      <c r="D996" s="4"/>
      <c r="E996" s="4"/>
      <c r="F996" s="28"/>
      <c r="G996" s="28"/>
      <c r="H996" s="83"/>
      <c r="I996" s="4"/>
      <c r="J996" s="4"/>
      <c r="K996" s="4"/>
      <c r="L996" s="4"/>
      <c r="M996" s="4"/>
      <c r="N996" s="28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81"/>
      <c r="AG996" s="81"/>
      <c r="AH996" s="81"/>
      <c r="AI996" s="4"/>
      <c r="AJ996" s="81"/>
      <c r="AK996" s="81"/>
      <c r="AL996" s="81"/>
      <c r="AM996" s="43">
        <v>980</v>
      </c>
      <c r="AN996">
        <v>91.461204804238221</v>
      </c>
      <c r="AO996">
        <v>13.656635888530767</v>
      </c>
      <c r="AP996">
        <v>148.56170001652853</v>
      </c>
      <c r="AQ996">
        <v>128.12504459920743</v>
      </c>
      <c r="AR996">
        <v>13.044284481293337</v>
      </c>
      <c r="AS996">
        <v>162.85227605384887</v>
      </c>
      <c r="AT996">
        <v>8.2568311247844459</v>
      </c>
      <c r="AU996">
        <v>15.847032354383517</v>
      </c>
      <c r="AV996"/>
      <c r="AW996"/>
      <c r="FY996" s="210">
        <v>991</v>
      </c>
      <c r="FZ996">
        <v>26.462771156041143</v>
      </c>
      <c r="GA996">
        <v>27.030393852588649</v>
      </c>
      <c r="GB996">
        <v>2.509421733937184</v>
      </c>
      <c r="GC996">
        <v>1.2685369015561323</v>
      </c>
      <c r="GD996">
        <v>0.90141390822547018</v>
      </c>
      <c r="GE996">
        <v>1.9230501720787194</v>
      </c>
      <c r="GF996">
        <v>3.7481120436164357</v>
      </c>
      <c r="GG996">
        <v>7.4756932630881572</v>
      </c>
      <c r="GH996">
        <v>10.278338588382637</v>
      </c>
      <c r="GI996">
        <v>7.3479818375648378</v>
      </c>
      <c r="GJ996"/>
      <c r="GK996"/>
      <c r="GL996"/>
      <c r="GM996"/>
    </row>
    <row r="997" spans="1:195" s="7" customFormat="1">
      <c r="A997" s="4"/>
      <c r="B997" s="4"/>
      <c r="C997" s="4"/>
      <c r="D997" s="4"/>
      <c r="E997" s="4"/>
      <c r="F997" s="28"/>
      <c r="G997" s="28"/>
      <c r="H997" s="83"/>
      <c r="I997" s="4"/>
      <c r="J997" s="4"/>
      <c r="K997" s="4"/>
      <c r="L997" s="4"/>
      <c r="M997" s="4"/>
      <c r="N997" s="28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81"/>
      <c r="AG997" s="81"/>
      <c r="AH997" s="81"/>
      <c r="AI997" s="4"/>
      <c r="AJ997" s="81"/>
      <c r="AK997" s="81"/>
      <c r="AL997" s="81"/>
      <c r="AM997" s="43">
        <v>981</v>
      </c>
      <c r="AN997">
        <v>97.696233060037017</v>
      </c>
      <c r="AO997">
        <v>6.8456397050732507</v>
      </c>
      <c r="AP997">
        <v>60.030779218036699</v>
      </c>
      <c r="AQ997">
        <v>49.589778966526083</v>
      </c>
      <c r="AR997">
        <v>6.7746732119493736</v>
      </c>
      <c r="AS997">
        <v>118.438296610452</v>
      </c>
      <c r="AT997">
        <v>4.0195804063761882</v>
      </c>
      <c r="AU997">
        <v>7.733799909581947</v>
      </c>
      <c r="AV997"/>
      <c r="AW997"/>
      <c r="FY997" s="210">
        <v>992</v>
      </c>
      <c r="FZ997">
        <v>3.9679980224053546</v>
      </c>
      <c r="GA997">
        <v>2.0218517790428487</v>
      </c>
      <c r="GB997">
        <v>1.2115446987338858</v>
      </c>
      <c r="GC997">
        <v>0.66662103476913193</v>
      </c>
      <c r="GD997">
        <v>0.76903704683041996</v>
      </c>
      <c r="GE997">
        <v>2.559792955296063</v>
      </c>
      <c r="GF997">
        <v>9.4158170014779667</v>
      </c>
      <c r="GG997">
        <v>8.9534096981755127</v>
      </c>
      <c r="GH997">
        <v>7.2912636406901612</v>
      </c>
      <c r="GI997">
        <v>4.1986890291870891</v>
      </c>
      <c r="GJ997"/>
      <c r="GK997"/>
      <c r="GL997"/>
      <c r="GM997"/>
    </row>
    <row r="998" spans="1:195" s="7" customFormat="1">
      <c r="A998" s="4"/>
      <c r="B998" s="4"/>
      <c r="C998" s="4"/>
      <c r="D998" s="4"/>
      <c r="E998" s="4"/>
      <c r="F998" s="28"/>
      <c r="G998" s="28"/>
      <c r="H998" s="83"/>
      <c r="I998" s="4"/>
      <c r="J998" s="4"/>
      <c r="K998" s="4"/>
      <c r="L998" s="4"/>
      <c r="M998" s="4"/>
      <c r="N998" s="28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81"/>
      <c r="AG998" s="81"/>
      <c r="AH998" s="81"/>
      <c r="AI998" s="4"/>
      <c r="AJ998" s="81"/>
      <c r="AK998" s="81"/>
      <c r="AL998" s="81"/>
      <c r="AM998" s="43">
        <v>982</v>
      </c>
      <c r="AN998">
        <v>109.89842702598237</v>
      </c>
      <c r="AO998">
        <v>7.2571840236985405</v>
      </c>
      <c r="AP998">
        <v>69.59369391114069</v>
      </c>
      <c r="AQ998">
        <v>59.191486917722578</v>
      </c>
      <c r="AR998">
        <v>6.9255977030073348</v>
      </c>
      <c r="AS998">
        <v>109.48038099372897</v>
      </c>
      <c r="AT998">
        <v>4.1566905797024267</v>
      </c>
      <c r="AU998">
        <v>25.455566927818509</v>
      </c>
      <c r="AV998"/>
      <c r="AW998"/>
      <c r="FY998" s="210">
        <v>993</v>
      </c>
      <c r="FZ998">
        <v>12.670021886599923</v>
      </c>
      <c r="GA998">
        <v>13.340577907300823</v>
      </c>
      <c r="GB998">
        <v>2.4244674692006902</v>
      </c>
      <c r="GC998">
        <v>1.5283869307864393</v>
      </c>
      <c r="GD998">
        <v>1.184532958464694</v>
      </c>
      <c r="GE998">
        <v>2.5500540268691787</v>
      </c>
      <c r="GF998">
        <v>6.5597962990263472</v>
      </c>
      <c r="GG998">
        <v>12.858435116977414</v>
      </c>
      <c r="GH998">
        <v>13.002009823369608</v>
      </c>
      <c r="GI998">
        <v>6.3890750618355812</v>
      </c>
      <c r="GJ998"/>
      <c r="GK998"/>
      <c r="GL998"/>
      <c r="GM998"/>
    </row>
    <row r="999" spans="1:195" s="7" customFormat="1">
      <c r="A999" s="4"/>
      <c r="B999" s="4"/>
      <c r="C999" s="4"/>
      <c r="D999" s="4"/>
      <c r="E999" s="4"/>
      <c r="F999" s="28"/>
      <c r="G999" s="28"/>
      <c r="H999" s="83"/>
      <c r="I999" s="4"/>
      <c r="J999" s="4"/>
      <c r="K999" s="4"/>
      <c r="L999" s="4"/>
      <c r="M999" s="4"/>
      <c r="N999" s="28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81"/>
      <c r="AG999" s="81"/>
      <c r="AH999" s="81"/>
      <c r="AI999" s="4"/>
      <c r="AJ999" s="81"/>
      <c r="AK999" s="81"/>
      <c r="AL999" s="81"/>
      <c r="AM999" s="43">
        <v>983</v>
      </c>
      <c r="AN999">
        <v>120.40299052883702</v>
      </c>
      <c r="AO999">
        <v>11.700248908031199</v>
      </c>
      <c r="AP999">
        <v>117.33497410553441</v>
      </c>
      <c r="AQ999">
        <v>99.445122685583982</v>
      </c>
      <c r="AR999">
        <v>11.393513967449097</v>
      </c>
      <c r="AS999">
        <v>187.35991999955417</v>
      </c>
      <c r="AT999">
        <v>6.7422096016091873</v>
      </c>
      <c r="AU999">
        <v>17.532768843477861</v>
      </c>
      <c r="AV999"/>
      <c r="AW999"/>
      <c r="FY999" s="210">
        <v>994</v>
      </c>
      <c r="FZ999">
        <v>25.011993028287307</v>
      </c>
      <c r="GA999">
        <v>26.799194431050729</v>
      </c>
      <c r="GB999">
        <v>1.6793763920090248</v>
      </c>
      <c r="GC999">
        <v>0.88385325961178451</v>
      </c>
      <c r="GD999">
        <v>0.8604731403389525</v>
      </c>
      <c r="GE999">
        <v>1.9916492531392231</v>
      </c>
      <c r="GF999">
        <v>5.7237553100369043</v>
      </c>
      <c r="GG999">
        <v>4.864764150141351</v>
      </c>
      <c r="GH999">
        <v>4.9558598913911016</v>
      </c>
      <c r="GI999">
        <v>6.4341356248499606</v>
      </c>
      <c r="GJ999"/>
      <c r="GK999"/>
      <c r="GL999"/>
      <c r="GM999"/>
    </row>
    <row r="1000" spans="1:195" s="7" customFormat="1">
      <c r="A1000" s="4"/>
      <c r="B1000" s="4"/>
      <c r="C1000" s="4"/>
      <c r="D1000" s="4"/>
      <c r="E1000" s="4"/>
      <c r="F1000" s="28"/>
      <c r="G1000" s="28"/>
      <c r="H1000" s="83"/>
      <c r="I1000" s="4"/>
      <c r="J1000" s="4"/>
      <c r="K1000" s="4"/>
      <c r="L1000" s="4"/>
      <c r="M1000" s="4"/>
      <c r="N1000" s="28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81"/>
      <c r="AG1000" s="81"/>
      <c r="AH1000" s="81"/>
      <c r="AI1000" s="4"/>
      <c r="AJ1000" s="81"/>
      <c r="AK1000" s="81"/>
      <c r="AL1000" s="81"/>
      <c r="AM1000" s="43">
        <v>984</v>
      </c>
      <c r="AN1000">
        <v>72.846517364719546</v>
      </c>
      <c r="AO1000">
        <v>8.2572510067416136</v>
      </c>
      <c r="AP1000">
        <v>86.304351613594037</v>
      </c>
      <c r="AQ1000">
        <v>74.056158810693972</v>
      </c>
      <c r="AR1000">
        <v>7.9880413552044836</v>
      </c>
      <c r="AS1000">
        <v>133.90761409783684</v>
      </c>
      <c r="AT1000">
        <v>4.8473390549082644</v>
      </c>
      <c r="AU1000">
        <v>37.146621891005587</v>
      </c>
      <c r="AV1000"/>
      <c r="AW1000"/>
      <c r="FY1000" s="210">
        <v>995</v>
      </c>
      <c r="FZ1000">
        <v>34.143248051314643</v>
      </c>
      <c r="GA1000">
        <v>41.142753626547794</v>
      </c>
      <c r="GB1000">
        <v>4.0449144852689365</v>
      </c>
      <c r="GC1000">
        <v>1.6852200267203195</v>
      </c>
      <c r="GD1000">
        <v>1.3155553478867346</v>
      </c>
      <c r="GE1000">
        <v>3.7621294447157925</v>
      </c>
      <c r="GF1000">
        <v>4.940597432185986</v>
      </c>
      <c r="GG1000">
        <v>5.8803291970714984</v>
      </c>
      <c r="GH1000">
        <v>5.8971546429351989</v>
      </c>
      <c r="GI1000">
        <v>8.6311435220088395</v>
      </c>
      <c r="GJ1000"/>
      <c r="GK1000"/>
      <c r="GL1000"/>
      <c r="GM1000"/>
    </row>
    <row r="1001" spans="1:195" s="7" customFormat="1">
      <c r="A1001" s="4"/>
      <c r="B1001" s="4"/>
      <c r="C1001" s="4"/>
      <c r="D1001" s="4"/>
      <c r="E1001" s="4"/>
      <c r="F1001" s="28"/>
      <c r="G1001" s="28"/>
      <c r="H1001" s="83"/>
      <c r="I1001" s="4"/>
      <c r="J1001" s="4"/>
      <c r="K1001" s="4"/>
      <c r="L1001" s="4"/>
      <c r="M1001" s="4"/>
      <c r="N1001" s="28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81"/>
      <c r="AG1001" s="81"/>
      <c r="AH1001" s="81"/>
      <c r="AI1001" s="4"/>
      <c r="AJ1001" s="81"/>
      <c r="AK1001" s="81"/>
      <c r="AL1001" s="81"/>
      <c r="AM1001" s="43">
        <v>985</v>
      </c>
      <c r="AN1001">
        <v>132.73746628673661</v>
      </c>
      <c r="AO1001">
        <v>13.158133250642422</v>
      </c>
      <c r="AP1001">
        <v>138.77049699153946</v>
      </c>
      <c r="AQ1001">
        <v>117.42340439345097</v>
      </c>
      <c r="AR1001">
        <v>12.655449622029652</v>
      </c>
      <c r="AS1001">
        <v>190.5954757297915</v>
      </c>
      <c r="AT1001">
        <v>7.8591526775648282</v>
      </c>
      <c r="AU1001">
        <v>13.0009963514749</v>
      </c>
      <c r="AV1001"/>
      <c r="AW1001"/>
      <c r="FY1001" s="210">
        <v>996</v>
      </c>
      <c r="FZ1001">
        <v>14.133418757678267</v>
      </c>
      <c r="GA1001">
        <v>13.972458322286165</v>
      </c>
      <c r="GB1001">
        <v>2.738920085753906</v>
      </c>
      <c r="GC1001">
        <v>1.378674775021149</v>
      </c>
      <c r="GD1001">
        <v>1.316589744803959</v>
      </c>
      <c r="GE1001">
        <v>4.0603494627877721</v>
      </c>
      <c r="GF1001">
        <v>7.9651033833339042</v>
      </c>
      <c r="GG1001">
        <v>15.355572034089942</v>
      </c>
      <c r="GH1001">
        <v>17.921761663565572</v>
      </c>
      <c r="GI1001">
        <v>7.8028048569017443</v>
      </c>
      <c r="GJ1001"/>
      <c r="GK1001"/>
      <c r="GL1001"/>
      <c r="GM1001"/>
    </row>
    <row r="1002" spans="1:195" s="7" customFormat="1">
      <c r="A1002" s="4"/>
      <c r="B1002" s="4"/>
      <c r="C1002" s="4"/>
      <c r="D1002" s="4"/>
      <c r="E1002" s="4"/>
      <c r="F1002" s="28"/>
      <c r="G1002" s="28"/>
      <c r="H1002" s="83"/>
      <c r="I1002" s="4"/>
      <c r="J1002" s="4"/>
      <c r="K1002" s="4"/>
      <c r="L1002" s="4"/>
      <c r="M1002" s="4"/>
      <c r="N1002" s="28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81"/>
      <c r="AG1002" s="81"/>
      <c r="AH1002" s="81"/>
      <c r="AI1002" s="4"/>
      <c r="AJ1002" s="81"/>
      <c r="AK1002" s="81"/>
      <c r="AL1002" s="81"/>
      <c r="AM1002" s="43">
        <v>986</v>
      </c>
      <c r="AN1002">
        <v>98.716510105297601</v>
      </c>
      <c r="AO1002">
        <v>12.015230056690902</v>
      </c>
      <c r="AP1002">
        <v>125.21737701367331</v>
      </c>
      <c r="AQ1002">
        <v>108.2462025368265</v>
      </c>
      <c r="AR1002">
        <v>11.392486593775526</v>
      </c>
      <c r="AS1002">
        <v>176.09336315636796</v>
      </c>
      <c r="AT1002">
        <v>7.1515637092863775</v>
      </c>
      <c r="AU1002">
        <v>4.077436673540114</v>
      </c>
      <c r="AV1002"/>
      <c r="AW1002"/>
      <c r="FY1002" s="210">
        <v>997</v>
      </c>
      <c r="FZ1002">
        <v>13.008446609949107</v>
      </c>
      <c r="GA1002">
        <v>16.516593780391432</v>
      </c>
      <c r="GB1002">
        <v>2.1091114510076627</v>
      </c>
      <c r="GC1002">
        <v>0.35685464742728007</v>
      </c>
      <c r="GD1002">
        <v>1.4390022823616428</v>
      </c>
      <c r="GE1002">
        <v>3.6280611323700889</v>
      </c>
      <c r="GF1002">
        <v>11.136436740120372</v>
      </c>
      <c r="GG1002">
        <v>15.775003414126555</v>
      </c>
      <c r="GH1002">
        <v>12.915980461172026</v>
      </c>
      <c r="GI1002">
        <v>7.3549924927017729</v>
      </c>
      <c r="GJ1002"/>
      <c r="GK1002"/>
      <c r="GL1002"/>
      <c r="GM1002"/>
    </row>
    <row r="1003" spans="1:195" s="7" customFormat="1">
      <c r="A1003" s="4"/>
      <c r="B1003" s="4"/>
      <c r="C1003" s="4"/>
      <c r="D1003" s="4"/>
      <c r="E1003" s="4"/>
      <c r="F1003" s="28"/>
      <c r="G1003" s="28"/>
      <c r="H1003" s="83"/>
      <c r="I1003" s="4"/>
      <c r="J1003" s="4"/>
      <c r="K1003" s="4"/>
      <c r="L1003" s="4"/>
      <c r="M1003" s="4"/>
      <c r="N1003" s="28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81"/>
      <c r="AG1003" s="81"/>
      <c r="AH1003" s="81"/>
      <c r="AI1003" s="4"/>
      <c r="AJ1003" s="81"/>
      <c r="AK1003" s="81"/>
      <c r="AL1003" s="81"/>
      <c r="AM1003" s="43">
        <v>987</v>
      </c>
      <c r="AN1003">
        <v>165.33976163902102</v>
      </c>
      <c r="AO1003">
        <v>18.141320228988491</v>
      </c>
      <c r="AP1003">
        <v>194.02260518391688</v>
      </c>
      <c r="AQ1003">
        <v>167.59312436746248</v>
      </c>
      <c r="AR1003">
        <v>17.23300832068999</v>
      </c>
      <c r="AS1003">
        <v>251.66261915702694</v>
      </c>
      <c r="AT1003">
        <v>10.983227227429168</v>
      </c>
      <c r="AU1003">
        <v>25.747037575908877</v>
      </c>
      <c r="AV1003"/>
      <c r="AW1003"/>
      <c r="FY1003" s="210">
        <v>998</v>
      </c>
      <c r="FZ1003">
        <v>3.8991059691496548</v>
      </c>
      <c r="GA1003">
        <v>2.2062462938145</v>
      </c>
      <c r="GB1003">
        <v>4.7212629044615575</v>
      </c>
      <c r="GC1003">
        <v>2.3215505014461604</v>
      </c>
      <c r="GD1003">
        <v>0.15919309146903787</v>
      </c>
      <c r="GE1003">
        <v>0.76767606600086946</v>
      </c>
      <c r="GF1003">
        <v>3.2174352975225351</v>
      </c>
      <c r="GG1003">
        <v>6.2886370997647507</v>
      </c>
      <c r="GH1003">
        <v>10.247283593869426</v>
      </c>
      <c r="GI1003">
        <v>4.0366763505941581</v>
      </c>
      <c r="GJ1003"/>
      <c r="GK1003"/>
      <c r="GL1003"/>
      <c r="GM1003"/>
    </row>
    <row r="1004" spans="1:195" s="7" customFormat="1">
      <c r="A1004" s="4"/>
      <c r="B1004" s="4"/>
      <c r="C1004" s="4"/>
      <c r="D1004" s="4"/>
      <c r="E1004" s="4"/>
      <c r="F1004" s="28"/>
      <c r="G1004" s="28"/>
      <c r="H1004" s="83"/>
      <c r="I1004" s="4"/>
      <c r="J1004" s="4"/>
      <c r="K1004" s="4"/>
      <c r="L1004" s="4"/>
      <c r="M1004" s="4"/>
      <c r="N1004" s="28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81"/>
      <c r="AG1004" s="81"/>
      <c r="AH1004" s="81"/>
      <c r="AI1004" s="4"/>
      <c r="AJ1004" s="81"/>
      <c r="AK1004" s="81"/>
      <c r="AL1004" s="81"/>
      <c r="AM1004" s="43">
        <v>988</v>
      </c>
      <c r="AN1004">
        <v>86.143350350497542</v>
      </c>
      <c r="AO1004">
        <v>5.5431362006638123</v>
      </c>
      <c r="AP1004">
        <v>44.412341062930039</v>
      </c>
      <c r="AQ1004">
        <v>37.351721978664585</v>
      </c>
      <c r="AR1004">
        <v>5.4335280641584749</v>
      </c>
      <c r="AS1004">
        <v>110.3878858686962</v>
      </c>
      <c r="AT1004">
        <v>3.545606527107013</v>
      </c>
      <c r="AU1004">
        <v>-30.569717756989053</v>
      </c>
      <c r="AV1004"/>
      <c r="AW1004"/>
      <c r="FY1004" s="210">
        <v>999</v>
      </c>
      <c r="FZ1004">
        <v>34.931341488848204</v>
      </c>
      <c r="GA1004">
        <v>38.336415859300303</v>
      </c>
      <c r="GB1004">
        <v>2.0551964973567753</v>
      </c>
      <c r="GC1004">
        <v>1.0353844547607864</v>
      </c>
      <c r="GD1004">
        <v>1.0845640849833611</v>
      </c>
      <c r="GE1004">
        <v>2.7818237985576144</v>
      </c>
      <c r="GF1004">
        <v>6.2635768950184119</v>
      </c>
      <c r="GG1004">
        <v>5.7953597651773565</v>
      </c>
      <c r="GH1004">
        <v>4.8630203952987188</v>
      </c>
      <c r="GI1004">
        <v>8.2088637826599413</v>
      </c>
      <c r="GJ1004"/>
      <c r="GK1004"/>
      <c r="GL1004"/>
      <c r="GM1004"/>
    </row>
    <row r="1005" spans="1:195" s="7" customFormat="1">
      <c r="A1005" s="4"/>
      <c r="B1005" s="4"/>
      <c r="C1005" s="4"/>
      <c r="D1005" s="4"/>
      <c r="E1005" s="4"/>
      <c r="F1005" s="28"/>
      <c r="G1005" s="28"/>
      <c r="H1005" s="83"/>
      <c r="I1005" s="4"/>
      <c r="J1005" s="4"/>
      <c r="K1005" s="4"/>
      <c r="L1005" s="4"/>
      <c r="M1005" s="4"/>
      <c r="N1005" s="28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81"/>
      <c r="AG1005" s="81"/>
      <c r="AH1005" s="81"/>
      <c r="AI1005" s="4"/>
      <c r="AJ1005" s="81"/>
      <c r="AK1005" s="81"/>
      <c r="AL1005" s="81"/>
      <c r="AM1005" s="43">
        <v>989</v>
      </c>
      <c r="AN1005">
        <v>159.57376903536186</v>
      </c>
      <c r="AO1005">
        <v>13.951835734253015</v>
      </c>
      <c r="AP1005">
        <v>143.80448529363611</v>
      </c>
      <c r="AQ1005">
        <v>122.96533089828803</v>
      </c>
      <c r="AR1005">
        <v>13.106924379364104</v>
      </c>
      <c r="AS1005">
        <v>233.25561959356853</v>
      </c>
      <c r="AT1005">
        <v>7.8002238015008176</v>
      </c>
      <c r="AU1005">
        <v>37.487470692080869</v>
      </c>
      <c r="AV1005"/>
      <c r="AW1005"/>
      <c r="FY1005" s="210">
        <v>1000</v>
      </c>
      <c r="FZ1005">
        <v>23.642477643601225</v>
      </c>
      <c r="GA1005">
        <v>27.665013440412974</v>
      </c>
      <c r="GB1005">
        <v>2.9176410956799481</v>
      </c>
      <c r="GC1005">
        <v>1.2530424280707566</v>
      </c>
      <c r="GD1005">
        <v>1.0402862996927793</v>
      </c>
      <c r="GE1005">
        <v>3.0471098917371289</v>
      </c>
      <c r="GF1005">
        <v>10.993507799736735</v>
      </c>
      <c r="GG1005">
        <v>14.627732610529153</v>
      </c>
      <c r="GH1005">
        <v>13.571240372570003</v>
      </c>
      <c r="GI1005">
        <v>8.9638559781173548</v>
      </c>
      <c r="GJ1005"/>
      <c r="GK1005"/>
      <c r="GL1005"/>
      <c r="GM1005"/>
    </row>
    <row r="1006" spans="1:195" s="7" customFormat="1">
      <c r="A1006" s="4"/>
      <c r="B1006" s="4"/>
      <c r="C1006" s="4"/>
      <c r="D1006" s="4"/>
      <c r="E1006" s="4"/>
      <c r="F1006" s="28"/>
      <c r="G1006" s="28"/>
      <c r="H1006" s="83"/>
      <c r="I1006" s="4"/>
      <c r="J1006" s="4"/>
      <c r="K1006" s="4"/>
      <c r="L1006" s="4"/>
      <c r="M1006" s="4"/>
      <c r="N1006" s="28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81"/>
      <c r="AG1006" s="81"/>
      <c r="AH1006" s="81"/>
      <c r="AI1006" s="4"/>
      <c r="AJ1006" s="81"/>
      <c r="AK1006" s="81"/>
      <c r="AL1006" s="81"/>
      <c r="AM1006" s="43">
        <v>990</v>
      </c>
      <c r="AN1006">
        <v>110.78342036950255</v>
      </c>
      <c r="AO1006">
        <v>16.229169240463222</v>
      </c>
      <c r="AP1006">
        <v>177.86035378634705</v>
      </c>
      <c r="AQ1006">
        <v>153.31736646682262</v>
      </c>
      <c r="AR1006">
        <v>15.319548230250305</v>
      </c>
      <c r="AS1006">
        <v>207.08295644009445</v>
      </c>
      <c r="AT1006">
        <v>9.9131633328582982</v>
      </c>
      <c r="AU1006">
        <v>68.469576852674933</v>
      </c>
      <c r="AV1006"/>
      <c r="AW1006"/>
      <c r="FY1006" s="205"/>
      <c r="FZ1006" s="205"/>
      <c r="GA1006" s="205"/>
      <c r="GB1006" s="205"/>
      <c r="GC1006" s="205"/>
      <c r="GD1006" s="205"/>
      <c r="GE1006" s="205"/>
      <c r="GF1006" s="205"/>
      <c r="GG1006" s="205"/>
      <c r="GH1006" s="205"/>
      <c r="GI1006" s="205"/>
      <c r="GJ1006" s="205"/>
      <c r="GK1006" s="205"/>
      <c r="GL1006" s="205"/>
      <c r="GM1006" s="205"/>
    </row>
    <row r="1007" spans="1:195" s="7" customFormat="1">
      <c r="A1007" s="4"/>
      <c r="B1007" s="4"/>
      <c r="C1007" s="4"/>
      <c r="D1007" s="4"/>
      <c r="E1007" s="4"/>
      <c r="F1007" s="28"/>
      <c r="G1007" s="28"/>
      <c r="H1007" s="83"/>
      <c r="I1007" s="4"/>
      <c r="J1007" s="4"/>
      <c r="K1007" s="4"/>
      <c r="L1007" s="4"/>
      <c r="M1007" s="4"/>
      <c r="N1007" s="28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81"/>
      <c r="AG1007" s="81"/>
      <c r="AH1007" s="81"/>
      <c r="AI1007" s="4"/>
      <c r="AJ1007" s="81"/>
      <c r="AK1007" s="81"/>
      <c r="AL1007" s="81"/>
      <c r="AM1007" s="43">
        <v>991</v>
      </c>
      <c r="AN1007">
        <v>84.042136127128828</v>
      </c>
      <c r="AO1007">
        <v>10.195788841538306</v>
      </c>
      <c r="AP1007">
        <v>103.75735969971993</v>
      </c>
      <c r="AQ1007">
        <v>88.945713457079364</v>
      </c>
      <c r="AR1007">
        <v>10.223646621633144</v>
      </c>
      <c r="AS1007">
        <v>141.32733041810576</v>
      </c>
      <c r="AT1007">
        <v>6.7980529484683343</v>
      </c>
      <c r="AU1007">
        <v>18.142441122415192</v>
      </c>
      <c r="AV1007"/>
      <c r="AW1007"/>
      <c r="FY1007" s="205"/>
      <c r="FZ1007" s="205"/>
      <c r="GA1007" s="205"/>
      <c r="GB1007" s="205"/>
      <c r="GC1007" s="205"/>
      <c r="GD1007" s="205"/>
      <c r="GE1007" s="205"/>
      <c r="GF1007" s="205"/>
      <c r="GG1007" s="205"/>
      <c r="GH1007" s="205"/>
      <c r="GI1007" s="205"/>
      <c r="GJ1007" s="205"/>
      <c r="GK1007" s="205"/>
      <c r="GL1007" s="205"/>
      <c r="GM1007" s="205"/>
    </row>
    <row r="1008" spans="1:195" s="7" customFormat="1">
      <c r="A1008" s="4"/>
      <c r="B1008" s="4"/>
      <c r="C1008" s="4"/>
      <c r="D1008" s="4"/>
      <c r="E1008" s="4"/>
      <c r="F1008" s="28"/>
      <c r="G1008" s="28"/>
      <c r="H1008" s="83"/>
      <c r="I1008" s="4"/>
      <c r="J1008" s="4"/>
      <c r="K1008" s="4"/>
      <c r="L1008" s="4"/>
      <c r="M1008" s="4"/>
      <c r="N1008" s="28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81"/>
      <c r="AG1008" s="81"/>
      <c r="AH1008" s="81"/>
      <c r="AI1008" s="4"/>
      <c r="AJ1008" s="81"/>
      <c r="AK1008" s="81"/>
      <c r="AL1008" s="81"/>
      <c r="AM1008" s="43">
        <v>992</v>
      </c>
      <c r="AN1008">
        <v>81.818951124323149</v>
      </c>
      <c r="AO1008">
        <v>5.5709990125729245</v>
      </c>
      <c r="AP1008">
        <v>49.886616849999051</v>
      </c>
      <c r="AQ1008">
        <v>41.056024906608428</v>
      </c>
      <c r="AR1008">
        <v>5.7083672499566251</v>
      </c>
      <c r="AS1008">
        <v>101.74549230427849</v>
      </c>
      <c r="AT1008">
        <v>3.2855104796130994</v>
      </c>
      <c r="AU1008">
        <v>18.031231879487052</v>
      </c>
      <c r="AV1008"/>
      <c r="AW1008"/>
      <c r="FY1008" s="205"/>
      <c r="FZ1008" s="205"/>
      <c r="GA1008" s="205"/>
      <c r="GB1008" s="205"/>
      <c r="GC1008" s="205"/>
      <c r="GD1008" s="205"/>
      <c r="GE1008" s="205"/>
      <c r="GF1008" s="205"/>
      <c r="GG1008" s="205"/>
      <c r="GH1008" s="205"/>
      <c r="GI1008" s="205"/>
      <c r="GJ1008" s="205"/>
      <c r="GK1008" s="205"/>
      <c r="GL1008" s="205"/>
      <c r="GM1008" s="205"/>
    </row>
    <row r="1009" spans="1:195" s="7" customFormat="1">
      <c r="A1009" s="4"/>
      <c r="B1009" s="4"/>
      <c r="C1009" s="4"/>
      <c r="D1009" s="4"/>
      <c r="E1009" s="4"/>
      <c r="F1009" s="28"/>
      <c r="G1009" s="28"/>
      <c r="H1009" s="83"/>
      <c r="I1009" s="4"/>
      <c r="J1009" s="4"/>
      <c r="K1009" s="4"/>
      <c r="L1009" s="4"/>
      <c r="M1009" s="4"/>
      <c r="N1009" s="28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81"/>
      <c r="AG1009" s="81"/>
      <c r="AH1009" s="81"/>
      <c r="AI1009" s="4"/>
      <c r="AJ1009" s="81"/>
      <c r="AK1009" s="81"/>
      <c r="AL1009" s="81"/>
      <c r="AM1009" s="43">
        <v>993</v>
      </c>
      <c r="AN1009">
        <v>124.27974307998852</v>
      </c>
      <c r="AO1009">
        <v>9.1505512293539475</v>
      </c>
      <c r="AP1009">
        <v>85.704121595087628</v>
      </c>
      <c r="AQ1009">
        <v>72.507357480430699</v>
      </c>
      <c r="AR1009">
        <v>8.8466486674823539</v>
      </c>
      <c r="AS1009">
        <v>152.02153574433959</v>
      </c>
      <c r="AT1009">
        <v>5.5038589281808816</v>
      </c>
      <c r="AU1009">
        <v>30.349696995806866</v>
      </c>
      <c r="AV1009"/>
      <c r="AW1009"/>
      <c r="FY1009" s="205"/>
      <c r="FZ1009" s="205"/>
      <c r="GA1009" s="205"/>
      <c r="GB1009" s="205"/>
      <c r="GC1009" s="205"/>
      <c r="GD1009" s="205"/>
      <c r="GE1009" s="205"/>
      <c r="GF1009" s="205"/>
      <c r="GG1009" s="205"/>
      <c r="GH1009" s="205"/>
      <c r="GI1009" s="205"/>
      <c r="GJ1009" s="205"/>
      <c r="GK1009" s="205"/>
      <c r="GL1009" s="205"/>
      <c r="GM1009" s="205"/>
    </row>
    <row r="1010" spans="1:195" s="7" customFormat="1">
      <c r="A1010" s="4"/>
      <c r="B1010" s="4"/>
      <c r="C1010" s="4"/>
      <c r="D1010" s="4"/>
      <c r="E1010" s="4"/>
      <c r="F1010" s="28"/>
      <c r="G1010" s="28"/>
      <c r="H1010" s="83"/>
      <c r="I1010" s="4"/>
      <c r="J1010" s="4"/>
      <c r="K1010" s="4"/>
      <c r="L1010" s="4"/>
      <c r="M1010" s="4"/>
      <c r="N1010" s="28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81"/>
      <c r="AG1010" s="81"/>
      <c r="AH1010" s="81"/>
      <c r="AI1010" s="4"/>
      <c r="AJ1010" s="81"/>
      <c r="AK1010" s="81"/>
      <c r="AL1010" s="81"/>
      <c r="AM1010" s="43">
        <v>994</v>
      </c>
      <c r="AN1010">
        <v>76.979416523198523</v>
      </c>
      <c r="AO1010">
        <v>8.9584664007909307</v>
      </c>
      <c r="AP1010">
        <v>91.973734409394964</v>
      </c>
      <c r="AQ1010">
        <v>79.205054480856333</v>
      </c>
      <c r="AR1010">
        <v>8.948883239677663</v>
      </c>
      <c r="AS1010">
        <v>128.73301705600929</v>
      </c>
      <c r="AT1010">
        <v>5.4580345464907198</v>
      </c>
      <c r="AU1010">
        <v>26.713678167120857</v>
      </c>
      <c r="AV1010"/>
      <c r="AW1010"/>
      <c r="FY1010" s="205"/>
      <c r="FZ1010" s="205"/>
      <c r="GA1010" s="205"/>
      <c r="GB1010" s="205"/>
      <c r="GC1010" s="205"/>
      <c r="GD1010" s="205"/>
      <c r="GE1010" s="205"/>
      <c r="GF1010" s="205"/>
      <c r="GG1010" s="205"/>
      <c r="GH1010" s="205"/>
      <c r="GI1010" s="205"/>
      <c r="GJ1010" s="205"/>
      <c r="GK1010" s="205"/>
      <c r="GL1010" s="205"/>
      <c r="GM1010" s="205"/>
    </row>
    <row r="1011" spans="1:195" s="7" customFormat="1">
      <c r="A1011" s="4"/>
      <c r="B1011" s="4"/>
      <c r="C1011" s="4"/>
      <c r="D1011" s="4"/>
      <c r="E1011" s="4"/>
      <c r="F1011" s="28"/>
      <c r="G1011" s="28"/>
      <c r="H1011" s="83"/>
      <c r="I1011" s="4"/>
      <c r="J1011" s="4"/>
      <c r="K1011" s="4"/>
      <c r="L1011" s="4"/>
      <c r="M1011" s="4"/>
      <c r="N1011" s="28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81"/>
      <c r="AG1011" s="81"/>
      <c r="AH1011" s="81"/>
      <c r="AI1011" s="4"/>
      <c r="AJ1011" s="81"/>
      <c r="AK1011" s="81"/>
      <c r="AL1011" s="81"/>
      <c r="AM1011" s="43">
        <v>995</v>
      </c>
      <c r="AN1011">
        <v>109.95318370673358</v>
      </c>
      <c r="AO1011">
        <v>12.738997797096236</v>
      </c>
      <c r="AP1011">
        <v>128.70722534943678</v>
      </c>
      <c r="AQ1011">
        <v>111.44304577665574</v>
      </c>
      <c r="AR1011">
        <v>11.952766876757833</v>
      </c>
      <c r="AS1011">
        <v>199.355227168337</v>
      </c>
      <c r="AT1011">
        <v>7.4569877802833524</v>
      </c>
      <c r="AU1011">
        <v>13.444141683146634</v>
      </c>
      <c r="AV1011"/>
      <c r="AW1011"/>
      <c r="FY1011" s="205"/>
      <c r="FZ1011" s="205"/>
      <c r="GA1011" s="205"/>
      <c r="GB1011" s="205"/>
      <c r="GC1011" s="205"/>
      <c r="GD1011" s="205"/>
      <c r="GE1011" s="205"/>
      <c r="GF1011" s="205"/>
      <c r="GG1011" s="205"/>
      <c r="GH1011" s="205"/>
      <c r="GI1011" s="205"/>
      <c r="GJ1011" s="205"/>
      <c r="GK1011" s="205"/>
      <c r="GL1011" s="205"/>
      <c r="GM1011" s="205"/>
    </row>
    <row r="1012" spans="1:195" s="7" customFormat="1">
      <c r="A1012" s="4"/>
      <c r="B1012" s="4"/>
      <c r="C1012" s="4"/>
      <c r="D1012" s="4"/>
      <c r="E1012" s="4"/>
      <c r="F1012" s="28"/>
      <c r="G1012" s="28"/>
      <c r="H1012" s="83"/>
      <c r="I1012" s="4"/>
      <c r="J1012" s="4"/>
      <c r="K1012" s="4"/>
      <c r="L1012" s="4"/>
      <c r="M1012" s="4"/>
      <c r="N1012" s="28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81"/>
      <c r="AG1012" s="81"/>
      <c r="AH1012" s="81"/>
      <c r="AI1012" s="4"/>
      <c r="AJ1012" s="81"/>
      <c r="AK1012" s="81"/>
      <c r="AL1012" s="81"/>
      <c r="AM1012" s="43">
        <v>996</v>
      </c>
      <c r="AN1012">
        <v>166.51022370849535</v>
      </c>
      <c r="AO1012">
        <v>10.977545099102866</v>
      </c>
      <c r="AP1012">
        <v>102.53498974456249</v>
      </c>
      <c r="AQ1012">
        <v>86.645653086222381</v>
      </c>
      <c r="AR1012">
        <v>10.744295064647455</v>
      </c>
      <c r="AS1012">
        <v>210.52562163066972</v>
      </c>
      <c r="AT1012">
        <v>6.3270357224808293</v>
      </c>
      <c r="AU1012">
        <v>35.758013212677348</v>
      </c>
      <c r="AV1012"/>
      <c r="AW1012"/>
    </row>
    <row r="1013" spans="1:195" s="7" customFormat="1">
      <c r="A1013" s="4"/>
      <c r="B1013" s="4"/>
      <c r="C1013" s="4"/>
      <c r="D1013" s="4"/>
      <c r="E1013" s="4"/>
      <c r="F1013" s="28"/>
      <c r="G1013" s="28"/>
      <c r="H1013" s="83"/>
      <c r="I1013" s="4"/>
      <c r="J1013" s="4"/>
      <c r="K1013" s="4"/>
      <c r="L1013" s="4"/>
      <c r="M1013" s="4"/>
      <c r="N1013" s="28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81"/>
      <c r="AG1013" s="81"/>
      <c r="AH1013" s="81"/>
      <c r="AI1013" s="4"/>
      <c r="AJ1013" s="81"/>
      <c r="AK1013" s="81"/>
      <c r="AL1013" s="81"/>
      <c r="AM1013" s="43">
        <v>997</v>
      </c>
      <c r="AN1013">
        <v>131.00806804746486</v>
      </c>
      <c r="AO1013">
        <v>10.516553515016835</v>
      </c>
      <c r="AP1013">
        <v>100.76292911668045</v>
      </c>
      <c r="AQ1013">
        <v>84.240483011627944</v>
      </c>
      <c r="AR1013">
        <v>10.191426935863149</v>
      </c>
      <c r="AS1013">
        <v>185.77810936558035</v>
      </c>
      <c r="AT1013">
        <v>5.6614787265084603</v>
      </c>
      <c r="AU1013">
        <v>27.63411882891447</v>
      </c>
      <c r="AV1013"/>
      <c r="AW1013"/>
    </row>
    <row r="1014" spans="1:195" s="7" customFormat="1">
      <c r="A1014" s="4"/>
      <c r="B1014" s="4"/>
      <c r="C1014" s="4"/>
      <c r="D1014" s="4"/>
      <c r="E1014" s="4"/>
      <c r="F1014" s="28"/>
      <c r="G1014" s="28"/>
      <c r="H1014" s="83"/>
      <c r="I1014" s="4"/>
      <c r="J1014" s="4"/>
      <c r="K1014" s="4"/>
      <c r="L1014" s="4"/>
      <c r="M1014" s="4"/>
      <c r="N1014" s="28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81"/>
      <c r="AG1014" s="81"/>
      <c r="AH1014" s="81"/>
      <c r="AI1014" s="4"/>
      <c r="AJ1014" s="81"/>
      <c r="AK1014" s="81"/>
      <c r="AL1014" s="81"/>
      <c r="AM1014" s="43">
        <v>998</v>
      </c>
      <c r="AN1014">
        <v>87.859585487790667</v>
      </c>
      <c r="AO1014">
        <v>5.2270439938976621</v>
      </c>
      <c r="AP1014">
        <v>47.989930411608157</v>
      </c>
      <c r="AQ1014">
        <v>37.865067168092651</v>
      </c>
      <c r="AR1014">
        <v>5.5627250624396885</v>
      </c>
      <c r="AS1014">
        <v>101.18674919377328</v>
      </c>
      <c r="AT1014">
        <v>3.2892219428402512</v>
      </c>
      <c r="AU1014">
        <v>-52.857505845317874</v>
      </c>
      <c r="AV1014"/>
      <c r="AW1014"/>
    </row>
    <row r="1015" spans="1:195" s="7" customFormat="1">
      <c r="A1015" s="4"/>
      <c r="B1015" s="4"/>
      <c r="C1015" s="4"/>
      <c r="D1015" s="4"/>
      <c r="E1015" s="4"/>
      <c r="F1015" s="28"/>
      <c r="G1015" s="28"/>
      <c r="H1015" s="83"/>
      <c r="I1015" s="4"/>
      <c r="J1015" s="4"/>
      <c r="K1015" s="4"/>
      <c r="L1015" s="4"/>
      <c r="M1015" s="4"/>
      <c r="N1015" s="28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81"/>
      <c r="AG1015" s="81"/>
      <c r="AH1015" s="81"/>
      <c r="AI1015" s="4"/>
      <c r="AJ1015" s="81"/>
      <c r="AK1015" s="81"/>
      <c r="AL1015" s="81"/>
      <c r="AM1015" s="43">
        <v>999</v>
      </c>
      <c r="AN1015">
        <v>82.844919195199239</v>
      </c>
      <c r="AO1015">
        <v>11.783629842005562</v>
      </c>
      <c r="AP1015">
        <v>121.6138867936528</v>
      </c>
      <c r="AQ1015">
        <v>105.35554702196147</v>
      </c>
      <c r="AR1015">
        <v>11.445606523089831</v>
      </c>
      <c r="AS1015">
        <v>145.48828503986735</v>
      </c>
      <c r="AT1015">
        <v>7.9075846366949234</v>
      </c>
      <c r="AU1015">
        <v>-9.6773477254489215</v>
      </c>
      <c r="AV1015"/>
      <c r="AW1015"/>
    </row>
    <row r="1016" spans="1:195" s="7" customFormat="1">
      <c r="A1016" s="4"/>
      <c r="B1016" s="4"/>
      <c r="C1016" s="4"/>
      <c r="D1016" s="4"/>
      <c r="E1016" s="4"/>
      <c r="F1016" s="28"/>
      <c r="G1016" s="28"/>
      <c r="H1016" s="83"/>
      <c r="I1016" s="4"/>
      <c r="J1016" s="4"/>
      <c r="K1016" s="4"/>
      <c r="L1016" s="4"/>
      <c r="M1016" s="4"/>
      <c r="N1016" s="28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81"/>
      <c r="AG1016" s="81"/>
      <c r="AH1016" s="81"/>
      <c r="AI1016" s="4"/>
      <c r="AJ1016" s="81"/>
      <c r="AK1016" s="81"/>
      <c r="AL1016" s="81"/>
      <c r="AM1016" s="43">
        <v>1000</v>
      </c>
      <c r="AN1016">
        <v>152.45150520560841</v>
      </c>
      <c r="AO1016">
        <v>12.80080734531867</v>
      </c>
      <c r="AP1016">
        <v>128.16190982943868</v>
      </c>
      <c r="AQ1016">
        <v>107.72190756014805</v>
      </c>
      <c r="AR1016">
        <v>12.409903974327344</v>
      </c>
      <c r="AS1016">
        <v>228.58907415778927</v>
      </c>
      <c r="AT1016">
        <v>7.3969227362887073</v>
      </c>
      <c r="AU1016">
        <v>39.551236817950972</v>
      </c>
      <c r="AV1016"/>
      <c r="AW1016"/>
    </row>
    <row r="1017" spans="1:195" s="7" customFormat="1">
      <c r="A1017" s="4"/>
      <c r="B1017" s="4"/>
      <c r="C1017" s="4"/>
      <c r="D1017" s="4"/>
      <c r="E1017" s="4"/>
      <c r="F1017" s="28"/>
      <c r="G1017" s="28"/>
      <c r="H1017" s="83"/>
      <c r="I1017" s="4"/>
      <c r="J1017" s="4"/>
      <c r="K1017" s="4"/>
      <c r="L1017" s="4"/>
      <c r="M1017" s="4"/>
      <c r="N1017" s="28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81"/>
      <c r="AG1017" s="81"/>
      <c r="AH1017" s="81"/>
      <c r="AI1017" s="4"/>
      <c r="AJ1017" s="81"/>
      <c r="AK1017" s="81"/>
      <c r="AL1017" s="81"/>
      <c r="AM1017" s="35" t="s">
        <v>117</v>
      </c>
      <c r="AN1017" s="35" t="s">
        <v>117</v>
      </c>
      <c r="AO1017" s="35" t="s">
        <v>117</v>
      </c>
      <c r="AP1017" s="35" t="s">
        <v>117</v>
      </c>
      <c r="AQ1017" s="35" t="s">
        <v>117</v>
      </c>
      <c r="AR1017" s="35" t="s">
        <v>117</v>
      </c>
      <c r="AS1017" s="35" t="s">
        <v>117</v>
      </c>
      <c r="AT1017" s="35" t="s">
        <v>117</v>
      </c>
      <c r="AU1017" s="35" t="s">
        <v>117</v>
      </c>
      <c r="AV1017" s="121"/>
    </row>
    <row r="1018" spans="1:195" s="7" customFormat="1">
      <c r="A1018" s="4"/>
      <c r="B1018" s="4"/>
      <c r="C1018" s="4"/>
      <c r="D1018" s="4"/>
      <c r="E1018" s="4"/>
      <c r="F1018" s="28"/>
      <c r="G1018" s="28"/>
      <c r="H1018" s="83"/>
      <c r="I1018" s="4"/>
      <c r="J1018" s="4"/>
      <c r="K1018" s="4"/>
      <c r="L1018" s="4"/>
      <c r="M1018" s="4"/>
      <c r="N1018" s="28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81"/>
      <c r="AG1018" s="81"/>
      <c r="AH1018" s="81"/>
      <c r="AI1018" s="4"/>
      <c r="AJ1018" s="81"/>
      <c r="AK1018" s="81"/>
      <c r="AL1018" s="81"/>
      <c r="AM1018" s="35" t="s">
        <v>117</v>
      </c>
      <c r="AN1018" s="35" t="s">
        <v>117</v>
      </c>
      <c r="AO1018" s="35" t="s">
        <v>117</v>
      </c>
      <c r="AP1018" s="35" t="s">
        <v>117</v>
      </c>
      <c r="AQ1018" s="35" t="s">
        <v>117</v>
      </c>
      <c r="AR1018" s="35" t="s">
        <v>117</v>
      </c>
      <c r="AS1018" s="35" t="s">
        <v>117</v>
      </c>
      <c r="AT1018" s="35" t="s">
        <v>117</v>
      </c>
      <c r="AU1018" s="35" t="s">
        <v>117</v>
      </c>
      <c r="AV1018" s="121"/>
    </row>
    <row r="1019" spans="1:195" s="7" customFormat="1">
      <c r="A1019" s="4"/>
      <c r="B1019" s="4"/>
      <c r="C1019" s="4"/>
      <c r="D1019" s="4"/>
      <c r="E1019" s="4"/>
      <c r="F1019" s="28"/>
      <c r="G1019" s="28"/>
      <c r="H1019" s="83"/>
      <c r="I1019" s="4"/>
      <c r="J1019" s="4"/>
      <c r="K1019" s="4"/>
      <c r="L1019" s="4"/>
      <c r="M1019" s="4"/>
      <c r="N1019" s="28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81"/>
      <c r="AG1019" s="81"/>
      <c r="AH1019" s="81"/>
      <c r="AI1019" s="4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</row>
    <row r="1020" spans="1:195" s="7" customFormat="1">
      <c r="A1020" s="4"/>
      <c r="B1020" s="4"/>
      <c r="C1020" s="4"/>
      <c r="D1020" s="4"/>
      <c r="E1020" s="4"/>
      <c r="F1020" s="28"/>
      <c r="G1020" s="28"/>
      <c r="H1020" s="83"/>
      <c r="I1020" s="4"/>
      <c r="J1020" s="4"/>
      <c r="K1020" s="4"/>
      <c r="L1020" s="4"/>
      <c r="M1020" s="4"/>
      <c r="N1020" s="28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81"/>
      <c r="AG1020" s="81"/>
      <c r="AH1020" s="81"/>
      <c r="AI1020" s="4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</row>
    <row r="1021" spans="1:195" s="7" customFormat="1">
      <c r="A1021" s="4"/>
      <c r="B1021" s="4"/>
      <c r="C1021" s="4"/>
      <c r="D1021" s="4"/>
      <c r="E1021" s="4"/>
      <c r="F1021" s="28"/>
      <c r="G1021" s="28"/>
      <c r="H1021" s="83"/>
      <c r="I1021" s="4"/>
      <c r="J1021" s="4"/>
      <c r="K1021" s="4"/>
      <c r="L1021" s="4"/>
      <c r="M1021" s="4"/>
      <c r="N1021" s="28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81"/>
      <c r="AG1021" s="81"/>
      <c r="AH1021" s="81"/>
      <c r="AI1021" s="4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</row>
    <row r="1022" spans="1:195" s="7" customFormat="1">
      <c r="A1022" s="4"/>
      <c r="B1022" s="4"/>
      <c r="C1022" s="4"/>
      <c r="D1022" s="4"/>
      <c r="E1022" s="4"/>
      <c r="F1022" s="28"/>
      <c r="G1022" s="28"/>
      <c r="H1022" s="83"/>
      <c r="I1022" s="4"/>
      <c r="J1022" s="4"/>
      <c r="K1022" s="4"/>
      <c r="L1022" s="4"/>
      <c r="M1022" s="4"/>
      <c r="N1022" s="28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81"/>
      <c r="AG1022" s="81"/>
      <c r="AH1022" s="81"/>
      <c r="AI1022" s="4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</row>
    <row r="1023" spans="1:195" s="7" customFormat="1">
      <c r="A1023" s="4"/>
      <c r="B1023" s="4"/>
      <c r="C1023" s="4"/>
      <c r="D1023" s="4"/>
      <c r="E1023" s="4"/>
      <c r="F1023" s="28"/>
      <c r="G1023" s="28"/>
      <c r="H1023" s="83"/>
      <c r="I1023" s="4"/>
      <c r="J1023" s="4"/>
      <c r="K1023" s="4"/>
      <c r="L1023" s="4"/>
      <c r="M1023" s="4"/>
      <c r="N1023" s="28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81"/>
      <c r="AG1023" s="81"/>
      <c r="AH1023" s="81"/>
      <c r="AI1023" s="4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</row>
    <row r="1024" spans="1:195" s="7" customFormat="1">
      <c r="A1024" s="4"/>
      <c r="B1024" s="4"/>
      <c r="C1024" s="4"/>
      <c r="D1024" s="4"/>
      <c r="E1024" s="4"/>
      <c r="F1024" s="28"/>
      <c r="G1024" s="28"/>
      <c r="H1024" s="83"/>
      <c r="I1024" s="4"/>
      <c r="J1024" s="4"/>
      <c r="K1024" s="4"/>
      <c r="L1024" s="4"/>
      <c r="M1024" s="4"/>
      <c r="N1024" s="28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81"/>
      <c r="AG1024" s="81"/>
      <c r="AH1024" s="81"/>
      <c r="AI1024" s="4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</row>
    <row r="1025" spans="1:45" s="7" customFormat="1">
      <c r="A1025" s="4"/>
      <c r="B1025" s="4"/>
      <c r="C1025" s="4"/>
      <c r="D1025" s="4"/>
      <c r="E1025" s="4"/>
      <c r="F1025" s="28"/>
      <c r="G1025" s="28"/>
      <c r="H1025" s="83"/>
      <c r="I1025" s="4"/>
      <c r="J1025" s="4"/>
      <c r="K1025" s="4"/>
      <c r="L1025" s="4"/>
      <c r="M1025" s="4"/>
      <c r="N1025" s="28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81"/>
      <c r="AG1025" s="81"/>
      <c r="AH1025" s="81"/>
      <c r="AI1025" s="4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</row>
    <row r="1026" spans="1:45" s="7" customFormat="1">
      <c r="A1026" s="4"/>
      <c r="B1026" s="4"/>
      <c r="C1026" s="4"/>
      <c r="D1026" s="4"/>
      <c r="E1026" s="4"/>
      <c r="F1026" s="28"/>
      <c r="G1026" s="28"/>
      <c r="H1026" s="83"/>
      <c r="I1026" s="4"/>
      <c r="J1026" s="4"/>
      <c r="K1026" s="4"/>
      <c r="L1026" s="4"/>
      <c r="M1026" s="4"/>
      <c r="N1026" s="28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81"/>
      <c r="AG1026" s="81"/>
      <c r="AH1026" s="81"/>
      <c r="AI1026" s="4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</row>
    <row r="1027" spans="1:45" s="7" customFormat="1">
      <c r="A1027" s="4"/>
      <c r="B1027" s="4"/>
      <c r="C1027" s="4"/>
      <c r="D1027" s="4"/>
      <c r="E1027" s="4"/>
      <c r="F1027" s="28"/>
      <c r="G1027" s="28"/>
      <c r="H1027" s="83"/>
      <c r="I1027" s="4"/>
      <c r="J1027" s="4"/>
      <c r="K1027" s="4"/>
      <c r="L1027" s="4"/>
      <c r="M1027" s="4"/>
      <c r="N1027" s="28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81"/>
      <c r="AG1027" s="81"/>
      <c r="AH1027" s="81"/>
      <c r="AI1027" s="4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</row>
    <row r="1028" spans="1:45" s="7" customFormat="1">
      <c r="A1028" s="4"/>
      <c r="B1028" s="4"/>
      <c r="C1028" s="4"/>
      <c r="D1028" s="4"/>
      <c r="E1028" s="4"/>
      <c r="F1028" s="28"/>
      <c r="G1028" s="28"/>
      <c r="H1028" s="83"/>
      <c r="I1028" s="4"/>
      <c r="J1028" s="4"/>
      <c r="K1028" s="4"/>
      <c r="L1028" s="4"/>
      <c r="M1028" s="4"/>
      <c r="N1028" s="28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81"/>
      <c r="AG1028" s="81"/>
      <c r="AH1028" s="81"/>
      <c r="AI1028" s="4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</row>
    <row r="1029" spans="1:45" s="7" customFormat="1">
      <c r="A1029" s="4"/>
      <c r="B1029" s="4"/>
      <c r="C1029" s="4"/>
      <c r="D1029" s="4"/>
      <c r="E1029" s="4"/>
      <c r="F1029" s="28"/>
      <c r="G1029" s="28"/>
      <c r="H1029" s="83"/>
      <c r="I1029" s="4"/>
      <c r="J1029" s="4"/>
      <c r="K1029" s="4"/>
      <c r="L1029" s="4"/>
      <c r="M1029" s="4"/>
      <c r="N1029" s="28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81"/>
      <c r="AG1029" s="81"/>
      <c r="AH1029" s="81"/>
      <c r="AI1029" s="4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</row>
    <row r="1030" spans="1:45" s="7" customFormat="1">
      <c r="A1030" s="4"/>
      <c r="B1030" s="4"/>
      <c r="C1030" s="4"/>
      <c r="D1030" s="4"/>
      <c r="E1030" s="4"/>
      <c r="F1030" s="28"/>
      <c r="G1030" s="28"/>
      <c r="H1030" s="83"/>
      <c r="I1030" s="4"/>
      <c r="J1030" s="4"/>
      <c r="K1030" s="4"/>
      <c r="L1030" s="4"/>
      <c r="M1030" s="4"/>
      <c r="N1030" s="28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81"/>
      <c r="AG1030" s="81"/>
      <c r="AH1030" s="81"/>
      <c r="AI1030" s="4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</row>
    <row r="1031" spans="1:45" s="7" customFormat="1">
      <c r="A1031" s="4"/>
      <c r="B1031" s="4"/>
      <c r="C1031" s="4"/>
      <c r="D1031" s="4"/>
      <c r="E1031" s="4"/>
      <c r="F1031" s="28"/>
      <c r="G1031" s="28"/>
      <c r="H1031" s="83"/>
      <c r="I1031" s="4"/>
      <c r="J1031" s="4"/>
      <c r="K1031" s="4"/>
      <c r="L1031" s="4"/>
      <c r="M1031" s="4"/>
      <c r="N1031" s="28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81"/>
      <c r="AG1031" s="81"/>
      <c r="AH1031" s="81"/>
      <c r="AI1031" s="4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</row>
    <row r="1032" spans="1:45" s="7" customFormat="1">
      <c r="A1032" s="4"/>
      <c r="B1032" s="4"/>
      <c r="C1032" s="4"/>
      <c r="D1032" s="4"/>
      <c r="E1032" s="4"/>
      <c r="F1032" s="28"/>
      <c r="G1032" s="28"/>
      <c r="H1032" s="83"/>
      <c r="I1032" s="4"/>
      <c r="J1032" s="4"/>
      <c r="K1032" s="4"/>
      <c r="L1032" s="4"/>
      <c r="M1032" s="4"/>
      <c r="N1032" s="28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81"/>
      <c r="AG1032" s="81"/>
      <c r="AH1032" s="81"/>
      <c r="AI1032" s="4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</row>
    <row r="1033" spans="1:45" s="7" customFormat="1">
      <c r="A1033" s="4"/>
      <c r="B1033" s="4"/>
      <c r="C1033" s="4"/>
      <c r="D1033" s="4"/>
      <c r="E1033" s="4"/>
      <c r="F1033" s="28"/>
      <c r="G1033" s="28"/>
      <c r="H1033" s="83"/>
      <c r="I1033" s="4"/>
      <c r="J1033" s="4"/>
      <c r="K1033" s="4"/>
      <c r="L1033" s="4"/>
      <c r="M1033" s="4"/>
      <c r="N1033" s="28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81"/>
      <c r="AG1033" s="81"/>
      <c r="AH1033" s="81"/>
      <c r="AI1033" s="4"/>
      <c r="AJ1033" s="81"/>
      <c r="AK1033" s="81"/>
      <c r="AL1033" s="81"/>
    </row>
    <row r="1034" spans="1:45" s="7" customFormat="1">
      <c r="A1034" s="4"/>
      <c r="B1034" s="4"/>
      <c r="C1034" s="4"/>
      <c r="D1034" s="4"/>
      <c r="E1034" s="4"/>
      <c r="F1034" s="28"/>
      <c r="G1034" s="28"/>
      <c r="H1034" s="83"/>
      <c r="I1034" s="4"/>
      <c r="J1034" s="4"/>
      <c r="K1034" s="4"/>
      <c r="L1034" s="4"/>
      <c r="M1034" s="4"/>
      <c r="N1034" s="28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81"/>
      <c r="AG1034" s="81"/>
      <c r="AH1034" s="81"/>
      <c r="AI1034" s="4"/>
      <c r="AJ1034" s="81"/>
      <c r="AK1034" s="81"/>
      <c r="AL1034" s="81"/>
    </row>
    <row r="1035" spans="1:45" s="7" customFormat="1">
      <c r="A1035" s="4"/>
      <c r="B1035" s="4"/>
      <c r="C1035" s="4"/>
      <c r="D1035" s="4"/>
      <c r="E1035" s="4"/>
      <c r="F1035" s="28"/>
      <c r="G1035" s="28"/>
      <c r="H1035" s="83"/>
      <c r="I1035" s="4"/>
      <c r="J1035" s="4"/>
      <c r="K1035" s="4"/>
      <c r="L1035" s="4"/>
      <c r="M1035" s="4"/>
      <c r="N1035" s="28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81"/>
      <c r="AG1035" s="81"/>
      <c r="AH1035" s="81"/>
      <c r="AI1035" s="4"/>
      <c r="AJ1035" s="81"/>
      <c r="AK1035" s="81"/>
      <c r="AL1035" s="81"/>
    </row>
    <row r="1036" spans="1:45" s="7" customFormat="1">
      <c r="A1036" s="4"/>
      <c r="B1036" s="4"/>
      <c r="C1036" s="4"/>
      <c r="D1036" s="4"/>
      <c r="E1036" s="4"/>
      <c r="F1036" s="28"/>
      <c r="G1036" s="28"/>
      <c r="H1036" s="83"/>
      <c r="I1036" s="4"/>
      <c r="J1036" s="4"/>
      <c r="K1036" s="4"/>
      <c r="L1036" s="4"/>
      <c r="M1036" s="4"/>
      <c r="N1036" s="28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81"/>
      <c r="AG1036" s="81"/>
      <c r="AH1036" s="81"/>
      <c r="AI1036" s="4"/>
      <c r="AJ1036" s="81"/>
      <c r="AK1036" s="81"/>
      <c r="AL1036" s="81"/>
    </row>
    <row r="1037" spans="1:45" s="7" customFormat="1">
      <c r="A1037" s="4"/>
      <c r="B1037" s="4"/>
      <c r="C1037" s="4"/>
      <c r="D1037" s="4"/>
      <c r="E1037" s="4"/>
      <c r="F1037" s="28"/>
      <c r="G1037" s="28"/>
      <c r="H1037" s="83"/>
      <c r="I1037" s="4"/>
      <c r="J1037" s="4"/>
      <c r="K1037" s="4"/>
      <c r="L1037" s="4"/>
      <c r="M1037" s="4"/>
      <c r="N1037" s="28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81"/>
      <c r="AG1037" s="81"/>
      <c r="AH1037" s="81"/>
      <c r="AI1037" s="4"/>
      <c r="AJ1037" s="81"/>
      <c r="AK1037" s="81"/>
      <c r="AL1037" s="81"/>
    </row>
    <row r="1038" spans="1:45" s="7" customFormat="1">
      <c r="A1038" s="4"/>
      <c r="B1038" s="4"/>
      <c r="C1038" s="4"/>
      <c r="D1038" s="4"/>
      <c r="E1038" s="4"/>
      <c r="F1038" s="28"/>
      <c r="G1038" s="28"/>
      <c r="H1038" s="83"/>
      <c r="I1038" s="4"/>
      <c r="J1038" s="4"/>
      <c r="K1038" s="4"/>
      <c r="L1038" s="4"/>
      <c r="M1038" s="4"/>
      <c r="N1038" s="28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81"/>
      <c r="AG1038" s="81"/>
      <c r="AH1038" s="81"/>
      <c r="AI1038" s="4"/>
      <c r="AJ1038" s="81"/>
      <c r="AK1038" s="81"/>
      <c r="AL1038" s="81"/>
    </row>
    <row r="1039" spans="1:45" s="7" customFormat="1">
      <c r="A1039" s="4"/>
      <c r="B1039" s="4"/>
      <c r="C1039" s="4"/>
      <c r="D1039" s="4"/>
      <c r="E1039" s="4"/>
      <c r="F1039" s="28"/>
      <c r="G1039" s="28"/>
      <c r="H1039" s="83"/>
      <c r="I1039" s="4"/>
      <c r="J1039" s="4"/>
      <c r="K1039" s="4"/>
      <c r="L1039" s="4"/>
      <c r="M1039" s="4"/>
      <c r="N1039" s="28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81"/>
      <c r="AG1039" s="81"/>
      <c r="AH1039" s="81"/>
      <c r="AI1039" s="4"/>
      <c r="AJ1039" s="81"/>
      <c r="AK1039" s="81"/>
      <c r="AL1039" s="81"/>
    </row>
    <row r="1040" spans="1:45" s="7" customFormat="1">
      <c r="A1040" s="4"/>
      <c r="B1040" s="4"/>
      <c r="C1040" s="4"/>
      <c r="D1040" s="4"/>
      <c r="E1040" s="4"/>
      <c r="F1040" s="28"/>
      <c r="G1040" s="28"/>
      <c r="H1040" s="83"/>
      <c r="I1040" s="4"/>
      <c r="J1040" s="4"/>
      <c r="K1040" s="4"/>
      <c r="L1040" s="4"/>
      <c r="M1040" s="4"/>
      <c r="N1040" s="28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81"/>
      <c r="AG1040" s="81"/>
      <c r="AH1040" s="81"/>
      <c r="AI1040" s="4"/>
      <c r="AJ1040" s="81"/>
      <c r="AK1040" s="81"/>
      <c r="AL1040" s="81"/>
    </row>
    <row r="1041" spans="1:38" s="7" customFormat="1">
      <c r="A1041" s="4"/>
      <c r="B1041" s="4"/>
      <c r="C1041" s="4"/>
      <c r="D1041" s="4"/>
      <c r="E1041" s="4"/>
      <c r="F1041" s="28"/>
      <c r="G1041" s="28"/>
      <c r="H1041" s="83"/>
      <c r="I1041" s="4"/>
      <c r="J1041" s="4"/>
      <c r="K1041" s="4"/>
      <c r="L1041" s="4"/>
      <c r="M1041" s="4"/>
      <c r="N1041" s="28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81"/>
      <c r="AG1041" s="81"/>
      <c r="AH1041" s="81"/>
      <c r="AI1041" s="4"/>
      <c r="AJ1041" s="81"/>
      <c r="AK1041" s="81"/>
      <c r="AL1041" s="81"/>
    </row>
    <row r="1042" spans="1:38" s="7" customFormat="1">
      <c r="A1042" s="4"/>
      <c r="B1042" s="4"/>
      <c r="C1042" s="4"/>
      <c r="D1042" s="4"/>
      <c r="E1042" s="4"/>
      <c r="F1042" s="28"/>
      <c r="G1042" s="28"/>
      <c r="H1042" s="83"/>
      <c r="I1042" s="4"/>
      <c r="J1042" s="4"/>
      <c r="K1042" s="4"/>
      <c r="L1042" s="4"/>
      <c r="M1042" s="4"/>
      <c r="N1042" s="28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81"/>
      <c r="AG1042" s="81"/>
      <c r="AH1042" s="81"/>
      <c r="AI1042" s="4"/>
      <c r="AJ1042" s="81"/>
      <c r="AK1042" s="81"/>
      <c r="AL1042" s="81"/>
    </row>
    <row r="1043" spans="1:38" s="7" customFormat="1">
      <c r="A1043" s="4"/>
      <c r="B1043" s="4"/>
      <c r="C1043" s="4"/>
      <c r="D1043" s="4"/>
      <c r="E1043" s="4"/>
      <c r="F1043" s="28"/>
      <c r="G1043" s="28"/>
      <c r="H1043" s="83"/>
      <c r="I1043" s="4"/>
      <c r="J1043" s="4"/>
      <c r="K1043" s="4"/>
      <c r="L1043" s="4"/>
      <c r="M1043" s="4"/>
      <c r="N1043" s="28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81"/>
      <c r="AG1043" s="81"/>
      <c r="AH1043" s="81"/>
      <c r="AI1043" s="4"/>
      <c r="AJ1043" s="81"/>
      <c r="AK1043" s="81"/>
      <c r="AL1043" s="81"/>
    </row>
    <row r="1044" spans="1:38" s="7" customFormat="1">
      <c r="A1044" s="4"/>
      <c r="B1044" s="4"/>
      <c r="C1044" s="4"/>
      <c r="D1044" s="4"/>
      <c r="E1044" s="4"/>
      <c r="F1044" s="28"/>
      <c r="G1044" s="28"/>
      <c r="H1044" s="83"/>
      <c r="I1044" s="4"/>
      <c r="J1044" s="4"/>
      <c r="K1044" s="4"/>
      <c r="L1044" s="4"/>
      <c r="M1044" s="4"/>
      <c r="N1044" s="28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81"/>
      <c r="AG1044" s="81"/>
      <c r="AH1044" s="81"/>
      <c r="AI1044" s="4"/>
      <c r="AJ1044" s="81"/>
      <c r="AK1044" s="81"/>
      <c r="AL1044" s="81"/>
    </row>
    <row r="1045" spans="1:38" s="7" customFormat="1">
      <c r="A1045" s="4"/>
      <c r="B1045" s="4"/>
      <c r="C1045" s="4"/>
      <c r="D1045" s="4"/>
      <c r="E1045" s="4"/>
      <c r="F1045" s="28"/>
      <c r="G1045" s="28"/>
      <c r="H1045" s="83"/>
      <c r="I1045" s="4"/>
      <c r="J1045" s="4"/>
      <c r="K1045" s="4"/>
      <c r="L1045" s="4"/>
      <c r="M1045" s="4"/>
      <c r="N1045" s="28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81"/>
      <c r="AG1045" s="81"/>
      <c r="AH1045" s="81"/>
      <c r="AI1045" s="4"/>
      <c r="AJ1045" s="81"/>
      <c r="AK1045" s="81"/>
      <c r="AL1045" s="81"/>
    </row>
    <row r="1046" spans="1:38" s="7" customFormat="1">
      <c r="A1046" s="4"/>
      <c r="B1046" s="4"/>
      <c r="C1046" s="4"/>
      <c r="D1046" s="4"/>
      <c r="E1046" s="4"/>
      <c r="F1046" s="28"/>
      <c r="G1046" s="28"/>
      <c r="H1046" s="83"/>
      <c r="I1046" s="4"/>
      <c r="J1046" s="4"/>
      <c r="K1046" s="4"/>
      <c r="L1046" s="4"/>
      <c r="M1046" s="4"/>
      <c r="N1046" s="28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81"/>
      <c r="AG1046" s="81"/>
      <c r="AH1046" s="81"/>
      <c r="AI1046" s="4"/>
      <c r="AJ1046" s="81"/>
      <c r="AK1046" s="81"/>
      <c r="AL1046" s="81"/>
    </row>
    <row r="1047" spans="1:38" s="7" customFormat="1">
      <c r="A1047" s="4"/>
      <c r="B1047" s="4"/>
      <c r="C1047" s="4"/>
      <c r="D1047" s="4"/>
      <c r="E1047" s="4"/>
      <c r="F1047" s="28"/>
      <c r="G1047" s="28"/>
      <c r="H1047" s="83"/>
      <c r="I1047" s="4"/>
      <c r="J1047" s="4"/>
      <c r="K1047" s="4"/>
      <c r="L1047" s="4"/>
      <c r="M1047" s="4"/>
      <c r="N1047" s="28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81"/>
      <c r="AG1047" s="81"/>
      <c r="AH1047" s="81"/>
      <c r="AI1047" s="4"/>
      <c r="AJ1047" s="81"/>
      <c r="AK1047" s="81"/>
      <c r="AL1047" s="81"/>
    </row>
    <row r="1048" spans="1:38" s="7" customFormat="1">
      <c r="A1048" s="4"/>
      <c r="B1048" s="4"/>
      <c r="C1048" s="4"/>
      <c r="D1048" s="4"/>
      <c r="E1048" s="4"/>
      <c r="F1048" s="28"/>
      <c r="G1048" s="28"/>
      <c r="H1048" s="83"/>
      <c r="I1048" s="4"/>
      <c r="J1048" s="4"/>
      <c r="K1048" s="4"/>
      <c r="L1048" s="4"/>
      <c r="M1048" s="4"/>
      <c r="N1048" s="28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81"/>
      <c r="AG1048" s="81"/>
      <c r="AH1048" s="81"/>
      <c r="AI1048" s="4"/>
      <c r="AJ1048" s="81"/>
      <c r="AK1048" s="81"/>
      <c r="AL1048" s="81"/>
    </row>
    <row r="1049" spans="1:38" s="7" customFormat="1">
      <c r="A1049" s="4"/>
      <c r="B1049" s="4"/>
      <c r="C1049" s="4"/>
      <c r="D1049" s="4"/>
      <c r="E1049" s="4"/>
      <c r="F1049" s="28"/>
      <c r="G1049" s="28"/>
      <c r="H1049" s="83"/>
      <c r="I1049" s="4"/>
      <c r="J1049" s="4"/>
      <c r="K1049" s="4"/>
      <c r="L1049" s="4"/>
      <c r="M1049" s="4"/>
      <c r="N1049" s="28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81"/>
      <c r="AG1049" s="81"/>
      <c r="AH1049" s="81"/>
      <c r="AI1049" s="4"/>
      <c r="AJ1049" s="81"/>
      <c r="AK1049" s="81"/>
      <c r="AL1049" s="81"/>
    </row>
    <row r="1050" spans="1:38" s="7" customFormat="1">
      <c r="A1050" s="4"/>
      <c r="B1050" s="4"/>
      <c r="C1050" s="4"/>
      <c r="D1050" s="4"/>
      <c r="E1050" s="4"/>
      <c r="F1050" s="28"/>
      <c r="G1050" s="28"/>
      <c r="H1050" s="83"/>
      <c r="I1050" s="4"/>
      <c r="J1050" s="4"/>
      <c r="K1050" s="4"/>
      <c r="L1050" s="4"/>
      <c r="M1050" s="4"/>
      <c r="N1050" s="28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81"/>
      <c r="AG1050" s="81"/>
      <c r="AH1050" s="81"/>
      <c r="AI1050" s="4"/>
      <c r="AJ1050" s="81"/>
      <c r="AK1050" s="81"/>
      <c r="AL1050" s="81"/>
    </row>
    <row r="1051" spans="1:38" s="7" customFormat="1">
      <c r="A1051" s="4"/>
      <c r="B1051" s="4"/>
      <c r="C1051" s="4"/>
      <c r="D1051" s="4"/>
      <c r="E1051" s="4"/>
      <c r="F1051" s="28"/>
      <c r="G1051" s="28"/>
      <c r="H1051" s="83"/>
      <c r="I1051" s="4"/>
      <c r="J1051" s="4"/>
      <c r="K1051" s="4"/>
      <c r="L1051" s="4"/>
      <c r="M1051" s="4"/>
      <c r="N1051" s="28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81"/>
      <c r="AG1051" s="81"/>
      <c r="AH1051" s="81"/>
      <c r="AI1051" s="4"/>
      <c r="AJ1051" s="81"/>
      <c r="AK1051" s="81"/>
      <c r="AL1051" s="81"/>
    </row>
    <row r="1052" spans="1:38" s="7" customFormat="1">
      <c r="A1052" s="4"/>
      <c r="B1052" s="4"/>
      <c r="C1052" s="4"/>
      <c r="D1052" s="4"/>
      <c r="E1052" s="4"/>
      <c r="F1052" s="28"/>
      <c r="G1052" s="28"/>
      <c r="H1052" s="83"/>
      <c r="I1052" s="4"/>
      <c r="J1052" s="4"/>
      <c r="K1052" s="4"/>
      <c r="L1052" s="4"/>
      <c r="M1052" s="4"/>
      <c r="N1052" s="28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81"/>
      <c r="AG1052" s="81"/>
      <c r="AH1052" s="81"/>
      <c r="AI1052" s="4"/>
      <c r="AJ1052" s="81"/>
      <c r="AK1052" s="81"/>
      <c r="AL1052" s="81"/>
    </row>
    <row r="1053" spans="1:38" s="7" customFormat="1">
      <c r="A1053" s="4"/>
      <c r="B1053" s="4"/>
      <c r="C1053" s="4"/>
      <c r="D1053" s="4"/>
      <c r="E1053" s="4"/>
      <c r="F1053" s="28"/>
      <c r="G1053" s="28"/>
      <c r="H1053" s="83"/>
      <c r="I1053" s="4"/>
      <c r="J1053" s="4"/>
      <c r="K1053" s="4"/>
      <c r="L1053" s="4"/>
      <c r="M1053" s="4"/>
      <c r="N1053" s="28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81"/>
      <c r="AG1053" s="81"/>
      <c r="AH1053" s="81"/>
      <c r="AI1053" s="4"/>
      <c r="AJ1053" s="81"/>
      <c r="AK1053" s="81"/>
      <c r="AL1053" s="81"/>
    </row>
    <row r="1054" spans="1:38" s="7" customFormat="1">
      <c r="A1054" s="4"/>
      <c r="B1054" s="4"/>
      <c r="C1054" s="4"/>
      <c r="D1054" s="4"/>
      <c r="E1054" s="4"/>
      <c r="F1054" s="28"/>
      <c r="G1054" s="28"/>
      <c r="H1054" s="83"/>
      <c r="I1054" s="4"/>
      <c r="J1054" s="4"/>
      <c r="K1054" s="4"/>
      <c r="L1054" s="4"/>
      <c r="M1054" s="4"/>
      <c r="N1054" s="28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81"/>
      <c r="AG1054" s="81"/>
      <c r="AH1054" s="81"/>
      <c r="AI1054" s="4"/>
      <c r="AJ1054" s="81"/>
      <c r="AK1054" s="81"/>
      <c r="AL1054" s="81"/>
    </row>
    <row r="1055" spans="1:38" s="7" customFormat="1">
      <c r="A1055" s="4"/>
      <c r="B1055" s="4"/>
      <c r="C1055" s="4"/>
      <c r="D1055" s="4"/>
      <c r="E1055" s="4"/>
      <c r="F1055" s="28"/>
      <c r="G1055" s="28"/>
      <c r="H1055" s="83"/>
      <c r="I1055" s="4"/>
      <c r="J1055" s="4"/>
      <c r="K1055" s="4"/>
      <c r="L1055" s="4"/>
      <c r="M1055" s="4"/>
      <c r="N1055" s="28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81"/>
      <c r="AG1055" s="81"/>
      <c r="AH1055" s="81"/>
      <c r="AI1055" s="4"/>
      <c r="AJ1055" s="81"/>
      <c r="AK1055" s="81"/>
      <c r="AL1055" s="81"/>
    </row>
    <row r="1056" spans="1:38" s="7" customFormat="1">
      <c r="A1056" s="4"/>
      <c r="B1056" s="4"/>
      <c r="C1056" s="4"/>
      <c r="D1056" s="4"/>
      <c r="E1056" s="4"/>
      <c r="F1056" s="28"/>
      <c r="G1056" s="28"/>
      <c r="H1056" s="83"/>
      <c r="I1056" s="4"/>
      <c r="J1056" s="4"/>
      <c r="K1056" s="4"/>
      <c r="L1056" s="4"/>
      <c r="M1056" s="4"/>
      <c r="N1056" s="28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81"/>
      <c r="AG1056" s="81"/>
      <c r="AH1056" s="81"/>
      <c r="AI1056" s="4"/>
      <c r="AJ1056" s="81"/>
      <c r="AK1056" s="81"/>
      <c r="AL1056" s="81"/>
    </row>
    <row r="1057" spans="1:38" s="7" customFormat="1">
      <c r="A1057" s="4"/>
      <c r="B1057" s="4"/>
      <c r="C1057" s="4"/>
      <c r="D1057" s="4"/>
      <c r="E1057" s="4"/>
      <c r="F1057" s="28"/>
      <c r="G1057" s="28"/>
      <c r="H1057" s="83"/>
      <c r="I1057" s="4"/>
      <c r="J1057" s="4"/>
      <c r="K1057" s="4"/>
      <c r="L1057" s="4"/>
      <c r="M1057" s="4"/>
      <c r="N1057" s="28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81"/>
      <c r="AG1057" s="81"/>
      <c r="AH1057" s="81"/>
      <c r="AI1057" s="4"/>
      <c r="AJ1057" s="81"/>
      <c r="AK1057" s="81"/>
      <c r="AL1057" s="81"/>
    </row>
    <row r="1058" spans="1:38" s="7" customFormat="1">
      <c r="A1058" s="4"/>
      <c r="B1058" s="4"/>
      <c r="C1058" s="4"/>
      <c r="D1058" s="4"/>
      <c r="E1058" s="4"/>
      <c r="F1058" s="28"/>
      <c r="G1058" s="28"/>
      <c r="H1058" s="83"/>
      <c r="I1058" s="4"/>
      <c r="J1058" s="4"/>
      <c r="K1058" s="4"/>
      <c r="L1058" s="4"/>
      <c r="M1058" s="4"/>
      <c r="N1058" s="28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81"/>
      <c r="AG1058" s="81"/>
      <c r="AH1058" s="81"/>
      <c r="AI1058" s="4"/>
      <c r="AJ1058" s="81"/>
      <c r="AK1058" s="81"/>
      <c r="AL1058" s="81"/>
    </row>
    <row r="1059" spans="1:38" s="7" customFormat="1">
      <c r="A1059" s="4"/>
      <c r="B1059" s="4"/>
      <c r="C1059" s="4"/>
      <c r="D1059" s="4"/>
      <c r="E1059" s="4"/>
      <c r="F1059" s="28"/>
      <c r="G1059" s="28"/>
      <c r="H1059" s="83"/>
      <c r="I1059" s="4"/>
      <c r="J1059" s="4"/>
      <c r="K1059" s="4"/>
      <c r="L1059" s="4"/>
      <c r="M1059" s="4"/>
      <c r="N1059" s="28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81"/>
      <c r="AG1059" s="81"/>
      <c r="AH1059" s="81"/>
      <c r="AI1059" s="4"/>
      <c r="AJ1059" s="81"/>
      <c r="AK1059" s="81"/>
      <c r="AL1059" s="81"/>
    </row>
    <row r="1060" spans="1:38" s="7" customFormat="1">
      <c r="A1060" s="4"/>
      <c r="B1060" s="4"/>
      <c r="C1060" s="4"/>
      <c r="D1060" s="4"/>
      <c r="E1060" s="4"/>
      <c r="F1060" s="28"/>
      <c r="G1060" s="28"/>
      <c r="H1060" s="83"/>
      <c r="I1060" s="4"/>
      <c r="J1060" s="4"/>
      <c r="K1060" s="4"/>
      <c r="L1060" s="4"/>
      <c r="M1060" s="4"/>
      <c r="N1060" s="28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81"/>
      <c r="AG1060" s="81"/>
      <c r="AH1060" s="81"/>
      <c r="AI1060" s="4"/>
      <c r="AJ1060" s="81"/>
      <c r="AK1060" s="81"/>
      <c r="AL1060" s="81"/>
    </row>
    <row r="1061" spans="1:38" s="7" customFormat="1">
      <c r="A1061" s="4"/>
      <c r="B1061" s="4"/>
      <c r="C1061" s="4"/>
      <c r="D1061" s="4"/>
      <c r="E1061" s="4"/>
      <c r="F1061" s="28"/>
      <c r="G1061" s="28"/>
      <c r="H1061" s="83"/>
      <c r="I1061" s="4"/>
      <c r="J1061" s="4"/>
      <c r="K1061" s="4"/>
      <c r="L1061" s="4"/>
      <c r="M1061" s="4"/>
      <c r="N1061" s="28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81"/>
      <c r="AG1061" s="81"/>
      <c r="AH1061" s="81"/>
      <c r="AI1061" s="4"/>
      <c r="AJ1061" s="81"/>
      <c r="AK1061" s="81"/>
      <c r="AL1061" s="81"/>
    </row>
    <row r="1062" spans="1:38" s="7" customFormat="1">
      <c r="A1062" s="4"/>
      <c r="B1062" s="4"/>
      <c r="C1062" s="4"/>
      <c r="D1062" s="4"/>
      <c r="E1062" s="4"/>
      <c r="F1062" s="28"/>
      <c r="G1062" s="28"/>
      <c r="H1062" s="83"/>
      <c r="I1062" s="4"/>
      <c r="J1062" s="4"/>
      <c r="K1062" s="4"/>
      <c r="L1062" s="4"/>
      <c r="M1062" s="4"/>
      <c r="N1062" s="28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81"/>
      <c r="AG1062" s="81"/>
      <c r="AH1062" s="81"/>
      <c r="AI1062" s="4"/>
      <c r="AJ1062" s="81"/>
      <c r="AK1062" s="81"/>
      <c r="AL1062" s="81"/>
    </row>
    <row r="1063" spans="1:38" s="7" customFormat="1">
      <c r="A1063" s="4"/>
      <c r="B1063" s="4"/>
      <c r="C1063" s="4"/>
      <c r="D1063" s="4"/>
      <c r="E1063" s="4"/>
      <c r="F1063" s="28"/>
      <c r="G1063" s="28"/>
      <c r="H1063" s="83"/>
      <c r="I1063" s="4"/>
      <c r="J1063" s="4"/>
      <c r="K1063" s="4"/>
      <c r="L1063" s="4"/>
      <c r="M1063" s="4"/>
      <c r="N1063" s="28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81"/>
      <c r="AG1063" s="81"/>
      <c r="AH1063" s="81"/>
      <c r="AI1063" s="4"/>
      <c r="AJ1063" s="81"/>
      <c r="AK1063" s="81"/>
      <c r="AL1063" s="81"/>
    </row>
    <row r="1064" spans="1:38" s="7" customFormat="1">
      <c r="A1064" s="4"/>
      <c r="B1064" s="4"/>
      <c r="C1064" s="4"/>
      <c r="D1064" s="4"/>
      <c r="E1064" s="4"/>
      <c r="F1064" s="28"/>
      <c r="G1064" s="28"/>
      <c r="H1064" s="83"/>
      <c r="I1064" s="4"/>
      <c r="J1064" s="4"/>
      <c r="K1064" s="4"/>
      <c r="L1064" s="4"/>
      <c r="M1064" s="4"/>
      <c r="N1064" s="28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81"/>
      <c r="AG1064" s="81"/>
      <c r="AH1064" s="81"/>
      <c r="AI1064" s="4"/>
      <c r="AJ1064" s="81"/>
      <c r="AK1064" s="81"/>
      <c r="AL1064" s="81"/>
    </row>
    <row r="1065" spans="1:38" s="7" customFormat="1">
      <c r="A1065" s="4"/>
      <c r="B1065" s="4"/>
      <c r="C1065" s="4"/>
      <c r="D1065" s="4"/>
      <c r="E1065" s="4"/>
      <c r="F1065" s="28"/>
      <c r="G1065" s="28"/>
      <c r="H1065" s="83"/>
      <c r="I1065" s="4"/>
      <c r="J1065" s="4"/>
      <c r="K1065" s="4"/>
      <c r="L1065" s="4"/>
      <c r="M1065" s="4"/>
      <c r="N1065" s="28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81"/>
      <c r="AG1065" s="81"/>
      <c r="AH1065" s="81"/>
      <c r="AI1065" s="4"/>
      <c r="AJ1065" s="81"/>
      <c r="AK1065" s="81"/>
      <c r="AL1065" s="81"/>
    </row>
    <row r="1066" spans="1:38" s="7" customFormat="1">
      <c r="A1066" s="4"/>
      <c r="B1066" s="4"/>
      <c r="C1066" s="4"/>
      <c r="D1066" s="4"/>
      <c r="E1066" s="4"/>
      <c r="F1066" s="28"/>
      <c r="G1066" s="28"/>
      <c r="H1066" s="83"/>
      <c r="I1066" s="4"/>
      <c r="J1066" s="4"/>
      <c r="K1066" s="4"/>
      <c r="L1066" s="4"/>
      <c r="M1066" s="4"/>
      <c r="N1066" s="28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81"/>
      <c r="AG1066" s="81"/>
      <c r="AH1066" s="81"/>
      <c r="AI1066" s="4"/>
      <c r="AJ1066" s="81"/>
      <c r="AK1066" s="81"/>
      <c r="AL1066" s="81"/>
    </row>
    <row r="1067" spans="1:38" s="7" customFormat="1">
      <c r="A1067" s="4"/>
      <c r="B1067" s="4"/>
      <c r="C1067" s="4"/>
      <c r="D1067" s="4"/>
      <c r="E1067" s="4"/>
      <c r="F1067" s="28"/>
      <c r="G1067" s="28"/>
      <c r="H1067" s="83"/>
      <c r="I1067" s="4"/>
      <c r="J1067" s="4"/>
      <c r="K1067" s="4"/>
      <c r="L1067" s="4"/>
      <c r="M1067" s="4"/>
      <c r="N1067" s="28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81"/>
      <c r="AG1067" s="81"/>
      <c r="AH1067" s="81"/>
      <c r="AI1067" s="4"/>
      <c r="AJ1067" s="81"/>
      <c r="AK1067" s="81"/>
      <c r="AL1067" s="81"/>
    </row>
    <row r="1068" spans="1:38" s="7" customFormat="1">
      <c r="A1068" s="4"/>
      <c r="B1068" s="4"/>
      <c r="C1068" s="4"/>
      <c r="D1068" s="4"/>
      <c r="E1068" s="4"/>
      <c r="F1068" s="28"/>
      <c r="G1068" s="28"/>
      <c r="H1068" s="83"/>
      <c r="I1068" s="4"/>
      <c r="J1068" s="4"/>
      <c r="K1068" s="4"/>
      <c r="L1068" s="4"/>
      <c r="M1068" s="4"/>
      <c r="N1068" s="28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81"/>
      <c r="AG1068" s="81"/>
      <c r="AH1068" s="81"/>
      <c r="AI1068" s="4"/>
      <c r="AJ1068" s="81"/>
      <c r="AK1068" s="81"/>
      <c r="AL1068" s="81"/>
    </row>
    <row r="1069" spans="1:38" s="7" customFormat="1">
      <c r="A1069" s="4"/>
      <c r="B1069" s="4"/>
      <c r="C1069" s="4"/>
      <c r="D1069" s="4"/>
      <c r="E1069" s="4"/>
      <c r="F1069" s="28"/>
      <c r="G1069" s="28"/>
      <c r="H1069" s="83"/>
      <c r="I1069" s="4"/>
      <c r="J1069" s="4"/>
      <c r="K1069" s="4"/>
      <c r="L1069" s="4"/>
      <c r="M1069" s="4"/>
      <c r="N1069" s="28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81"/>
      <c r="AG1069" s="81"/>
      <c r="AH1069" s="81"/>
      <c r="AI1069" s="4"/>
      <c r="AJ1069" s="81"/>
      <c r="AK1069" s="81"/>
      <c r="AL1069" s="81"/>
    </row>
    <row r="1070" spans="1:38" s="7" customFormat="1">
      <c r="A1070" s="4"/>
      <c r="B1070" s="4"/>
      <c r="C1070" s="4"/>
      <c r="D1070" s="4"/>
      <c r="E1070" s="4"/>
      <c r="F1070" s="28"/>
      <c r="G1070" s="28"/>
      <c r="H1070" s="83"/>
      <c r="I1070" s="4"/>
      <c r="J1070" s="4"/>
      <c r="K1070" s="4"/>
      <c r="L1070" s="4"/>
      <c r="M1070" s="4"/>
      <c r="N1070" s="28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81"/>
      <c r="AG1070" s="81"/>
      <c r="AH1070" s="81"/>
      <c r="AI1070" s="4"/>
      <c r="AJ1070" s="81"/>
      <c r="AK1070" s="81"/>
      <c r="AL1070" s="81"/>
    </row>
    <row r="1071" spans="1:38" s="7" customFormat="1">
      <c r="A1071" s="4"/>
      <c r="B1071" s="4"/>
      <c r="C1071" s="4"/>
      <c r="D1071" s="4"/>
      <c r="E1071" s="4"/>
      <c r="F1071" s="28"/>
      <c r="G1071" s="28"/>
      <c r="H1071" s="83"/>
      <c r="I1071" s="4"/>
      <c r="J1071" s="4"/>
      <c r="K1071" s="4"/>
      <c r="L1071" s="4"/>
      <c r="M1071" s="4"/>
      <c r="N1071" s="28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81"/>
      <c r="AG1071" s="81"/>
      <c r="AH1071" s="81"/>
      <c r="AI1071" s="4"/>
      <c r="AJ1071" s="81"/>
      <c r="AK1071" s="81"/>
      <c r="AL1071" s="81"/>
    </row>
    <row r="1072" spans="1:38" s="7" customFormat="1">
      <c r="A1072" s="4"/>
      <c r="B1072" s="4"/>
      <c r="C1072" s="4"/>
      <c r="D1072" s="4"/>
      <c r="E1072" s="4"/>
      <c r="F1072" s="28"/>
      <c r="G1072" s="28"/>
      <c r="H1072" s="83"/>
      <c r="I1072" s="4"/>
      <c r="J1072" s="4"/>
      <c r="K1072" s="4"/>
      <c r="L1072" s="4"/>
      <c r="M1072" s="4"/>
      <c r="N1072" s="28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81"/>
      <c r="AG1072" s="81"/>
      <c r="AH1072" s="81"/>
      <c r="AI1072" s="4"/>
      <c r="AJ1072" s="81"/>
      <c r="AK1072" s="81"/>
      <c r="AL1072" s="81"/>
    </row>
    <row r="1073" spans="1:38" s="7" customFormat="1">
      <c r="A1073" s="4"/>
      <c r="B1073" s="4"/>
      <c r="C1073" s="4"/>
      <c r="D1073" s="4"/>
      <c r="E1073" s="4"/>
      <c r="F1073" s="28"/>
      <c r="G1073" s="28"/>
      <c r="H1073" s="83"/>
      <c r="I1073" s="4"/>
      <c r="J1073" s="4"/>
      <c r="K1073" s="4"/>
      <c r="L1073" s="4"/>
      <c r="M1073" s="4"/>
      <c r="N1073" s="28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81"/>
      <c r="AG1073" s="81"/>
      <c r="AH1073" s="81"/>
      <c r="AI1073" s="4"/>
      <c r="AJ1073" s="81"/>
      <c r="AK1073" s="81"/>
      <c r="AL1073" s="81"/>
    </row>
    <row r="1074" spans="1:38" s="7" customFormat="1">
      <c r="A1074" s="4"/>
      <c r="B1074" s="4"/>
      <c r="C1074" s="4"/>
      <c r="D1074" s="4"/>
      <c r="E1074" s="4"/>
      <c r="F1074" s="28"/>
      <c r="G1074" s="28"/>
      <c r="H1074" s="83"/>
      <c r="I1074" s="4"/>
      <c r="J1074" s="4"/>
      <c r="K1074" s="4"/>
      <c r="L1074" s="4"/>
      <c r="M1074" s="4"/>
      <c r="N1074" s="28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81"/>
      <c r="AG1074" s="81"/>
      <c r="AH1074" s="81"/>
      <c r="AI1074" s="4"/>
      <c r="AJ1074" s="81"/>
      <c r="AK1074" s="81"/>
      <c r="AL1074" s="81"/>
    </row>
    <row r="1075" spans="1:38" s="7" customFormat="1">
      <c r="A1075" s="4"/>
      <c r="B1075" s="4"/>
      <c r="C1075" s="4"/>
      <c r="D1075" s="4"/>
      <c r="E1075" s="4"/>
      <c r="F1075" s="28"/>
      <c r="G1075" s="28"/>
      <c r="H1075" s="83"/>
      <c r="I1075" s="4"/>
      <c r="J1075" s="4"/>
      <c r="K1075" s="4"/>
      <c r="L1075" s="4"/>
      <c r="M1075" s="4"/>
      <c r="N1075" s="28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81"/>
      <c r="AG1075" s="81"/>
      <c r="AH1075" s="81"/>
      <c r="AI1075" s="4"/>
      <c r="AJ1075" s="81"/>
      <c r="AK1075" s="81"/>
      <c r="AL1075" s="81"/>
    </row>
    <row r="1076" spans="1:38" s="7" customFormat="1">
      <c r="A1076" s="4"/>
      <c r="B1076" s="4"/>
      <c r="C1076" s="4"/>
      <c r="D1076" s="4"/>
      <c r="E1076" s="4"/>
      <c r="F1076" s="28"/>
      <c r="G1076" s="28"/>
      <c r="H1076" s="83"/>
      <c r="I1076" s="4"/>
      <c r="J1076" s="4"/>
      <c r="K1076" s="4"/>
      <c r="L1076" s="4"/>
      <c r="M1076" s="4"/>
      <c r="N1076" s="28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81"/>
      <c r="AG1076" s="81"/>
      <c r="AH1076" s="81"/>
      <c r="AI1076" s="4"/>
      <c r="AJ1076" s="81"/>
      <c r="AK1076" s="81"/>
      <c r="AL1076" s="81"/>
    </row>
    <row r="1077" spans="1:38" s="7" customFormat="1">
      <c r="A1077" s="4"/>
      <c r="B1077" s="4"/>
      <c r="C1077" s="4"/>
      <c r="D1077" s="4"/>
      <c r="E1077" s="4"/>
      <c r="F1077" s="28"/>
      <c r="G1077" s="28"/>
      <c r="H1077" s="83"/>
      <c r="I1077" s="4"/>
      <c r="J1077" s="4"/>
      <c r="K1077" s="4"/>
      <c r="L1077" s="4"/>
      <c r="M1077" s="4"/>
      <c r="N1077" s="28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81"/>
      <c r="AG1077" s="81"/>
      <c r="AH1077" s="81"/>
      <c r="AI1077" s="4"/>
      <c r="AJ1077" s="81"/>
      <c r="AK1077" s="81"/>
      <c r="AL1077" s="81"/>
    </row>
    <row r="1078" spans="1:38" s="7" customFormat="1">
      <c r="A1078" s="4"/>
      <c r="B1078" s="4"/>
      <c r="C1078" s="4"/>
      <c r="D1078" s="4"/>
      <c r="E1078" s="4"/>
      <c r="F1078" s="28"/>
      <c r="G1078" s="28"/>
      <c r="H1078" s="83"/>
      <c r="I1078" s="4"/>
      <c r="J1078" s="4"/>
      <c r="K1078" s="4"/>
      <c r="L1078" s="4"/>
      <c r="M1078" s="4"/>
      <c r="N1078" s="28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81"/>
      <c r="AG1078" s="81"/>
      <c r="AH1078" s="81"/>
      <c r="AI1078" s="4"/>
      <c r="AJ1078" s="81"/>
      <c r="AK1078" s="81"/>
      <c r="AL1078" s="81"/>
    </row>
    <row r="1079" spans="1:38" s="7" customFormat="1">
      <c r="A1079" s="4"/>
      <c r="B1079" s="4"/>
      <c r="C1079" s="4"/>
      <c r="D1079" s="4"/>
      <c r="E1079" s="4"/>
      <c r="F1079" s="28"/>
      <c r="G1079" s="28"/>
      <c r="H1079" s="83"/>
      <c r="I1079" s="4"/>
      <c r="J1079" s="4"/>
      <c r="K1079" s="4"/>
      <c r="L1079" s="4"/>
      <c r="M1079" s="4"/>
      <c r="N1079" s="28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81"/>
      <c r="AG1079" s="81"/>
      <c r="AH1079" s="81"/>
      <c r="AI1079" s="4"/>
      <c r="AJ1079" s="81"/>
      <c r="AK1079" s="81"/>
      <c r="AL1079" s="81"/>
    </row>
    <row r="1080" spans="1:38" s="7" customFormat="1">
      <c r="A1080" s="4"/>
      <c r="B1080" s="4"/>
      <c r="C1080" s="4"/>
      <c r="D1080" s="4"/>
      <c r="E1080" s="4"/>
      <c r="F1080" s="28"/>
      <c r="G1080" s="28"/>
      <c r="H1080" s="83"/>
      <c r="I1080" s="4"/>
      <c r="J1080" s="4"/>
      <c r="K1080" s="4"/>
      <c r="L1080" s="4"/>
      <c r="M1080" s="4"/>
      <c r="N1080" s="28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81"/>
      <c r="AG1080" s="81"/>
      <c r="AH1080" s="81"/>
      <c r="AI1080" s="4"/>
      <c r="AJ1080" s="81"/>
      <c r="AK1080" s="81"/>
      <c r="AL1080" s="81"/>
    </row>
    <row r="1081" spans="1:38" s="7" customFormat="1">
      <c r="A1081" s="4"/>
      <c r="B1081" s="4"/>
      <c r="C1081" s="4"/>
      <c r="D1081" s="4"/>
      <c r="E1081" s="4"/>
      <c r="F1081" s="28"/>
      <c r="G1081" s="28"/>
      <c r="H1081" s="83"/>
      <c r="I1081" s="4"/>
      <c r="J1081" s="4"/>
      <c r="K1081" s="4"/>
      <c r="L1081" s="4"/>
      <c r="M1081" s="4"/>
      <c r="N1081" s="28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81"/>
      <c r="AG1081" s="81"/>
      <c r="AH1081" s="81"/>
      <c r="AI1081" s="4"/>
      <c r="AJ1081" s="81"/>
      <c r="AK1081" s="81"/>
      <c r="AL1081" s="81"/>
    </row>
    <row r="1082" spans="1:38" s="7" customFormat="1">
      <c r="A1082" s="4"/>
      <c r="B1082" s="4"/>
      <c r="C1082" s="4"/>
      <c r="D1082" s="4"/>
      <c r="E1082" s="4"/>
      <c r="F1082" s="28"/>
      <c r="G1082" s="28"/>
      <c r="H1082" s="83"/>
      <c r="I1082" s="4"/>
      <c r="J1082" s="4"/>
      <c r="K1082" s="4"/>
      <c r="L1082" s="4"/>
      <c r="M1082" s="4"/>
      <c r="N1082" s="28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81"/>
      <c r="AG1082" s="81"/>
      <c r="AH1082" s="81"/>
      <c r="AI1082" s="4"/>
      <c r="AJ1082" s="81"/>
      <c r="AK1082" s="81"/>
      <c r="AL1082" s="81"/>
    </row>
    <row r="1083" spans="1:38" s="7" customFormat="1">
      <c r="A1083" s="4"/>
      <c r="B1083" s="4"/>
      <c r="C1083" s="4"/>
      <c r="D1083" s="4"/>
      <c r="E1083" s="4"/>
      <c r="F1083" s="28"/>
      <c r="G1083" s="28"/>
      <c r="H1083" s="83"/>
      <c r="I1083" s="4"/>
      <c r="J1083" s="4"/>
      <c r="K1083" s="4"/>
      <c r="L1083" s="4"/>
      <c r="M1083" s="4"/>
      <c r="N1083" s="28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81"/>
      <c r="AG1083" s="81"/>
      <c r="AH1083" s="81"/>
      <c r="AI1083" s="4"/>
      <c r="AJ1083" s="81"/>
      <c r="AK1083" s="81"/>
      <c r="AL1083" s="81"/>
    </row>
    <row r="1084" spans="1:38" s="7" customFormat="1">
      <c r="A1084" s="4"/>
      <c r="B1084" s="4"/>
      <c r="C1084" s="4"/>
      <c r="D1084" s="4"/>
      <c r="E1084" s="4"/>
      <c r="F1084" s="28"/>
      <c r="G1084" s="28"/>
      <c r="H1084" s="83"/>
      <c r="I1084" s="4"/>
      <c r="J1084" s="4"/>
      <c r="K1084" s="4"/>
      <c r="L1084" s="4"/>
      <c r="M1084" s="4"/>
      <c r="N1084" s="28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81"/>
      <c r="AG1084" s="81"/>
      <c r="AH1084" s="81"/>
      <c r="AI1084" s="4"/>
      <c r="AJ1084" s="81"/>
      <c r="AK1084" s="81"/>
      <c r="AL1084" s="81"/>
    </row>
    <row r="1085" spans="1:38" s="7" customFormat="1">
      <c r="A1085" s="4"/>
      <c r="B1085" s="4"/>
      <c r="C1085" s="4"/>
      <c r="D1085" s="4"/>
      <c r="E1085" s="4"/>
      <c r="F1085" s="28"/>
      <c r="G1085" s="28"/>
      <c r="H1085" s="83"/>
      <c r="I1085" s="4"/>
      <c r="J1085" s="4"/>
      <c r="K1085" s="4"/>
      <c r="L1085" s="4"/>
      <c r="M1085" s="4"/>
      <c r="N1085" s="28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81"/>
      <c r="AG1085" s="81"/>
      <c r="AH1085" s="81"/>
      <c r="AI1085" s="4"/>
      <c r="AJ1085" s="81"/>
      <c r="AK1085" s="81"/>
      <c r="AL1085" s="81"/>
    </row>
    <row r="1086" spans="1:38" s="7" customFormat="1">
      <c r="A1086" s="4"/>
      <c r="B1086" s="4"/>
      <c r="C1086" s="4"/>
      <c r="D1086" s="4"/>
      <c r="E1086" s="4"/>
      <c r="F1086" s="28"/>
      <c r="G1086" s="28"/>
      <c r="H1086" s="83"/>
      <c r="I1086" s="4"/>
      <c r="J1086" s="4"/>
      <c r="K1086" s="4"/>
      <c r="L1086" s="4"/>
      <c r="M1086" s="4"/>
      <c r="N1086" s="28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81"/>
      <c r="AG1086" s="81"/>
      <c r="AH1086" s="81"/>
      <c r="AI1086" s="4"/>
      <c r="AJ1086" s="81"/>
      <c r="AK1086" s="81"/>
      <c r="AL1086" s="81"/>
    </row>
    <row r="1087" spans="1:38" s="7" customFormat="1">
      <c r="A1087" s="4"/>
      <c r="B1087" s="4"/>
      <c r="C1087" s="4"/>
      <c r="D1087" s="4"/>
      <c r="E1087" s="4"/>
      <c r="F1087" s="28"/>
      <c r="G1087" s="28"/>
      <c r="H1087" s="83"/>
      <c r="I1087" s="4"/>
      <c r="J1087" s="4"/>
      <c r="K1087" s="4"/>
      <c r="L1087" s="4"/>
      <c r="M1087" s="4"/>
      <c r="N1087" s="28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81"/>
      <c r="AG1087" s="81"/>
      <c r="AH1087" s="81"/>
      <c r="AI1087" s="4"/>
      <c r="AJ1087" s="81"/>
      <c r="AK1087" s="81"/>
      <c r="AL1087" s="81"/>
    </row>
    <row r="1088" spans="1:38" s="7" customFormat="1">
      <c r="A1088" s="4"/>
      <c r="B1088" s="4"/>
      <c r="C1088" s="4"/>
      <c r="D1088" s="4"/>
      <c r="E1088" s="4"/>
      <c r="F1088" s="28"/>
      <c r="G1088" s="28"/>
      <c r="H1088" s="83"/>
      <c r="I1088" s="4"/>
      <c r="J1088" s="4"/>
      <c r="K1088" s="4"/>
      <c r="L1088" s="4"/>
      <c r="M1088" s="4"/>
      <c r="N1088" s="28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81"/>
      <c r="AG1088" s="81"/>
      <c r="AH1088" s="81"/>
      <c r="AI1088" s="4"/>
      <c r="AJ1088" s="81"/>
      <c r="AK1088" s="81"/>
      <c r="AL1088" s="81"/>
    </row>
    <row r="1089" spans="1:38" s="7" customFormat="1">
      <c r="A1089" s="4"/>
      <c r="B1089" s="4"/>
      <c r="C1089" s="4"/>
      <c r="D1089" s="4"/>
      <c r="E1089" s="4"/>
      <c r="F1089" s="28"/>
      <c r="G1089" s="28"/>
      <c r="H1089" s="83"/>
      <c r="I1089" s="4"/>
      <c r="J1089" s="4"/>
      <c r="K1089" s="4"/>
      <c r="L1089" s="4"/>
      <c r="M1089" s="4"/>
      <c r="N1089" s="28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81"/>
      <c r="AG1089" s="81"/>
      <c r="AH1089" s="81"/>
      <c r="AI1089" s="4"/>
      <c r="AJ1089" s="81"/>
      <c r="AK1089" s="81"/>
      <c r="AL1089" s="81"/>
    </row>
    <row r="1090" spans="1:38" s="7" customFormat="1">
      <c r="A1090" s="4"/>
      <c r="B1090" s="4"/>
      <c r="C1090" s="4"/>
      <c r="D1090" s="4"/>
      <c r="E1090" s="4"/>
      <c r="F1090" s="28"/>
      <c r="G1090" s="28"/>
      <c r="H1090" s="83"/>
      <c r="I1090" s="4"/>
      <c r="J1090" s="4"/>
      <c r="K1090" s="4"/>
      <c r="L1090" s="4"/>
      <c r="M1090" s="4"/>
      <c r="N1090" s="28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81"/>
      <c r="AG1090" s="81"/>
      <c r="AH1090" s="81"/>
      <c r="AI1090" s="4"/>
      <c r="AJ1090" s="81"/>
      <c r="AK1090" s="81"/>
      <c r="AL1090" s="81"/>
    </row>
    <row r="1091" spans="1:38" s="7" customFormat="1">
      <c r="A1091" s="4"/>
      <c r="B1091" s="4"/>
      <c r="C1091" s="4"/>
      <c r="D1091" s="4"/>
      <c r="E1091" s="4"/>
      <c r="F1091" s="28"/>
      <c r="G1091" s="28"/>
      <c r="H1091" s="83"/>
      <c r="I1091" s="4"/>
      <c r="J1091" s="4"/>
      <c r="K1091" s="4"/>
      <c r="L1091" s="4"/>
      <c r="M1091" s="4"/>
      <c r="N1091" s="28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81"/>
      <c r="AG1091" s="81"/>
      <c r="AH1091" s="81"/>
      <c r="AI1091" s="4"/>
      <c r="AJ1091" s="81"/>
      <c r="AK1091" s="81"/>
      <c r="AL1091" s="81"/>
    </row>
    <row r="1092" spans="1:38" s="7" customFormat="1">
      <c r="A1092" s="4"/>
      <c r="B1092" s="4"/>
      <c r="C1092" s="4"/>
      <c r="D1092" s="4"/>
      <c r="E1092" s="4"/>
      <c r="F1092" s="28"/>
      <c r="G1092" s="28"/>
      <c r="H1092" s="83"/>
      <c r="I1092" s="4"/>
      <c r="J1092" s="4"/>
      <c r="K1092" s="4"/>
      <c r="L1092" s="4"/>
      <c r="M1092" s="4"/>
      <c r="N1092" s="28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81"/>
      <c r="AG1092" s="81"/>
      <c r="AH1092" s="81"/>
      <c r="AI1092" s="4"/>
      <c r="AJ1092" s="81"/>
      <c r="AK1092" s="81"/>
      <c r="AL1092" s="81"/>
    </row>
    <row r="1093" spans="1:38" s="7" customFormat="1">
      <c r="A1093" s="4"/>
      <c r="B1093" s="4"/>
      <c r="C1093" s="4"/>
      <c r="D1093" s="4"/>
      <c r="E1093" s="4"/>
      <c r="F1093" s="28"/>
      <c r="G1093" s="28"/>
      <c r="H1093" s="83"/>
      <c r="I1093" s="4"/>
      <c r="J1093" s="4"/>
      <c r="K1093" s="4"/>
      <c r="L1093" s="4"/>
      <c r="M1093" s="4"/>
      <c r="N1093" s="28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81"/>
      <c r="AG1093" s="81"/>
      <c r="AH1093" s="81"/>
      <c r="AI1093" s="4"/>
      <c r="AJ1093" s="81"/>
      <c r="AK1093" s="81"/>
      <c r="AL1093" s="81"/>
    </row>
    <row r="1094" spans="1:38" s="7" customFormat="1">
      <c r="A1094" s="4"/>
      <c r="B1094" s="4"/>
      <c r="C1094" s="4"/>
      <c r="D1094" s="4"/>
      <c r="E1094" s="4"/>
      <c r="F1094" s="28"/>
      <c r="G1094" s="28"/>
      <c r="H1094" s="83"/>
      <c r="I1094" s="4"/>
      <c r="J1094" s="4"/>
      <c r="K1094" s="4"/>
      <c r="L1094" s="4"/>
      <c r="M1094" s="4"/>
      <c r="N1094" s="28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81"/>
      <c r="AG1094" s="81"/>
      <c r="AH1094" s="81"/>
      <c r="AI1094" s="4"/>
      <c r="AJ1094" s="81"/>
      <c r="AK1094" s="81"/>
      <c r="AL1094" s="81"/>
    </row>
    <row r="1095" spans="1:38" s="7" customFormat="1">
      <c r="A1095" s="4"/>
      <c r="B1095" s="4"/>
      <c r="C1095" s="4"/>
      <c r="D1095" s="4"/>
      <c r="E1095" s="4"/>
      <c r="F1095" s="28"/>
      <c r="G1095" s="28"/>
      <c r="H1095" s="83"/>
      <c r="I1095" s="4"/>
      <c r="J1095" s="4"/>
      <c r="K1095" s="4"/>
      <c r="L1095" s="4"/>
      <c r="M1095" s="4"/>
      <c r="N1095" s="28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81"/>
      <c r="AG1095" s="81"/>
      <c r="AH1095" s="81"/>
      <c r="AI1095" s="4"/>
      <c r="AJ1095" s="81"/>
      <c r="AK1095" s="81"/>
      <c r="AL1095" s="81"/>
    </row>
    <row r="1096" spans="1:38" s="7" customFormat="1">
      <c r="A1096" s="4"/>
      <c r="B1096" s="4"/>
      <c r="C1096" s="4"/>
      <c r="D1096" s="4"/>
      <c r="E1096" s="4"/>
      <c r="F1096" s="28"/>
      <c r="G1096" s="28"/>
      <c r="H1096" s="83"/>
      <c r="I1096" s="4"/>
      <c r="J1096" s="4"/>
      <c r="K1096" s="4"/>
      <c r="L1096" s="4"/>
      <c r="M1096" s="4"/>
      <c r="N1096" s="28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81"/>
      <c r="AG1096" s="81"/>
      <c r="AH1096" s="81"/>
      <c r="AI1096" s="4"/>
      <c r="AJ1096" s="81"/>
      <c r="AK1096" s="81"/>
      <c r="AL1096" s="81"/>
    </row>
    <row r="1097" spans="1:38" s="7" customFormat="1">
      <c r="A1097" s="4"/>
      <c r="B1097" s="4"/>
      <c r="C1097" s="4"/>
      <c r="D1097" s="4"/>
      <c r="E1097" s="4"/>
      <c r="F1097" s="28"/>
      <c r="G1097" s="28"/>
      <c r="H1097" s="83"/>
      <c r="I1097" s="4"/>
      <c r="J1097" s="4"/>
      <c r="K1097" s="4"/>
      <c r="L1097" s="4"/>
      <c r="M1097" s="4"/>
      <c r="N1097" s="28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81"/>
      <c r="AG1097" s="81"/>
      <c r="AH1097" s="81"/>
      <c r="AI1097" s="4"/>
      <c r="AJ1097" s="81"/>
      <c r="AK1097" s="81"/>
      <c r="AL1097" s="81"/>
    </row>
    <row r="1098" spans="1:38" s="7" customFormat="1">
      <c r="A1098" s="4"/>
      <c r="B1098" s="4"/>
      <c r="C1098" s="4"/>
      <c r="D1098" s="4"/>
      <c r="E1098" s="4"/>
      <c r="F1098" s="28"/>
      <c r="G1098" s="28"/>
      <c r="H1098" s="83"/>
      <c r="I1098" s="4"/>
      <c r="J1098" s="4"/>
      <c r="K1098" s="4"/>
      <c r="L1098" s="4"/>
      <c r="M1098" s="4"/>
      <c r="N1098" s="28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81"/>
      <c r="AG1098" s="81"/>
      <c r="AH1098" s="81"/>
      <c r="AI1098" s="4"/>
      <c r="AJ1098" s="81"/>
      <c r="AK1098" s="81"/>
      <c r="AL1098" s="81"/>
    </row>
    <row r="1099" spans="1:38" s="7" customFormat="1">
      <c r="A1099" s="4"/>
      <c r="B1099" s="4"/>
      <c r="C1099" s="4"/>
      <c r="D1099" s="4"/>
      <c r="E1099" s="4"/>
      <c r="F1099" s="28"/>
      <c r="G1099" s="28"/>
      <c r="H1099" s="83"/>
      <c r="I1099" s="4"/>
      <c r="J1099" s="4"/>
      <c r="K1099" s="4"/>
      <c r="L1099" s="4"/>
      <c r="M1099" s="4"/>
      <c r="N1099" s="28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81"/>
      <c r="AG1099" s="81"/>
      <c r="AH1099" s="81"/>
      <c r="AI1099" s="4"/>
      <c r="AJ1099" s="81"/>
      <c r="AK1099" s="81"/>
      <c r="AL1099" s="81"/>
    </row>
    <row r="1100" spans="1:38" s="7" customFormat="1">
      <c r="A1100" s="4"/>
      <c r="B1100" s="4"/>
      <c r="C1100" s="4"/>
      <c r="D1100" s="4"/>
      <c r="E1100" s="4"/>
      <c r="F1100" s="28"/>
      <c r="G1100" s="28"/>
      <c r="H1100" s="83"/>
      <c r="I1100" s="4"/>
      <c r="J1100" s="4"/>
      <c r="K1100" s="4"/>
      <c r="L1100" s="4"/>
      <c r="M1100" s="4"/>
      <c r="N1100" s="28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81"/>
      <c r="AG1100" s="81"/>
      <c r="AH1100" s="81"/>
      <c r="AI1100" s="4"/>
      <c r="AJ1100" s="81"/>
      <c r="AK1100" s="81"/>
      <c r="AL1100" s="81"/>
    </row>
    <row r="1101" spans="1:38" s="7" customFormat="1">
      <c r="A1101" s="4"/>
      <c r="B1101" s="4"/>
      <c r="C1101" s="4"/>
      <c r="D1101" s="4"/>
      <c r="E1101" s="4"/>
      <c r="F1101" s="28"/>
      <c r="G1101" s="28"/>
      <c r="H1101" s="83"/>
      <c r="I1101" s="4"/>
      <c r="J1101" s="4"/>
      <c r="K1101" s="4"/>
      <c r="L1101" s="4"/>
      <c r="M1101" s="4"/>
      <c r="N1101" s="28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81"/>
      <c r="AG1101" s="81"/>
      <c r="AH1101" s="81"/>
      <c r="AI1101" s="4"/>
      <c r="AJ1101" s="81"/>
      <c r="AK1101" s="81"/>
      <c r="AL1101" s="81"/>
    </row>
    <row r="1102" spans="1:38" s="7" customFormat="1">
      <c r="A1102" s="4"/>
      <c r="B1102" s="4"/>
      <c r="C1102" s="4"/>
      <c r="D1102" s="4"/>
      <c r="E1102" s="4"/>
      <c r="F1102" s="28"/>
      <c r="G1102" s="28"/>
      <c r="H1102" s="83"/>
      <c r="I1102" s="4"/>
      <c r="J1102" s="4"/>
      <c r="K1102" s="4"/>
      <c r="L1102" s="4"/>
      <c r="M1102" s="4"/>
      <c r="N1102" s="28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81"/>
      <c r="AG1102" s="81"/>
      <c r="AH1102" s="81"/>
      <c r="AI1102" s="4"/>
      <c r="AJ1102" s="81"/>
      <c r="AK1102" s="81"/>
      <c r="AL1102" s="81"/>
    </row>
    <row r="1103" spans="1:38" s="7" customFormat="1">
      <c r="A1103" s="4"/>
      <c r="B1103" s="4"/>
      <c r="C1103" s="4"/>
      <c r="D1103" s="4"/>
      <c r="E1103" s="4"/>
      <c r="F1103" s="28"/>
      <c r="G1103" s="28"/>
      <c r="H1103" s="83"/>
      <c r="I1103" s="4"/>
      <c r="J1103" s="4"/>
      <c r="K1103" s="4"/>
      <c r="L1103" s="4"/>
      <c r="M1103" s="4"/>
      <c r="N1103" s="28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81"/>
      <c r="AG1103" s="81"/>
      <c r="AH1103" s="81"/>
      <c r="AI1103" s="4"/>
      <c r="AJ1103" s="81"/>
      <c r="AK1103" s="81"/>
      <c r="AL1103" s="81"/>
    </row>
    <row r="1104" spans="1:38" s="7" customFormat="1">
      <c r="A1104" s="4"/>
      <c r="B1104" s="4"/>
      <c r="C1104" s="4"/>
      <c r="D1104" s="4"/>
      <c r="E1104" s="4"/>
      <c r="F1104" s="28"/>
      <c r="G1104" s="28"/>
      <c r="H1104" s="83"/>
      <c r="I1104" s="4"/>
      <c r="J1104" s="4"/>
      <c r="K1104" s="4"/>
      <c r="L1104" s="4"/>
      <c r="M1104" s="4"/>
      <c r="N1104" s="28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81"/>
      <c r="AG1104" s="81"/>
      <c r="AH1104" s="81"/>
      <c r="AI1104" s="4"/>
      <c r="AJ1104" s="81"/>
      <c r="AK1104" s="81"/>
      <c r="AL1104" s="81"/>
    </row>
    <row r="1105" spans="1:38" s="7" customFormat="1">
      <c r="A1105" s="4"/>
      <c r="B1105" s="4"/>
      <c r="C1105" s="4"/>
      <c r="D1105" s="4"/>
      <c r="E1105" s="4"/>
      <c r="F1105" s="28"/>
      <c r="G1105" s="28"/>
      <c r="H1105" s="83"/>
      <c r="I1105" s="4"/>
      <c r="J1105" s="4"/>
      <c r="K1105" s="4"/>
      <c r="L1105" s="4"/>
      <c r="M1105" s="4"/>
      <c r="N1105" s="28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81"/>
      <c r="AG1105" s="81"/>
      <c r="AH1105" s="81"/>
      <c r="AI1105" s="4"/>
      <c r="AJ1105" s="81"/>
      <c r="AK1105" s="81"/>
      <c r="AL1105" s="81"/>
    </row>
    <row r="1106" spans="1:38" s="7" customFormat="1">
      <c r="A1106" s="4"/>
      <c r="B1106" s="4"/>
      <c r="C1106" s="4"/>
      <c r="D1106" s="4"/>
      <c r="E1106" s="4"/>
      <c r="F1106" s="28"/>
      <c r="G1106" s="28"/>
      <c r="H1106" s="83"/>
      <c r="I1106" s="4"/>
      <c r="J1106" s="4"/>
      <c r="K1106" s="4"/>
      <c r="L1106" s="4"/>
      <c r="M1106" s="4"/>
      <c r="N1106" s="28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81"/>
      <c r="AG1106" s="81"/>
      <c r="AH1106" s="81"/>
      <c r="AI1106" s="4"/>
      <c r="AJ1106" s="81"/>
      <c r="AK1106" s="81"/>
      <c r="AL1106" s="81"/>
    </row>
    <row r="1107" spans="1:38" s="7" customFormat="1">
      <c r="A1107" s="4"/>
      <c r="B1107" s="4"/>
      <c r="C1107" s="4"/>
      <c r="D1107" s="4"/>
      <c r="E1107" s="4"/>
      <c r="F1107" s="28"/>
      <c r="G1107" s="28"/>
      <c r="H1107" s="83"/>
      <c r="I1107" s="4"/>
      <c r="J1107" s="4"/>
      <c r="K1107" s="4"/>
      <c r="L1107" s="4"/>
      <c r="M1107" s="4"/>
      <c r="N1107" s="28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81"/>
      <c r="AG1107" s="81"/>
      <c r="AH1107" s="81"/>
      <c r="AI1107" s="4"/>
      <c r="AJ1107" s="81"/>
      <c r="AK1107" s="81"/>
      <c r="AL1107" s="81"/>
    </row>
    <row r="1108" spans="1:38" s="7" customFormat="1">
      <c r="A1108" s="4"/>
      <c r="B1108" s="4"/>
      <c r="C1108" s="4"/>
      <c r="D1108" s="4"/>
      <c r="E1108" s="4"/>
      <c r="F1108" s="28"/>
      <c r="G1108" s="28"/>
      <c r="H1108" s="83"/>
      <c r="I1108" s="4"/>
      <c r="J1108" s="4"/>
      <c r="K1108" s="4"/>
      <c r="L1108" s="4"/>
      <c r="M1108" s="4"/>
      <c r="N1108" s="28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81"/>
      <c r="AG1108" s="81"/>
      <c r="AH1108" s="81"/>
      <c r="AI1108" s="4"/>
      <c r="AJ1108" s="81"/>
      <c r="AK1108" s="81"/>
      <c r="AL1108" s="81"/>
    </row>
    <row r="1109" spans="1:38" s="7" customFormat="1">
      <c r="A1109" s="4"/>
      <c r="B1109" s="4"/>
      <c r="C1109" s="4"/>
      <c r="D1109" s="4"/>
      <c r="E1109" s="4"/>
      <c r="F1109" s="28"/>
      <c r="G1109" s="28"/>
      <c r="H1109" s="83"/>
      <c r="I1109" s="4"/>
      <c r="J1109" s="4"/>
      <c r="K1109" s="4"/>
      <c r="L1109" s="4"/>
      <c r="M1109" s="4"/>
      <c r="N1109" s="28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81"/>
      <c r="AG1109" s="81"/>
      <c r="AH1109" s="81"/>
      <c r="AI1109" s="4"/>
      <c r="AJ1109" s="81"/>
      <c r="AK1109" s="81"/>
      <c r="AL1109" s="81"/>
    </row>
    <row r="1110" spans="1:38" s="7" customFormat="1">
      <c r="A1110" s="4"/>
      <c r="B1110" s="4"/>
      <c r="C1110" s="4"/>
      <c r="D1110" s="4"/>
      <c r="E1110" s="4"/>
      <c r="F1110" s="28"/>
      <c r="G1110" s="28"/>
      <c r="H1110" s="83"/>
      <c r="I1110" s="4"/>
      <c r="J1110" s="4"/>
      <c r="K1110" s="4"/>
      <c r="L1110" s="4"/>
      <c r="M1110" s="4"/>
      <c r="N1110" s="28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81"/>
      <c r="AG1110" s="81"/>
      <c r="AH1110" s="81"/>
      <c r="AI1110" s="4"/>
      <c r="AJ1110" s="81"/>
      <c r="AK1110" s="81"/>
      <c r="AL1110" s="81"/>
    </row>
    <row r="1111" spans="1:38" s="7" customFormat="1">
      <c r="A1111" s="4"/>
      <c r="B1111" s="4"/>
      <c r="C1111" s="4"/>
      <c r="D1111" s="4"/>
      <c r="E1111" s="4"/>
      <c r="F1111" s="28"/>
      <c r="G1111" s="28"/>
      <c r="H1111" s="83"/>
      <c r="I1111" s="4"/>
      <c r="J1111" s="4"/>
      <c r="K1111" s="4"/>
      <c r="L1111" s="4"/>
      <c r="M1111" s="4"/>
      <c r="N1111" s="28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81"/>
      <c r="AG1111" s="81"/>
      <c r="AH1111" s="81"/>
      <c r="AI1111" s="4"/>
      <c r="AJ1111" s="81"/>
      <c r="AK1111" s="81"/>
      <c r="AL1111" s="81"/>
    </row>
    <row r="1112" spans="1:38" s="7" customFormat="1">
      <c r="A1112" s="4"/>
      <c r="B1112" s="4"/>
      <c r="C1112" s="4"/>
      <c r="D1112" s="4"/>
      <c r="E1112" s="4"/>
      <c r="F1112" s="28"/>
      <c r="G1112" s="28"/>
      <c r="H1112" s="83"/>
      <c r="I1112" s="4"/>
      <c r="J1112" s="4"/>
      <c r="K1112" s="4"/>
      <c r="L1112" s="4"/>
      <c r="M1112" s="4"/>
      <c r="N1112" s="28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81"/>
      <c r="AG1112" s="81"/>
      <c r="AH1112" s="81"/>
      <c r="AI1112" s="4"/>
      <c r="AJ1112" s="81"/>
      <c r="AK1112" s="81"/>
      <c r="AL1112" s="81"/>
    </row>
    <row r="1113" spans="1:38" s="7" customFormat="1">
      <c r="A1113" s="4"/>
      <c r="B1113" s="4"/>
      <c r="C1113" s="4"/>
      <c r="D1113" s="4"/>
      <c r="E1113" s="4"/>
      <c r="F1113" s="28"/>
      <c r="G1113" s="28"/>
      <c r="H1113" s="83"/>
      <c r="I1113" s="4"/>
      <c r="J1113" s="4"/>
      <c r="K1113" s="4"/>
      <c r="L1113" s="4"/>
      <c r="M1113" s="4"/>
      <c r="N1113" s="28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81"/>
      <c r="AG1113" s="81"/>
      <c r="AH1113" s="81"/>
      <c r="AI1113" s="4"/>
      <c r="AJ1113" s="81"/>
      <c r="AK1113" s="81"/>
      <c r="AL1113" s="81"/>
    </row>
    <row r="1114" spans="1:38" s="7" customFormat="1">
      <c r="A1114" s="4"/>
      <c r="B1114" s="4"/>
      <c r="C1114" s="4"/>
      <c r="D1114" s="4"/>
      <c r="E1114" s="4"/>
      <c r="F1114" s="28"/>
      <c r="G1114" s="28"/>
      <c r="H1114" s="83"/>
      <c r="I1114" s="4"/>
      <c r="J1114" s="4"/>
      <c r="K1114" s="4"/>
      <c r="L1114" s="4"/>
      <c r="M1114" s="4"/>
      <c r="N1114" s="28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81"/>
      <c r="AG1114" s="81"/>
      <c r="AH1114" s="81"/>
      <c r="AI1114" s="4"/>
      <c r="AJ1114" s="81"/>
      <c r="AK1114" s="81"/>
      <c r="AL1114" s="81"/>
    </row>
    <row r="1115" spans="1:38" s="7" customFormat="1">
      <c r="A1115" s="4"/>
      <c r="B1115" s="4"/>
      <c r="C1115" s="4"/>
      <c r="D1115" s="4"/>
      <c r="E1115" s="4"/>
      <c r="F1115" s="28"/>
      <c r="G1115" s="28"/>
      <c r="H1115" s="83"/>
      <c r="I1115" s="4"/>
      <c r="J1115" s="4"/>
      <c r="K1115" s="4"/>
      <c r="L1115" s="4"/>
      <c r="M1115" s="4"/>
      <c r="N1115" s="28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81"/>
      <c r="AG1115" s="81"/>
      <c r="AH1115" s="81"/>
      <c r="AI1115" s="4"/>
      <c r="AJ1115" s="81"/>
      <c r="AK1115" s="81"/>
      <c r="AL1115" s="81"/>
    </row>
    <row r="1116" spans="1:38" s="7" customFormat="1">
      <c r="A1116" s="4"/>
      <c r="B1116" s="4"/>
      <c r="C1116" s="4"/>
      <c r="D1116" s="4"/>
      <c r="E1116" s="4"/>
      <c r="F1116" s="28"/>
      <c r="G1116" s="28"/>
      <c r="H1116" s="83"/>
      <c r="I1116" s="4"/>
      <c r="J1116" s="4"/>
      <c r="K1116" s="4"/>
      <c r="L1116" s="4"/>
      <c r="M1116" s="4"/>
      <c r="N1116" s="28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81"/>
      <c r="AG1116" s="81"/>
      <c r="AH1116" s="81"/>
      <c r="AI1116" s="4"/>
      <c r="AJ1116" s="81"/>
      <c r="AK1116" s="81"/>
      <c r="AL1116" s="81"/>
    </row>
    <row r="1117" spans="1:38" s="7" customFormat="1">
      <c r="A1117" s="4"/>
      <c r="B1117" s="4"/>
      <c r="C1117" s="4"/>
      <c r="D1117" s="4"/>
      <c r="E1117" s="4"/>
      <c r="F1117" s="28"/>
      <c r="G1117" s="28"/>
      <c r="H1117" s="83"/>
      <c r="I1117" s="4"/>
      <c r="J1117" s="4"/>
      <c r="K1117" s="4"/>
      <c r="L1117" s="4"/>
      <c r="M1117" s="4"/>
      <c r="N1117" s="28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81"/>
      <c r="AG1117" s="81"/>
      <c r="AH1117" s="81"/>
      <c r="AI1117" s="4"/>
      <c r="AJ1117" s="81"/>
      <c r="AK1117" s="81"/>
      <c r="AL1117" s="81"/>
    </row>
    <row r="1118" spans="1:38" s="7" customFormat="1">
      <c r="A1118" s="4"/>
      <c r="B1118" s="4"/>
      <c r="C1118" s="4"/>
      <c r="D1118" s="4"/>
      <c r="E1118" s="4"/>
      <c r="F1118" s="28"/>
      <c r="G1118" s="28"/>
      <c r="H1118" s="83"/>
      <c r="I1118" s="4"/>
      <c r="J1118" s="4"/>
      <c r="K1118" s="4"/>
      <c r="L1118" s="4"/>
      <c r="M1118" s="4"/>
      <c r="N1118" s="28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81"/>
      <c r="AG1118" s="81"/>
      <c r="AH1118" s="81"/>
      <c r="AI1118" s="4"/>
      <c r="AJ1118" s="81"/>
      <c r="AK1118" s="81"/>
      <c r="AL1118" s="81"/>
    </row>
    <row r="1119" spans="1:38" s="7" customFormat="1">
      <c r="A1119" s="4"/>
      <c r="B1119" s="4"/>
      <c r="C1119" s="4"/>
      <c r="D1119" s="4"/>
      <c r="E1119" s="4"/>
      <c r="F1119" s="28"/>
      <c r="G1119" s="28"/>
      <c r="H1119" s="83"/>
      <c r="I1119" s="4"/>
      <c r="J1119" s="4"/>
      <c r="K1119" s="4"/>
      <c r="L1119" s="4"/>
      <c r="M1119" s="4"/>
      <c r="N1119" s="28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81"/>
      <c r="AG1119" s="81"/>
      <c r="AH1119" s="81"/>
      <c r="AI1119" s="4"/>
      <c r="AJ1119" s="81"/>
      <c r="AK1119" s="81"/>
      <c r="AL1119" s="81"/>
    </row>
    <row r="1120" spans="1:38" s="7" customFormat="1">
      <c r="A1120" s="4"/>
      <c r="B1120" s="4"/>
      <c r="C1120" s="4"/>
      <c r="D1120" s="4"/>
      <c r="E1120" s="4"/>
      <c r="F1120" s="28"/>
      <c r="G1120" s="28"/>
      <c r="H1120" s="83"/>
      <c r="I1120" s="4"/>
      <c r="J1120" s="4"/>
      <c r="K1120" s="4"/>
      <c r="L1120" s="4"/>
      <c r="M1120" s="4"/>
      <c r="N1120" s="28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81"/>
      <c r="AG1120" s="81"/>
      <c r="AH1120" s="81"/>
      <c r="AI1120" s="4"/>
      <c r="AJ1120" s="81"/>
      <c r="AK1120" s="81"/>
      <c r="AL1120" s="81"/>
    </row>
    <row r="1121" spans="1:38" s="7" customFormat="1">
      <c r="A1121" s="4"/>
      <c r="B1121" s="4"/>
      <c r="C1121" s="4"/>
      <c r="D1121" s="4"/>
      <c r="E1121" s="4"/>
      <c r="F1121" s="28"/>
      <c r="G1121" s="28"/>
      <c r="H1121" s="83"/>
      <c r="I1121" s="4"/>
      <c r="J1121" s="4"/>
      <c r="K1121" s="4"/>
      <c r="L1121" s="4"/>
      <c r="M1121" s="4"/>
      <c r="N1121" s="28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81"/>
      <c r="AG1121" s="81"/>
      <c r="AH1121" s="81"/>
      <c r="AI1121" s="4"/>
      <c r="AJ1121" s="81"/>
      <c r="AK1121" s="81"/>
      <c r="AL1121" s="81"/>
    </row>
    <row r="1122" spans="1:38" s="7" customFormat="1">
      <c r="A1122" s="4"/>
      <c r="B1122" s="4"/>
      <c r="C1122" s="4"/>
      <c r="D1122" s="4"/>
      <c r="E1122" s="4"/>
      <c r="F1122" s="28"/>
      <c r="G1122" s="28"/>
      <c r="H1122" s="83"/>
      <c r="I1122" s="4"/>
      <c r="J1122" s="4"/>
      <c r="K1122" s="4"/>
      <c r="L1122" s="4"/>
      <c r="M1122" s="4"/>
      <c r="N1122" s="28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81"/>
      <c r="AG1122" s="81"/>
      <c r="AH1122" s="81"/>
      <c r="AI1122" s="4"/>
      <c r="AJ1122" s="81"/>
      <c r="AK1122" s="81"/>
      <c r="AL1122" s="81"/>
    </row>
    <row r="1123" spans="1:38" s="7" customFormat="1">
      <c r="A1123" s="4"/>
      <c r="B1123" s="4"/>
      <c r="C1123" s="4"/>
      <c r="D1123" s="4"/>
      <c r="E1123" s="4"/>
      <c r="F1123" s="28"/>
      <c r="G1123" s="28"/>
      <c r="H1123" s="83"/>
      <c r="I1123" s="4"/>
      <c r="J1123" s="4"/>
      <c r="K1123" s="4"/>
      <c r="L1123" s="4"/>
      <c r="M1123" s="4"/>
      <c r="N1123" s="28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81"/>
      <c r="AG1123" s="81"/>
      <c r="AH1123" s="81"/>
      <c r="AI1123" s="4"/>
      <c r="AJ1123" s="81"/>
      <c r="AK1123" s="81"/>
      <c r="AL1123" s="81"/>
    </row>
    <row r="1124" spans="1:38" s="7" customFormat="1">
      <c r="A1124" s="4"/>
      <c r="B1124" s="4"/>
      <c r="C1124" s="4"/>
      <c r="D1124" s="4"/>
      <c r="E1124" s="4"/>
      <c r="F1124" s="28"/>
      <c r="G1124" s="28"/>
      <c r="H1124" s="83"/>
      <c r="I1124" s="4"/>
      <c r="J1124" s="4"/>
      <c r="K1124" s="4"/>
      <c r="L1124" s="4"/>
      <c r="M1124" s="4"/>
      <c r="N1124" s="28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81"/>
      <c r="AG1124" s="81"/>
      <c r="AH1124" s="81"/>
      <c r="AI1124" s="4"/>
      <c r="AJ1124" s="81"/>
      <c r="AK1124" s="81"/>
      <c r="AL1124" s="81"/>
    </row>
    <row r="1125" spans="1:38" s="7" customFormat="1">
      <c r="A1125" s="4"/>
      <c r="B1125" s="4"/>
      <c r="C1125" s="4"/>
      <c r="D1125" s="4"/>
      <c r="E1125" s="4"/>
      <c r="F1125" s="28"/>
      <c r="G1125" s="28"/>
      <c r="H1125" s="83"/>
      <c r="I1125" s="4"/>
      <c r="J1125" s="4"/>
      <c r="K1125" s="4"/>
      <c r="L1125" s="4"/>
      <c r="M1125" s="4"/>
      <c r="N1125" s="28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81"/>
      <c r="AG1125" s="81"/>
      <c r="AH1125" s="81"/>
      <c r="AI1125" s="4"/>
      <c r="AJ1125" s="81"/>
      <c r="AK1125" s="81"/>
      <c r="AL1125" s="81"/>
    </row>
    <row r="1126" spans="1:38" s="7" customFormat="1">
      <c r="A1126" s="4"/>
      <c r="B1126" s="4"/>
      <c r="C1126" s="4"/>
      <c r="D1126" s="4"/>
      <c r="E1126" s="4"/>
      <c r="F1126" s="28"/>
      <c r="G1126" s="28"/>
      <c r="H1126" s="83"/>
      <c r="I1126" s="4"/>
      <c r="J1126" s="4"/>
      <c r="K1126" s="4"/>
      <c r="L1126" s="4"/>
      <c r="M1126" s="4"/>
      <c r="N1126" s="28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81"/>
      <c r="AG1126" s="81"/>
      <c r="AH1126" s="81"/>
      <c r="AI1126" s="4"/>
      <c r="AJ1126" s="81"/>
      <c r="AK1126" s="81"/>
      <c r="AL1126" s="81"/>
    </row>
    <row r="1127" spans="1:38" s="7" customFormat="1">
      <c r="A1127" s="4"/>
      <c r="B1127" s="4"/>
      <c r="C1127" s="4"/>
      <c r="D1127" s="4"/>
      <c r="E1127" s="4"/>
      <c r="F1127" s="28"/>
      <c r="G1127" s="28"/>
      <c r="H1127" s="83"/>
      <c r="I1127" s="4"/>
      <c r="J1127" s="4"/>
      <c r="K1127" s="4"/>
      <c r="L1127" s="4"/>
      <c r="M1127" s="4"/>
      <c r="N1127" s="28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81"/>
      <c r="AG1127" s="81"/>
      <c r="AH1127" s="81"/>
      <c r="AI1127" s="4"/>
      <c r="AJ1127" s="81"/>
      <c r="AK1127" s="81"/>
      <c r="AL1127" s="81"/>
    </row>
    <row r="1128" spans="1:38" s="7" customFormat="1">
      <c r="A1128" s="4"/>
      <c r="B1128" s="4"/>
      <c r="C1128" s="4"/>
      <c r="D1128" s="4"/>
      <c r="E1128" s="4"/>
      <c r="F1128" s="28"/>
      <c r="G1128" s="28"/>
      <c r="H1128" s="83"/>
      <c r="I1128" s="4"/>
      <c r="J1128" s="4"/>
      <c r="K1128" s="4"/>
      <c r="L1128" s="4"/>
      <c r="M1128" s="4"/>
      <c r="N1128" s="28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81"/>
      <c r="AG1128" s="81"/>
      <c r="AH1128" s="81"/>
      <c r="AI1128" s="4"/>
      <c r="AJ1128" s="81"/>
      <c r="AK1128" s="81"/>
      <c r="AL1128" s="81"/>
    </row>
    <row r="1129" spans="1:38" s="7" customFormat="1">
      <c r="A1129" s="4"/>
      <c r="B1129" s="4"/>
      <c r="C1129" s="4"/>
      <c r="D1129" s="4"/>
      <c r="E1129" s="4"/>
      <c r="F1129" s="28"/>
      <c r="G1129" s="28"/>
      <c r="H1129" s="83"/>
      <c r="I1129" s="4"/>
      <c r="J1129" s="4"/>
      <c r="K1129" s="4"/>
      <c r="L1129" s="4"/>
      <c r="M1129" s="4"/>
      <c r="N1129" s="28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81"/>
      <c r="AG1129" s="81"/>
      <c r="AH1129" s="81"/>
      <c r="AI1129" s="4"/>
      <c r="AJ1129" s="81"/>
      <c r="AK1129" s="81"/>
      <c r="AL1129" s="81"/>
    </row>
    <row r="1130" spans="1:38" s="7" customFormat="1">
      <c r="A1130" s="4"/>
      <c r="B1130" s="4"/>
      <c r="C1130" s="4"/>
      <c r="D1130" s="4"/>
      <c r="E1130" s="4"/>
      <c r="F1130" s="28"/>
      <c r="G1130" s="28"/>
      <c r="H1130" s="83"/>
      <c r="I1130" s="4"/>
      <c r="J1130" s="4"/>
      <c r="K1130" s="4"/>
      <c r="L1130" s="4"/>
      <c r="M1130" s="4"/>
      <c r="N1130" s="28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81"/>
      <c r="AG1130" s="81"/>
      <c r="AH1130" s="81"/>
      <c r="AI1130" s="4"/>
      <c r="AJ1130" s="81"/>
      <c r="AK1130" s="81"/>
      <c r="AL1130" s="81"/>
    </row>
    <row r="1131" spans="1:38" s="7" customFormat="1">
      <c r="A1131" s="4"/>
      <c r="B1131" s="4"/>
      <c r="C1131" s="4"/>
      <c r="D1131" s="4"/>
      <c r="E1131" s="4"/>
      <c r="F1131" s="28"/>
      <c r="G1131" s="28"/>
      <c r="H1131" s="83"/>
      <c r="I1131" s="4"/>
      <c r="J1131" s="4"/>
      <c r="K1131" s="4"/>
      <c r="L1131" s="4"/>
      <c r="M1131" s="4"/>
      <c r="N1131" s="28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81"/>
      <c r="AG1131" s="81"/>
      <c r="AH1131" s="81"/>
      <c r="AI1131" s="4"/>
      <c r="AJ1131" s="81"/>
      <c r="AK1131" s="81"/>
      <c r="AL1131" s="81"/>
    </row>
    <row r="1132" spans="1:38" s="7" customFormat="1">
      <c r="A1132" s="4"/>
      <c r="B1132" s="4"/>
      <c r="C1132" s="4"/>
      <c r="D1132" s="4"/>
      <c r="E1132" s="4"/>
      <c r="F1132" s="28"/>
      <c r="G1132" s="28"/>
      <c r="H1132" s="83"/>
      <c r="I1132" s="4"/>
      <c r="J1132" s="4"/>
      <c r="K1132" s="4"/>
      <c r="L1132" s="4"/>
      <c r="M1132" s="4"/>
      <c r="N1132" s="28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81"/>
      <c r="AG1132" s="81"/>
      <c r="AH1132" s="81"/>
      <c r="AI1132" s="4"/>
      <c r="AJ1132" s="81"/>
      <c r="AK1132" s="81"/>
      <c r="AL1132" s="81"/>
    </row>
    <row r="1133" spans="1:38" s="7" customFormat="1">
      <c r="A1133" s="4"/>
      <c r="B1133" s="4"/>
      <c r="C1133" s="4"/>
      <c r="D1133" s="4"/>
      <c r="E1133" s="4"/>
      <c r="F1133" s="28"/>
      <c r="G1133" s="28"/>
      <c r="H1133" s="83"/>
      <c r="I1133" s="4"/>
      <c r="J1133" s="4"/>
      <c r="K1133" s="4"/>
      <c r="L1133" s="4"/>
      <c r="M1133" s="4"/>
      <c r="N1133" s="28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81"/>
      <c r="AG1133" s="81"/>
      <c r="AH1133" s="81"/>
      <c r="AI1133" s="4"/>
      <c r="AJ1133" s="81"/>
      <c r="AK1133" s="81"/>
      <c r="AL1133" s="81"/>
    </row>
    <row r="1134" spans="1:38" s="7" customFormat="1">
      <c r="A1134" s="4"/>
      <c r="B1134" s="4"/>
      <c r="C1134" s="4"/>
      <c r="D1134" s="4"/>
      <c r="E1134" s="4"/>
      <c r="F1134" s="28"/>
      <c r="G1134" s="28"/>
      <c r="H1134" s="83"/>
      <c r="I1134" s="4"/>
      <c r="J1134" s="4"/>
      <c r="K1134" s="4"/>
      <c r="L1134" s="4"/>
      <c r="M1134" s="4"/>
      <c r="N1134" s="28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81"/>
      <c r="AG1134" s="81"/>
      <c r="AH1134" s="81"/>
      <c r="AI1134" s="4"/>
      <c r="AJ1134" s="81"/>
      <c r="AK1134" s="81"/>
      <c r="AL1134" s="81"/>
    </row>
    <row r="1135" spans="1:38" s="7" customFormat="1">
      <c r="A1135" s="4"/>
      <c r="B1135" s="4"/>
      <c r="C1135" s="4"/>
      <c r="D1135" s="4"/>
      <c r="E1135" s="4"/>
      <c r="F1135" s="28"/>
      <c r="G1135" s="28"/>
      <c r="H1135" s="83"/>
      <c r="I1135" s="4"/>
      <c r="J1135" s="4"/>
      <c r="K1135" s="4"/>
      <c r="L1135" s="4"/>
      <c r="M1135" s="4"/>
      <c r="N1135" s="28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81"/>
      <c r="AG1135" s="81"/>
      <c r="AH1135" s="81"/>
      <c r="AI1135" s="4"/>
      <c r="AJ1135" s="81"/>
      <c r="AK1135" s="81"/>
      <c r="AL1135" s="81"/>
    </row>
    <row r="1136" spans="1:38" s="7" customFormat="1">
      <c r="A1136" s="4"/>
      <c r="B1136" s="4"/>
      <c r="C1136" s="4"/>
      <c r="D1136" s="4"/>
      <c r="E1136" s="4"/>
      <c r="F1136" s="28"/>
      <c r="G1136" s="28"/>
      <c r="H1136" s="83"/>
      <c r="I1136" s="4"/>
      <c r="J1136" s="4"/>
      <c r="K1136" s="4"/>
      <c r="L1136" s="4"/>
      <c r="M1136" s="4"/>
      <c r="N1136" s="28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81"/>
      <c r="AG1136" s="81"/>
      <c r="AH1136" s="81"/>
      <c r="AI1136" s="4"/>
      <c r="AJ1136" s="81"/>
      <c r="AK1136" s="81"/>
      <c r="AL1136" s="81"/>
    </row>
    <row r="1137" spans="1:38" s="7" customFormat="1">
      <c r="A1137" s="4"/>
      <c r="B1137" s="4"/>
      <c r="C1137" s="4"/>
      <c r="D1137" s="4"/>
      <c r="E1137" s="4"/>
      <c r="F1137" s="28"/>
      <c r="G1137" s="28"/>
      <c r="H1137" s="83"/>
      <c r="I1137" s="4"/>
      <c r="J1137" s="4"/>
      <c r="K1137" s="4"/>
      <c r="L1137" s="4"/>
      <c r="M1137" s="4"/>
      <c r="N1137" s="28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81"/>
      <c r="AG1137" s="81"/>
      <c r="AH1137" s="81"/>
      <c r="AI1137" s="4"/>
      <c r="AJ1137" s="81"/>
      <c r="AK1137" s="81"/>
      <c r="AL1137" s="81"/>
    </row>
    <row r="1138" spans="1:38" s="7" customFormat="1">
      <c r="A1138" s="4"/>
      <c r="B1138" s="4"/>
      <c r="C1138" s="4"/>
      <c r="D1138" s="4"/>
      <c r="E1138" s="4"/>
      <c r="F1138" s="28"/>
      <c r="G1138" s="28"/>
      <c r="H1138" s="83"/>
      <c r="I1138" s="4"/>
      <c r="J1138" s="4"/>
      <c r="K1138" s="4"/>
      <c r="L1138" s="4"/>
      <c r="M1138" s="4"/>
      <c r="N1138" s="28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81"/>
      <c r="AG1138" s="81"/>
      <c r="AH1138" s="81"/>
      <c r="AI1138" s="4"/>
      <c r="AJ1138" s="81"/>
      <c r="AK1138" s="81"/>
      <c r="AL1138" s="81"/>
    </row>
    <row r="1139" spans="1:38" s="7" customFormat="1">
      <c r="A1139" s="4"/>
      <c r="B1139" s="4"/>
      <c r="C1139" s="4"/>
      <c r="D1139" s="4"/>
      <c r="E1139" s="4"/>
      <c r="F1139" s="28"/>
      <c r="G1139" s="28"/>
      <c r="H1139" s="83"/>
      <c r="I1139" s="4"/>
      <c r="J1139" s="4"/>
      <c r="K1139" s="4"/>
      <c r="L1139" s="4"/>
      <c r="M1139" s="4"/>
      <c r="N1139" s="28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81"/>
      <c r="AG1139" s="81"/>
      <c r="AH1139" s="81"/>
      <c r="AI1139" s="4"/>
      <c r="AJ1139" s="81"/>
      <c r="AK1139" s="81"/>
      <c r="AL1139" s="81"/>
    </row>
    <row r="1140" spans="1:38" s="7" customFormat="1">
      <c r="A1140" s="4"/>
      <c r="B1140" s="4"/>
      <c r="C1140" s="4"/>
      <c r="D1140" s="4"/>
      <c r="E1140" s="4"/>
      <c r="F1140" s="28"/>
      <c r="G1140" s="28"/>
      <c r="H1140" s="83"/>
      <c r="I1140" s="4"/>
      <c r="J1140" s="4"/>
      <c r="K1140" s="4"/>
      <c r="L1140" s="4"/>
      <c r="M1140" s="4"/>
      <c r="N1140" s="28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81"/>
      <c r="AG1140" s="81"/>
      <c r="AH1140" s="81"/>
      <c r="AI1140" s="4"/>
      <c r="AJ1140" s="81"/>
      <c r="AK1140" s="81"/>
      <c r="AL1140" s="81"/>
    </row>
    <row r="1141" spans="1:38" s="7" customFormat="1">
      <c r="A1141" s="4"/>
      <c r="B1141" s="4"/>
      <c r="C1141" s="4"/>
      <c r="D1141" s="4"/>
      <c r="E1141" s="4"/>
      <c r="F1141" s="28"/>
      <c r="G1141" s="28"/>
      <c r="H1141" s="83"/>
      <c r="I1141" s="4"/>
      <c r="J1141" s="4"/>
      <c r="K1141" s="4"/>
      <c r="L1141" s="4"/>
      <c r="M1141" s="4"/>
      <c r="N1141" s="28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81"/>
      <c r="AG1141" s="81"/>
      <c r="AH1141" s="81"/>
      <c r="AI1141" s="4"/>
      <c r="AJ1141" s="81"/>
      <c r="AK1141" s="81"/>
      <c r="AL1141" s="81"/>
    </row>
    <row r="1142" spans="1:38" s="7" customFormat="1">
      <c r="A1142" s="4"/>
      <c r="B1142" s="4"/>
      <c r="C1142" s="4"/>
      <c r="D1142" s="4"/>
      <c r="E1142" s="4"/>
      <c r="F1142" s="28"/>
      <c r="G1142" s="28"/>
      <c r="H1142" s="83"/>
      <c r="I1142" s="4"/>
      <c r="J1142" s="4"/>
      <c r="K1142" s="4"/>
      <c r="L1142" s="4"/>
      <c r="M1142" s="4"/>
      <c r="N1142" s="28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81"/>
      <c r="AG1142" s="81"/>
      <c r="AH1142" s="81"/>
      <c r="AI1142" s="4"/>
      <c r="AJ1142" s="81"/>
      <c r="AK1142" s="81"/>
      <c r="AL1142" s="81"/>
    </row>
    <row r="1143" spans="1:38" s="7" customFormat="1">
      <c r="A1143" s="4"/>
      <c r="B1143" s="4"/>
      <c r="C1143" s="4"/>
      <c r="D1143" s="4"/>
      <c r="E1143" s="4"/>
      <c r="F1143" s="28"/>
      <c r="G1143" s="28"/>
      <c r="H1143" s="83"/>
      <c r="I1143" s="4"/>
      <c r="J1143" s="4"/>
      <c r="K1143" s="4"/>
      <c r="L1143" s="4"/>
      <c r="M1143" s="4"/>
      <c r="N1143" s="28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81"/>
      <c r="AG1143" s="81"/>
      <c r="AH1143" s="81"/>
      <c r="AI1143" s="4"/>
      <c r="AJ1143" s="81"/>
      <c r="AK1143" s="81"/>
      <c r="AL1143" s="81"/>
    </row>
    <row r="1144" spans="1:38" s="7" customFormat="1">
      <c r="A1144" s="4"/>
      <c r="B1144" s="4"/>
      <c r="C1144" s="4"/>
      <c r="D1144" s="4"/>
      <c r="E1144" s="4"/>
      <c r="F1144" s="28"/>
      <c r="G1144" s="28"/>
      <c r="H1144" s="83"/>
      <c r="I1144" s="4"/>
      <c r="J1144" s="4"/>
      <c r="K1144" s="4"/>
      <c r="L1144" s="4"/>
      <c r="M1144" s="4"/>
      <c r="N1144" s="28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81"/>
      <c r="AG1144" s="81"/>
      <c r="AH1144" s="81"/>
      <c r="AI1144" s="4"/>
      <c r="AJ1144" s="81"/>
      <c r="AK1144" s="81"/>
      <c r="AL1144" s="81"/>
    </row>
    <row r="1145" spans="1:38" s="7" customFormat="1">
      <c r="A1145" s="4"/>
      <c r="B1145" s="4"/>
      <c r="C1145" s="4"/>
      <c r="D1145" s="4"/>
      <c r="E1145" s="4"/>
      <c r="F1145" s="28"/>
      <c r="G1145" s="28"/>
      <c r="H1145" s="83"/>
      <c r="I1145" s="4"/>
      <c r="J1145" s="4"/>
      <c r="K1145" s="4"/>
      <c r="L1145" s="4"/>
      <c r="M1145" s="4"/>
      <c r="N1145" s="28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81"/>
      <c r="AG1145" s="81"/>
      <c r="AH1145" s="81"/>
      <c r="AI1145" s="4"/>
      <c r="AJ1145" s="81"/>
      <c r="AK1145" s="81"/>
      <c r="AL1145" s="81"/>
    </row>
    <row r="1146" spans="1:38" s="7" customFormat="1">
      <c r="A1146" s="4"/>
      <c r="B1146" s="4"/>
      <c r="C1146" s="4"/>
      <c r="D1146" s="4"/>
      <c r="E1146" s="4"/>
      <c r="F1146" s="28"/>
      <c r="G1146" s="28"/>
      <c r="H1146" s="83"/>
      <c r="I1146" s="4"/>
      <c r="J1146" s="4"/>
      <c r="K1146" s="4"/>
      <c r="L1146" s="4"/>
      <c r="M1146" s="4"/>
      <c r="N1146" s="28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81"/>
      <c r="AG1146" s="81"/>
      <c r="AH1146" s="81"/>
      <c r="AI1146" s="4"/>
      <c r="AJ1146" s="81"/>
      <c r="AK1146" s="81"/>
      <c r="AL1146" s="81"/>
    </row>
    <row r="1147" spans="1:38" s="7" customFormat="1">
      <c r="A1147" s="4"/>
      <c r="B1147" s="4"/>
      <c r="C1147" s="4"/>
      <c r="D1147" s="4"/>
      <c r="E1147" s="4"/>
      <c r="F1147" s="28"/>
      <c r="G1147" s="28"/>
      <c r="H1147" s="83"/>
      <c r="I1147" s="4"/>
      <c r="J1147" s="4"/>
      <c r="K1147" s="4"/>
      <c r="L1147" s="4"/>
      <c r="M1147" s="4"/>
      <c r="N1147" s="28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81"/>
      <c r="AG1147" s="81"/>
      <c r="AH1147" s="81"/>
      <c r="AI1147" s="4"/>
      <c r="AJ1147" s="81"/>
      <c r="AK1147" s="81"/>
      <c r="AL1147" s="81"/>
    </row>
    <row r="1148" spans="1:38" s="7" customFormat="1">
      <c r="A1148" s="4"/>
      <c r="B1148" s="4"/>
      <c r="C1148" s="4"/>
      <c r="D1148" s="4"/>
      <c r="E1148" s="4"/>
      <c r="F1148" s="28"/>
      <c r="G1148" s="28"/>
      <c r="H1148" s="83"/>
      <c r="I1148" s="4"/>
      <c r="J1148" s="4"/>
      <c r="K1148" s="4"/>
      <c r="L1148" s="4"/>
      <c r="M1148" s="4"/>
      <c r="N1148" s="28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81"/>
      <c r="AG1148" s="81"/>
      <c r="AH1148" s="81"/>
      <c r="AI1148" s="4"/>
      <c r="AJ1148" s="81"/>
      <c r="AK1148" s="81"/>
      <c r="AL1148" s="81"/>
    </row>
    <row r="1149" spans="1:38" s="7" customFormat="1">
      <c r="A1149" s="4"/>
      <c r="B1149" s="4"/>
      <c r="C1149" s="4"/>
      <c r="D1149" s="4"/>
      <c r="E1149" s="4"/>
      <c r="F1149" s="28"/>
      <c r="G1149" s="28"/>
      <c r="H1149" s="83"/>
      <c r="I1149" s="4"/>
      <c r="J1149" s="4"/>
      <c r="K1149" s="4"/>
      <c r="L1149" s="4"/>
      <c r="M1149" s="4"/>
      <c r="N1149" s="28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81"/>
      <c r="AG1149" s="81"/>
      <c r="AH1149" s="81"/>
      <c r="AI1149" s="4"/>
      <c r="AJ1149" s="81"/>
      <c r="AK1149" s="81"/>
      <c r="AL1149" s="81"/>
    </row>
    <row r="1150" spans="1:38" s="7" customFormat="1">
      <c r="A1150" s="4"/>
      <c r="B1150" s="4"/>
      <c r="C1150" s="4"/>
      <c r="D1150" s="4"/>
      <c r="E1150" s="4"/>
      <c r="F1150" s="28"/>
      <c r="G1150" s="28"/>
      <c r="H1150" s="83"/>
      <c r="I1150" s="4"/>
      <c r="J1150" s="4"/>
      <c r="K1150" s="4"/>
      <c r="L1150" s="4"/>
      <c r="M1150" s="4"/>
      <c r="N1150" s="28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81"/>
      <c r="AG1150" s="81"/>
      <c r="AH1150" s="81"/>
      <c r="AI1150" s="4"/>
      <c r="AJ1150" s="81"/>
      <c r="AK1150" s="81"/>
      <c r="AL1150" s="81"/>
    </row>
    <row r="1151" spans="1:38" s="7" customFormat="1">
      <c r="A1151" s="4"/>
      <c r="B1151" s="4"/>
      <c r="C1151" s="4"/>
      <c r="D1151" s="4"/>
      <c r="E1151" s="4"/>
      <c r="F1151" s="28"/>
      <c r="G1151" s="28"/>
      <c r="H1151" s="83"/>
      <c r="I1151" s="4"/>
      <c r="J1151" s="4"/>
      <c r="K1151" s="4"/>
      <c r="L1151" s="4"/>
      <c r="M1151" s="4"/>
      <c r="N1151" s="28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81"/>
      <c r="AG1151" s="81"/>
      <c r="AH1151" s="81"/>
      <c r="AI1151" s="4"/>
      <c r="AJ1151" s="81"/>
      <c r="AK1151" s="81"/>
      <c r="AL1151" s="81"/>
    </row>
    <row r="1152" spans="1:38" s="7" customFormat="1">
      <c r="A1152" s="4"/>
      <c r="B1152" s="4"/>
      <c r="C1152" s="4"/>
      <c r="D1152" s="4"/>
      <c r="E1152" s="4"/>
      <c r="F1152" s="28"/>
      <c r="G1152" s="28"/>
      <c r="H1152" s="83"/>
      <c r="I1152" s="4"/>
      <c r="J1152" s="4"/>
      <c r="K1152" s="4"/>
      <c r="L1152" s="4"/>
      <c r="M1152" s="4"/>
      <c r="N1152" s="28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81"/>
      <c r="AG1152" s="81"/>
      <c r="AH1152" s="81"/>
      <c r="AI1152" s="4"/>
      <c r="AJ1152" s="81"/>
      <c r="AK1152" s="81"/>
      <c r="AL1152" s="81"/>
    </row>
    <row r="1153" spans="1:38" s="7" customFormat="1">
      <c r="A1153" s="4"/>
      <c r="B1153" s="4"/>
      <c r="C1153" s="4"/>
      <c r="D1153" s="4"/>
      <c r="E1153" s="4"/>
      <c r="F1153" s="28"/>
      <c r="G1153" s="28"/>
      <c r="H1153" s="83"/>
      <c r="I1153" s="4"/>
      <c r="J1153" s="4"/>
      <c r="K1153" s="4"/>
      <c r="L1153" s="4"/>
      <c r="M1153" s="4"/>
      <c r="N1153" s="28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81"/>
      <c r="AG1153" s="81"/>
      <c r="AH1153" s="81"/>
      <c r="AI1153" s="4"/>
      <c r="AJ1153" s="81"/>
      <c r="AK1153" s="81"/>
      <c r="AL1153" s="81"/>
    </row>
    <row r="1154" spans="1:38" s="7" customFormat="1">
      <c r="A1154" s="4"/>
      <c r="B1154" s="4"/>
      <c r="C1154" s="4"/>
      <c r="D1154" s="4"/>
      <c r="E1154" s="4"/>
      <c r="F1154" s="28"/>
      <c r="G1154" s="28"/>
      <c r="H1154" s="83"/>
      <c r="I1154" s="4"/>
      <c r="J1154" s="4"/>
      <c r="K1154" s="4"/>
      <c r="L1154" s="4"/>
      <c r="M1154" s="4"/>
      <c r="N1154" s="28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81"/>
      <c r="AG1154" s="81"/>
      <c r="AH1154" s="81"/>
      <c r="AI1154" s="4"/>
      <c r="AJ1154" s="81"/>
      <c r="AK1154" s="81"/>
      <c r="AL1154" s="81"/>
    </row>
    <row r="1155" spans="1:38" s="7" customFormat="1">
      <c r="A1155" s="4"/>
      <c r="B1155" s="4"/>
      <c r="C1155" s="4"/>
      <c r="D1155" s="4"/>
      <c r="E1155" s="4"/>
      <c r="F1155" s="28"/>
      <c r="G1155" s="28"/>
      <c r="H1155" s="83"/>
      <c r="I1155" s="4"/>
      <c r="J1155" s="4"/>
      <c r="K1155" s="4"/>
      <c r="L1155" s="4"/>
      <c r="M1155" s="4"/>
      <c r="N1155" s="28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81"/>
      <c r="AG1155" s="81"/>
      <c r="AH1155" s="81"/>
      <c r="AI1155" s="4"/>
      <c r="AJ1155" s="81"/>
      <c r="AK1155" s="81"/>
      <c r="AL1155" s="81"/>
    </row>
    <row r="1156" spans="1:38" s="7" customFormat="1">
      <c r="A1156" s="4"/>
      <c r="B1156" s="4"/>
      <c r="C1156" s="4"/>
      <c r="D1156" s="4"/>
      <c r="E1156" s="4"/>
      <c r="F1156" s="28"/>
      <c r="G1156" s="28"/>
      <c r="H1156" s="83"/>
      <c r="I1156" s="4"/>
      <c r="J1156" s="4"/>
      <c r="K1156" s="4"/>
      <c r="L1156" s="4"/>
      <c r="M1156" s="4"/>
      <c r="N1156" s="28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81"/>
      <c r="AG1156" s="81"/>
      <c r="AH1156" s="81"/>
      <c r="AI1156" s="4"/>
      <c r="AJ1156" s="81"/>
      <c r="AK1156" s="81"/>
      <c r="AL1156" s="81"/>
    </row>
    <row r="1157" spans="1:38" s="7" customFormat="1">
      <c r="A1157" s="4"/>
      <c r="B1157" s="4"/>
      <c r="C1157" s="4"/>
      <c r="D1157" s="4"/>
      <c r="E1157" s="4"/>
      <c r="F1157" s="28"/>
      <c r="G1157" s="28"/>
      <c r="H1157" s="83"/>
      <c r="I1157" s="4"/>
      <c r="J1157" s="4"/>
      <c r="K1157" s="4"/>
      <c r="L1157" s="4"/>
      <c r="M1157" s="4"/>
      <c r="N1157" s="28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81"/>
      <c r="AG1157" s="81"/>
      <c r="AH1157" s="81"/>
      <c r="AI1157" s="4"/>
      <c r="AJ1157" s="81"/>
      <c r="AK1157" s="81"/>
      <c r="AL1157" s="81"/>
    </row>
    <row r="1158" spans="1:38" s="7" customFormat="1">
      <c r="A1158" s="4"/>
      <c r="B1158" s="4"/>
      <c r="C1158" s="4"/>
      <c r="D1158" s="4"/>
      <c r="E1158" s="4"/>
      <c r="F1158" s="28"/>
      <c r="G1158" s="28"/>
      <c r="H1158" s="83"/>
      <c r="I1158" s="4"/>
      <c r="J1158" s="4"/>
      <c r="K1158" s="4"/>
      <c r="L1158" s="4"/>
      <c r="M1158" s="4"/>
      <c r="N1158" s="28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81"/>
      <c r="AG1158" s="81"/>
      <c r="AH1158" s="81"/>
      <c r="AI1158" s="4"/>
      <c r="AJ1158" s="81"/>
      <c r="AK1158" s="81"/>
      <c r="AL1158" s="81"/>
    </row>
    <row r="1159" spans="1:38" s="7" customFormat="1">
      <c r="A1159" s="4"/>
      <c r="B1159" s="4"/>
      <c r="C1159" s="4"/>
      <c r="D1159" s="4"/>
      <c r="E1159" s="4"/>
      <c r="F1159" s="28"/>
      <c r="G1159" s="28"/>
      <c r="H1159" s="83"/>
      <c r="I1159" s="4"/>
      <c r="J1159" s="4"/>
      <c r="K1159" s="4"/>
      <c r="L1159" s="4"/>
      <c r="M1159" s="4"/>
      <c r="N1159" s="28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81"/>
      <c r="AG1159" s="81"/>
      <c r="AH1159" s="81"/>
      <c r="AI1159" s="4"/>
      <c r="AJ1159" s="81"/>
      <c r="AK1159" s="81"/>
      <c r="AL1159" s="81"/>
    </row>
    <row r="1160" spans="1:38" s="7" customFormat="1">
      <c r="A1160" s="4"/>
      <c r="B1160" s="4"/>
      <c r="C1160" s="4"/>
      <c r="D1160" s="4"/>
      <c r="E1160" s="4"/>
      <c r="F1160" s="28"/>
      <c r="G1160" s="28"/>
      <c r="H1160" s="83"/>
      <c r="I1160" s="4"/>
      <c r="J1160" s="4"/>
      <c r="K1160" s="4"/>
      <c r="L1160" s="4"/>
      <c r="M1160" s="4"/>
      <c r="N1160" s="28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81"/>
      <c r="AG1160" s="81"/>
      <c r="AH1160" s="81"/>
      <c r="AI1160" s="4"/>
      <c r="AJ1160" s="81"/>
      <c r="AK1160" s="81"/>
      <c r="AL1160" s="81"/>
    </row>
    <row r="1161" spans="1:38" s="7" customFormat="1">
      <c r="A1161" s="4"/>
      <c r="B1161" s="4"/>
      <c r="C1161" s="4"/>
      <c r="D1161" s="4"/>
      <c r="E1161" s="4"/>
      <c r="F1161" s="28"/>
      <c r="G1161" s="28"/>
      <c r="H1161" s="83"/>
      <c r="I1161" s="4"/>
      <c r="J1161" s="4"/>
      <c r="K1161" s="4"/>
      <c r="L1161" s="4"/>
      <c r="M1161" s="4"/>
      <c r="N1161" s="28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81"/>
      <c r="AG1161" s="81"/>
      <c r="AH1161" s="81"/>
      <c r="AI1161" s="4"/>
      <c r="AJ1161" s="81"/>
      <c r="AK1161" s="81"/>
      <c r="AL1161" s="81"/>
    </row>
    <row r="1162" spans="1:38" s="7" customFormat="1">
      <c r="A1162" s="4"/>
      <c r="B1162" s="4"/>
      <c r="C1162" s="4"/>
      <c r="D1162" s="4"/>
      <c r="E1162" s="4"/>
      <c r="F1162" s="28"/>
      <c r="G1162" s="28"/>
      <c r="H1162" s="83"/>
      <c r="I1162" s="4"/>
      <c r="J1162" s="4"/>
      <c r="K1162" s="4"/>
      <c r="L1162" s="4"/>
      <c r="M1162" s="4"/>
      <c r="N1162" s="28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81"/>
      <c r="AG1162" s="81"/>
      <c r="AH1162" s="81"/>
      <c r="AI1162" s="4"/>
      <c r="AJ1162" s="81"/>
      <c r="AK1162" s="81"/>
      <c r="AL1162" s="81"/>
    </row>
    <row r="1163" spans="1:38" s="7" customFormat="1">
      <c r="A1163" s="4"/>
      <c r="B1163" s="4"/>
      <c r="C1163" s="4"/>
      <c r="D1163" s="4"/>
      <c r="E1163" s="4"/>
      <c r="F1163" s="28"/>
      <c r="G1163" s="28"/>
      <c r="H1163" s="83"/>
      <c r="I1163" s="4"/>
      <c r="J1163" s="4"/>
      <c r="K1163" s="4"/>
      <c r="L1163" s="4"/>
      <c r="M1163" s="4"/>
      <c r="N1163" s="28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81"/>
      <c r="AG1163" s="81"/>
      <c r="AH1163" s="81"/>
      <c r="AI1163" s="4"/>
      <c r="AJ1163" s="81"/>
      <c r="AK1163" s="81"/>
      <c r="AL1163" s="81"/>
    </row>
    <row r="1164" spans="1:38" s="7" customFormat="1">
      <c r="A1164" s="4"/>
      <c r="B1164" s="4"/>
      <c r="C1164" s="4"/>
      <c r="D1164" s="4"/>
      <c r="E1164" s="4"/>
      <c r="F1164" s="28"/>
      <c r="G1164" s="28"/>
      <c r="H1164" s="83"/>
      <c r="I1164" s="4"/>
      <c r="J1164" s="4"/>
      <c r="K1164" s="4"/>
      <c r="L1164" s="4"/>
      <c r="M1164" s="4"/>
      <c r="N1164" s="28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81"/>
      <c r="AG1164" s="81"/>
      <c r="AH1164" s="81"/>
      <c r="AI1164" s="4"/>
      <c r="AJ1164" s="81"/>
      <c r="AK1164" s="81"/>
      <c r="AL1164" s="81"/>
    </row>
    <row r="1165" spans="1:38" s="7" customFormat="1">
      <c r="A1165" s="4"/>
      <c r="B1165" s="4"/>
      <c r="C1165" s="4"/>
      <c r="D1165" s="4"/>
      <c r="E1165" s="4"/>
      <c r="F1165" s="28"/>
      <c r="G1165" s="28"/>
      <c r="H1165" s="83"/>
      <c r="I1165" s="4"/>
      <c r="J1165" s="4"/>
      <c r="K1165" s="4"/>
      <c r="L1165" s="4"/>
      <c r="M1165" s="4"/>
      <c r="N1165" s="28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81"/>
      <c r="AG1165" s="81"/>
      <c r="AH1165" s="81"/>
      <c r="AI1165" s="4"/>
      <c r="AJ1165" s="81"/>
      <c r="AK1165" s="81"/>
      <c r="AL1165" s="81"/>
    </row>
    <row r="1166" spans="1:38" s="7" customFormat="1">
      <c r="A1166" s="4"/>
      <c r="B1166" s="4"/>
      <c r="C1166" s="4"/>
      <c r="D1166" s="4"/>
      <c r="E1166" s="4"/>
      <c r="F1166" s="28"/>
      <c r="G1166" s="28"/>
      <c r="H1166" s="83"/>
      <c r="I1166" s="4"/>
      <c r="J1166" s="4"/>
      <c r="K1166" s="4"/>
      <c r="L1166" s="4"/>
      <c r="M1166" s="4"/>
      <c r="N1166" s="28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81"/>
      <c r="AG1166" s="81"/>
      <c r="AH1166" s="81"/>
      <c r="AI1166" s="4"/>
      <c r="AJ1166" s="81"/>
      <c r="AK1166" s="81"/>
      <c r="AL1166" s="81"/>
    </row>
    <row r="1167" spans="1:38" s="7" customFormat="1">
      <c r="A1167" s="4"/>
      <c r="B1167" s="4"/>
      <c r="C1167" s="4"/>
      <c r="D1167" s="4"/>
      <c r="E1167" s="4"/>
      <c r="F1167" s="28"/>
      <c r="G1167" s="28"/>
      <c r="H1167" s="83"/>
      <c r="I1167" s="4"/>
      <c r="J1167" s="4"/>
      <c r="K1167" s="4"/>
      <c r="L1167" s="4"/>
      <c r="M1167" s="4"/>
      <c r="N1167" s="28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81"/>
      <c r="AG1167" s="81"/>
      <c r="AH1167" s="81"/>
      <c r="AI1167" s="4"/>
      <c r="AJ1167" s="81"/>
      <c r="AK1167" s="81"/>
      <c r="AL1167" s="81"/>
    </row>
    <row r="1168" spans="1:38" s="7" customFormat="1">
      <c r="A1168" s="4"/>
      <c r="B1168" s="4"/>
      <c r="C1168" s="4"/>
      <c r="D1168" s="4"/>
      <c r="E1168" s="4"/>
      <c r="F1168" s="28"/>
      <c r="G1168" s="28"/>
      <c r="H1168" s="83"/>
      <c r="I1168" s="4"/>
      <c r="J1168" s="4"/>
      <c r="K1168" s="4"/>
      <c r="L1168" s="4"/>
      <c r="M1168" s="4"/>
      <c r="N1168" s="28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81"/>
      <c r="AG1168" s="81"/>
      <c r="AH1168" s="81"/>
      <c r="AI1168" s="4"/>
      <c r="AJ1168" s="81"/>
      <c r="AK1168" s="81"/>
      <c r="AL1168" s="81"/>
    </row>
    <row r="1169" spans="1:38" s="7" customFormat="1">
      <c r="A1169" s="4"/>
      <c r="B1169" s="4"/>
      <c r="C1169" s="4"/>
      <c r="D1169" s="4"/>
      <c r="E1169" s="4"/>
      <c r="F1169" s="28"/>
      <c r="G1169" s="28"/>
      <c r="H1169" s="83"/>
      <c r="I1169" s="4"/>
      <c r="J1169" s="4"/>
      <c r="K1169" s="4"/>
      <c r="L1169" s="4"/>
      <c r="M1169" s="4"/>
      <c r="N1169" s="28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81"/>
      <c r="AG1169" s="81"/>
      <c r="AH1169" s="81"/>
      <c r="AI1169" s="4"/>
      <c r="AJ1169" s="81"/>
      <c r="AK1169" s="81"/>
      <c r="AL1169" s="81"/>
    </row>
    <row r="1170" spans="1:38" s="7" customFormat="1">
      <c r="A1170" s="4"/>
      <c r="B1170" s="4"/>
      <c r="C1170" s="4"/>
      <c r="D1170" s="4"/>
      <c r="E1170" s="4"/>
      <c r="F1170" s="28"/>
      <c r="G1170" s="28"/>
      <c r="H1170" s="83"/>
      <c r="I1170" s="4"/>
      <c r="J1170" s="4"/>
      <c r="K1170" s="4"/>
      <c r="L1170" s="4"/>
      <c r="M1170" s="4"/>
      <c r="N1170" s="28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81"/>
      <c r="AG1170" s="81"/>
      <c r="AH1170" s="81"/>
      <c r="AI1170" s="4"/>
      <c r="AJ1170" s="81"/>
      <c r="AK1170" s="81"/>
      <c r="AL1170" s="81"/>
    </row>
    <row r="1171" spans="1:38" s="7" customFormat="1">
      <c r="A1171" s="4"/>
      <c r="B1171" s="4"/>
      <c r="C1171" s="4"/>
      <c r="D1171" s="4"/>
      <c r="E1171" s="4"/>
      <c r="F1171" s="28"/>
      <c r="G1171" s="28"/>
      <c r="H1171" s="83"/>
      <c r="I1171" s="4"/>
      <c r="J1171" s="4"/>
      <c r="K1171" s="4"/>
      <c r="L1171" s="4"/>
      <c r="M1171" s="4"/>
      <c r="N1171" s="28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81"/>
      <c r="AG1171" s="81"/>
      <c r="AH1171" s="81"/>
      <c r="AI1171" s="4"/>
      <c r="AJ1171" s="81"/>
      <c r="AK1171" s="81"/>
      <c r="AL1171" s="81"/>
    </row>
    <row r="1172" spans="1:38" s="7" customFormat="1">
      <c r="A1172" s="4"/>
      <c r="B1172" s="4"/>
      <c r="C1172" s="4"/>
      <c r="D1172" s="4"/>
      <c r="E1172" s="4"/>
      <c r="F1172" s="28"/>
      <c r="G1172" s="28"/>
      <c r="H1172" s="83"/>
      <c r="I1172" s="4"/>
      <c r="J1172" s="4"/>
      <c r="K1172" s="4"/>
      <c r="L1172" s="4"/>
      <c r="M1172" s="4"/>
      <c r="N1172" s="28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81"/>
      <c r="AG1172" s="81"/>
      <c r="AH1172" s="81"/>
      <c r="AI1172" s="4"/>
      <c r="AJ1172" s="81"/>
      <c r="AK1172" s="81"/>
      <c r="AL1172" s="81"/>
    </row>
    <row r="1173" spans="1:38" s="7" customFormat="1">
      <c r="A1173" s="4"/>
      <c r="B1173" s="4"/>
      <c r="C1173" s="4"/>
      <c r="D1173" s="4"/>
      <c r="E1173" s="4"/>
      <c r="F1173" s="28"/>
      <c r="G1173" s="28"/>
      <c r="H1173" s="83"/>
      <c r="I1173" s="4"/>
      <c r="J1173" s="4"/>
      <c r="K1173" s="4"/>
      <c r="L1173" s="4"/>
      <c r="M1173" s="4"/>
      <c r="N1173" s="28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81"/>
      <c r="AG1173" s="81"/>
      <c r="AH1173" s="81"/>
      <c r="AI1173" s="4"/>
      <c r="AJ1173" s="81"/>
      <c r="AK1173" s="81"/>
      <c r="AL1173" s="81"/>
    </row>
    <row r="1174" spans="1:38" s="7" customFormat="1">
      <c r="A1174" s="4"/>
      <c r="B1174" s="4"/>
      <c r="C1174" s="4"/>
      <c r="D1174" s="4"/>
      <c r="E1174" s="4"/>
      <c r="F1174" s="28"/>
      <c r="G1174" s="28"/>
      <c r="H1174" s="83"/>
      <c r="I1174" s="4"/>
      <c r="J1174" s="4"/>
      <c r="K1174" s="4"/>
      <c r="L1174" s="4"/>
      <c r="M1174" s="4"/>
      <c r="N1174" s="28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81"/>
      <c r="AG1174" s="81"/>
      <c r="AH1174" s="81"/>
      <c r="AI1174" s="4"/>
      <c r="AJ1174" s="81"/>
      <c r="AK1174" s="81"/>
      <c r="AL1174" s="81"/>
    </row>
    <row r="1175" spans="1:38" s="7" customFormat="1">
      <c r="A1175" s="4"/>
      <c r="B1175" s="4"/>
      <c r="C1175" s="4"/>
      <c r="D1175" s="4"/>
      <c r="E1175" s="4"/>
      <c r="F1175" s="28"/>
      <c r="G1175" s="28"/>
      <c r="H1175" s="83"/>
      <c r="I1175" s="4"/>
      <c r="J1175" s="4"/>
      <c r="K1175" s="4"/>
      <c r="L1175" s="4"/>
      <c r="M1175" s="4"/>
      <c r="N1175" s="28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81"/>
      <c r="AG1175" s="81"/>
      <c r="AH1175" s="81"/>
      <c r="AI1175" s="4"/>
      <c r="AJ1175" s="81"/>
      <c r="AK1175" s="81"/>
      <c r="AL1175" s="81"/>
    </row>
    <row r="1176" spans="1:38" s="7" customFormat="1">
      <c r="A1176" s="4"/>
      <c r="B1176" s="4"/>
      <c r="C1176" s="4"/>
      <c r="D1176" s="4"/>
      <c r="E1176" s="4"/>
      <c r="F1176" s="28"/>
      <c r="G1176" s="28"/>
      <c r="H1176" s="83"/>
      <c r="I1176" s="4"/>
      <c r="J1176" s="4"/>
      <c r="K1176" s="4"/>
      <c r="L1176" s="4"/>
      <c r="M1176" s="4"/>
      <c r="N1176" s="28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81"/>
      <c r="AG1176" s="81"/>
      <c r="AH1176" s="81"/>
      <c r="AI1176" s="4"/>
      <c r="AJ1176" s="81"/>
      <c r="AK1176" s="81"/>
      <c r="AL1176" s="81"/>
    </row>
    <row r="1177" spans="1:38" s="7" customFormat="1">
      <c r="A1177" s="4"/>
      <c r="B1177" s="4"/>
      <c r="C1177" s="4"/>
      <c r="D1177" s="4"/>
      <c r="E1177" s="4"/>
      <c r="F1177" s="28"/>
      <c r="G1177" s="28"/>
      <c r="H1177" s="83"/>
      <c r="I1177" s="4"/>
      <c r="J1177" s="4"/>
      <c r="K1177" s="4"/>
      <c r="L1177" s="4"/>
      <c r="M1177" s="4"/>
      <c r="N1177" s="28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81"/>
      <c r="AG1177" s="81"/>
      <c r="AH1177" s="81"/>
      <c r="AI1177" s="4"/>
      <c r="AJ1177" s="81"/>
      <c r="AK1177" s="81"/>
      <c r="AL1177" s="81"/>
    </row>
    <row r="1178" spans="1:38" s="7" customFormat="1">
      <c r="A1178" s="4"/>
      <c r="B1178" s="4"/>
      <c r="C1178" s="4"/>
      <c r="D1178" s="4"/>
      <c r="E1178" s="4"/>
      <c r="F1178" s="28"/>
      <c r="G1178" s="28"/>
      <c r="H1178" s="83"/>
      <c r="I1178" s="4"/>
      <c r="J1178" s="4"/>
      <c r="K1178" s="4"/>
      <c r="L1178" s="4"/>
      <c r="M1178" s="4"/>
      <c r="N1178" s="28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81"/>
      <c r="AG1178" s="81"/>
      <c r="AH1178" s="81"/>
      <c r="AI1178" s="4"/>
      <c r="AJ1178" s="81"/>
      <c r="AK1178" s="81"/>
      <c r="AL1178" s="81"/>
    </row>
    <row r="1179" spans="1:38" s="7" customFormat="1">
      <c r="A1179" s="4"/>
      <c r="B1179" s="4"/>
      <c r="C1179" s="4"/>
      <c r="D1179" s="4"/>
      <c r="E1179" s="4"/>
      <c r="F1179" s="28"/>
      <c r="G1179" s="28"/>
      <c r="H1179" s="83"/>
      <c r="I1179" s="4"/>
      <c r="J1179" s="4"/>
      <c r="K1179" s="4"/>
      <c r="L1179" s="4"/>
      <c r="M1179" s="4"/>
      <c r="N1179" s="28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81"/>
      <c r="AG1179" s="81"/>
      <c r="AH1179" s="81"/>
      <c r="AI1179" s="4"/>
      <c r="AJ1179" s="81"/>
      <c r="AK1179" s="81"/>
      <c r="AL1179" s="81"/>
    </row>
    <row r="1180" spans="1:38" s="7" customFormat="1">
      <c r="A1180" s="4"/>
      <c r="B1180" s="4"/>
      <c r="C1180" s="4"/>
      <c r="D1180" s="4"/>
      <c r="E1180" s="4"/>
      <c r="F1180" s="28"/>
      <c r="G1180" s="28"/>
      <c r="H1180" s="83"/>
      <c r="I1180" s="4"/>
      <c r="J1180" s="4"/>
      <c r="K1180" s="4"/>
      <c r="L1180" s="4"/>
      <c r="M1180" s="4"/>
      <c r="N1180" s="28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81"/>
      <c r="AG1180" s="81"/>
      <c r="AH1180" s="81"/>
      <c r="AI1180" s="4"/>
      <c r="AJ1180" s="81"/>
      <c r="AK1180" s="81"/>
      <c r="AL1180" s="81"/>
    </row>
    <row r="1181" spans="1:38" s="7" customFormat="1">
      <c r="A1181" s="4"/>
      <c r="B1181" s="4"/>
      <c r="C1181" s="4"/>
      <c r="D1181" s="4"/>
      <c r="E1181" s="4"/>
      <c r="F1181" s="28"/>
      <c r="G1181" s="28"/>
      <c r="H1181" s="83"/>
      <c r="I1181" s="4"/>
      <c r="J1181" s="4"/>
      <c r="K1181" s="4"/>
      <c r="L1181" s="4"/>
      <c r="M1181" s="4"/>
      <c r="N1181" s="28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81"/>
      <c r="AG1181" s="81"/>
      <c r="AH1181" s="81"/>
      <c r="AI1181" s="4"/>
      <c r="AJ1181" s="81"/>
      <c r="AK1181" s="81"/>
      <c r="AL1181" s="81"/>
    </row>
    <row r="1182" spans="1:38" s="7" customFormat="1">
      <c r="A1182" s="4"/>
      <c r="B1182" s="4"/>
      <c r="C1182" s="4"/>
      <c r="D1182" s="4"/>
      <c r="E1182" s="4"/>
      <c r="F1182" s="28"/>
      <c r="G1182" s="28"/>
      <c r="H1182" s="83"/>
      <c r="I1182" s="4"/>
      <c r="J1182" s="4"/>
      <c r="K1182" s="4"/>
      <c r="L1182" s="4"/>
      <c r="M1182" s="4"/>
      <c r="N1182" s="28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81"/>
      <c r="AG1182" s="81"/>
      <c r="AH1182" s="81"/>
      <c r="AI1182" s="4"/>
      <c r="AJ1182" s="81"/>
      <c r="AK1182" s="81"/>
      <c r="AL1182" s="81"/>
    </row>
    <row r="1183" spans="1:38" s="7" customFormat="1">
      <c r="A1183" s="4"/>
      <c r="B1183" s="4"/>
      <c r="C1183" s="4"/>
      <c r="D1183" s="4"/>
      <c r="E1183" s="4"/>
      <c r="F1183" s="28"/>
      <c r="G1183" s="28"/>
      <c r="H1183" s="83"/>
      <c r="I1183" s="4"/>
      <c r="J1183" s="4"/>
      <c r="K1183" s="4"/>
      <c r="L1183" s="4"/>
      <c r="M1183" s="4"/>
      <c r="N1183" s="28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81"/>
      <c r="AG1183" s="81"/>
      <c r="AH1183" s="81"/>
      <c r="AI1183" s="4"/>
      <c r="AJ1183" s="81"/>
      <c r="AK1183" s="81"/>
      <c r="AL1183" s="81"/>
    </row>
    <row r="1184" spans="1:38" s="7" customFormat="1">
      <c r="A1184" s="4"/>
      <c r="B1184" s="4"/>
      <c r="C1184" s="4"/>
      <c r="D1184" s="4"/>
      <c r="E1184" s="4"/>
      <c r="F1184" s="28"/>
      <c r="G1184" s="28"/>
      <c r="H1184" s="83"/>
      <c r="I1184" s="4"/>
      <c r="J1184" s="4"/>
      <c r="K1184" s="4"/>
      <c r="L1184" s="4"/>
      <c r="M1184" s="4"/>
      <c r="N1184" s="28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81"/>
      <c r="AG1184" s="81"/>
      <c r="AH1184" s="81"/>
      <c r="AI1184" s="4"/>
      <c r="AJ1184" s="81"/>
      <c r="AK1184" s="81"/>
      <c r="AL1184" s="81"/>
    </row>
    <row r="1185" spans="1:38" s="7" customFormat="1">
      <c r="A1185" s="4"/>
      <c r="B1185" s="4"/>
      <c r="C1185" s="4"/>
      <c r="D1185" s="4"/>
      <c r="E1185" s="4"/>
      <c r="F1185" s="28"/>
      <c r="G1185" s="28"/>
      <c r="H1185" s="83"/>
      <c r="I1185" s="4"/>
      <c r="J1185" s="4"/>
      <c r="K1185" s="4"/>
      <c r="L1185" s="4"/>
      <c r="M1185" s="4"/>
      <c r="N1185" s="28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81"/>
      <c r="AG1185" s="81"/>
      <c r="AH1185" s="81"/>
      <c r="AI1185" s="4"/>
      <c r="AJ1185" s="81"/>
      <c r="AK1185" s="81"/>
      <c r="AL1185" s="81"/>
    </row>
    <row r="1186" spans="1:38" s="7" customFormat="1">
      <c r="A1186" s="4"/>
      <c r="B1186" s="4"/>
      <c r="C1186" s="4"/>
      <c r="D1186" s="4"/>
      <c r="E1186" s="4"/>
      <c r="F1186" s="28"/>
      <c r="G1186" s="28"/>
      <c r="H1186" s="83"/>
      <c r="I1186" s="4"/>
      <c r="J1186" s="4"/>
      <c r="K1186" s="4"/>
      <c r="L1186" s="4"/>
      <c r="M1186" s="4"/>
      <c r="N1186" s="28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81"/>
      <c r="AG1186" s="81"/>
      <c r="AH1186" s="81"/>
      <c r="AI1186" s="4"/>
      <c r="AJ1186" s="81"/>
      <c r="AK1186" s="81"/>
      <c r="AL1186" s="81"/>
    </row>
    <row r="1187" spans="1:38" s="7" customFormat="1">
      <c r="A1187" s="4"/>
      <c r="B1187" s="4"/>
      <c r="C1187" s="4"/>
      <c r="D1187" s="4"/>
      <c r="E1187" s="4"/>
      <c r="F1187" s="28"/>
      <c r="G1187" s="28"/>
      <c r="H1187" s="83"/>
      <c r="I1187" s="4"/>
      <c r="J1187" s="4"/>
      <c r="K1187" s="4"/>
      <c r="L1187" s="4"/>
      <c r="M1187" s="4"/>
      <c r="N1187" s="28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81"/>
      <c r="AG1187" s="81"/>
      <c r="AH1187" s="81"/>
      <c r="AI1187" s="4"/>
      <c r="AJ1187" s="81"/>
      <c r="AK1187" s="81"/>
      <c r="AL1187" s="81"/>
    </row>
    <row r="1188" spans="1:38" s="7" customFormat="1">
      <c r="A1188" s="4"/>
      <c r="B1188" s="4"/>
      <c r="C1188" s="4"/>
      <c r="D1188" s="4"/>
      <c r="E1188" s="4"/>
      <c r="F1188" s="28"/>
      <c r="G1188" s="28"/>
      <c r="H1188" s="83"/>
      <c r="I1188" s="4"/>
      <c r="J1188" s="4"/>
      <c r="K1188" s="4"/>
      <c r="L1188" s="4"/>
      <c r="M1188" s="4"/>
      <c r="N1188" s="28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81"/>
      <c r="AG1188" s="81"/>
      <c r="AH1188" s="81"/>
      <c r="AI1188" s="4"/>
      <c r="AJ1188" s="81"/>
      <c r="AK1188" s="81"/>
      <c r="AL1188" s="81"/>
    </row>
    <row r="1189" spans="1:38" s="7" customFormat="1">
      <c r="A1189" s="4"/>
      <c r="B1189" s="4"/>
      <c r="C1189" s="4"/>
      <c r="D1189" s="4"/>
      <c r="E1189" s="4"/>
      <c r="F1189" s="28"/>
      <c r="G1189" s="28"/>
      <c r="H1189" s="83"/>
      <c r="I1189" s="4"/>
      <c r="J1189" s="4"/>
      <c r="K1189" s="4"/>
      <c r="L1189" s="4"/>
      <c r="M1189" s="4"/>
      <c r="N1189" s="28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81"/>
      <c r="AG1189" s="81"/>
      <c r="AH1189" s="81"/>
      <c r="AI1189" s="4"/>
      <c r="AJ1189" s="81"/>
      <c r="AK1189" s="81"/>
      <c r="AL1189" s="81"/>
    </row>
    <row r="1190" spans="1:38" s="7" customFormat="1">
      <c r="A1190" s="4"/>
      <c r="B1190" s="4"/>
      <c r="C1190" s="4"/>
      <c r="D1190" s="4"/>
      <c r="E1190" s="4"/>
      <c r="F1190" s="28"/>
      <c r="G1190" s="28"/>
      <c r="H1190" s="83"/>
      <c r="I1190" s="4"/>
      <c r="J1190" s="4"/>
      <c r="K1190" s="4"/>
      <c r="L1190" s="4"/>
      <c r="M1190" s="4"/>
      <c r="N1190" s="28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81"/>
      <c r="AG1190" s="81"/>
      <c r="AH1190" s="81"/>
      <c r="AI1190" s="4"/>
      <c r="AJ1190" s="81"/>
      <c r="AK1190" s="81"/>
      <c r="AL1190" s="81"/>
    </row>
    <row r="1191" spans="1:38" s="7" customFormat="1">
      <c r="A1191" s="4"/>
      <c r="B1191" s="4"/>
      <c r="C1191" s="4"/>
      <c r="D1191" s="4"/>
      <c r="E1191" s="4"/>
      <c r="F1191" s="28"/>
      <c r="G1191" s="28"/>
      <c r="H1191" s="83"/>
      <c r="I1191" s="4"/>
      <c r="J1191" s="4"/>
      <c r="K1191" s="4"/>
      <c r="L1191" s="4"/>
      <c r="M1191" s="4"/>
      <c r="N1191" s="28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81"/>
      <c r="AG1191" s="81"/>
      <c r="AH1191" s="81"/>
      <c r="AI1191" s="4"/>
      <c r="AJ1191" s="81"/>
      <c r="AK1191" s="81"/>
      <c r="AL1191" s="81"/>
    </row>
    <row r="1192" spans="1:38" s="7" customFormat="1">
      <c r="A1192" s="4"/>
      <c r="B1192" s="4"/>
      <c r="C1192" s="4"/>
      <c r="D1192" s="4"/>
      <c r="E1192" s="4"/>
      <c r="F1192" s="28"/>
      <c r="G1192" s="28"/>
      <c r="H1192" s="83"/>
      <c r="I1192" s="4"/>
      <c r="J1192" s="4"/>
      <c r="K1192" s="4"/>
      <c r="L1192" s="4"/>
      <c r="M1192" s="4"/>
      <c r="N1192" s="28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81"/>
      <c r="AG1192" s="81"/>
      <c r="AH1192" s="81"/>
      <c r="AI1192" s="4"/>
      <c r="AJ1192" s="81"/>
      <c r="AK1192" s="81"/>
      <c r="AL1192" s="81"/>
    </row>
    <row r="1193" spans="1:38" s="7" customFormat="1">
      <c r="A1193" s="4"/>
      <c r="B1193" s="4"/>
      <c r="C1193" s="4"/>
      <c r="D1193" s="4"/>
      <c r="E1193" s="4"/>
      <c r="F1193" s="28"/>
      <c r="G1193" s="28"/>
      <c r="H1193" s="83"/>
      <c r="I1193" s="4"/>
      <c r="J1193" s="4"/>
      <c r="K1193" s="4"/>
      <c r="L1193" s="4"/>
      <c r="M1193" s="4"/>
      <c r="N1193" s="28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81"/>
      <c r="AG1193" s="81"/>
      <c r="AH1193" s="81"/>
      <c r="AI1193" s="4"/>
      <c r="AJ1193" s="81"/>
      <c r="AK1193" s="81"/>
      <c r="AL1193" s="81"/>
    </row>
    <row r="1194" spans="1:38" s="7" customFormat="1">
      <c r="A1194" s="4"/>
      <c r="B1194" s="4"/>
      <c r="C1194" s="4"/>
      <c r="D1194" s="4"/>
      <c r="E1194" s="4"/>
      <c r="F1194" s="28"/>
      <c r="G1194" s="28"/>
      <c r="H1194" s="83"/>
      <c r="I1194" s="4"/>
      <c r="J1194" s="4"/>
      <c r="K1194" s="4"/>
      <c r="L1194" s="4"/>
      <c r="M1194" s="4"/>
      <c r="N1194" s="28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81"/>
      <c r="AG1194" s="81"/>
      <c r="AH1194" s="81"/>
      <c r="AI1194" s="4"/>
      <c r="AJ1194" s="81"/>
      <c r="AK1194" s="81"/>
      <c r="AL1194" s="81"/>
    </row>
    <row r="1195" spans="1:38" s="7" customFormat="1">
      <c r="A1195" s="4"/>
      <c r="B1195" s="4"/>
      <c r="C1195" s="4"/>
      <c r="D1195" s="4"/>
      <c r="E1195" s="4"/>
      <c r="F1195" s="28"/>
      <c r="G1195" s="28"/>
      <c r="H1195" s="83"/>
      <c r="I1195" s="4"/>
      <c r="J1195" s="4"/>
      <c r="K1195" s="4"/>
      <c r="L1195" s="4"/>
      <c r="M1195" s="4"/>
      <c r="N1195" s="28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81"/>
      <c r="AG1195" s="81"/>
      <c r="AH1195" s="81"/>
      <c r="AI1195" s="4"/>
      <c r="AJ1195" s="81"/>
      <c r="AK1195" s="81"/>
      <c r="AL1195" s="81"/>
    </row>
    <row r="1196" spans="1:38" s="7" customFormat="1">
      <c r="A1196" s="4"/>
      <c r="B1196" s="4"/>
      <c r="C1196" s="4"/>
      <c r="D1196" s="4"/>
      <c r="E1196" s="4"/>
      <c r="F1196" s="28"/>
      <c r="G1196" s="28"/>
      <c r="H1196" s="83"/>
      <c r="I1196" s="4"/>
      <c r="J1196" s="4"/>
      <c r="K1196" s="4"/>
      <c r="L1196" s="4"/>
      <c r="M1196" s="4"/>
      <c r="N1196" s="28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81"/>
      <c r="AG1196" s="81"/>
      <c r="AH1196" s="81"/>
      <c r="AI1196" s="4"/>
      <c r="AJ1196" s="81"/>
      <c r="AK1196" s="81"/>
      <c r="AL1196" s="81"/>
    </row>
    <row r="1197" spans="1:38" s="7" customFormat="1">
      <c r="A1197" s="4"/>
      <c r="B1197" s="4"/>
      <c r="C1197" s="4"/>
      <c r="D1197" s="4"/>
      <c r="E1197" s="4"/>
      <c r="F1197" s="28"/>
      <c r="G1197" s="28"/>
      <c r="H1197" s="83"/>
      <c r="I1197" s="4"/>
      <c r="J1197" s="4"/>
      <c r="K1197" s="4"/>
      <c r="L1197" s="4"/>
      <c r="M1197" s="4"/>
      <c r="N1197" s="28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81"/>
      <c r="AG1197" s="81"/>
      <c r="AH1197" s="81"/>
      <c r="AI1197" s="4"/>
      <c r="AJ1197" s="81"/>
      <c r="AK1197" s="81"/>
      <c r="AL1197" s="81"/>
    </row>
    <row r="1198" spans="1:38" s="7" customFormat="1">
      <c r="A1198" s="4"/>
      <c r="B1198" s="4"/>
      <c r="C1198" s="4"/>
      <c r="D1198" s="4"/>
      <c r="E1198" s="4"/>
      <c r="F1198" s="28"/>
      <c r="G1198" s="28"/>
      <c r="H1198" s="83"/>
      <c r="I1198" s="4"/>
      <c r="J1198" s="4"/>
      <c r="K1198" s="4"/>
      <c r="L1198" s="4"/>
      <c r="M1198" s="4"/>
      <c r="N1198" s="28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81"/>
      <c r="AG1198" s="81"/>
      <c r="AH1198" s="81"/>
      <c r="AI1198" s="4"/>
      <c r="AJ1198" s="81"/>
      <c r="AK1198" s="81"/>
      <c r="AL1198" s="81"/>
    </row>
    <row r="1199" spans="1:38" s="7" customFormat="1">
      <c r="A1199" s="4"/>
      <c r="B1199" s="4"/>
      <c r="C1199" s="4"/>
      <c r="D1199" s="4"/>
      <c r="E1199" s="4"/>
      <c r="F1199" s="28"/>
      <c r="G1199" s="28"/>
      <c r="H1199" s="83"/>
      <c r="I1199" s="4"/>
      <c r="J1199" s="4"/>
      <c r="K1199" s="4"/>
      <c r="L1199" s="4"/>
      <c r="M1199" s="4"/>
      <c r="N1199" s="28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81"/>
      <c r="AG1199" s="81"/>
      <c r="AH1199" s="81"/>
      <c r="AI1199" s="4"/>
      <c r="AJ1199" s="81"/>
      <c r="AK1199" s="81"/>
      <c r="AL1199" s="81"/>
    </row>
    <row r="1200" spans="1:38" s="7" customFormat="1">
      <c r="A1200" s="4"/>
      <c r="B1200" s="4"/>
      <c r="C1200" s="4"/>
      <c r="D1200" s="4"/>
      <c r="E1200" s="4"/>
      <c r="F1200" s="28"/>
      <c r="G1200" s="28"/>
      <c r="H1200" s="83"/>
      <c r="I1200" s="4"/>
      <c r="J1200" s="4"/>
      <c r="K1200" s="4"/>
      <c r="L1200" s="4"/>
      <c r="M1200" s="4"/>
      <c r="N1200" s="28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81"/>
      <c r="AG1200" s="81"/>
      <c r="AH1200" s="81"/>
      <c r="AI1200" s="4"/>
      <c r="AJ1200" s="81"/>
      <c r="AK1200" s="81"/>
      <c r="AL1200" s="81"/>
    </row>
    <row r="1201" spans="1:38" s="7" customFormat="1">
      <c r="A1201" s="4"/>
      <c r="B1201" s="4"/>
      <c r="C1201" s="4"/>
      <c r="D1201" s="4"/>
      <c r="E1201" s="4"/>
      <c r="F1201" s="28"/>
      <c r="G1201" s="28"/>
      <c r="H1201" s="83"/>
      <c r="I1201" s="4"/>
      <c r="J1201" s="4"/>
      <c r="K1201" s="4"/>
      <c r="L1201" s="4"/>
      <c r="M1201" s="4"/>
      <c r="N1201" s="28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81"/>
      <c r="AG1201" s="81"/>
      <c r="AH1201" s="81"/>
      <c r="AI1201" s="4"/>
      <c r="AJ1201" s="81"/>
      <c r="AK1201" s="81"/>
      <c r="AL1201" s="81"/>
    </row>
    <row r="1202" spans="1:38" s="7" customFormat="1">
      <c r="A1202" s="4"/>
      <c r="B1202" s="4"/>
      <c r="C1202" s="4"/>
      <c r="D1202" s="4"/>
      <c r="E1202" s="4"/>
      <c r="F1202" s="28"/>
      <c r="G1202" s="28"/>
      <c r="H1202" s="83"/>
      <c r="I1202" s="4"/>
      <c r="J1202" s="4"/>
      <c r="K1202" s="4"/>
      <c r="L1202" s="4"/>
      <c r="M1202" s="4"/>
      <c r="N1202" s="28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81"/>
      <c r="AG1202" s="81"/>
      <c r="AH1202" s="81"/>
      <c r="AI1202" s="4"/>
      <c r="AJ1202" s="81"/>
      <c r="AK1202" s="81"/>
      <c r="AL1202" s="81"/>
    </row>
    <row r="1203" spans="1:38" s="7" customFormat="1">
      <c r="A1203" s="4"/>
      <c r="B1203" s="4"/>
      <c r="C1203" s="4"/>
      <c r="D1203" s="4"/>
      <c r="E1203" s="4"/>
      <c r="F1203" s="28"/>
      <c r="G1203" s="28"/>
      <c r="H1203" s="83"/>
      <c r="I1203" s="4"/>
      <c r="J1203" s="4"/>
      <c r="K1203" s="4"/>
      <c r="L1203" s="4"/>
      <c r="M1203" s="4"/>
      <c r="N1203" s="28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81"/>
      <c r="AG1203" s="81"/>
      <c r="AH1203" s="81"/>
      <c r="AI1203" s="4"/>
      <c r="AJ1203" s="81"/>
      <c r="AK1203" s="81"/>
      <c r="AL1203" s="81"/>
    </row>
    <row r="1204" spans="1:38" s="7" customFormat="1">
      <c r="A1204" s="4"/>
      <c r="B1204" s="4"/>
      <c r="C1204" s="4"/>
      <c r="D1204" s="4"/>
      <c r="E1204" s="4"/>
      <c r="F1204" s="28"/>
      <c r="G1204" s="28"/>
      <c r="H1204" s="83"/>
      <c r="I1204" s="4"/>
      <c r="J1204" s="4"/>
      <c r="K1204" s="4"/>
      <c r="L1204" s="4"/>
      <c r="M1204" s="4"/>
      <c r="N1204" s="28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81"/>
      <c r="AG1204" s="81"/>
      <c r="AH1204" s="81"/>
      <c r="AI1204" s="4"/>
      <c r="AJ1204" s="81"/>
      <c r="AK1204" s="81"/>
      <c r="AL1204" s="81"/>
    </row>
    <row r="1205" spans="1:38" s="7" customFormat="1">
      <c r="A1205" s="4"/>
      <c r="B1205" s="4"/>
      <c r="C1205" s="4"/>
      <c r="D1205" s="4"/>
      <c r="E1205" s="4"/>
      <c r="F1205" s="28"/>
      <c r="G1205" s="28"/>
      <c r="H1205" s="83"/>
      <c r="I1205" s="4"/>
      <c r="J1205" s="4"/>
      <c r="K1205" s="4"/>
      <c r="L1205" s="4"/>
      <c r="M1205" s="4"/>
      <c r="N1205" s="28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81"/>
      <c r="AG1205" s="81"/>
      <c r="AH1205" s="81"/>
      <c r="AI1205" s="4"/>
      <c r="AJ1205" s="81"/>
      <c r="AK1205" s="81"/>
      <c r="AL1205" s="81"/>
    </row>
    <row r="1206" spans="1:38" s="7" customFormat="1">
      <c r="A1206" s="4"/>
      <c r="B1206" s="4"/>
      <c r="C1206" s="4"/>
      <c r="D1206" s="4"/>
      <c r="E1206" s="4"/>
      <c r="F1206" s="28"/>
      <c r="G1206" s="28"/>
      <c r="H1206" s="83"/>
      <c r="I1206" s="4"/>
      <c r="J1206" s="4"/>
      <c r="K1206" s="4"/>
      <c r="L1206" s="4"/>
      <c r="M1206" s="4"/>
      <c r="N1206" s="28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81"/>
      <c r="AG1206" s="81"/>
      <c r="AH1206" s="81"/>
      <c r="AI1206" s="4"/>
      <c r="AJ1206" s="81"/>
      <c r="AK1206" s="81"/>
      <c r="AL1206" s="81"/>
    </row>
    <row r="1207" spans="1:38" s="7" customFormat="1">
      <c r="A1207" s="4"/>
      <c r="B1207" s="4"/>
      <c r="C1207" s="4"/>
      <c r="D1207" s="4"/>
      <c r="E1207" s="4"/>
      <c r="F1207" s="28"/>
      <c r="G1207" s="28"/>
      <c r="H1207" s="83"/>
      <c r="I1207" s="4"/>
      <c r="J1207" s="4"/>
      <c r="K1207" s="4"/>
      <c r="L1207" s="4"/>
      <c r="M1207" s="4"/>
      <c r="N1207" s="28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81"/>
      <c r="AG1207" s="81"/>
      <c r="AH1207" s="81"/>
      <c r="AI1207" s="4"/>
      <c r="AJ1207" s="81"/>
      <c r="AK1207" s="81"/>
      <c r="AL1207" s="81"/>
    </row>
    <row r="1208" spans="1:38" s="7" customFormat="1">
      <c r="A1208" s="4"/>
      <c r="B1208" s="4"/>
      <c r="C1208" s="4"/>
      <c r="D1208" s="4"/>
      <c r="E1208" s="4"/>
      <c r="F1208" s="28"/>
      <c r="G1208" s="28"/>
      <c r="H1208" s="83"/>
      <c r="I1208" s="4"/>
      <c r="J1208" s="4"/>
      <c r="K1208" s="4"/>
      <c r="L1208" s="4"/>
      <c r="M1208" s="4"/>
      <c r="N1208" s="28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81"/>
      <c r="AG1208" s="81"/>
      <c r="AH1208" s="81"/>
      <c r="AI1208" s="4"/>
      <c r="AJ1208" s="81"/>
      <c r="AK1208" s="81"/>
      <c r="AL1208" s="81"/>
    </row>
    <row r="1209" spans="1:38" s="7" customFormat="1">
      <c r="A1209" s="4"/>
      <c r="B1209" s="4"/>
      <c r="C1209" s="4"/>
      <c r="D1209" s="4"/>
      <c r="E1209" s="4"/>
      <c r="F1209" s="28"/>
      <c r="G1209" s="28"/>
      <c r="H1209" s="83"/>
      <c r="I1209" s="4"/>
      <c r="J1209" s="4"/>
      <c r="K1209" s="4"/>
      <c r="L1209" s="4"/>
      <c r="M1209" s="4"/>
      <c r="N1209" s="28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81"/>
      <c r="AG1209" s="81"/>
      <c r="AH1209" s="81"/>
      <c r="AI1209" s="4"/>
      <c r="AJ1209" s="81"/>
      <c r="AK1209" s="81"/>
      <c r="AL1209" s="81"/>
    </row>
    <row r="1210" spans="1:38" s="7" customFormat="1">
      <c r="A1210" s="4"/>
      <c r="B1210" s="4"/>
      <c r="C1210" s="4"/>
      <c r="D1210" s="4"/>
      <c r="E1210" s="4"/>
      <c r="F1210" s="28"/>
      <c r="G1210" s="28"/>
      <c r="H1210" s="83"/>
      <c r="I1210" s="4"/>
      <c r="J1210" s="4"/>
      <c r="K1210" s="4"/>
      <c r="L1210" s="4"/>
      <c r="M1210" s="4"/>
      <c r="N1210" s="28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81"/>
      <c r="AG1210" s="81"/>
      <c r="AH1210" s="81"/>
      <c r="AI1210" s="4"/>
      <c r="AJ1210" s="81"/>
      <c r="AK1210" s="81"/>
      <c r="AL1210" s="81"/>
    </row>
    <row r="1211" spans="1:38" s="7" customFormat="1">
      <c r="A1211" s="4"/>
      <c r="B1211" s="4"/>
      <c r="C1211" s="4"/>
      <c r="D1211" s="4"/>
      <c r="E1211" s="4"/>
      <c r="F1211" s="28"/>
      <c r="G1211" s="28"/>
      <c r="H1211" s="83"/>
      <c r="I1211" s="4"/>
      <c r="J1211" s="4"/>
      <c r="K1211" s="4"/>
      <c r="L1211" s="4"/>
      <c r="M1211" s="4"/>
      <c r="N1211" s="28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81"/>
      <c r="AG1211" s="81"/>
      <c r="AH1211" s="81"/>
      <c r="AI1211" s="4"/>
      <c r="AJ1211" s="81"/>
      <c r="AK1211" s="81"/>
      <c r="AL1211" s="81"/>
    </row>
    <row r="1212" spans="1:38" s="7" customFormat="1">
      <c r="A1212" s="4"/>
      <c r="B1212" s="4"/>
      <c r="C1212" s="4"/>
      <c r="D1212" s="4"/>
      <c r="E1212" s="4"/>
      <c r="F1212" s="28"/>
      <c r="G1212" s="28"/>
      <c r="H1212" s="83"/>
      <c r="I1212" s="4"/>
      <c r="J1212" s="4"/>
      <c r="K1212" s="4"/>
      <c r="L1212" s="4"/>
      <c r="M1212" s="4"/>
      <c r="N1212" s="28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81"/>
      <c r="AG1212" s="81"/>
      <c r="AH1212" s="81"/>
      <c r="AI1212" s="4"/>
      <c r="AJ1212" s="81"/>
      <c r="AK1212" s="81"/>
      <c r="AL1212" s="81"/>
    </row>
    <row r="1213" spans="1:38" s="7" customFormat="1">
      <c r="A1213" s="4"/>
      <c r="B1213" s="4"/>
      <c r="C1213" s="4"/>
      <c r="D1213" s="4"/>
      <c r="E1213" s="4"/>
      <c r="F1213" s="28"/>
      <c r="G1213" s="28"/>
      <c r="H1213" s="83"/>
      <c r="I1213" s="4"/>
      <c r="J1213" s="4"/>
      <c r="K1213" s="4"/>
      <c r="L1213" s="4"/>
      <c r="M1213" s="4"/>
      <c r="N1213" s="28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81"/>
      <c r="AG1213" s="81"/>
      <c r="AH1213" s="81"/>
      <c r="AI1213" s="4"/>
      <c r="AJ1213" s="81"/>
      <c r="AK1213" s="81"/>
      <c r="AL1213" s="81"/>
    </row>
    <row r="1214" spans="1:38" s="7" customFormat="1">
      <c r="A1214" s="4"/>
      <c r="B1214" s="4"/>
      <c r="C1214" s="4"/>
      <c r="D1214" s="4"/>
      <c r="E1214" s="4"/>
      <c r="F1214" s="28"/>
      <c r="G1214" s="28"/>
      <c r="H1214" s="83"/>
      <c r="I1214" s="4"/>
      <c r="J1214" s="4"/>
      <c r="K1214" s="4"/>
      <c r="L1214" s="4"/>
      <c r="M1214" s="4"/>
      <c r="N1214" s="28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81"/>
      <c r="AG1214" s="81"/>
      <c r="AH1214" s="81"/>
      <c r="AI1214" s="4"/>
      <c r="AJ1214" s="81"/>
      <c r="AK1214" s="81"/>
      <c r="AL1214" s="81"/>
    </row>
    <row r="1215" spans="1:38" s="7" customFormat="1">
      <c r="A1215" s="4"/>
      <c r="B1215" s="4"/>
      <c r="C1215" s="4"/>
      <c r="D1215" s="4"/>
      <c r="E1215" s="4"/>
      <c r="F1215" s="28"/>
      <c r="G1215" s="28"/>
      <c r="H1215" s="83"/>
      <c r="I1215" s="4"/>
      <c r="J1215" s="4"/>
      <c r="K1215" s="4"/>
      <c r="L1215" s="4"/>
      <c r="M1215" s="4"/>
      <c r="N1215" s="28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81"/>
      <c r="AG1215" s="81"/>
      <c r="AH1215" s="81"/>
      <c r="AI1215" s="4"/>
      <c r="AJ1215" s="81"/>
      <c r="AK1215" s="81"/>
      <c r="AL1215" s="81"/>
    </row>
    <row r="1216" spans="1:38" s="7" customFormat="1">
      <c r="A1216" s="4"/>
      <c r="B1216" s="4"/>
      <c r="C1216" s="4"/>
      <c r="D1216" s="4"/>
      <c r="E1216" s="4"/>
      <c r="F1216" s="28"/>
      <c r="G1216" s="28"/>
      <c r="H1216" s="83"/>
      <c r="I1216" s="4"/>
      <c r="J1216" s="4"/>
      <c r="K1216" s="4"/>
      <c r="L1216" s="4"/>
      <c r="M1216" s="4"/>
      <c r="N1216" s="28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81"/>
      <c r="AG1216" s="81"/>
      <c r="AH1216" s="81"/>
      <c r="AI1216" s="4"/>
      <c r="AJ1216" s="81"/>
      <c r="AK1216" s="81"/>
      <c r="AL1216" s="81"/>
    </row>
    <row r="1217" spans="1:38" s="7" customFormat="1">
      <c r="A1217" s="4"/>
      <c r="B1217" s="4"/>
      <c r="C1217" s="4"/>
      <c r="D1217" s="4"/>
      <c r="E1217" s="4"/>
      <c r="F1217" s="28"/>
      <c r="G1217" s="28"/>
      <c r="H1217" s="83"/>
      <c r="I1217" s="4"/>
      <c r="J1217" s="4"/>
      <c r="K1217" s="4"/>
      <c r="L1217" s="4"/>
      <c r="M1217" s="4"/>
      <c r="N1217" s="28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81"/>
      <c r="AG1217" s="81"/>
      <c r="AH1217" s="81"/>
      <c r="AI1217" s="4"/>
      <c r="AJ1217" s="81"/>
      <c r="AK1217" s="81"/>
      <c r="AL1217" s="81"/>
    </row>
    <row r="1218" spans="1:38" s="7" customFormat="1">
      <c r="A1218" s="4"/>
      <c r="B1218" s="4"/>
      <c r="C1218" s="4"/>
      <c r="D1218" s="4"/>
      <c r="E1218" s="4"/>
      <c r="F1218" s="28"/>
      <c r="G1218" s="28"/>
      <c r="H1218" s="83"/>
      <c r="I1218" s="4"/>
      <c r="J1218" s="4"/>
      <c r="K1218" s="4"/>
      <c r="L1218" s="4"/>
      <c r="M1218" s="4"/>
      <c r="N1218" s="28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81"/>
      <c r="AG1218" s="81"/>
      <c r="AH1218" s="81"/>
      <c r="AI1218" s="4"/>
      <c r="AJ1218" s="81"/>
      <c r="AK1218" s="81"/>
      <c r="AL1218" s="81"/>
    </row>
    <row r="1219" spans="1:38" s="7" customFormat="1">
      <c r="A1219" s="4"/>
      <c r="B1219" s="4"/>
      <c r="C1219" s="4"/>
      <c r="D1219" s="4"/>
      <c r="E1219" s="4"/>
      <c r="F1219" s="28"/>
      <c r="G1219" s="28"/>
      <c r="H1219" s="83"/>
      <c r="I1219" s="4"/>
      <c r="J1219" s="4"/>
      <c r="K1219" s="4"/>
      <c r="L1219" s="4"/>
      <c r="M1219" s="4"/>
      <c r="N1219" s="28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81"/>
      <c r="AG1219" s="81"/>
      <c r="AH1219" s="81"/>
      <c r="AI1219" s="4"/>
      <c r="AJ1219" s="81"/>
      <c r="AK1219" s="81"/>
      <c r="AL1219" s="81"/>
    </row>
    <row r="1220" spans="1:38" s="7" customFormat="1">
      <c r="A1220" s="4"/>
      <c r="B1220" s="4"/>
      <c r="C1220" s="4"/>
      <c r="D1220" s="4"/>
      <c r="E1220" s="4"/>
      <c r="F1220" s="28"/>
      <c r="G1220" s="28"/>
      <c r="H1220" s="83"/>
      <c r="I1220" s="4"/>
      <c r="J1220" s="4"/>
      <c r="K1220" s="4"/>
      <c r="L1220" s="4"/>
      <c r="M1220" s="4"/>
      <c r="N1220" s="28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81"/>
      <c r="AG1220" s="81"/>
      <c r="AH1220" s="81"/>
      <c r="AI1220" s="4"/>
      <c r="AJ1220" s="81"/>
      <c r="AK1220" s="81"/>
      <c r="AL1220" s="81"/>
    </row>
    <row r="1221" spans="1:38" s="7" customFormat="1">
      <c r="A1221" s="4"/>
      <c r="B1221" s="4"/>
      <c r="C1221" s="4"/>
      <c r="D1221" s="4"/>
      <c r="E1221" s="4"/>
      <c r="F1221" s="28"/>
      <c r="G1221" s="28"/>
      <c r="H1221" s="83"/>
      <c r="I1221" s="4"/>
      <c r="J1221" s="4"/>
      <c r="K1221" s="4"/>
      <c r="L1221" s="4"/>
      <c r="M1221" s="4"/>
      <c r="N1221" s="28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81"/>
      <c r="AG1221" s="81"/>
      <c r="AH1221" s="81"/>
      <c r="AI1221" s="4"/>
      <c r="AJ1221" s="81"/>
      <c r="AK1221" s="81"/>
      <c r="AL1221" s="81"/>
    </row>
    <row r="1222" spans="1:38" s="7" customFormat="1">
      <c r="A1222" s="4"/>
      <c r="B1222" s="4"/>
      <c r="C1222" s="4"/>
      <c r="D1222" s="4"/>
      <c r="E1222" s="4"/>
      <c r="F1222" s="28"/>
      <c r="G1222" s="28"/>
      <c r="H1222" s="83"/>
      <c r="I1222" s="4"/>
      <c r="J1222" s="4"/>
      <c r="K1222" s="4"/>
      <c r="L1222" s="4"/>
      <c r="M1222" s="4"/>
      <c r="N1222" s="28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81"/>
      <c r="AG1222" s="81"/>
      <c r="AH1222" s="81"/>
      <c r="AI1222" s="4"/>
      <c r="AJ1222" s="81"/>
      <c r="AK1222" s="81"/>
      <c r="AL1222" s="81"/>
    </row>
    <row r="1223" spans="1:38" s="7" customFormat="1">
      <c r="A1223" s="4"/>
      <c r="B1223" s="4"/>
      <c r="C1223" s="4"/>
      <c r="D1223" s="4"/>
      <c r="E1223" s="4"/>
      <c r="F1223" s="28"/>
      <c r="G1223" s="28"/>
      <c r="H1223" s="83"/>
      <c r="I1223" s="4"/>
      <c r="J1223" s="4"/>
      <c r="K1223" s="4"/>
      <c r="L1223" s="4"/>
      <c r="M1223" s="4"/>
      <c r="N1223" s="28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81"/>
      <c r="AG1223" s="81"/>
      <c r="AH1223" s="81"/>
      <c r="AI1223" s="4"/>
      <c r="AJ1223" s="81"/>
      <c r="AK1223" s="81"/>
      <c r="AL1223" s="81"/>
    </row>
    <row r="1224" spans="1:38" s="7" customFormat="1">
      <c r="A1224" s="4"/>
      <c r="B1224" s="4"/>
      <c r="C1224" s="4"/>
      <c r="D1224" s="4"/>
      <c r="E1224" s="4"/>
      <c r="F1224" s="28"/>
      <c r="G1224" s="28"/>
      <c r="H1224" s="83"/>
      <c r="I1224" s="4"/>
      <c r="J1224" s="4"/>
      <c r="K1224" s="4"/>
      <c r="L1224" s="4"/>
      <c r="M1224" s="4"/>
      <c r="N1224" s="28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81"/>
      <c r="AG1224" s="81"/>
      <c r="AH1224" s="81"/>
      <c r="AI1224" s="4"/>
      <c r="AJ1224" s="81"/>
      <c r="AK1224" s="81"/>
      <c r="AL1224" s="81"/>
    </row>
    <row r="1225" spans="1:38" s="7" customFormat="1">
      <c r="A1225" s="4"/>
      <c r="B1225" s="4"/>
      <c r="C1225" s="4"/>
      <c r="D1225" s="4"/>
      <c r="E1225" s="4"/>
      <c r="F1225" s="28"/>
      <c r="G1225" s="28"/>
      <c r="H1225" s="83"/>
      <c r="I1225" s="4"/>
      <c r="J1225" s="4"/>
      <c r="K1225" s="4"/>
      <c r="L1225" s="4"/>
      <c r="M1225" s="4"/>
      <c r="N1225" s="28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81"/>
      <c r="AG1225" s="81"/>
      <c r="AH1225" s="81"/>
      <c r="AI1225" s="4"/>
      <c r="AJ1225" s="81"/>
      <c r="AK1225" s="81"/>
      <c r="AL1225" s="81"/>
    </row>
    <row r="1226" spans="1:38" s="7" customFormat="1">
      <c r="A1226" s="4"/>
      <c r="B1226" s="4"/>
      <c r="C1226" s="4"/>
      <c r="D1226" s="4"/>
      <c r="E1226" s="4"/>
      <c r="F1226" s="28"/>
      <c r="G1226" s="28"/>
      <c r="H1226" s="83"/>
      <c r="I1226" s="4"/>
      <c r="J1226" s="4"/>
      <c r="K1226" s="4"/>
      <c r="L1226" s="4"/>
      <c r="M1226" s="4"/>
      <c r="N1226" s="28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81"/>
      <c r="AG1226" s="81"/>
      <c r="AH1226" s="81"/>
      <c r="AI1226" s="4"/>
      <c r="AJ1226" s="81"/>
      <c r="AK1226" s="81"/>
      <c r="AL1226" s="81"/>
    </row>
    <row r="1227" spans="1:38" s="7" customFormat="1">
      <c r="A1227" s="4"/>
      <c r="B1227" s="4"/>
      <c r="C1227" s="4"/>
      <c r="D1227" s="4"/>
      <c r="E1227" s="4"/>
      <c r="F1227" s="28"/>
      <c r="G1227" s="28"/>
      <c r="H1227" s="83"/>
      <c r="I1227" s="4"/>
      <c r="J1227" s="4"/>
      <c r="K1227" s="4"/>
      <c r="L1227" s="4"/>
      <c r="M1227" s="4"/>
      <c r="N1227" s="28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81"/>
      <c r="AG1227" s="81"/>
      <c r="AH1227" s="81"/>
      <c r="AI1227" s="4"/>
      <c r="AJ1227" s="81"/>
      <c r="AK1227" s="81"/>
      <c r="AL1227" s="81"/>
    </row>
    <row r="1228" spans="1:38" s="7" customFormat="1">
      <c r="A1228" s="4"/>
      <c r="B1228" s="4"/>
      <c r="C1228" s="4"/>
      <c r="D1228" s="4"/>
      <c r="E1228" s="4"/>
      <c r="F1228" s="28"/>
      <c r="G1228" s="28"/>
      <c r="H1228" s="83"/>
      <c r="I1228" s="4"/>
      <c r="J1228" s="4"/>
      <c r="K1228" s="4"/>
      <c r="L1228" s="4"/>
      <c r="M1228" s="4"/>
      <c r="N1228" s="28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81"/>
      <c r="AG1228" s="81"/>
      <c r="AH1228" s="81"/>
      <c r="AI1228" s="4"/>
      <c r="AJ1228" s="81"/>
      <c r="AK1228" s="81"/>
      <c r="AL1228" s="81"/>
    </row>
    <row r="1229" spans="1:38" s="7" customFormat="1">
      <c r="A1229" s="4"/>
      <c r="B1229" s="4"/>
      <c r="C1229" s="4"/>
      <c r="D1229" s="4"/>
      <c r="E1229" s="4"/>
      <c r="F1229" s="28"/>
      <c r="G1229" s="28"/>
      <c r="H1229" s="83"/>
      <c r="I1229" s="4"/>
      <c r="J1229" s="4"/>
      <c r="K1229" s="4"/>
      <c r="L1229" s="4"/>
      <c r="M1229" s="4"/>
      <c r="N1229" s="28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81"/>
      <c r="AG1229" s="81"/>
      <c r="AH1229" s="81"/>
      <c r="AI1229" s="4"/>
      <c r="AJ1229" s="81"/>
      <c r="AK1229" s="81"/>
      <c r="AL1229" s="81"/>
    </row>
    <row r="1230" spans="1:38" s="7" customFormat="1">
      <c r="A1230" s="4"/>
      <c r="B1230" s="4"/>
      <c r="C1230" s="4"/>
      <c r="D1230" s="4"/>
      <c r="E1230" s="4"/>
      <c r="F1230" s="28"/>
      <c r="G1230" s="28"/>
      <c r="H1230" s="83"/>
      <c r="I1230" s="4"/>
      <c r="J1230" s="4"/>
      <c r="K1230" s="4"/>
      <c r="L1230" s="4"/>
      <c r="M1230" s="4"/>
      <c r="N1230" s="28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81"/>
      <c r="AG1230" s="81"/>
      <c r="AH1230" s="81"/>
      <c r="AI1230" s="4"/>
      <c r="AJ1230" s="81"/>
      <c r="AK1230" s="81"/>
      <c r="AL1230" s="81"/>
    </row>
    <row r="1231" spans="1:38" s="7" customFormat="1">
      <c r="A1231" s="4"/>
      <c r="B1231" s="4"/>
      <c r="C1231" s="4"/>
      <c r="D1231" s="4"/>
      <c r="E1231" s="4"/>
      <c r="F1231" s="28"/>
      <c r="G1231" s="28"/>
      <c r="H1231" s="83"/>
      <c r="I1231" s="4"/>
      <c r="J1231" s="4"/>
      <c r="K1231" s="4"/>
      <c r="L1231" s="4"/>
      <c r="M1231" s="4"/>
      <c r="N1231" s="28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81"/>
      <c r="AG1231" s="81"/>
      <c r="AH1231" s="81"/>
      <c r="AI1231" s="4"/>
      <c r="AJ1231" s="81"/>
      <c r="AK1231" s="81"/>
      <c r="AL1231" s="81"/>
    </row>
    <row r="1232" spans="1:38" s="7" customFormat="1">
      <c r="A1232" s="4"/>
      <c r="B1232" s="4"/>
      <c r="C1232" s="4"/>
      <c r="D1232" s="4"/>
      <c r="E1232" s="4"/>
      <c r="F1232" s="28"/>
      <c r="G1232" s="28"/>
      <c r="H1232" s="83"/>
      <c r="I1232" s="4"/>
      <c r="J1232" s="4"/>
      <c r="K1232" s="4"/>
      <c r="L1232" s="4"/>
      <c r="M1232" s="4"/>
      <c r="N1232" s="28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81"/>
      <c r="AG1232" s="81"/>
      <c r="AH1232" s="81"/>
      <c r="AI1232" s="4"/>
      <c r="AJ1232" s="81"/>
      <c r="AK1232" s="81"/>
      <c r="AL1232" s="81"/>
    </row>
    <row r="1233" spans="1:38" s="7" customFormat="1">
      <c r="A1233" s="4"/>
      <c r="B1233" s="4"/>
      <c r="C1233" s="4"/>
      <c r="D1233" s="4"/>
      <c r="E1233" s="4"/>
      <c r="F1233" s="28"/>
      <c r="G1233" s="28"/>
      <c r="H1233" s="83"/>
      <c r="I1233" s="4"/>
      <c r="J1233" s="4"/>
      <c r="K1233" s="4"/>
      <c r="L1233" s="4"/>
      <c r="M1233" s="4"/>
      <c r="N1233" s="28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81"/>
      <c r="AG1233" s="81"/>
      <c r="AH1233" s="81"/>
      <c r="AI1233" s="4"/>
      <c r="AJ1233" s="81"/>
      <c r="AK1233" s="81"/>
      <c r="AL1233" s="81"/>
    </row>
    <row r="1234" spans="1:38" s="7" customFormat="1">
      <c r="A1234" s="4"/>
      <c r="B1234" s="4"/>
      <c r="C1234" s="4"/>
      <c r="D1234" s="4"/>
      <c r="E1234" s="4"/>
      <c r="F1234" s="28"/>
      <c r="G1234" s="28"/>
      <c r="H1234" s="83"/>
      <c r="I1234" s="4"/>
      <c r="J1234" s="4"/>
      <c r="K1234" s="4"/>
      <c r="L1234" s="4"/>
      <c r="M1234" s="4"/>
      <c r="N1234" s="28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81"/>
      <c r="AG1234" s="81"/>
      <c r="AH1234" s="81"/>
      <c r="AI1234" s="4"/>
      <c r="AJ1234" s="81"/>
      <c r="AK1234" s="81"/>
      <c r="AL1234" s="81"/>
    </row>
    <row r="1235" spans="1:38" s="7" customFormat="1">
      <c r="A1235" s="4"/>
      <c r="B1235" s="4"/>
      <c r="C1235" s="4"/>
      <c r="D1235" s="4"/>
      <c r="E1235" s="4"/>
      <c r="F1235" s="28"/>
      <c r="G1235" s="28"/>
      <c r="H1235" s="83"/>
      <c r="I1235" s="4"/>
      <c r="J1235" s="4"/>
      <c r="K1235" s="4"/>
      <c r="L1235" s="4"/>
      <c r="M1235" s="4"/>
      <c r="N1235" s="28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81"/>
      <c r="AG1235" s="81"/>
      <c r="AH1235" s="81"/>
      <c r="AI1235" s="4"/>
      <c r="AJ1235" s="81"/>
      <c r="AK1235" s="81"/>
      <c r="AL1235" s="81"/>
    </row>
    <row r="1236" spans="1:38" s="7" customFormat="1">
      <c r="A1236" s="4"/>
      <c r="B1236" s="4"/>
      <c r="C1236" s="4"/>
      <c r="D1236" s="4"/>
      <c r="E1236" s="4"/>
      <c r="F1236" s="28"/>
      <c r="G1236" s="28"/>
      <c r="H1236" s="83"/>
      <c r="I1236" s="4"/>
      <c r="J1236" s="4"/>
      <c r="K1236" s="4"/>
      <c r="L1236" s="4"/>
      <c r="M1236" s="4"/>
      <c r="N1236" s="28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81"/>
      <c r="AG1236" s="81"/>
      <c r="AH1236" s="81"/>
      <c r="AI1236" s="4"/>
      <c r="AJ1236" s="81"/>
      <c r="AK1236" s="81"/>
      <c r="AL1236" s="81"/>
    </row>
    <row r="1237" spans="1:38" s="7" customFormat="1">
      <c r="A1237" s="4"/>
      <c r="B1237" s="4"/>
      <c r="C1237" s="4"/>
      <c r="D1237" s="4"/>
      <c r="E1237" s="4"/>
      <c r="F1237" s="28"/>
      <c r="G1237" s="28"/>
      <c r="H1237" s="83"/>
      <c r="I1237" s="4"/>
      <c r="J1237" s="4"/>
      <c r="K1237" s="4"/>
      <c r="L1237" s="4"/>
      <c r="M1237" s="4"/>
      <c r="N1237" s="28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81"/>
      <c r="AG1237" s="81"/>
      <c r="AH1237" s="81"/>
      <c r="AI1237" s="4"/>
      <c r="AJ1237" s="81"/>
      <c r="AK1237" s="81"/>
      <c r="AL1237" s="81"/>
    </row>
    <row r="1238" spans="1:38" s="7" customFormat="1">
      <c r="A1238" s="4"/>
      <c r="B1238" s="4"/>
      <c r="C1238" s="4"/>
      <c r="D1238" s="4"/>
      <c r="E1238" s="4"/>
      <c r="F1238" s="28"/>
      <c r="G1238" s="28"/>
      <c r="H1238" s="83"/>
      <c r="I1238" s="4"/>
      <c r="J1238" s="4"/>
      <c r="K1238" s="4"/>
      <c r="L1238" s="4"/>
      <c r="M1238" s="4"/>
      <c r="N1238" s="28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81"/>
      <c r="AG1238" s="81"/>
      <c r="AH1238" s="81"/>
      <c r="AI1238" s="4"/>
      <c r="AJ1238" s="81"/>
      <c r="AK1238" s="81"/>
      <c r="AL1238" s="81"/>
    </row>
    <row r="1239" spans="1:38" s="7" customFormat="1">
      <c r="A1239" s="4"/>
      <c r="B1239" s="4"/>
      <c r="C1239" s="4"/>
      <c r="D1239" s="4"/>
      <c r="E1239" s="4"/>
      <c r="F1239" s="28"/>
      <c r="G1239" s="28"/>
      <c r="H1239" s="83"/>
      <c r="I1239" s="4"/>
      <c r="J1239" s="4"/>
      <c r="K1239" s="4"/>
      <c r="L1239" s="4"/>
      <c r="M1239" s="4"/>
      <c r="N1239" s="28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81"/>
      <c r="AG1239" s="81"/>
      <c r="AH1239" s="81"/>
      <c r="AI1239" s="4"/>
      <c r="AJ1239" s="81"/>
      <c r="AK1239" s="81"/>
      <c r="AL1239" s="81"/>
    </row>
    <row r="1240" spans="1:38" s="7" customFormat="1">
      <c r="A1240" s="4"/>
      <c r="B1240" s="4"/>
      <c r="C1240" s="4"/>
      <c r="D1240" s="4"/>
      <c r="E1240" s="4"/>
      <c r="F1240" s="28"/>
      <c r="G1240" s="28"/>
      <c r="H1240" s="83"/>
      <c r="I1240" s="4"/>
      <c r="J1240" s="4"/>
      <c r="K1240" s="4"/>
      <c r="L1240" s="4"/>
      <c r="M1240" s="4"/>
      <c r="N1240" s="28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81"/>
      <c r="AG1240" s="81"/>
      <c r="AH1240" s="81"/>
      <c r="AI1240" s="4"/>
      <c r="AJ1240" s="81"/>
      <c r="AK1240" s="81"/>
      <c r="AL1240" s="81"/>
    </row>
    <row r="1241" spans="1:38" s="7" customFormat="1">
      <c r="A1241" s="4"/>
      <c r="B1241" s="4"/>
      <c r="C1241" s="4"/>
      <c r="D1241" s="4"/>
      <c r="E1241" s="4"/>
      <c r="F1241" s="28"/>
      <c r="G1241" s="28"/>
      <c r="H1241" s="83"/>
      <c r="I1241" s="4"/>
      <c r="J1241" s="4"/>
      <c r="K1241" s="4"/>
      <c r="L1241" s="4"/>
      <c r="M1241" s="4"/>
      <c r="N1241" s="28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81"/>
      <c r="AG1241" s="81"/>
      <c r="AH1241" s="81"/>
      <c r="AI1241" s="4"/>
      <c r="AJ1241" s="81"/>
      <c r="AK1241" s="81"/>
      <c r="AL1241" s="81"/>
    </row>
    <row r="1242" spans="1:38" s="7" customFormat="1">
      <c r="A1242" s="4"/>
      <c r="B1242" s="4"/>
      <c r="C1242" s="4"/>
      <c r="D1242" s="4"/>
      <c r="E1242" s="4"/>
      <c r="F1242" s="28"/>
      <c r="G1242" s="28"/>
      <c r="H1242" s="83"/>
      <c r="I1242" s="4"/>
      <c r="J1242" s="4"/>
      <c r="K1242" s="4"/>
      <c r="L1242" s="4"/>
      <c r="M1242" s="4"/>
      <c r="N1242" s="28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81"/>
      <c r="AG1242" s="81"/>
      <c r="AH1242" s="81"/>
      <c r="AI1242" s="4"/>
      <c r="AJ1242" s="81"/>
      <c r="AK1242" s="81"/>
      <c r="AL1242" s="81"/>
    </row>
    <row r="1243" spans="1:38" s="7" customFormat="1">
      <c r="A1243" s="4"/>
      <c r="B1243" s="4"/>
      <c r="C1243" s="4"/>
      <c r="D1243" s="4"/>
      <c r="E1243" s="4"/>
      <c r="F1243" s="28"/>
      <c r="G1243" s="28"/>
      <c r="H1243" s="83"/>
      <c r="I1243" s="4"/>
      <c r="J1243" s="4"/>
      <c r="K1243" s="4"/>
      <c r="L1243" s="4"/>
      <c r="M1243" s="4"/>
      <c r="N1243" s="28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81"/>
      <c r="AG1243" s="81"/>
      <c r="AH1243" s="81"/>
      <c r="AI1243" s="4"/>
      <c r="AJ1243" s="81"/>
      <c r="AK1243" s="81"/>
      <c r="AL1243" s="81"/>
    </row>
    <row r="1244" spans="1:38" s="7" customFormat="1">
      <c r="A1244" s="4"/>
      <c r="B1244" s="4"/>
      <c r="C1244" s="4"/>
      <c r="D1244" s="4"/>
      <c r="E1244" s="4"/>
      <c r="F1244" s="28"/>
      <c r="G1244" s="28"/>
      <c r="H1244" s="83"/>
      <c r="I1244" s="4"/>
      <c r="J1244" s="4"/>
      <c r="K1244" s="4"/>
      <c r="L1244" s="4"/>
      <c r="M1244" s="4"/>
      <c r="N1244" s="28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81"/>
      <c r="AG1244" s="81"/>
      <c r="AH1244" s="81"/>
      <c r="AI1244" s="4"/>
      <c r="AJ1244" s="81"/>
      <c r="AK1244" s="81"/>
      <c r="AL1244" s="81"/>
    </row>
    <row r="1245" spans="1:38" s="7" customFormat="1">
      <c r="A1245" s="4"/>
      <c r="B1245" s="4"/>
      <c r="C1245" s="4"/>
      <c r="D1245" s="4"/>
      <c r="E1245" s="4"/>
      <c r="F1245" s="28"/>
      <c r="G1245" s="28"/>
      <c r="H1245" s="83"/>
      <c r="I1245" s="4"/>
      <c r="J1245" s="4"/>
      <c r="K1245" s="4"/>
      <c r="L1245" s="4"/>
      <c r="M1245" s="4"/>
      <c r="N1245" s="28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81"/>
      <c r="AG1245" s="81"/>
      <c r="AH1245" s="81"/>
      <c r="AI1245" s="4"/>
      <c r="AJ1245" s="81"/>
      <c r="AK1245" s="81"/>
      <c r="AL1245" s="81"/>
    </row>
    <row r="1246" spans="1:38" s="7" customFormat="1">
      <c r="A1246" s="4"/>
      <c r="B1246" s="4"/>
      <c r="C1246" s="4"/>
      <c r="D1246" s="4"/>
      <c r="E1246" s="4"/>
      <c r="F1246" s="28"/>
      <c r="G1246" s="28"/>
      <c r="H1246" s="83"/>
      <c r="I1246" s="4"/>
      <c r="J1246" s="4"/>
      <c r="K1246" s="4"/>
      <c r="L1246" s="4"/>
      <c r="M1246" s="4"/>
      <c r="N1246" s="28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81"/>
      <c r="AG1246" s="81"/>
      <c r="AH1246" s="81"/>
      <c r="AI1246" s="4"/>
      <c r="AJ1246" s="81"/>
      <c r="AK1246" s="81"/>
      <c r="AL1246" s="81"/>
    </row>
    <row r="1247" spans="1:38" s="7" customFormat="1">
      <c r="A1247" s="4"/>
      <c r="B1247" s="4"/>
      <c r="C1247" s="4"/>
      <c r="D1247" s="4"/>
      <c r="E1247" s="4"/>
      <c r="F1247" s="28"/>
      <c r="G1247" s="28"/>
      <c r="H1247" s="83"/>
      <c r="I1247" s="4"/>
      <c r="J1247" s="4"/>
      <c r="K1247" s="4"/>
      <c r="L1247" s="4"/>
      <c r="M1247" s="4"/>
      <c r="N1247" s="28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81"/>
      <c r="AG1247" s="81"/>
      <c r="AH1247" s="81"/>
      <c r="AI1247" s="4"/>
      <c r="AJ1247" s="81"/>
      <c r="AK1247" s="81"/>
      <c r="AL1247" s="81"/>
    </row>
    <row r="1248" spans="1:38" s="7" customFormat="1">
      <c r="A1248" s="4"/>
      <c r="B1248" s="4"/>
      <c r="C1248" s="4"/>
      <c r="D1248" s="4"/>
      <c r="E1248" s="4"/>
      <c r="F1248" s="28"/>
      <c r="G1248" s="28"/>
      <c r="H1248" s="83"/>
      <c r="I1248" s="4"/>
      <c r="J1248" s="4"/>
      <c r="K1248" s="4"/>
      <c r="L1248" s="4"/>
      <c r="M1248" s="4"/>
      <c r="N1248" s="28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81"/>
      <c r="AG1248" s="81"/>
      <c r="AH1248" s="81"/>
      <c r="AI1248" s="4"/>
      <c r="AJ1248" s="81"/>
      <c r="AK1248" s="81"/>
      <c r="AL1248" s="81"/>
    </row>
    <row r="1249" spans="1:38" s="7" customFormat="1">
      <c r="A1249" s="4"/>
      <c r="B1249" s="4"/>
      <c r="C1249" s="4"/>
      <c r="D1249" s="4"/>
      <c r="E1249" s="4"/>
      <c r="F1249" s="28"/>
      <c r="G1249" s="28"/>
      <c r="H1249" s="83"/>
      <c r="I1249" s="4"/>
      <c r="J1249" s="4"/>
      <c r="K1249" s="4"/>
      <c r="L1249" s="4"/>
      <c r="M1249" s="4"/>
      <c r="N1249" s="28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81"/>
      <c r="AG1249" s="81"/>
      <c r="AH1249" s="81"/>
      <c r="AI1249" s="4"/>
      <c r="AJ1249" s="81"/>
      <c r="AK1249" s="81"/>
      <c r="AL1249" s="81"/>
    </row>
    <row r="1250" spans="1:38" s="7" customFormat="1">
      <c r="A1250" s="4"/>
      <c r="B1250" s="4"/>
      <c r="C1250" s="4"/>
      <c r="D1250" s="4"/>
      <c r="E1250" s="4"/>
      <c r="F1250" s="28"/>
      <c r="G1250" s="28"/>
      <c r="H1250" s="83"/>
      <c r="I1250" s="4"/>
      <c r="J1250" s="4"/>
      <c r="K1250" s="4"/>
      <c r="L1250" s="4"/>
      <c r="M1250" s="4"/>
      <c r="N1250" s="28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81"/>
      <c r="AG1250" s="81"/>
      <c r="AH1250" s="81"/>
      <c r="AI1250" s="4"/>
      <c r="AJ1250" s="81"/>
      <c r="AK1250" s="81"/>
      <c r="AL1250" s="81"/>
    </row>
    <row r="1251" spans="1:38" s="7" customFormat="1">
      <c r="A1251" s="4"/>
      <c r="B1251" s="4"/>
      <c r="C1251" s="4"/>
      <c r="D1251" s="4"/>
      <c r="E1251" s="4"/>
      <c r="F1251" s="28"/>
      <c r="G1251" s="28"/>
      <c r="H1251" s="83"/>
      <c r="I1251" s="4"/>
      <c r="J1251" s="4"/>
      <c r="K1251" s="4"/>
      <c r="L1251" s="4"/>
      <c r="M1251" s="4"/>
      <c r="N1251" s="28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81"/>
      <c r="AG1251" s="81"/>
      <c r="AH1251" s="81"/>
      <c r="AI1251" s="4"/>
      <c r="AJ1251" s="81"/>
      <c r="AK1251" s="81"/>
      <c r="AL1251" s="81"/>
    </row>
    <row r="1252" spans="1:38" s="7" customFormat="1">
      <c r="A1252" s="4"/>
      <c r="B1252" s="4"/>
      <c r="C1252" s="4"/>
      <c r="D1252" s="4"/>
      <c r="E1252" s="4"/>
      <c r="F1252" s="28"/>
      <c r="G1252" s="28"/>
      <c r="H1252" s="83"/>
      <c r="I1252" s="4"/>
      <c r="J1252" s="4"/>
      <c r="K1252" s="4"/>
      <c r="L1252" s="4"/>
      <c r="M1252" s="4"/>
      <c r="N1252" s="28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81"/>
      <c r="AG1252" s="81"/>
      <c r="AH1252" s="81"/>
      <c r="AI1252" s="4"/>
      <c r="AJ1252" s="81"/>
      <c r="AK1252" s="81"/>
      <c r="AL1252" s="81"/>
    </row>
    <row r="1253" spans="1:38" s="7" customFormat="1">
      <c r="A1253" s="4"/>
      <c r="B1253" s="4"/>
      <c r="C1253" s="4"/>
      <c r="D1253" s="4"/>
      <c r="E1253" s="4"/>
      <c r="F1253" s="28"/>
      <c r="G1253" s="28"/>
      <c r="H1253" s="83"/>
      <c r="I1253" s="4"/>
      <c r="J1253" s="4"/>
      <c r="K1253" s="4"/>
      <c r="L1253" s="4"/>
      <c r="M1253" s="4"/>
      <c r="N1253" s="28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81"/>
      <c r="AG1253" s="81"/>
      <c r="AH1253" s="81"/>
      <c r="AI1253" s="4"/>
      <c r="AJ1253" s="81"/>
      <c r="AK1253" s="81"/>
      <c r="AL1253" s="81"/>
    </row>
    <row r="1254" spans="1:38" s="7" customFormat="1">
      <c r="A1254" s="4"/>
      <c r="B1254" s="4"/>
      <c r="C1254" s="4"/>
      <c r="D1254" s="4"/>
      <c r="E1254" s="4"/>
      <c r="F1254" s="28"/>
      <c r="G1254" s="28"/>
      <c r="H1254" s="83"/>
      <c r="I1254" s="4"/>
      <c r="J1254" s="4"/>
      <c r="K1254" s="4"/>
      <c r="L1254" s="4"/>
      <c r="M1254" s="4"/>
      <c r="N1254" s="28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81"/>
      <c r="AG1254" s="81"/>
      <c r="AH1254" s="81"/>
      <c r="AI1254" s="4"/>
      <c r="AJ1254" s="81"/>
      <c r="AK1254" s="81"/>
      <c r="AL1254" s="81"/>
    </row>
    <row r="1255" spans="1:38" s="7" customFormat="1">
      <c r="A1255" s="4"/>
      <c r="B1255" s="4"/>
      <c r="C1255" s="4"/>
      <c r="D1255" s="4"/>
      <c r="E1255" s="4"/>
      <c r="F1255" s="28"/>
      <c r="G1255" s="28"/>
      <c r="H1255" s="83"/>
      <c r="I1255" s="4"/>
      <c r="J1255" s="4"/>
      <c r="K1255" s="4"/>
      <c r="L1255" s="4"/>
      <c r="M1255" s="4"/>
      <c r="N1255" s="28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81"/>
      <c r="AG1255" s="81"/>
      <c r="AH1255" s="81"/>
      <c r="AI1255" s="4"/>
      <c r="AJ1255" s="81"/>
      <c r="AK1255" s="81"/>
      <c r="AL1255" s="81"/>
    </row>
    <row r="1256" spans="1:38" s="7" customFormat="1">
      <c r="A1256" s="4"/>
      <c r="B1256" s="4"/>
      <c r="C1256" s="4"/>
      <c r="D1256" s="4"/>
      <c r="E1256" s="4"/>
      <c r="F1256" s="28"/>
      <c r="G1256" s="28"/>
      <c r="H1256" s="83"/>
      <c r="I1256" s="4"/>
      <c r="J1256" s="4"/>
      <c r="K1256" s="4"/>
      <c r="L1256" s="4"/>
      <c r="M1256" s="4"/>
      <c r="N1256" s="28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81"/>
      <c r="AG1256" s="81"/>
      <c r="AH1256" s="81"/>
      <c r="AI1256" s="4"/>
      <c r="AJ1256" s="81"/>
      <c r="AK1256" s="81"/>
      <c r="AL1256" s="81"/>
    </row>
    <row r="1257" spans="1:38" s="7" customFormat="1">
      <c r="A1257" s="4"/>
      <c r="B1257" s="4"/>
      <c r="C1257" s="4"/>
      <c r="D1257" s="4"/>
      <c r="E1257" s="4"/>
      <c r="F1257" s="28"/>
      <c r="G1257" s="28"/>
      <c r="H1257" s="83"/>
      <c r="I1257" s="4"/>
      <c r="J1257" s="4"/>
      <c r="K1257" s="4"/>
      <c r="L1257" s="4"/>
      <c r="M1257" s="4"/>
      <c r="N1257" s="28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81"/>
      <c r="AG1257" s="81"/>
      <c r="AH1257" s="81"/>
      <c r="AI1257" s="4"/>
      <c r="AJ1257" s="81"/>
      <c r="AK1257" s="81"/>
      <c r="AL1257" s="81"/>
    </row>
    <row r="1258" spans="1:38" s="7" customFormat="1">
      <c r="A1258" s="4"/>
      <c r="B1258" s="4"/>
      <c r="C1258" s="4"/>
      <c r="D1258" s="4"/>
      <c r="E1258" s="4"/>
      <c r="F1258" s="28"/>
      <c r="G1258" s="28"/>
      <c r="H1258" s="83"/>
      <c r="I1258" s="4"/>
      <c r="J1258" s="4"/>
      <c r="K1258" s="4"/>
      <c r="L1258" s="4"/>
      <c r="M1258" s="4"/>
      <c r="N1258" s="28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81"/>
      <c r="AG1258" s="81"/>
      <c r="AH1258" s="81"/>
      <c r="AI1258" s="4"/>
      <c r="AJ1258" s="81"/>
      <c r="AK1258" s="81"/>
      <c r="AL1258" s="81"/>
    </row>
    <row r="1259" spans="1:38" s="7" customFormat="1">
      <c r="A1259" s="4"/>
      <c r="B1259" s="4"/>
      <c r="C1259" s="4"/>
      <c r="D1259" s="4"/>
      <c r="E1259" s="4"/>
      <c r="F1259" s="28"/>
      <c r="G1259" s="28"/>
      <c r="H1259" s="83"/>
      <c r="I1259" s="4"/>
      <c r="J1259" s="4"/>
      <c r="K1259" s="4"/>
      <c r="L1259" s="4"/>
      <c r="M1259" s="4"/>
      <c r="N1259" s="28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81"/>
      <c r="AG1259" s="81"/>
      <c r="AH1259" s="81"/>
      <c r="AI1259" s="4"/>
      <c r="AJ1259" s="81"/>
      <c r="AK1259" s="81"/>
      <c r="AL1259" s="81"/>
    </row>
    <row r="1260" spans="1:38" s="7" customFormat="1">
      <c r="A1260" s="4"/>
      <c r="B1260" s="4"/>
      <c r="C1260" s="4"/>
      <c r="D1260" s="4"/>
      <c r="E1260" s="4"/>
      <c r="F1260" s="28"/>
      <c r="G1260" s="28"/>
      <c r="H1260" s="83"/>
      <c r="I1260" s="4"/>
      <c r="J1260" s="4"/>
      <c r="K1260" s="4"/>
      <c r="L1260" s="4"/>
      <c r="M1260" s="4"/>
      <c r="N1260" s="28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81"/>
      <c r="AG1260" s="81"/>
      <c r="AH1260" s="81"/>
      <c r="AI1260" s="4"/>
      <c r="AJ1260" s="81"/>
      <c r="AK1260" s="81"/>
      <c r="AL1260" s="81"/>
    </row>
    <row r="1261" spans="1:38" s="7" customFormat="1">
      <c r="A1261" s="4"/>
      <c r="B1261" s="4"/>
      <c r="C1261" s="4"/>
      <c r="D1261" s="4"/>
      <c r="E1261" s="4"/>
      <c r="F1261" s="28"/>
      <c r="G1261" s="28"/>
      <c r="H1261" s="83"/>
      <c r="I1261" s="4"/>
      <c r="J1261" s="4"/>
      <c r="K1261" s="4"/>
      <c r="L1261" s="4"/>
      <c r="M1261" s="4"/>
      <c r="N1261" s="28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81"/>
      <c r="AG1261" s="81"/>
      <c r="AH1261" s="81"/>
      <c r="AI1261" s="4"/>
      <c r="AJ1261" s="81"/>
      <c r="AK1261" s="81"/>
      <c r="AL1261" s="81"/>
    </row>
    <row r="1262" spans="1:38" s="7" customFormat="1">
      <c r="A1262" s="4"/>
      <c r="B1262" s="4"/>
      <c r="C1262" s="4"/>
      <c r="D1262" s="4"/>
      <c r="E1262" s="4"/>
      <c r="F1262" s="28"/>
      <c r="G1262" s="28"/>
      <c r="H1262" s="83"/>
      <c r="I1262" s="4"/>
      <c r="J1262" s="4"/>
      <c r="K1262" s="4"/>
      <c r="L1262" s="4"/>
      <c r="M1262" s="4"/>
      <c r="N1262" s="28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81"/>
      <c r="AG1262" s="81"/>
      <c r="AH1262" s="81"/>
      <c r="AI1262" s="4"/>
      <c r="AJ1262" s="81"/>
      <c r="AK1262" s="81"/>
      <c r="AL1262" s="81"/>
    </row>
    <row r="1263" spans="1:38" s="7" customFormat="1">
      <c r="A1263" s="4"/>
      <c r="B1263" s="4"/>
      <c r="C1263" s="4"/>
      <c r="D1263" s="4"/>
      <c r="E1263" s="4"/>
      <c r="F1263" s="28"/>
      <c r="G1263" s="28"/>
      <c r="H1263" s="83"/>
      <c r="I1263" s="4"/>
      <c r="J1263" s="4"/>
      <c r="K1263" s="4"/>
      <c r="L1263" s="4"/>
      <c r="M1263" s="4"/>
      <c r="N1263" s="28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81"/>
      <c r="AG1263" s="81"/>
      <c r="AH1263" s="81"/>
      <c r="AI1263" s="4"/>
      <c r="AJ1263" s="81"/>
      <c r="AK1263" s="81"/>
      <c r="AL1263" s="81"/>
    </row>
    <row r="1264" spans="1:38" s="7" customFormat="1">
      <c r="A1264" s="4"/>
      <c r="B1264" s="4"/>
      <c r="C1264" s="4"/>
      <c r="D1264" s="4"/>
      <c r="E1264" s="4"/>
      <c r="F1264" s="28"/>
      <c r="G1264" s="28"/>
      <c r="H1264" s="83"/>
      <c r="I1264" s="4"/>
      <c r="J1264" s="4"/>
      <c r="K1264" s="4"/>
      <c r="L1264" s="4"/>
      <c r="M1264" s="4"/>
      <c r="N1264" s="28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81"/>
      <c r="AG1264" s="81"/>
      <c r="AH1264" s="81"/>
      <c r="AI1264" s="4"/>
      <c r="AJ1264" s="81"/>
      <c r="AK1264" s="81"/>
      <c r="AL1264" s="81"/>
    </row>
    <row r="1265" spans="1:38" s="7" customFormat="1">
      <c r="A1265" s="4"/>
      <c r="B1265" s="4"/>
      <c r="C1265" s="4"/>
      <c r="D1265" s="4"/>
      <c r="E1265" s="4"/>
      <c r="F1265" s="28"/>
      <c r="G1265" s="28"/>
      <c r="H1265" s="83"/>
      <c r="I1265" s="4"/>
      <c r="J1265" s="4"/>
      <c r="K1265" s="4"/>
      <c r="L1265" s="4"/>
      <c r="M1265" s="4"/>
      <c r="N1265" s="28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81"/>
      <c r="AG1265" s="81"/>
      <c r="AH1265" s="81"/>
      <c r="AI1265" s="4"/>
      <c r="AJ1265" s="81"/>
      <c r="AK1265" s="81"/>
      <c r="AL1265" s="81"/>
    </row>
    <row r="1266" spans="1:38" s="7" customFormat="1">
      <c r="A1266" s="4"/>
      <c r="B1266" s="4"/>
      <c r="C1266" s="4"/>
      <c r="D1266" s="4"/>
      <c r="E1266" s="4"/>
      <c r="F1266" s="28"/>
      <c r="G1266" s="28"/>
      <c r="H1266" s="83"/>
      <c r="I1266" s="4"/>
      <c r="J1266" s="4"/>
      <c r="K1266" s="4"/>
      <c r="L1266" s="4"/>
      <c r="M1266" s="4"/>
      <c r="N1266" s="28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81"/>
      <c r="AG1266" s="81"/>
      <c r="AH1266" s="81"/>
      <c r="AI1266" s="4"/>
      <c r="AJ1266" s="81"/>
      <c r="AK1266" s="81"/>
      <c r="AL1266" s="81"/>
    </row>
    <row r="1267" spans="1:38" s="7" customFormat="1">
      <c r="A1267" s="4"/>
      <c r="B1267" s="4"/>
      <c r="C1267" s="4"/>
      <c r="D1267" s="4"/>
      <c r="E1267" s="4"/>
      <c r="F1267" s="28"/>
      <c r="G1267" s="28"/>
      <c r="H1267" s="83"/>
      <c r="I1267" s="4"/>
      <c r="J1267" s="4"/>
      <c r="K1267" s="4"/>
      <c r="L1267" s="4"/>
      <c r="M1267" s="4"/>
      <c r="N1267" s="28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81"/>
      <c r="AG1267" s="81"/>
      <c r="AH1267" s="81"/>
      <c r="AI1267" s="4"/>
      <c r="AJ1267" s="81"/>
      <c r="AK1267" s="81"/>
      <c r="AL1267" s="81"/>
    </row>
    <row r="1268" spans="1:38" s="7" customFormat="1">
      <c r="A1268" s="4"/>
      <c r="B1268" s="4"/>
      <c r="C1268" s="4"/>
      <c r="D1268" s="4"/>
      <c r="E1268" s="4"/>
      <c r="F1268" s="28"/>
      <c r="G1268" s="28"/>
      <c r="H1268" s="83"/>
      <c r="I1268" s="4"/>
      <c r="J1268" s="4"/>
      <c r="K1268" s="4"/>
      <c r="L1268" s="4"/>
      <c r="M1268" s="4"/>
      <c r="N1268" s="28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81"/>
      <c r="AG1268" s="81"/>
      <c r="AH1268" s="81"/>
      <c r="AI1268" s="4"/>
      <c r="AJ1268" s="81"/>
      <c r="AK1268" s="81"/>
      <c r="AL1268" s="81"/>
    </row>
    <row r="1269" spans="1:38" s="7" customFormat="1">
      <c r="A1269" s="4"/>
      <c r="B1269" s="4"/>
      <c r="C1269" s="4"/>
      <c r="D1269" s="4"/>
      <c r="E1269" s="4"/>
      <c r="F1269" s="28"/>
      <c r="G1269" s="28"/>
      <c r="H1269" s="83"/>
      <c r="I1269" s="4"/>
      <c r="J1269" s="4"/>
      <c r="K1269" s="4"/>
      <c r="L1269" s="4"/>
      <c r="M1269" s="4"/>
      <c r="N1269" s="28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81"/>
      <c r="AG1269" s="81"/>
      <c r="AH1269" s="81"/>
      <c r="AI1269" s="4"/>
      <c r="AJ1269" s="81"/>
      <c r="AK1269" s="81"/>
      <c r="AL1269" s="81"/>
    </row>
    <row r="1270" spans="1:38" s="7" customFormat="1">
      <c r="A1270" s="4"/>
      <c r="B1270" s="4"/>
      <c r="C1270" s="4"/>
      <c r="D1270" s="4"/>
      <c r="E1270" s="4"/>
      <c r="F1270" s="28"/>
      <c r="G1270" s="28"/>
      <c r="H1270" s="83"/>
      <c r="I1270" s="4"/>
      <c r="J1270" s="4"/>
      <c r="K1270" s="4"/>
      <c r="L1270" s="4"/>
      <c r="M1270" s="4"/>
      <c r="N1270" s="28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81"/>
      <c r="AG1270" s="81"/>
      <c r="AH1270" s="81"/>
      <c r="AI1270" s="4"/>
      <c r="AJ1270" s="81"/>
      <c r="AK1270" s="81"/>
      <c r="AL1270" s="81"/>
    </row>
    <row r="1271" spans="1:38" s="7" customFormat="1">
      <c r="A1271" s="4"/>
      <c r="B1271" s="4"/>
      <c r="C1271" s="4"/>
      <c r="D1271" s="4"/>
      <c r="E1271" s="4"/>
      <c r="F1271" s="28"/>
      <c r="G1271" s="28"/>
      <c r="H1271" s="83"/>
      <c r="I1271" s="4"/>
      <c r="J1271" s="4"/>
      <c r="K1271" s="4"/>
      <c r="L1271" s="4"/>
      <c r="M1271" s="4"/>
      <c r="N1271" s="28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81"/>
      <c r="AG1271" s="81"/>
      <c r="AH1271" s="81"/>
      <c r="AI1271" s="4"/>
      <c r="AJ1271" s="81"/>
      <c r="AK1271" s="81"/>
      <c r="AL1271" s="81"/>
    </row>
    <row r="1272" spans="1:38" s="7" customFormat="1">
      <c r="A1272" s="4"/>
      <c r="B1272" s="4"/>
      <c r="C1272" s="4"/>
      <c r="D1272" s="4"/>
      <c r="E1272" s="4"/>
      <c r="F1272" s="28"/>
      <c r="G1272" s="28"/>
      <c r="H1272" s="83"/>
      <c r="I1272" s="4"/>
      <c r="J1272" s="4"/>
      <c r="K1272" s="4"/>
      <c r="L1272" s="4"/>
      <c r="M1272" s="4"/>
      <c r="N1272" s="28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81"/>
      <c r="AG1272" s="81"/>
      <c r="AH1272" s="81"/>
      <c r="AI1272" s="4"/>
      <c r="AJ1272" s="81"/>
      <c r="AK1272" s="81"/>
      <c r="AL1272" s="81"/>
    </row>
    <row r="1273" spans="1:38" s="7" customFormat="1">
      <c r="A1273" s="4"/>
      <c r="B1273" s="4"/>
      <c r="C1273" s="4"/>
      <c r="D1273" s="4"/>
      <c r="E1273" s="4"/>
      <c r="F1273" s="28"/>
      <c r="G1273" s="28"/>
      <c r="H1273" s="83"/>
      <c r="I1273" s="4"/>
      <c r="J1273" s="4"/>
      <c r="K1273" s="4"/>
      <c r="L1273" s="4"/>
      <c r="M1273" s="4"/>
      <c r="N1273" s="28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81"/>
      <c r="AG1273" s="81"/>
      <c r="AH1273" s="81"/>
      <c r="AI1273" s="4"/>
      <c r="AJ1273" s="81"/>
      <c r="AK1273" s="81"/>
      <c r="AL1273" s="81"/>
    </row>
    <row r="1274" spans="1:38" s="7" customFormat="1">
      <c r="A1274" s="4"/>
      <c r="B1274" s="4"/>
      <c r="C1274" s="4"/>
      <c r="D1274" s="4"/>
      <c r="E1274" s="4"/>
      <c r="F1274" s="28"/>
      <c r="G1274" s="28"/>
      <c r="H1274" s="83"/>
      <c r="I1274" s="4"/>
      <c r="J1274" s="4"/>
      <c r="K1274" s="4"/>
      <c r="L1274" s="4"/>
      <c r="M1274" s="4"/>
      <c r="N1274" s="28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81"/>
      <c r="AG1274" s="81"/>
      <c r="AH1274" s="81"/>
      <c r="AI1274" s="4"/>
      <c r="AJ1274" s="81"/>
      <c r="AK1274" s="81"/>
      <c r="AL1274" s="81"/>
    </row>
    <row r="1275" spans="1:38" s="7" customFormat="1">
      <c r="C1275" s="4"/>
      <c r="D1275" s="4"/>
      <c r="E1275" s="4"/>
      <c r="F1275" s="28"/>
      <c r="G1275" s="28"/>
      <c r="H1275" s="83"/>
      <c r="I1275" s="4"/>
      <c r="J1275" s="4"/>
      <c r="K1275" s="4"/>
    </row>
    <row r="1276" spans="1:38" s="7" customFormat="1">
      <c r="C1276" s="4"/>
      <c r="D1276" s="4"/>
      <c r="E1276" s="4"/>
      <c r="F1276" s="28"/>
      <c r="G1276" s="28"/>
      <c r="H1276" s="83"/>
      <c r="I1276" s="4"/>
      <c r="J1276" s="4"/>
      <c r="K1276" s="4"/>
    </row>
    <row r="1277" spans="1:38" s="7" customFormat="1">
      <c r="C1277" s="4"/>
      <c r="D1277" s="4"/>
      <c r="E1277" s="4"/>
      <c r="F1277" s="28"/>
      <c r="G1277" s="28"/>
      <c r="H1277" s="83"/>
      <c r="I1277" s="4"/>
      <c r="J1277" s="4"/>
      <c r="K1277" s="4"/>
    </row>
    <row r="1278" spans="1:38" s="7" customFormat="1">
      <c r="C1278" s="4"/>
      <c r="D1278" s="4"/>
      <c r="E1278" s="4"/>
      <c r="F1278" s="28"/>
      <c r="G1278" s="28"/>
      <c r="H1278" s="83"/>
      <c r="I1278" s="4"/>
      <c r="J1278" s="4"/>
      <c r="K1278" s="4"/>
    </row>
    <row r="1279" spans="1:38" s="7" customFormat="1">
      <c r="C1279" s="4"/>
      <c r="D1279" s="4"/>
      <c r="E1279" s="4"/>
      <c r="F1279" s="28"/>
      <c r="G1279" s="28"/>
      <c r="H1279" s="83"/>
      <c r="I1279" s="4"/>
      <c r="J1279" s="4"/>
      <c r="K1279" s="4"/>
    </row>
    <row r="1280" spans="1:38" s="7" customFormat="1">
      <c r="C1280" s="4"/>
      <c r="D1280" s="4"/>
      <c r="E1280" s="4"/>
      <c r="F1280" s="28"/>
      <c r="G1280" s="28"/>
      <c r="H1280" s="83"/>
      <c r="I1280" s="4"/>
      <c r="J1280" s="4"/>
      <c r="K1280" s="4"/>
    </row>
    <row r="1281" spans="3:11" s="7" customFormat="1">
      <c r="C1281" s="4"/>
      <c r="D1281" s="4"/>
      <c r="E1281" s="4"/>
      <c r="F1281" s="28"/>
      <c r="G1281" s="28"/>
      <c r="H1281" s="83"/>
      <c r="I1281" s="4"/>
      <c r="J1281" s="4"/>
      <c r="K1281" s="4"/>
    </row>
    <row r="1282" spans="3:11" s="7" customFormat="1">
      <c r="C1282" s="4"/>
      <c r="D1282" s="4"/>
      <c r="E1282" s="4"/>
      <c r="F1282" s="28"/>
      <c r="G1282" s="28"/>
      <c r="H1282" s="83"/>
      <c r="I1282" s="4"/>
      <c r="J1282" s="4"/>
      <c r="K1282" s="4"/>
    </row>
    <row r="1283" spans="3:11" s="7" customFormat="1">
      <c r="C1283" s="4"/>
      <c r="D1283" s="4"/>
      <c r="E1283" s="4"/>
      <c r="F1283" s="28"/>
      <c r="G1283" s="28"/>
      <c r="H1283" s="83"/>
      <c r="I1283" s="4"/>
      <c r="J1283" s="4"/>
      <c r="K1283" s="4"/>
    </row>
    <row r="1284" spans="3:11" s="7" customFormat="1">
      <c r="C1284" s="4"/>
      <c r="D1284" s="4"/>
      <c r="E1284" s="4"/>
      <c r="F1284" s="28"/>
      <c r="G1284" s="28"/>
      <c r="H1284" s="83"/>
      <c r="I1284" s="4"/>
      <c r="J1284" s="4"/>
      <c r="K1284" s="4"/>
    </row>
    <row r="1285" spans="3:11" s="7" customFormat="1">
      <c r="C1285" s="4"/>
      <c r="D1285" s="4"/>
      <c r="E1285" s="4"/>
      <c r="F1285" s="28"/>
      <c r="G1285" s="28"/>
      <c r="H1285" s="83"/>
      <c r="I1285" s="4"/>
      <c r="J1285" s="4"/>
      <c r="K1285" s="4"/>
    </row>
    <row r="1286" spans="3:11" s="7" customFormat="1">
      <c r="C1286" s="4"/>
      <c r="D1286" s="4"/>
      <c r="E1286" s="4"/>
      <c r="F1286" s="28"/>
      <c r="G1286" s="28"/>
      <c r="H1286" s="83"/>
      <c r="I1286" s="4"/>
      <c r="J1286" s="4"/>
      <c r="K1286" s="4"/>
    </row>
    <row r="1287" spans="3:11" s="7" customFormat="1">
      <c r="C1287" s="4"/>
      <c r="D1287" s="4"/>
      <c r="E1287" s="4"/>
      <c r="F1287" s="28"/>
      <c r="G1287" s="28"/>
      <c r="H1287" s="83"/>
      <c r="I1287" s="4"/>
      <c r="J1287" s="4"/>
      <c r="K1287" s="4"/>
    </row>
    <row r="1288" spans="3:11" s="7" customFormat="1">
      <c r="C1288" s="4"/>
      <c r="D1288" s="4"/>
      <c r="E1288" s="4"/>
      <c r="F1288" s="28"/>
      <c r="G1288" s="28"/>
      <c r="H1288" s="83"/>
      <c r="I1288" s="4"/>
      <c r="J1288" s="4"/>
      <c r="K1288" s="4"/>
    </row>
    <row r="1289" spans="3:11" s="7" customFormat="1">
      <c r="C1289" s="4"/>
      <c r="D1289" s="4"/>
      <c r="E1289" s="4"/>
      <c r="F1289" s="28"/>
      <c r="G1289" s="28"/>
      <c r="H1289" s="83"/>
      <c r="I1289" s="4"/>
      <c r="J1289" s="4"/>
      <c r="K1289" s="4"/>
    </row>
    <row r="1290" spans="3:11" s="7" customFormat="1">
      <c r="C1290" s="4"/>
      <c r="D1290" s="4"/>
      <c r="E1290" s="4"/>
      <c r="F1290" s="28"/>
      <c r="G1290" s="28"/>
      <c r="H1290" s="83"/>
      <c r="I1290" s="4"/>
      <c r="J1290" s="4"/>
      <c r="K1290" s="4"/>
    </row>
    <row r="1291" spans="3:11" s="7" customFormat="1">
      <c r="C1291" s="4"/>
      <c r="D1291" s="4"/>
      <c r="E1291" s="4"/>
      <c r="F1291" s="28"/>
      <c r="G1291" s="28"/>
      <c r="H1291" s="83"/>
      <c r="I1291" s="4"/>
      <c r="J1291" s="4"/>
      <c r="K1291" s="4"/>
    </row>
    <row r="1292" spans="3:11" s="7" customFormat="1"/>
    <row r="1293" spans="3:11" s="7" customFormat="1"/>
    <row r="1294" spans="3:11" s="7" customFormat="1"/>
    <row r="1295" spans="3:11" s="7" customFormat="1"/>
    <row r="1296" spans="3:11" s="7" customFormat="1"/>
    <row r="1297" spans="3:11" s="7" customFormat="1"/>
    <row r="1298" spans="3:11" s="7" customFormat="1"/>
    <row r="1299" spans="3:11" s="7" customFormat="1"/>
    <row r="1300" spans="3:11" s="7" customFormat="1"/>
    <row r="1301" spans="3:11" s="7" customFormat="1"/>
    <row r="1302" spans="3:11" s="7" customFormat="1">
      <c r="C1302" s="118"/>
      <c r="D1302" s="118"/>
      <c r="E1302" s="118"/>
      <c r="F1302" s="118"/>
      <c r="G1302" s="118"/>
      <c r="H1302" s="118"/>
      <c r="I1302" s="118"/>
      <c r="J1302" s="118"/>
      <c r="K1302" s="118"/>
    </row>
    <row r="1303" spans="3:11" s="7" customFormat="1">
      <c r="C1303" s="118"/>
      <c r="D1303" s="118"/>
      <c r="E1303" s="118"/>
      <c r="F1303" s="118"/>
      <c r="G1303" s="118"/>
      <c r="H1303" s="118"/>
      <c r="I1303" s="118"/>
      <c r="J1303" s="118"/>
      <c r="K1303" s="118"/>
    </row>
    <row r="1304" spans="3:11" s="7" customFormat="1">
      <c r="C1304" s="118"/>
      <c r="D1304" s="118"/>
      <c r="E1304" s="118"/>
      <c r="F1304" s="118"/>
      <c r="G1304" s="118"/>
      <c r="H1304" s="118"/>
      <c r="I1304" s="118"/>
      <c r="J1304" s="118"/>
      <c r="K1304" s="118"/>
    </row>
    <row r="1305" spans="3:11" s="7" customFormat="1">
      <c r="C1305" s="118"/>
      <c r="D1305" s="118"/>
      <c r="E1305" s="118"/>
      <c r="F1305" s="118"/>
      <c r="G1305" s="118"/>
      <c r="H1305" s="118"/>
      <c r="I1305" s="118"/>
      <c r="J1305" s="118"/>
      <c r="K1305" s="118"/>
    </row>
    <row r="1306" spans="3:11" s="7" customFormat="1">
      <c r="C1306" s="118"/>
      <c r="D1306" s="118"/>
      <c r="E1306" s="118"/>
      <c r="F1306" s="118"/>
      <c r="G1306" s="118"/>
      <c r="H1306" s="118"/>
      <c r="I1306" s="118"/>
      <c r="J1306" s="118"/>
      <c r="K1306" s="118"/>
    </row>
    <row r="1307" spans="3:11" s="7" customFormat="1">
      <c r="C1307" s="118"/>
      <c r="D1307" s="118"/>
      <c r="E1307" s="118"/>
      <c r="F1307" s="118"/>
      <c r="G1307" s="118"/>
      <c r="H1307" s="118"/>
      <c r="I1307" s="118"/>
      <c r="J1307" s="118"/>
      <c r="K1307" s="118"/>
    </row>
    <row r="1308" spans="3:11" s="7" customFormat="1">
      <c r="C1308" s="118"/>
      <c r="D1308" s="118"/>
      <c r="E1308" s="118"/>
      <c r="F1308" s="118"/>
      <c r="G1308" s="118"/>
      <c r="H1308" s="118"/>
      <c r="I1308" s="118"/>
      <c r="J1308" s="118"/>
      <c r="K1308" s="118"/>
    </row>
    <row r="1309" spans="3:11" s="7" customFormat="1">
      <c r="C1309" s="118"/>
      <c r="D1309" s="118"/>
      <c r="E1309" s="118"/>
      <c r="F1309" s="118"/>
      <c r="G1309" s="118"/>
      <c r="H1309" s="118"/>
      <c r="I1309" s="118"/>
      <c r="J1309" s="118"/>
      <c r="K1309" s="118"/>
    </row>
    <row r="1310" spans="3:11" s="7" customFormat="1">
      <c r="C1310" s="118"/>
      <c r="D1310" s="118"/>
      <c r="E1310" s="118"/>
      <c r="F1310" s="118"/>
      <c r="G1310" s="118"/>
      <c r="H1310" s="118"/>
      <c r="I1310" s="118"/>
      <c r="J1310" s="118"/>
      <c r="K1310" s="118"/>
    </row>
    <row r="1311" spans="3:11" s="7" customFormat="1">
      <c r="C1311" s="118"/>
      <c r="D1311" s="118"/>
      <c r="E1311" s="118"/>
      <c r="F1311" s="118"/>
      <c r="G1311" s="118"/>
      <c r="H1311" s="118"/>
      <c r="I1311" s="118"/>
      <c r="J1311" s="118"/>
      <c r="K1311" s="118"/>
    </row>
    <row r="1312" spans="3:11" s="7" customFormat="1">
      <c r="C1312" s="118"/>
      <c r="D1312" s="118"/>
      <c r="E1312" s="118"/>
      <c r="F1312" s="118"/>
      <c r="G1312" s="118"/>
      <c r="H1312" s="118"/>
      <c r="I1312" s="118"/>
      <c r="J1312" s="118"/>
      <c r="K1312" s="118"/>
    </row>
    <row r="1313" spans="1:50" s="7" customFormat="1">
      <c r="C1313" s="118"/>
      <c r="D1313" s="118"/>
      <c r="E1313" s="118"/>
      <c r="F1313" s="118"/>
      <c r="G1313" s="118"/>
      <c r="H1313" s="118"/>
      <c r="I1313" s="118"/>
      <c r="J1313" s="118"/>
      <c r="K1313" s="118"/>
    </row>
    <row r="1314" spans="1:50" s="7" customFormat="1">
      <c r="C1314" s="118"/>
      <c r="D1314" s="118"/>
      <c r="E1314" s="118"/>
      <c r="F1314" s="118"/>
      <c r="G1314" s="118"/>
      <c r="H1314" s="118"/>
      <c r="I1314" s="118"/>
      <c r="J1314" s="118"/>
      <c r="K1314" s="118"/>
    </row>
    <row r="1315" spans="1:50" s="7" customFormat="1">
      <c r="C1315" s="118"/>
      <c r="D1315" s="118"/>
      <c r="E1315" s="118"/>
      <c r="F1315" s="118"/>
      <c r="G1315" s="118"/>
      <c r="H1315" s="118"/>
      <c r="I1315" s="118"/>
      <c r="J1315" s="118"/>
      <c r="K1315" s="118"/>
    </row>
    <row r="1316" spans="1:50" s="7" customFormat="1">
      <c r="C1316" s="118"/>
      <c r="D1316" s="118"/>
      <c r="E1316" s="118"/>
      <c r="F1316" s="118"/>
      <c r="G1316" s="118"/>
      <c r="H1316" s="118"/>
      <c r="I1316" s="118"/>
      <c r="J1316" s="118"/>
      <c r="K1316" s="118"/>
    </row>
    <row r="1317" spans="1:50" s="7" customFormat="1">
      <c r="C1317" s="118"/>
      <c r="D1317" s="118"/>
      <c r="E1317" s="118"/>
      <c r="F1317" s="118"/>
      <c r="G1317" s="118"/>
      <c r="H1317" s="118"/>
      <c r="I1317" s="118"/>
      <c r="J1317" s="118"/>
      <c r="K1317" s="118"/>
    </row>
    <row r="1318" spans="1:50" s="7" customFormat="1">
      <c r="C1318" s="118"/>
      <c r="D1318" s="118"/>
      <c r="E1318" s="118"/>
      <c r="F1318" s="118"/>
      <c r="G1318" s="118"/>
      <c r="H1318" s="118"/>
      <c r="I1318" s="118"/>
      <c r="J1318" s="118"/>
      <c r="K1318" s="118"/>
    </row>
    <row r="1319" spans="1:50" s="7" customFormat="1">
      <c r="C1319" s="118"/>
      <c r="D1319" s="118"/>
      <c r="E1319" s="118"/>
      <c r="F1319" s="118"/>
      <c r="G1319" s="118"/>
      <c r="H1319" s="118"/>
      <c r="I1319" s="118"/>
      <c r="J1319" s="118"/>
      <c r="K1319" s="118"/>
    </row>
    <row r="1320" spans="1:50" s="7" customFormat="1">
      <c r="C1320" s="118"/>
      <c r="D1320" s="118"/>
      <c r="E1320" s="118"/>
      <c r="F1320" s="118"/>
      <c r="G1320" s="118"/>
      <c r="H1320" s="118"/>
      <c r="I1320" s="118"/>
      <c r="J1320" s="118"/>
      <c r="K1320" s="118"/>
    </row>
    <row r="1321" spans="1:50" s="7" customFormat="1">
      <c r="C1321" s="118"/>
      <c r="D1321" s="118"/>
      <c r="E1321" s="118"/>
      <c r="F1321" s="118"/>
      <c r="G1321" s="118"/>
      <c r="H1321" s="118"/>
      <c r="I1321" s="118"/>
      <c r="J1321" s="118"/>
      <c r="K1321" s="11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124"/>
    </row>
    <row r="1322" spans="1:50" s="7" customFormat="1">
      <c r="A1322" s="8"/>
      <c r="B1322" s="8"/>
      <c r="C1322" s="118"/>
      <c r="D1322" s="118"/>
      <c r="E1322" s="118"/>
      <c r="F1322" s="118"/>
      <c r="G1322" s="118"/>
      <c r="H1322" s="118"/>
      <c r="I1322" s="118"/>
      <c r="J1322" s="118"/>
      <c r="K1322" s="11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124"/>
      <c r="AW1322" s="124"/>
      <c r="AX1322" s="124"/>
    </row>
    <row r="1323" spans="1:50">
      <c r="C1323" s="118"/>
      <c r="D1323" s="118"/>
      <c r="E1323" s="118"/>
      <c r="F1323" s="118"/>
      <c r="G1323" s="118"/>
      <c r="H1323" s="118"/>
      <c r="I1323" s="118"/>
      <c r="J1323" s="118"/>
      <c r="K1323" s="118"/>
    </row>
    <row r="1324" spans="1:50">
      <c r="C1324" s="118"/>
      <c r="D1324" s="118"/>
      <c r="E1324" s="118"/>
      <c r="F1324" s="118"/>
      <c r="G1324" s="118"/>
      <c r="H1324" s="118"/>
      <c r="I1324" s="118"/>
      <c r="J1324" s="118"/>
      <c r="K1324" s="118"/>
    </row>
    <row r="1325" spans="1:50">
      <c r="C1325" s="118"/>
      <c r="D1325" s="118"/>
      <c r="E1325" s="118"/>
      <c r="F1325" s="118"/>
      <c r="G1325" s="118"/>
      <c r="H1325" s="118"/>
      <c r="I1325" s="118"/>
      <c r="J1325" s="118"/>
      <c r="K1325" s="118"/>
    </row>
    <row r="1326" spans="1:50">
      <c r="C1326" s="118"/>
      <c r="D1326" s="118"/>
      <c r="E1326" s="118"/>
      <c r="F1326" s="118"/>
      <c r="G1326" s="118"/>
      <c r="H1326" s="118"/>
      <c r="I1326" s="118"/>
      <c r="J1326" s="118"/>
      <c r="K1326" s="118"/>
    </row>
    <row r="1327" spans="1:50">
      <c r="C1327" s="118"/>
      <c r="D1327" s="118"/>
      <c r="E1327" s="118"/>
      <c r="F1327" s="118"/>
      <c r="G1327" s="118"/>
      <c r="H1327" s="118"/>
      <c r="I1327" s="118"/>
      <c r="J1327" s="118"/>
      <c r="K1327" s="118"/>
    </row>
    <row r="1328" spans="1:50">
      <c r="C1328" s="118"/>
      <c r="D1328" s="118"/>
      <c r="E1328" s="118"/>
      <c r="F1328" s="118"/>
      <c r="G1328" s="118"/>
      <c r="H1328" s="118"/>
      <c r="I1328" s="118"/>
      <c r="J1328" s="118"/>
      <c r="K1328" s="118"/>
    </row>
    <row r="1329" spans="3:11">
      <c r="C1329" s="118"/>
      <c r="D1329" s="118"/>
      <c r="E1329" s="118"/>
      <c r="F1329" s="118"/>
      <c r="G1329" s="118"/>
      <c r="H1329" s="118"/>
      <c r="I1329" s="118"/>
      <c r="J1329" s="118"/>
      <c r="K1329" s="118"/>
    </row>
    <row r="1330" spans="3:11">
      <c r="C1330" s="118"/>
      <c r="D1330" s="118"/>
      <c r="E1330" s="118"/>
      <c r="F1330" s="118"/>
      <c r="G1330" s="118"/>
      <c r="H1330" s="118"/>
      <c r="I1330" s="118"/>
      <c r="J1330" s="118"/>
      <c r="K1330" s="118"/>
    </row>
    <row r="1331" spans="3:11">
      <c r="C1331" s="118"/>
      <c r="D1331" s="118"/>
      <c r="E1331" s="118"/>
      <c r="F1331" s="118"/>
      <c r="G1331" s="118"/>
      <c r="H1331" s="118"/>
      <c r="I1331" s="118"/>
      <c r="J1331" s="118"/>
      <c r="K1331" s="118"/>
    </row>
    <row r="1332" spans="3:11">
      <c r="C1332" s="118"/>
      <c r="D1332" s="118"/>
      <c r="E1332" s="118"/>
      <c r="F1332" s="118"/>
      <c r="G1332" s="118"/>
      <c r="H1332" s="118"/>
      <c r="I1332" s="118"/>
      <c r="J1332" s="118"/>
      <c r="K1332" s="118"/>
    </row>
    <row r="1333" spans="3:11">
      <c r="C1333" s="118"/>
      <c r="D1333" s="118"/>
      <c r="E1333" s="118"/>
      <c r="F1333" s="118"/>
      <c r="G1333" s="118"/>
      <c r="H1333" s="118"/>
      <c r="I1333" s="118"/>
      <c r="J1333" s="118"/>
      <c r="K1333" s="118"/>
    </row>
    <row r="1334" spans="3:11">
      <c r="C1334" s="118"/>
      <c r="D1334" s="118"/>
      <c r="E1334" s="118"/>
      <c r="F1334" s="118"/>
      <c r="G1334" s="118"/>
      <c r="H1334" s="118"/>
      <c r="I1334" s="118"/>
      <c r="J1334" s="118"/>
      <c r="K1334" s="118"/>
    </row>
    <row r="1335" spans="3:11">
      <c r="C1335" s="118"/>
      <c r="D1335" s="118"/>
      <c r="E1335" s="118"/>
      <c r="F1335" s="118"/>
      <c r="G1335" s="118"/>
      <c r="H1335" s="118"/>
      <c r="I1335" s="118"/>
      <c r="J1335" s="118"/>
      <c r="K1335" s="118"/>
    </row>
    <row r="1336" spans="3:11">
      <c r="C1336" s="118"/>
      <c r="D1336" s="118"/>
      <c r="E1336" s="118"/>
      <c r="F1336" s="118"/>
      <c r="G1336" s="118"/>
      <c r="H1336" s="118"/>
      <c r="I1336" s="118"/>
      <c r="J1336" s="118"/>
      <c r="K1336" s="118"/>
    </row>
    <row r="1337" spans="3:11">
      <c r="C1337" s="118"/>
      <c r="D1337" s="118"/>
      <c r="E1337" s="118"/>
      <c r="F1337" s="118"/>
      <c r="G1337" s="118"/>
      <c r="H1337" s="118"/>
      <c r="I1337" s="118"/>
      <c r="J1337" s="118"/>
      <c r="K1337" s="118"/>
    </row>
    <row r="1338" spans="3:11">
      <c r="C1338" s="118"/>
      <c r="D1338" s="118"/>
      <c r="E1338" s="118"/>
      <c r="F1338" s="118"/>
      <c r="G1338" s="118"/>
      <c r="H1338" s="118"/>
      <c r="I1338" s="118"/>
      <c r="J1338" s="118"/>
      <c r="K1338" s="118"/>
    </row>
  </sheetData>
  <sortState ref="B198:AI207">
    <sortCondition descending="1" ref="B198"/>
  </sortState>
  <dataConsolidate/>
  <mergeCells count="37">
    <mergeCell ref="CW86:CX86"/>
    <mergeCell ref="O455:R455"/>
    <mergeCell ref="GC2:GI2"/>
    <mergeCell ref="FI6:FJ6"/>
    <mergeCell ref="FK6:FL6"/>
    <mergeCell ref="FM6:FN6"/>
    <mergeCell ref="FJ4:FM4"/>
    <mergeCell ref="FI12:FJ12"/>
    <mergeCell ref="FI13:FJ13"/>
    <mergeCell ref="FI14:FJ14"/>
    <mergeCell ref="FI15:FJ15"/>
    <mergeCell ref="FI16:FJ16"/>
    <mergeCell ref="FI7:FJ7"/>
    <mergeCell ref="FI8:FJ8"/>
    <mergeCell ref="FI9:FJ9"/>
    <mergeCell ref="FI10:FJ10"/>
    <mergeCell ref="FI11:FJ11"/>
    <mergeCell ref="FK7:FL7"/>
    <mergeCell ref="FK8:FL8"/>
    <mergeCell ref="FK9:FL9"/>
    <mergeCell ref="FK10:FL10"/>
    <mergeCell ref="FK11:FL11"/>
    <mergeCell ref="FK12:FL12"/>
    <mergeCell ref="FK13:FL13"/>
    <mergeCell ref="FK14:FL14"/>
    <mergeCell ref="FK15:FL15"/>
    <mergeCell ref="FK16:FL16"/>
    <mergeCell ref="FM7:FN7"/>
    <mergeCell ref="FM8:FN8"/>
    <mergeCell ref="FM9:FN9"/>
    <mergeCell ref="FM10:FN10"/>
    <mergeCell ref="FM11:FN11"/>
    <mergeCell ref="FM12:FN12"/>
    <mergeCell ref="FM13:FN13"/>
    <mergeCell ref="FM14:FN14"/>
    <mergeCell ref="FM15:FN15"/>
    <mergeCell ref="FM16:FN16"/>
  </mergeCells>
  <phoneticPr fontId="2" type="noConversion"/>
  <pageMargins left="0.75" right="0.75" top="1" bottom="1" header="0.5" footer="0.5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8"/>
  <sheetViews>
    <sheetView workbookViewId="0">
      <selection activeCell="A8" sqref="A8"/>
    </sheetView>
  </sheetViews>
  <sheetFormatPr defaultColWidth="11.42578125" defaultRowHeight="12.75"/>
  <sheetData>
    <row r="1" spans="1:1">
      <c r="A1" t="s">
        <v>84</v>
      </c>
    </row>
    <row r="2" spans="1:1">
      <c r="A2" t="s">
        <v>85</v>
      </c>
    </row>
    <row r="3" spans="1:1">
      <c r="A3" t="s">
        <v>86</v>
      </c>
    </row>
    <row r="4" spans="1:1">
      <c r="A4" t="s">
        <v>87</v>
      </c>
    </row>
    <row r="5" spans="1:1">
      <c r="A5" t="s">
        <v>88</v>
      </c>
    </row>
    <row r="6" spans="1:1">
      <c r="A6" t="s">
        <v>89</v>
      </c>
    </row>
    <row r="7" spans="1:1">
      <c r="A7" t="s">
        <v>90</v>
      </c>
    </row>
    <row r="8" spans="1:1">
      <c r="A8" t="s">
        <v>91</v>
      </c>
    </row>
  </sheetData>
  <phoneticPr fontId="4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Cobble Gravel</vt:lpstr>
      <vt:lpstr>Notes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A. Chadwick</dc:creator>
  <cp:lastModifiedBy>Jim</cp:lastModifiedBy>
  <dcterms:created xsi:type="dcterms:W3CDTF">2004-12-20T04:17:09Z</dcterms:created>
  <dcterms:modified xsi:type="dcterms:W3CDTF">2011-01-11T19:56:42Z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-642832883</vt:i4>
  </property>
  <property fmtid="{D5CDD505-2E9C-101B-9397-08002B2CF9AE}" pid="3" name="_EmailSubject">
    <vt:lpwstr>bootstrap spreadsheet</vt:lpwstr>
  </property>
  <property fmtid="{D5CDD505-2E9C-101B-9397-08002B2CF9AE}" pid="4" name="_AuthorEmail">
    <vt:lpwstr>chadwick@bama.ua.edu</vt:lpwstr>
  </property>
  <property fmtid="{D5CDD505-2E9C-101B-9397-08002B2CF9AE}" pid="5" name="_AuthorEmailDisplayName">
    <vt:lpwstr>Michael A. Chadwick</vt:lpwstr>
  </property>
  <property fmtid="{D5CDD505-2E9C-101B-9397-08002B2CF9AE}" pid="6" name="_ReviewingToolsShownOnce">
    <vt:lpwstr/>
  </property>
</Properties>
</file>